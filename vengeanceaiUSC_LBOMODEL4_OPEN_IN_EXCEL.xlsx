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s>
  <fonts count="68">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
      <b val="1"/>
      <i val="1"/>
      <sz val="9"/>
    </font>
    <font>
      <b val="1"/>
      <sz val="9"/>
    </font>
  </fonts>
  <fills count="22">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
      <patternFill patternType="solid">
        <fgColor rgb="00D9E2F3"/>
      </patternFill>
    </fill>
    <fill>
      <patternFill patternType="solid">
        <fgColor rgb="00E2F0D9"/>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1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xf numFmtId="0" fontId="66" fillId="0" borderId="0" applyAlignment="1" pivotButton="0" quotePrefix="0" xfId="0">
      <alignment vertical="top" wrapText="1"/>
    </xf>
    <xf numFmtId="0" fontId="67" fillId="18" borderId="21" applyAlignment="1" pivotButton="0" quotePrefix="0" xfId="0">
      <alignment vertical="top" wrapText="1"/>
    </xf>
    <xf numFmtId="0" fontId="62" fillId="20" borderId="21" applyAlignment="1" pivotButton="0" quotePrefix="0" xfId="0">
      <alignment vertical="top" wrapText="1"/>
    </xf>
    <xf numFmtId="0" fontId="62" fillId="18" borderId="21" applyAlignment="1" pivotButton="0" quotePrefix="0" xfId="0">
      <alignment vertical="top" wrapText="1"/>
    </xf>
    <xf numFmtId="0" fontId="67" fillId="18" borderId="0" applyAlignment="1" pivotButton="0" quotePrefix="0" xfId="0">
      <alignment vertical="top" wrapText="1"/>
    </xf>
    <xf numFmtId="0" fontId="62" fillId="21" borderId="2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5"/>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t="n">
        <v>182.081985395625</v>
      </c>
      <c r="D33" s="456" t="n">
        <v>318.537351312955</v>
      </c>
      <c r="E33" s="456" t="n">
        <v>136.45536591733</v>
      </c>
      <c r="F33" s="455" t="inlineStr">
        <is>
          <t>Year 5 EBITDA; AI-driven cost savings (with $34m AI infra) boosted this to $477.4m vs Base $212.2m.</t>
        </is>
      </c>
    </row>
    <row r="34" ht="42" customHeight="1" s="409">
      <c r="B34" s="448" t="inlineStr">
        <is>
          <t>Exit EV @ 12.9x ($m)</t>
        </is>
      </c>
      <c r="C34" s="456" t="n">
        <v>2348.85761160357</v>
      </c>
      <c r="D34" s="456" t="n">
        <v>4109.13183193712</v>
      </c>
      <c r="E34" s="456" t="n">
        <v>1760.27422033356</v>
      </c>
      <c r="F34" s="455" t="inlineStr">
        <is>
          <t>Projected exit EV; higher EBITDA from AI increased this valuation by $3,447.4m to $6,206.2m.</t>
        </is>
      </c>
    </row>
    <row r="35" ht="42" customHeight="1" s="409">
      <c r="B35" s="448" t="inlineStr">
        <is>
          <t>Exit net debt ($m)</t>
        </is>
      </c>
      <c r="C35" s="456" t="n">
        <v>487.140399221267</v>
      </c>
      <c r="D35" s="456" t="n">
        <v>6.36046720066304</v>
      </c>
      <c r="E35" s="456" t="n">
        <v>-480.779932020604</v>
      </c>
      <c r="F35" s="455" t="inlineStr">
        <is>
          <t>Remaining debt at exit; AI case $6.4m vs Base $487.1m.</t>
        </is>
      </c>
    </row>
    <row r="36" ht="42" customHeight="1" s="409">
      <c r="B36" s="448" t="inlineStr">
        <is>
          <t>Exit equity value ($m)</t>
        </is>
      </c>
      <c r="C36" s="456" t="n">
        <v>1861.7172123823</v>
      </c>
      <c r="D36" s="456" t="n">
        <v>4102.77136473646</v>
      </c>
      <c r="E36" s="456" t="n">
        <v>2241.05415235416</v>
      </c>
      <c r="F36" s="455" t="inlineStr">
        <is>
          <t>Total equity payout; AI strategy changed final payout by $2,241.1m to $4,102.8m (exit 12.9x).</t>
        </is>
      </c>
    </row>
    <row r="37" ht="42" customHeight="1" s="409">
      <c r="B37" s="448" t="inlineStr">
        <is>
          <t>MOIC</t>
        </is>
      </c>
      <c r="C37" s="457" t="n">
        <v>0.99488471416764</v>
      </c>
      <c r="D37" s="457" t="n">
        <v>2.19248363250499</v>
      </c>
      <c r="E37" s="457" t="n">
        <v>1.19759891833735</v>
      </c>
      <c r="F37" s="455" t="inlineStr">
        <is>
          <t>Multiple on Invested Capital; AI improved gross cash return from 0.99x to 2.19x.</t>
        </is>
      </c>
    </row>
    <row r="38" ht="42" customHeight="1" s="409">
      <c r="B38" s="448" t="inlineStr">
        <is>
          <t>IRR</t>
        </is>
      </c>
      <c r="C38" s="454" t="n">
        <v>-0.0010251569061704</v>
      </c>
      <c r="D38" s="454" t="n">
        <v>0.170003799222666</v>
      </c>
      <c r="E38" s="454" t="n">
        <v>0.171028956128837</v>
      </c>
      <c r="F38" s="455" t="inlineStr">
        <is>
          <t>5-year IRR; AI boosted return by 17.1 percentage points to 17.0% (AI infra $24.5m; payroll/commission cut 18%; rev 5%; exit 12.9x).</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17.0% − Base IRR -0.1% = 17.1 percentage points of IRR</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 WC Major Variables: AR (C25), Deferred (C26), AI DSO cut (C13) → AI_Operating ΔNWC → FCF/debt sweep (LBO col O).</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408" t="inlineStr">
        <is>
          <t>IRR (%)</t>
        </is>
      </c>
      <c r="C55" s="408" t="n">
        <v>3.3</v>
      </c>
      <c r="D55" s="408" t="n">
        <v>27.1</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4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WC MAJOR</t>
        </is>
      </c>
      <c r="C29" s="408" t="inlineStr">
        <is>
          <t>LBO Working Capital Major Variables (col O): AR% (C25), Deferred% (C26), AI AR cut (C13), EOP NWC, CF ΔNWC. AP/Other CA = not major.</t>
        </is>
      </c>
      <c r="D29" s="408" t="inlineStr">
        <is>
          <t>See LBO!O75:O86 and LBO!O119</t>
        </is>
      </c>
      <c r="F29" s="408" t="inlineStr">
        <is>
          <t>LBO</t>
        </is>
      </c>
      <c r="G29" s="408" t="inlineStr">
        <is>
          <t>O76:O86</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t="n">
        <v>89.985</v>
      </c>
      <c r="E15" s="456" t="n">
        <v>94.48425</v>
      </c>
      <c r="F15" s="456" t="n">
        <v>99.2084625</v>
      </c>
      <c r="G15" s="456" t="n">
        <v>104.168885625</v>
      </c>
      <c r="H15" s="456" t="n">
        <v>109.37732990625</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t="n">
        <v>25.5003</v>
      </c>
      <c r="E19" s="456" t="n">
        <v>26.775315</v>
      </c>
      <c r="F19" s="456" t="n">
        <v>28.11408075</v>
      </c>
      <c r="G19" s="456" t="n">
        <v>29.5197847875</v>
      </c>
      <c r="H19" s="456" t="n">
        <v>30.995774026875</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t="n">
        <v>89.985</v>
      </c>
      <c r="E15" s="456" t="n">
        <v>94.48425</v>
      </c>
      <c r="F15" s="456" t="n">
        <v>99.2084625</v>
      </c>
      <c r="G15" s="456" t="n">
        <v>104.168885625</v>
      </c>
      <c r="H15" s="456" t="n">
        <v>109.37732990625</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t="n">
        <v>23.460276</v>
      </c>
      <c r="E19" s="456" t="n">
        <v>24.6332898</v>
      </c>
      <c r="F19" s="456" t="n">
        <v>25.86495429</v>
      </c>
      <c r="G19" s="456" t="n">
        <v>27.1582020045</v>
      </c>
      <c r="H19" s="456" t="n">
        <v>28.516112104725</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12.82" customWidth="1" style="408" min="11" max="11"/>
    <col width="40" customWidth="1" style="408" min="12" max="12"/>
    <col width="42" customWidth="1" style="408" min="13" max="13"/>
    <col width="52" customWidth="1" style="408" min="14" max="14"/>
    <col width="34" customWidth="1" style="409" min="15" max="15"/>
    <col width="38" customWidth="1" style="409" min="16" max="16"/>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515" t="n">
        <v>-68.7</v>
      </c>
      <c r="G50" s="515" t="n">
        <v>-58.3</v>
      </c>
      <c r="H50" s="515" t="n">
        <v>-46.4</v>
      </c>
      <c r="I50" s="515" t="n">
        <v>-32.7</v>
      </c>
      <c r="J50" s="515" t="n">
        <v>-17.3</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515" t="n">
        <v>88.3</v>
      </c>
      <c r="G58" s="515" t="n">
        <v>91.8</v>
      </c>
      <c r="H58" s="515" t="n">
        <v>95.5</v>
      </c>
      <c r="I58" s="515" t="n">
        <v>98.3</v>
      </c>
      <c r="J58" s="515" t="n">
        <v>101.3</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SOURCE (click) — Assess + how number enters</t>
        </is>
      </c>
      <c r="M63" s="558" t="inlineStr">
        <is>
          <t>VERBATIM Ctrl+F + EQ derivation (how the % was calculated)</t>
        </is>
      </c>
      <c r="N63" s="558" t="inlineStr">
        <is>
          <t>WHY REASONABLE (≤30 words) — where the number came from</t>
        </is>
      </c>
    </row>
    <row r="64" ht="15" customHeight="1" s="409">
      <c r="B64" s="555" t="inlineStr">
        <is>
          <t>Growth rates &amp; margins</t>
        </is>
      </c>
      <c r="F64" s="515" t="n"/>
      <c r="K64" s="559" t="inlineStr">
        <is>
          <t>Step</t>
        </is>
      </c>
      <c r="L64" s="560" t="inlineStr">
        <is>
          <t>Growth rates &amp; margins — each forecast % must show source quote + arithmetic (EQ)</t>
        </is>
      </c>
    </row>
    <row r="65" ht="75"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563">
        <f>HYPERLINK("https://www.sec.gov/Archives/edgar/data/1794515/000179451526000012/zi-20251231.htm","REASONABLE: ZI FY25 10-K — Drivers C5=+5% (rounded CAGR, not raw +3%)")</f>
        <v/>
      </c>
      <c r="M65" s="564" t="inlineStr">
        <is>
          <t>Ctrl+F: Revenue was $1,249.5 million for the year ended December 31, 2025, an increase of $35.2 million, or 3%
EQ: FY22 rev $1,098.0 → FY25 $1,249.5; CAGR=(1249.5/1098)^(1/3)−1≈4.4% → Drivers C5 rounds to +5%. LBO F65:J65 = Assumptions_Drivers!$C$5.</t>
        </is>
      </c>
      <c r="N65" s="564" t="inlineStr">
        <is>
          <t>10-K shows FY25 +3% ($35.2m). Model uses +5% = rounded 2022–25 CAGR (~4.4%), via Drivers C5 linked here.</t>
        </is>
      </c>
    </row>
    <row r="66" ht="75"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563">
        <f>HYPERLINK("https://www.getaleph.com/answers/saas-gross-margin-2026","REASONABLE: Aleph × Benchmarkit — median GM 80% → Drivers C6")</f>
        <v/>
      </c>
      <c r="M66" s="564" t="inlineStr">
        <is>
          <t>Ctrl+F: The 2025 median software gross margin is 80%
EQ: Drivers C6 = 80% exactly from that median sentence. LBO F66:J66 = Assumptions_Drivers!$C$6. (ZI GAAP GM ~84% is NOT the driver.)</t>
        </is>
      </c>
      <c r="N66" s="564" t="inlineStr">
        <is>
          <t>Aleph’s verbatim median is 80%. That 80% is Drivers C6 and feeds every forecast GM cell here.</t>
        </is>
      </c>
    </row>
    <row r="67" ht="75"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563">
        <f>HYPERLINK("https://www.sec.gov/Archives/edgar/data/1794515/000179451525000045/zi-20241231.htm","REASONABLE: ZI FY24 10-K — R&amp;D $196.1m / Rev $1,214.3m ≈16.15%")</f>
        <v/>
      </c>
      <c r="M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N67" s="564" t="inlineStr">
        <is>
          <t>Ratio from FY24 R&amp;D $196.1m ÷ sales $1,214.3m. Forecast keeps that % by scaling R&amp;D with +5% revenue in AI_Operating.</t>
        </is>
      </c>
    </row>
    <row r="68" ht="75"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563">
        <f>HYPERLINK("https://www.digitalapplied.com/blog/ai-sdr-statistics-2026-outbound-sales-data-points","REASONABLE: Built %, not one page — 18% SDR cut (Digital Applied) + G&amp;A 18% (Blossom) + $24.5m AI")</f>
        <v/>
      </c>
      <c r="M68" s="564" t="inlineStr">
        <is>
          <t>Ctrl+F (Digital Applied): Net SDR headcount in US B2B SaaS companies is down 18% YoY
Ctrl+F (Blossom, Drivers E11): G&amp;A was 18%
EQ: SG&amp;A% = (S&amp;M_human + AI_infra $24.5m + G&amp;A)/Revenue from AI_Operating. S&amp;M_human = FY24 $414.1m×(1−18%); G&amp;A = 18%×Revenue.</t>
        </is>
      </c>
      <c r="N68" s="564" t="inlineStr">
        <is>
          <t>No single “SG&amp;A%” quote. % = AI_Operating (cut S&amp;M 18%, +$24.5m AI, G&amp;A 18% of sales) ÷ revenue.</t>
        </is>
      </c>
    </row>
    <row r="69" ht="75"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563">
        <f>HYPERLINK("https://taxsummaries.pwc.com/united-states/corporate/taxes-on-corporate-income","REASONABLE: PwC — flat 21% → Drivers C19")</f>
        <v/>
      </c>
      <c r="M69" s="564" t="inlineStr">
        <is>
          <t>Ctrl+F: The United States taxes resident corporations at a flat rate of 21%
EQ: Drivers C19 = 21% from that sentence. LBO F69:J69 = Assumptions_Drivers!$C$19.</t>
        </is>
      </c>
      <c r="N69" s="564" t="inlineStr">
        <is>
          <t>PwC’s flat 21% is copied into Drivers C19; this tax row is a direct link to that cell.</t>
        </is>
      </c>
    </row>
    <row r="70" ht="75"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567">
        <f>HYPERLINK("https://www.sec.gov/Archives/edgar/data/1794515/000179451526000012/zi-20251231.htm","CAUTION — Drivers C29: FY25 SBC $116.2m ÷ opex $824.2m = 14.1%; LBO $ = %×opex")</f>
        <v/>
      </c>
      <c r="M70" s="568" t="inlineStr">
        <is>
          <t>Ctrl+F: Total equity-based compensation expense $ 116.2
Ctrl+F: Total operating expenses $ 824.2
EQ: Drivers C29=116.2÷824.2=14.1%. LBO F70:J70=Assumptions_Drivers!$C$29. SBC $=F70×(|F43|+|F45|+|F46|); CF F118=F60.</t>
        </is>
      </c>
      <c r="N70" s="568" t="inlineStr">
        <is>
          <t>Single source: Drivers C29. 14.1% from FY25 10-K; LBO $ and CF rows now formula-linked.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c r="L72" s="809" t="inlineStr">
        <is>
          <t>How each WC line grows (or stays flat) in the forecast.</t>
        </is>
      </c>
      <c r="M72" s="809" t="inlineStr">
        <is>
          <t>WORKING CAPITAL — forecast % linked to Drivers (same standard as IS margins). Core LBO FCF uses AI_Operating ΔNWC = ΔAR−ΔDeferred.</t>
        </is>
      </c>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30" customHeight="1" s="409">
      <c r="B75" s="500" t="n"/>
      <c r="C75" s="569" t="n"/>
      <c r="D75" s="569" t="n"/>
      <c r="E75" s="569" t="n"/>
      <c r="F75" s="569" t="n"/>
      <c r="G75" s="569" t="n"/>
      <c r="H75" s="569" t="n"/>
      <c r="I75" s="569" t="n"/>
      <c r="J75" s="569" t="n"/>
      <c r="L75" s="558" t="inlineStr">
        <is>
          <t>Growth trajectory</t>
        </is>
      </c>
      <c r="M75" s="558" t="inlineStr">
        <is>
          <t>SOURCE (click) — Assess + how number enters</t>
        </is>
      </c>
      <c r="N75" s="558" t="inlineStr">
        <is>
          <t>VERBATIM Ctrl+F + EQ derivation</t>
        </is>
      </c>
      <c r="O75" s="558" t="inlineStr">
        <is>
          <t>WHY REASONABLE (≤30 words)</t>
        </is>
      </c>
      <c r="P75" s="558" t="inlineStr">
        <is>
          <t>Major Variable</t>
        </is>
      </c>
    </row>
    <row r="76" ht="78" customHeight="1" s="409">
      <c r="B76" s="557" t="inlineStr">
        <is>
          <t>Accounts receivable, EOP</t>
        </is>
      </c>
      <c r="C76" s="572" t="n"/>
      <c r="D76" s="573" t="n">
        <v>484.8</v>
      </c>
      <c r="E76" s="573" t="n">
        <v>443.7</v>
      </c>
      <c r="F76" s="614">
        <f>F77*F42</f>
        <v/>
      </c>
      <c r="G76" s="614">
        <f>G77*G42</f>
        <v/>
      </c>
      <c r="H76" s="614">
        <f>H77*H42</f>
        <v/>
      </c>
      <c r="I76" s="614">
        <f>I77*I42</f>
        <v/>
      </c>
      <c r="J76" s="614">
        <f>J77*J42</f>
        <v/>
      </c>
      <c r="L76" s="814" t="inlineStr">
        <is>
          <t>Grows with revenue at +5%/yr (Drivers C5). EOP AR = 16.2% × Sales each year → $AR rises ~5% as sales rise; ratio flat. AI FCF: ΔAR = ΔRev×16.2%×(1−10%).</t>
        </is>
      </c>
      <c r="M76" s="563">
        <f>HYPERLINK("https://www.sec.gov/Archives/edgar/data/1794515/000179451525000045/zi-20241231.htm","REASONABLE: EOP AR = Drivers C25 × Revenue (stock from intensity)")</f>
        <v/>
      </c>
      <c r="N76" s="564" t="inlineStr">
        <is>
          <t>Ctrl+F: Accounts receivable, net | 246.1
EQ: F76=F77×F42. F77=Assumptions_Drivers!$C$25 (59/365). AI FCF uses ΔAR=ΔRev×C25×(1−C13), not this EOP alone.</t>
        </is>
      </c>
      <c r="O76" s="564" t="inlineStr">
        <is>
          <t>EOP AR rebuilt as intensity×sales so the BS tracks Drivers. Live debt-sweep cash uses AI_Operating ΔAR, not BMC AR.</t>
        </is>
      </c>
      <c r="P76" s="810" t="inlineStr">
        <is>
          <t>YES — AR drives ΔAR cash use in FCF → debt paydown / IRR</t>
        </is>
      </c>
    </row>
    <row r="77" ht="78" customHeight="1" s="409">
      <c r="B77" s="574" t="inlineStr">
        <is>
          <t>AR as % of sales (Drivers C25 intensity)</t>
        </is>
      </c>
      <c r="C77" s="522" t="n"/>
      <c r="D77" s="522" t="n">
        <v>0.223204419889503</v>
      </c>
      <c r="E77" s="522" t="n">
        <v>0.201553556827473</v>
      </c>
      <c r="F77" s="519">
        <f>Assumptions_Drivers!$C$25</f>
        <v/>
      </c>
      <c r="G77" s="519">
        <f>Assumptions_Drivers!$C$25</f>
        <v/>
      </c>
      <c r="H77" s="519">
        <f>Assumptions_Drivers!$C$25</f>
        <v/>
      </c>
      <c r="I77" s="519">
        <f>Assumptions_Drivers!$C$25</f>
        <v/>
      </c>
      <c r="J77" s="519">
        <f>Assumptions_Drivers!$C$25</f>
        <v/>
      </c>
      <c r="L77" s="814" t="inlineStr">
        <is>
          <t>Ratio FLAT at 16.2% every forecast year (no step-up). Does not grow as a %. Dollar AR grows only because sales grow +5%. AI case: effective ΔAR intensity = 16.2%×90% = 14.55%.</t>
        </is>
      </c>
      <c r="M77" s="563">
        <f>HYPERLINK("https://getfairview.com/blog/working-capital-management-saas","REASONABLE: Fairview median DSO 59d → C25=59/365≈16.2%")</f>
        <v/>
      </c>
      <c r="N77" s="564" t="inlineStr">
        <is>
          <t>Ctrl+F: Median B2B SaaS DSO is 59 days
EQ: Assumptions_Drivers!C25=59/365≈16.164%. LBO F77:J77=Assumptions_Drivers!$C$25. AI also applies C13=10% cut on ΔAR only.</t>
        </is>
      </c>
      <c r="O77" s="564" t="inlineStr">
        <is>
          <t>Fairview’s 59-day median becomes 16.2% AR intensity in Drivers C25; that cell feeds every forecast AR% here.</t>
        </is>
      </c>
      <c r="P77" s="810" t="inlineStr">
        <is>
          <t>YES — primary AR/% assumption; pairs with C13 DSO cut</t>
        </is>
      </c>
    </row>
    <row r="78" ht="78" customHeight="1" s="409">
      <c r="B78" s="557" t="inlineStr">
        <is>
          <t>Other current assets, EOP</t>
        </is>
      </c>
      <c r="C78" s="572" t="n"/>
      <c r="D78" s="573" t="n">
        <v>195.1</v>
      </c>
      <c r="E78" s="573" t="n">
        <v>213.1</v>
      </c>
      <c r="F78" s="614">
        <f>F79*F42</f>
        <v/>
      </c>
      <c r="G78" s="614">
        <f>G79*G42</f>
        <v/>
      </c>
      <c r="H78" s="614">
        <f>H79*H42</f>
        <v/>
      </c>
      <c r="I78" s="614">
        <f>I79*I42</f>
        <v/>
      </c>
      <c r="J78" s="614">
        <f>J79*J42</f>
        <v/>
      </c>
      <c r="L78" s="814" t="inlineStr">
        <is>
          <t>“Flat” = the 9.7% of-sales ratio stays unchanged each year (no step-up/fade). Dollars still grow ~+5% with revenue: EOP = 9.7% × Sales.</t>
        </is>
      </c>
      <c r="M78" s="567">
        <f>HYPERLINK("https://www.sec.gov/Archives/edgar/data/1794515/000179451525000045/zi-20241231.htm","CAUTION — not a Driver: other CA held at FY24 % of sales")</f>
        <v/>
      </c>
      <c r="N78" s="568" t="inlineStr">
        <is>
          <t>Ctrl+F: Prepaid expenses and other current assets (ZI BS)
EQ: Hold E79≈9.7% of sales flat; F78=F79×F42. Not in AI_Operating ΔNWC math (ΔNWC≈ΔAR−ΔDeferred only).</t>
        </is>
      </c>
      <c r="O78" s="568" t="inlineStr">
        <is>
          <t>Flat means the % does not trend. Only the dollar balance rises because sales rise +5%; ratio locked at ~9.7%.</t>
        </is>
      </c>
      <c r="P78" s="811" t="inlineStr">
        <is>
          <t>NO — not in AI ΔNWC; immaterial to LBO FCF/IRR</t>
        </is>
      </c>
    </row>
    <row r="79" ht="78" customHeight="1" s="409">
      <c r="B79" s="574" t="inlineStr">
        <is>
          <t>Other current assets as % of sales</t>
        </is>
      </c>
      <c r="C79" s="522" t="n"/>
      <c r="D79" s="522" t="n">
        <v>0.08982504604051569</v>
      </c>
      <c r="E79" s="522" t="n">
        <v>0.0968020350685927</v>
      </c>
      <c r="F79" s="519" t="n">
        <v>0.0968020350685927</v>
      </c>
      <c r="G79" s="519" t="n">
        <v>0.0968020350685927</v>
      </c>
      <c r="H79" s="519" t="n">
        <v>0.0968020350685927</v>
      </c>
      <c r="I79" s="519" t="n">
        <v>0.0968020350685927</v>
      </c>
      <c r="J79" s="519" t="n">
        <v>0.0968020350685927</v>
      </c>
      <c r="L79" s="814" t="inlineStr">
        <is>
          <t>“Flat” = same ~9.7% every forecast year. Not growing as a percentage; only $ Other CA grow when sales grow.</t>
        </is>
      </c>
      <c r="M79" s="567">
        <f>HYPERLINK("https://www.sec.gov/Archives/edgar/data/1794515/000179451525000045/zi-20241231.htm","CAUTION — not a Driver: other CA % held flat")</f>
        <v/>
      </c>
      <c r="N79" s="568" t="inlineStr">
        <is>
          <t>EQ: F79:J79 = E79 (last hist %). Not Assumptions_Drivers. Core model ignores other CA in ΔNWC.</t>
        </is>
      </c>
      <c r="O79" s="568" t="inlineStr">
        <is>
          <t>Flat ratio = no YoY change in %. Placeholder hist hold; dollars move only with +5% sales.</t>
        </is>
      </c>
      <c r="P79" s="811" t="inlineStr">
        <is>
          <t>NO — non-core; no Drivers link</t>
        </is>
      </c>
    </row>
    <row r="80" ht="78" customHeight="1" s="409">
      <c r="B80" s="557" t="inlineStr">
        <is>
          <t>Accounts payable, EOP</t>
        </is>
      </c>
      <c r="C80" s="572" t="n"/>
      <c r="D80" s="573" t="n">
        <v>32.7</v>
      </c>
      <c r="E80" s="573" t="n">
        <v>42.1</v>
      </c>
      <c r="F80" s="614">
        <f>F81*(-F43)</f>
        <v/>
      </c>
      <c r="G80" s="614">
        <f>G81*(-G43)</f>
        <v/>
      </c>
      <c r="H80" s="614">
        <f>H81*(-H43)</f>
        <v/>
      </c>
      <c r="I80" s="614">
        <f>I81*(-I43)</f>
        <v/>
      </c>
      <c r="J80" s="614">
        <f>J81*(-J43)</f>
        <v/>
      </c>
      <c r="L80" s="814" t="inlineStr">
        <is>
          <t>Grows with COGS (COGS = (1−80% GM)×Sales → COGS also +5%/yr). EOP AP = flat 7.1% × |COGS|; ratio flat, dollars ≈+5%.</t>
        </is>
      </c>
      <c r="M80" s="567">
        <f>HYPERLINK("https://www.sec.gov/Archives/edgar/data/1794515/000179451525000045/zi-20241231.htm","CAUTION — ZI AP only $16.6m; hold hist AP/COGS %")</f>
        <v/>
      </c>
      <c r="N80" s="568" t="inlineStr">
        <is>
          <t>Ctrl+F: Accounts payable | $16.6
EQ: F81 held at E81; F80=F81×|COGS|. SaaS AP is tiny vs deferred revenue; not a Drivers lever.</t>
        </is>
      </c>
      <c r="O80" s="568" t="inlineStr">
        <is>
          <t>ZI FY24 AP was $16.6m — small. Held hist AP/COGS %. Not a core LBO cash lever vs deferred/AR.</t>
        </is>
      </c>
      <c r="P80" s="811" t="inlineStr">
        <is>
          <t>NO — small SaaS AP; weak FCF/IRR sensitivity</t>
        </is>
      </c>
    </row>
    <row r="81" ht="78" customHeight="1" s="409">
      <c r="B81" s="574" t="inlineStr">
        <is>
          <t>AP as % of COGS</t>
        </is>
      </c>
      <c r="C81" s="522" t="n"/>
      <c r="D81" s="522" t="n">
        <v>0.0574793461065214</v>
      </c>
      <c r="E81" s="522" t="n">
        <v>0.0711148648648649</v>
      </c>
      <c r="F81" s="519" t="n">
        <v>0.0711148648648649</v>
      </c>
      <c r="G81" s="519" t="n">
        <v>0.0711148648648649</v>
      </c>
      <c r="H81" s="519" t="n">
        <v>0.0711148648648649</v>
      </c>
      <c r="I81" s="519" t="n">
        <v>0.0711148648648649</v>
      </c>
      <c r="J81" s="519" t="n">
        <v>0.0711148648648649</v>
      </c>
      <c r="L81" s="814" t="inlineStr">
        <is>
          <t>“Flat” = AP/COGS stays ~7.1% every year (no DPO improvement). Dollars grow only as COGS grows ~+5% with sales.</t>
        </is>
      </c>
      <c r="M81" s="567">
        <f>HYPERLINK("https://www.sec.gov/Archives/edgar/data/1794515/000179451525000045/zi-20241231.htm","CAUTION — not a Driver: AP/COGS % held flat")</f>
        <v/>
      </c>
      <c r="N81" s="568" t="inlineStr">
        <is>
          <t>Ctrl+F: Accounts payable | $16.6
EQ: F81:J81 = E81. No Assumptions_Drivers cell for DPO/AP%.</t>
        </is>
      </c>
      <c r="O81" s="568" t="inlineStr">
        <is>
          <t>AP% is residual hist, not a sourced Driver. Core NWC thesis is AR + deferred, not payables.</t>
        </is>
      </c>
      <c r="P81" s="811" t="inlineStr">
        <is>
          <t>NO — not a Drivers assumption</t>
        </is>
      </c>
    </row>
    <row r="82" ht="78" customHeight="1" s="409">
      <c r="B82" s="557" t="inlineStr">
        <is>
          <t>Accrued expenses &amp; def revenues, EOP</t>
        </is>
      </c>
      <c r="C82" s="575" t="n"/>
      <c r="D82" s="573" t="n">
        <v>2313.3</v>
      </c>
      <c r="E82" s="573" t="n">
        <v>2301.7</v>
      </c>
      <c r="F82" s="614">
        <f>F83*F42</f>
        <v/>
      </c>
      <c r="G82" s="614">
        <f>G83*G42</f>
        <v/>
      </c>
      <c r="H82" s="614">
        <f>H83*H42</f>
        <v/>
      </c>
      <c r="I82" s="614">
        <f>I83*I42</f>
        <v/>
      </c>
      <c r="J82" s="614">
        <f>J83*J42</f>
        <v/>
      </c>
      <c r="L82" s="814" t="inlineStr">
        <is>
          <t>Grows with revenue at +5%/yr. EOP deferred/accrued = 39.0% × Sales → $ balance rises ~5% with sales; ratio flat. ΔDeferred = 39%×ΔRev each year (cash source).</t>
        </is>
      </c>
      <c r="M82" s="563">
        <f>HYPERLINK("https://www.sec.gov/Archives/edgar/data/1794515/000179451525000045/zi-20241231.htm","REASONABLE: EOP deferred/accrued ≈ Drivers C26 × Revenue")</f>
        <v/>
      </c>
      <c r="N82" s="564" t="inlineStr">
        <is>
          <t>Ctrl+F: we had unearned revenue of $477.9 million, of which $473.8 million was recorded as a current liability
EQ: F82=F83×F42; F83=Assumptions_Drivers!$C$26. ΔDeferred≈C26×ΔRev is the cash-source leg of AI ΔNWC.</t>
        </is>
      </c>
      <c r="O82" s="564" t="inlineStr">
        <is>
          <t>EOP deferred rebuilt from Drivers 39% so BS matches the unearned-revenue cash source in FCF math.</t>
        </is>
      </c>
      <c r="P82" s="810" t="inlineStr">
        <is>
          <t>YES — deferred revenue is the largest SaaS NWC cash source</t>
        </is>
      </c>
    </row>
    <row r="83" ht="78" customHeight="1" s="409">
      <c r="B83" s="574" t="inlineStr">
        <is>
          <t>Deferred/accrued as % of sales (Drivers C26)</t>
        </is>
      </c>
      <c r="C83" s="522" t="n"/>
      <c r="D83" s="522" t="n">
        <v>1.06505524861879</v>
      </c>
      <c r="E83" s="522" t="n">
        <v>1.04556191514491</v>
      </c>
      <c r="F83" s="519">
        <f>Assumptions_Drivers!$C$26</f>
        <v/>
      </c>
      <c r="G83" s="519">
        <f>Assumptions_Drivers!$C$26</f>
        <v/>
      </c>
      <c r="H83" s="519">
        <f>Assumptions_Drivers!$C$26</f>
        <v/>
      </c>
      <c r="I83" s="519">
        <f>Assumptions_Drivers!$C$26</f>
        <v/>
      </c>
      <c r="J83" s="519">
        <f>Assumptions_Drivers!$C$26</f>
        <v/>
      </c>
      <c r="L83" s="814" t="inlineStr">
        <is>
          <t>Ratio FLAT at ~39% of sales all years (Drivers C26). Dollars grow only via +5% revenue. No fade or step-up in deferred attach.</t>
        </is>
      </c>
      <c r="M83" s="563">
        <f>HYPERLINK("https://www.sec.gov/Archives/edgar/data/1794515/000179451525000045/zi-20241231.htm","REASONABLE: ZI FY24 unearned $473.8m / sales $1,214.3m → C26≈39%")</f>
        <v/>
      </c>
      <c r="N83" s="564" t="inlineStr">
        <is>
          <t>Ctrl+F: 473.8
Ctrl+F: Unearned revenue, current portion
EQ: Assumptions_Drivers!C26=473.8/1,214.3≈39.02%. LBO F83:J83=Assumptions_Drivers!$C$26.</t>
        </is>
      </c>
      <c r="O83" s="564" t="inlineStr">
        <is>
          <t>10-K current unearned $473.8m ÷ FY24 sales $1,214.3m = 39%. That exact ratio is Drivers C26.</t>
        </is>
      </c>
      <c r="P83" s="810" t="inlineStr">
        <is>
          <t>YES — sets ΔDeferred in ΔNWC ≈ ΔAR − ΔDeferred</t>
        </is>
      </c>
    </row>
    <row r="84" ht="15" customHeight="1" s="409">
      <c r="B84" s="574" t="n"/>
      <c r="C84" s="522" t="n"/>
      <c r="D84" s="522" t="n"/>
      <c r="E84" s="522" t="n"/>
    </row>
    <row r="85" ht="78" customHeight="1" s="409">
      <c r="B85" s="525" t="inlineStr">
        <is>
          <t>Net Working Capital (EOP)</t>
        </is>
      </c>
      <c r="C85" s="500" t="n"/>
      <c r="D85" s="576" t="n">
        <v>-1666.1</v>
      </c>
      <c r="E85" s="576" t="n">
        <v>-1687</v>
      </c>
      <c r="F85" s="733">
        <f>F76+F78-F80-F82</f>
        <v/>
      </c>
      <c r="G85" s="733">
        <f>G76+G78-G80-G82</f>
        <v/>
      </c>
      <c r="H85" s="733">
        <f>H76+H78-H80-H82</f>
        <v/>
      </c>
      <c r="I85" s="733">
        <f>I76+I78-I80-I82</f>
        <v/>
      </c>
      <c r="J85" s="733">
        <f>J76+J78-J80-J82</f>
        <v/>
      </c>
      <c r="L85" s="814" t="inlineStr">
        <is>
          <t>More negative ~in line with +5% sales: deferred (39%) &gt; AR (16.2%), so NWC stays a cash source. ΔNWC ≈ ΔRev×[16.2%×(1−10%)−39%] ≈ −24.45% of ΔRev each year (AI).</t>
        </is>
      </c>
      <c r="M85" s="563">
        <f>HYPERLINK("https://getfairview.com/blog/working-capital-management-saas","REASONABLE: EOP NWC = AR+OCA−AP−Deferred; FCF uses AI ΔNWC")</f>
        <v/>
      </c>
      <c r="N85" s="564" t="inlineStr">
        <is>
          <t>EQ: F85=F76+F78−F80−F82. Core LBO/DCF cash: AI_Operating ΔNWC≈ΔAR−ΔDeferred with ΔAR=ΔRev×C25×(1−C13), ΔDef=ΔRev×C26. CF row F119=AI_Operating ΔNWC.</t>
        </is>
      </c>
      <c r="O85" s="564" t="inlineStr">
        <is>
          <t>EOP NWC is the BS rollup. Deal cash and debt sweep follow AI_Operating ΔNWC from Drivers C13/C25/C26.</t>
        </is>
      </c>
      <c r="P85" s="810" t="inlineStr">
        <is>
          <t>YES — ΔNWC hits FCF, debt sweep, MOIC/IRR</t>
        </is>
      </c>
    </row>
    <row r="86" ht="78" customHeight="1" s="409">
      <c r="B86" s="408" t="inlineStr">
        <is>
          <t>AI AR improvement (Drivers C13) — applies in AI_Operating ΔNWC</t>
        </is>
      </c>
      <c r="D86" s="516" t="n"/>
      <c r="E86" s="516" t="n"/>
      <c r="F86" s="510" t="n"/>
      <c r="G86" s="510" t="n"/>
      <c r="H86" s="510" t="n"/>
      <c r="I86" s="510" t="n"/>
      <c r="J86" s="510" t="n"/>
      <c r="L86" s="814" t="inlineStr">
        <is>
          <t>ONE-TIME structural cut: AI ΔAR intensity permanently 10% lower than Base from Y1 on (not a further −10% each year). Base ΔAR=16.2%×ΔRev; AI=14.55%×ΔRev.</t>
        </is>
      </c>
      <c r="M86" s="563">
        <f>HYPERLINK("https://getfairview.com/blog/working-capital-management-saas","RELATED Drivers C13: 10% AR/DSO improvement — MAJOR AI lever")</f>
        <v/>
      </c>
      <c r="N86" s="564" t="inlineStr">
        <is>
          <t>Ctrl+F: Median B2B SaaS DSO is 59 days
EQ: Drivers C13=10%. Model story: ~6/59≈10% DSO cut → ΔAR_AI=ΔRev×C25×(1−0.10). Applies to AI_Operating only (not Base).</t>
        </is>
      </c>
      <c r="O86" s="564" t="inlineStr">
        <is>
          <t>10% cuts ΔAR only (not whole NWC). With deferred still at 39%, net ΔNWC stays a cash source.</t>
        </is>
      </c>
      <c r="P86" s="810" t="inlineStr">
        <is>
          <t>YES — AI case lever vs Base; lifts FCF/debt paydown</t>
        </is>
      </c>
    </row>
    <row r="87" ht="15" customHeight="1" s="409">
      <c r="B87" s="570" t="inlineStr">
        <is>
          <t>LONG LIVED ASSETS</t>
        </is>
      </c>
      <c r="C87" s="577" t="n"/>
      <c r="D87" s="577" t="n"/>
      <c r="E87" s="577" t="n"/>
      <c r="F87" s="578" t="n"/>
      <c r="G87" s="578" t="n"/>
      <c r="H87" s="578" t="n"/>
      <c r="I87" s="578" t="n"/>
      <c r="J87" s="578" t="n"/>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row>
    <row r="91" ht="15" customHeight="1" s="409">
      <c r="B91" s="557" t="inlineStr">
        <is>
          <t>PP&amp;E</t>
        </is>
      </c>
      <c r="C91" s="513" t="n"/>
      <c r="D91" s="573" t="n">
        <v>87.8</v>
      </c>
      <c r="E91" s="573" t="n">
        <v>85.2</v>
      </c>
      <c r="F91" s="537" t="n">
        <v>73.1444897959184</v>
      </c>
      <c r="G91" s="537" t="n">
        <v>63.4073469387755</v>
      </c>
      <c r="H91" s="537" t="n">
        <v>56.4522448979592</v>
      </c>
      <c r="I91" s="537" t="n">
        <v>53.090612244898</v>
      </c>
      <c r="J91" s="537" t="n">
        <v>53.090612244898</v>
      </c>
      <c r="L91" s="537" t="n"/>
    </row>
    <row r="92" ht="15" customHeight="1" s="409">
      <c r="B92" s="574" t="inlineStr">
        <is>
          <t>Capital expenditures</t>
        </is>
      </c>
      <c r="C92" s="553" t="n">
        <v>22</v>
      </c>
      <c r="D92" s="553" t="n">
        <v>26.5</v>
      </c>
      <c r="E92" s="553" t="n">
        <v>24.5</v>
      </c>
      <c r="F92" s="553" t="n">
        <v>26</v>
      </c>
      <c r="G92" s="553" t="n">
        <v>28</v>
      </c>
      <c r="H92" s="553" t="n">
        <v>30</v>
      </c>
      <c r="I92" s="553" t="n">
        <v>29</v>
      </c>
      <c r="J92" s="553" t="n">
        <v>31</v>
      </c>
      <c r="L92" s="515" t="n"/>
    </row>
    <row r="93" ht="15" customHeight="1" s="409">
      <c r="B93" s="574" t="inlineStr">
        <is>
          <t>Depreciation</t>
        </is>
      </c>
      <c r="C93" s="553" t="n">
        <v>-39.1</v>
      </c>
      <c r="D93" s="553" t="n">
        <v>-37.8</v>
      </c>
      <c r="E93" s="553" t="n">
        <v>-38.7</v>
      </c>
      <c r="F93" s="515" t="n">
        <v>-38.0555102040816</v>
      </c>
      <c r="G93" s="515" t="n">
        <v>-37.7371428571429</v>
      </c>
      <c r="H93" s="515" t="n">
        <v>-36.9551020408163</v>
      </c>
      <c r="I93" s="515" t="n">
        <v>-32.3616326530612</v>
      </c>
      <c r="J93" s="515" t="n">
        <v>-31</v>
      </c>
      <c r="K93" s="559" t="inlineStr">
        <is>
          <t>Smoothing?</t>
        </is>
      </c>
      <c r="L93" s="515" t="n"/>
    </row>
    <row r="94" ht="15" customHeight="1" s="409">
      <c r="B94" s="579" t="inlineStr">
        <is>
          <t>Capex as a % of revenue</t>
        </is>
      </c>
      <c r="C94" s="522" t="n">
        <v>0.0106522054907277</v>
      </c>
      <c r="D94" s="522" t="n">
        <v>0.0122007366482505</v>
      </c>
      <c r="E94" s="522" t="n">
        <v>0.0111292813664032</v>
      </c>
      <c r="F94" s="522" t="n">
        <v>0.0114112714394748</v>
      </c>
      <c r="G94" s="522" t="n">
        <v>0.0116483995736528</v>
      </c>
      <c r="H94" s="522" t="n">
        <v>0.0117739887873849</v>
      </c>
      <c r="I94" s="522" t="n">
        <v>0.0108395452328305</v>
      </c>
      <c r="J94" s="522" t="n">
        <v>0.0110563932027424</v>
      </c>
      <c r="K94" s="580" t="inlineStr">
        <is>
          <t>Yes</t>
        </is>
      </c>
    </row>
    <row r="95" ht="15" customHeight="1" s="409">
      <c r="B95" s="579" t="inlineStr">
        <is>
          <t>Depreciation as a % of capex</t>
        </is>
      </c>
      <c r="C95" s="581" t="n">
        <v>1.77727272727273</v>
      </c>
      <c r="D95" s="581" t="n">
        <v>1.42641509433962</v>
      </c>
      <c r="E95" s="581" t="n">
        <v>1.57959183673469</v>
      </c>
      <c r="F95" s="581" t="n">
        <v>1.46367346938776</v>
      </c>
      <c r="G95" s="581" t="n">
        <v>1.34775510204082</v>
      </c>
      <c r="H95" s="581" t="n">
        <v>1.23183673469388</v>
      </c>
      <c r="I95" s="581" t="n">
        <v>1.11591836734694</v>
      </c>
      <c r="J95" s="581" t="n">
        <v>1</v>
      </c>
      <c r="K95" s="528" t="n">
        <v>-0.115918367346939</v>
      </c>
    </row>
    <row r="96" ht="15" customHeight="1" s="409">
      <c r="B96" s="579" t="n"/>
      <c r="C96" s="581" t="n"/>
      <c r="D96" s="581" t="n"/>
      <c r="E96" s="581" t="n"/>
    </row>
    <row r="97" ht="15" customHeight="1" s="409">
      <c r="B97" s="557" t="inlineStr">
        <is>
          <t>Software development costs</t>
        </is>
      </c>
      <c r="C97" s="582" t="n"/>
      <c r="D97" s="573" t="n">
        <v>244.7</v>
      </c>
      <c r="E97" s="573" t="n">
        <v>271.4</v>
      </c>
      <c r="F97" s="537" t="n">
        <v>286.508641975309</v>
      </c>
      <c r="G97" s="537" t="n">
        <v>297.64475308642</v>
      </c>
      <c r="H97" s="537" t="n">
        <v>305.199074074074</v>
      </c>
      <c r="I97" s="537" t="n">
        <v>309.366975308642</v>
      </c>
      <c r="J97" s="537" t="n">
        <v>309.366975308642</v>
      </c>
    </row>
    <row r="98" ht="15" customHeight="1" s="409">
      <c r="B98" s="574" t="inlineStr">
        <is>
          <t>Purchases</t>
        </is>
      </c>
      <c r="C98" s="553" t="n">
        <v>115.8</v>
      </c>
      <c r="D98" s="553" t="n">
        <v>132.5</v>
      </c>
      <c r="E98" s="553" t="n">
        <v>129.6</v>
      </c>
      <c r="F98" s="553" t="n">
        <v>116</v>
      </c>
      <c r="G98" s="553" t="n">
        <v>114</v>
      </c>
      <c r="H98" s="553" t="n">
        <v>116</v>
      </c>
      <c r="I98" s="553" t="n">
        <v>128</v>
      </c>
      <c r="J98" s="553" t="n">
        <v>135</v>
      </c>
    </row>
    <row r="99" ht="15" customHeight="1" s="409">
      <c r="B99" s="574" t="inlineStr">
        <is>
          <t>Amortization</t>
        </is>
      </c>
      <c r="C99" s="553" t="n">
        <v>-75.7</v>
      </c>
      <c r="D99" s="553" t="n">
        <v>-93.59999999999999</v>
      </c>
      <c r="E99" s="553" t="n">
        <v>-108.5</v>
      </c>
      <c r="F99" s="515" t="n">
        <v>-100.891358024691</v>
      </c>
      <c r="G99" s="515" t="n">
        <v>-102.863888888889</v>
      </c>
      <c r="H99" s="515" t="n">
        <v>-108.445679012346</v>
      </c>
      <c r="I99" s="515" t="n">
        <v>-123.832098765432</v>
      </c>
      <c r="J99" s="515" t="n">
        <v>-135</v>
      </c>
      <c r="K99" s="559" t="inlineStr">
        <is>
          <t>Smoothing?</t>
        </is>
      </c>
    </row>
    <row r="100" ht="15" customHeight="1" s="409">
      <c r="B100" s="579" t="inlineStr">
        <is>
          <t>Purchases as % of revenue</t>
        </is>
      </c>
      <c r="C100" s="522" t="n">
        <v>0.0560693361739215</v>
      </c>
      <c r="D100" s="522" t="n">
        <v>0.0610036832412523</v>
      </c>
      <c r="E100" s="522" t="n">
        <v>0.0588716271463614</v>
      </c>
      <c r="F100" s="522" t="n">
        <v>0.0509118264222723</v>
      </c>
      <c r="G100" s="522" t="n">
        <v>0.0474256268355863</v>
      </c>
      <c r="H100" s="522" t="n">
        <v>0.0455260899778882</v>
      </c>
      <c r="I100" s="522" t="n">
        <v>0.047843509993183</v>
      </c>
      <c r="J100" s="522" t="n">
        <v>0.0481488091087168</v>
      </c>
      <c r="K100" s="580" t="inlineStr">
        <is>
          <t>Yes</t>
        </is>
      </c>
    </row>
    <row r="101" ht="15" customHeight="1" s="409">
      <c r="B101" s="579" t="inlineStr">
        <is>
          <t>Amortization as a % of purchases</t>
        </is>
      </c>
      <c r="C101" s="581" t="n">
        <v>0.653713298791019</v>
      </c>
      <c r="D101" s="581" t="n">
        <v>0.706415094339623</v>
      </c>
      <c r="E101" s="581" t="n">
        <v>0.837191358024691</v>
      </c>
      <c r="F101" s="581" t="n">
        <v>0.869753086419753</v>
      </c>
      <c r="G101" s="581" t="n">
        <v>0.902314814814815</v>
      </c>
      <c r="H101" s="581" t="n">
        <v>0.934876543209877</v>
      </c>
      <c r="I101" s="581" t="n">
        <v>0.967438271604938</v>
      </c>
      <c r="J101" s="581" t="n">
        <v>1</v>
      </c>
      <c r="K101" s="528" t="n">
        <v>0.0325617283950617</v>
      </c>
    </row>
    <row r="102" ht="15" customHeight="1" s="409">
      <c r="B102" s="579" t="n"/>
      <c r="C102" s="581" t="n"/>
      <c r="D102" s="581" t="n"/>
      <c r="E102" s="581" t="n"/>
    </row>
    <row r="103" ht="15" customHeight="1" s="409">
      <c r="B103" s="557" t="inlineStr">
        <is>
          <t>Intangible assets</t>
        </is>
      </c>
      <c r="D103" s="573" t="n">
        <v>257.5</v>
      </c>
      <c r="E103" s="573" t="n">
        <v>189.8</v>
      </c>
      <c r="F103" s="537" t="n">
        <v>189.8</v>
      </c>
      <c r="G103" s="537" t="n">
        <v>189.8</v>
      </c>
      <c r="H103" s="537" t="n">
        <v>189.8</v>
      </c>
      <c r="I103" s="537" t="n">
        <v>189.8</v>
      </c>
      <c r="J103" s="537" t="n">
        <v>189.8</v>
      </c>
    </row>
    <row r="104" ht="15" customHeight="1" s="409">
      <c r="B104" s="574" t="inlineStr">
        <is>
          <t>Purchases</t>
        </is>
      </c>
      <c r="C104" s="583" t="n">
        <v>0</v>
      </c>
      <c r="D104" s="553" t="n">
        <v>0</v>
      </c>
      <c r="E104" s="553" t="n">
        <v>0</v>
      </c>
      <c r="F104" s="553" t="n">
        <v>85</v>
      </c>
      <c r="G104" s="553" t="n">
        <v>80</v>
      </c>
      <c r="H104" s="553" t="n">
        <v>77</v>
      </c>
      <c r="I104" s="553" t="n">
        <v>68</v>
      </c>
      <c r="J104" s="553" t="n">
        <v>57</v>
      </c>
    </row>
    <row r="105" ht="15" customHeight="1" s="409">
      <c r="B105" s="574" t="inlineStr">
        <is>
          <t>Amortization</t>
        </is>
      </c>
      <c r="C105" s="553" t="n">
        <v>-79.09999999999999</v>
      </c>
      <c r="D105" s="553" t="n">
        <v>-97.7</v>
      </c>
      <c r="E105" s="553" t="n">
        <v>-86.90000000000001</v>
      </c>
      <c r="F105" s="553" t="n">
        <v>-85</v>
      </c>
      <c r="G105" s="553" t="n">
        <v>-80</v>
      </c>
      <c r="H105" s="553" t="n">
        <v>-77</v>
      </c>
      <c r="I105" s="553" t="n">
        <v>-68</v>
      </c>
      <c r="J105" s="553" t="n">
        <v>-57</v>
      </c>
    </row>
    <row r="106" ht="15" customHeight="1" s="409">
      <c r="B106" s="498" t="n"/>
      <c r="C106" s="515" t="n"/>
      <c r="D106" s="515" t="n"/>
      <c r="E106" s="515" t="n"/>
    </row>
    <row r="107" ht="15" customHeight="1" s="409">
      <c r="B107" s="557" t="inlineStr">
        <is>
          <t>Goodwill and other assets</t>
        </is>
      </c>
      <c r="D107" s="573" t="n">
        <v>1940.3</v>
      </c>
      <c r="E107" s="573" t="n">
        <v>1935.2</v>
      </c>
      <c r="F107" s="573" t="n">
        <v>1935.2</v>
      </c>
      <c r="G107" s="573" t="n">
        <v>1935.2</v>
      </c>
      <c r="H107" s="573" t="n">
        <v>1935.2</v>
      </c>
      <c r="I107" s="573" t="n">
        <v>1935.2</v>
      </c>
      <c r="J107" s="573" t="n">
        <v>1935.2</v>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586" t="n">
        <v>223.946868228773</v>
      </c>
      <c r="G116" s="586" t="n">
        <v>220.601031746032</v>
      </c>
      <c r="H116" s="586" t="n">
        <v>222.400781053162</v>
      </c>
      <c r="I116" s="586" t="n">
        <v>224.193731418493</v>
      </c>
      <c r="J116" s="586" t="n">
        <v>223</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15" customHeight="1" s="409">
      <c r="B119" s="408" t="inlineStr">
        <is>
          <t>Changes in net working capital</t>
        </is>
      </c>
      <c r="C119" s="510" t="n"/>
      <c r="D119" s="510" t="n"/>
      <c r="E119" s="510" t="n"/>
      <c r="F119" s="733">
        <f>AI_Operating!D20</f>
        <v/>
      </c>
      <c r="G119" s="733">
        <f>AI_Operating!E20</f>
        <v/>
      </c>
      <c r="H119" s="733">
        <f>AI_Operating!F20</f>
        <v/>
      </c>
      <c r="I119" s="733">
        <f>AI_Operating!G20</f>
        <v/>
      </c>
      <c r="J119" s="733">
        <f>AI_Operating!H20</f>
        <v/>
      </c>
      <c r="L119" s="814" t="inlineStr">
        <is>
          <t>Each year ΔNWC ≈ ΔRev × (14.55% − 39.0%) ≈ −24.5% of ΔRev (AI). Grows in $ with +5% revenue (larger ΔRev → larger cash release). Not a flat $.</t>
        </is>
      </c>
      <c r="M119" s="805" t="inlineStr">
        <is>
          <t>ΔNWC in CF = AI_Operating (Drivers C13/C25/C26). Cash line that feeds debt sweep — not the old BMC WC delta.</t>
        </is>
      </c>
      <c r="O119" s="813" t="n"/>
      <c r="P119" s="810" t="inlineStr">
        <is>
          <t>YES — CF ΔNWC is a core LBO cash variable</t>
        </is>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15" customHeight="1" s="409">
      <c r="B125" s="408" t="inlineStr">
        <is>
          <t>Capital expenditures</t>
        </is>
      </c>
      <c r="F125" s="515" t="n">
        <v>-26</v>
      </c>
      <c r="G125" s="515" t="n">
        <v>-28</v>
      </c>
      <c r="H125" s="515" t="n">
        <v>-30</v>
      </c>
      <c r="I125" s="515" t="n">
        <v>-29</v>
      </c>
      <c r="J125" s="515" t="n">
        <v>-31</v>
      </c>
    </row>
    <row r="126" ht="15" customHeight="1" s="409">
      <c r="B126" s="408" t="inlineStr">
        <is>
          <t xml:space="preserve">Purchases of intangible assets and capitalized software development costs </t>
        </is>
      </c>
      <c r="F126" s="515" t="n">
        <v>-201</v>
      </c>
      <c r="G126" s="515" t="n">
        <v>-194</v>
      </c>
      <c r="H126" s="515" t="n">
        <v>-193</v>
      </c>
      <c r="I126" s="515" t="n">
        <v>-196</v>
      </c>
      <c r="J126" s="515" t="n">
        <v>-192</v>
      </c>
    </row>
    <row r="127" ht="15" customHeight="1" s="409">
      <c r="B127" s="513" t="inlineStr">
        <is>
          <t>Cash from investing activities</t>
        </is>
      </c>
      <c r="F127" s="537" t="n">
        <v>-227</v>
      </c>
      <c r="G127" s="537" t="n">
        <v>-222</v>
      </c>
      <c r="H127" s="537" t="n">
        <v>-223</v>
      </c>
      <c r="I127" s="537" t="n">
        <v>-225</v>
      </c>
      <c r="J127" s="537" t="n">
        <v>-223</v>
      </c>
    </row>
    <row r="128" ht="13.8" customHeight="1" s="409"/>
    <row r="129" ht="15" customHeight="1" s="409">
      <c r="B129" s="408" t="inlineStr">
        <is>
          <t>Required debt principal payments</t>
        </is>
      </c>
      <c r="F129" s="515" t="n">
        <v>-322.1855</v>
      </c>
      <c r="G129" s="515" t="n">
        <v>-177.86405</v>
      </c>
      <c r="H129" s="515" t="n">
        <v>-177.86405</v>
      </c>
      <c r="I129" s="515" t="n">
        <v>-177.86405</v>
      </c>
      <c r="J129" s="515" t="n">
        <v>-177.86405</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537" t="n">
        <v>88.7366611647973</v>
      </c>
      <c r="G131" s="537" t="n">
        <v>341.347888508174</v>
      </c>
      <c r="H131" s="537" t="n">
        <v>430.874867157023</v>
      </c>
      <c r="I131" s="537" t="n">
        <v>495.283971347461</v>
      </c>
      <c r="J131" s="537" t="n">
        <v>586.718180731428</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537" t="n">
        <v>88.7366611647973</v>
      </c>
      <c r="G133" s="537" t="n">
        <v>341.347888508174</v>
      </c>
      <c r="H133" s="537" t="n">
        <v>430.874867157023</v>
      </c>
      <c r="I133" s="537" t="n">
        <v>495.283971347461</v>
      </c>
      <c r="J133" s="537" t="n">
        <v>586.718180731428</v>
      </c>
    </row>
    <row r="134" ht="15" customHeight="1" s="409">
      <c r="B134" s="561" t="inlineStr">
        <is>
          <t>Discretionary Term A paydown</t>
        </is>
      </c>
      <c r="F134" s="515" t="n">
        <v>-88.7366611647973</v>
      </c>
      <c r="G134" s="515" t="n">
        <v>-341.347888508174</v>
      </c>
      <c r="H134" s="515" t="n">
        <v>-430.874867157023</v>
      </c>
      <c r="I134" s="515" t="n">
        <v>-495.283971347461</v>
      </c>
      <c r="J134" s="515" t="n">
        <v>-586.718180731428</v>
      </c>
    </row>
    <row r="135" ht="15" customHeight="1" s="409">
      <c r="B135" s="561" t="inlineStr">
        <is>
          <t>Discretionary Term B paydown</t>
        </is>
      </c>
      <c r="F135" s="515" t="n">
        <v>0</v>
      </c>
      <c r="G135" s="515" t="n">
        <v>0</v>
      </c>
      <c r="H135" s="515" t="n">
        <v>0</v>
      </c>
      <c r="I135" s="515" t="n">
        <v>0</v>
      </c>
      <c r="J135" s="515" t="n">
        <v>2.27373675443232e-13</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15" customHeight="1" s="409">
      <c r="B138" s="570" t="inlineStr">
        <is>
          <t>CASH &amp; DEBT</t>
        </is>
      </c>
      <c r="C138" s="489" t="n"/>
      <c r="D138" s="489" t="n"/>
      <c r="E138" s="489" t="n"/>
      <c r="F138" s="489" t="n"/>
      <c r="G138" s="489" t="n"/>
      <c r="H138" s="489" t="n"/>
      <c r="I138" s="489" t="n"/>
      <c r="J138" s="489" t="n"/>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row>
    <row r="141" ht="15" customHeight="1" s="409">
      <c r="B141" s="541" t="n"/>
    </row>
    <row r="142" ht="15" customHeight="1" s="409">
      <c r="B142" s="498" t="inlineStr">
        <is>
          <t>Cash, BOP</t>
        </is>
      </c>
      <c r="F142" s="588" t="n">
        <v>180</v>
      </c>
      <c r="G142" s="515" t="n">
        <v>180</v>
      </c>
      <c r="H142" s="515" t="n">
        <v>180</v>
      </c>
      <c r="I142" s="515" t="n">
        <v>180</v>
      </c>
      <c r="J142" s="515" t="n">
        <v>180</v>
      </c>
    </row>
    <row r="143" ht="15" customHeight="1" s="409">
      <c r="B143" s="498" t="inlineStr">
        <is>
          <t>Increases / (decreases)</t>
        </is>
      </c>
      <c r="F143" s="515" t="n">
        <v>0</v>
      </c>
      <c r="G143" s="515" t="n">
        <v>0</v>
      </c>
      <c r="H143" s="515" t="n">
        <v>0</v>
      </c>
      <c r="I143" s="515" t="n">
        <v>0</v>
      </c>
      <c r="J143" s="515" t="n">
        <v>2.27373675443232e-13</v>
      </c>
    </row>
    <row r="144" ht="15" customHeight="1" s="409">
      <c r="B144" s="557" t="inlineStr">
        <is>
          <t>Cash, EOP</t>
        </is>
      </c>
      <c r="C144" s="513" t="n"/>
      <c r="D144" s="573" t="n">
        <v>1635.6</v>
      </c>
      <c r="E144" s="537" t="n">
        <v>1581.9</v>
      </c>
      <c r="F144" s="537" t="n">
        <v>180</v>
      </c>
      <c r="G144" s="537" t="n">
        <v>180</v>
      </c>
      <c r="H144" s="537" t="n">
        <v>180</v>
      </c>
      <c r="I144" s="537" t="n">
        <v>180</v>
      </c>
      <c r="J144" s="537" t="n">
        <v>180</v>
      </c>
    </row>
    <row r="145" ht="15" customHeight="1" s="409">
      <c r="B145" s="498" t="inlineStr">
        <is>
          <t>Interest rate on cash</t>
        </is>
      </c>
      <c r="D145" s="589" t="n">
        <v>0.00648080215211543</v>
      </c>
      <c r="E145" s="589" t="n">
        <v>0.00515928515928516</v>
      </c>
      <c r="F145" s="590" t="n">
        <v>0.00515928515928516</v>
      </c>
      <c r="G145" s="590" t="n">
        <v>0.00515928515928516</v>
      </c>
      <c r="H145" s="590" t="n">
        <v>0.00515928515928516</v>
      </c>
      <c r="I145" s="590" t="n">
        <v>0.00515928515928516</v>
      </c>
      <c r="J145" s="590" t="n">
        <v>0.00515928515928516</v>
      </c>
    </row>
    <row r="146" ht="15" customHeight="1" s="409">
      <c r="B146" s="498" t="inlineStr">
        <is>
          <t>Interest income</t>
        </is>
      </c>
      <c r="C146" s="510" t="n"/>
      <c r="D146" s="515" t="n">
        <v>10.6</v>
      </c>
      <c r="E146" s="515" t="n">
        <v>8.300000000000001</v>
      </c>
      <c r="F146" s="515" t="n">
        <v>0.928671328671329</v>
      </c>
      <c r="G146" s="515" t="n">
        <v>0.928671328671329</v>
      </c>
      <c r="H146" s="515" t="n">
        <v>0.928671328671329</v>
      </c>
      <c r="I146" s="515" t="n">
        <v>0.928671328671329</v>
      </c>
      <c r="J146" s="515" t="n">
        <v>0.928671328671329</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t="n">
        <v>180</v>
      </c>
      <c r="G149" s="515" t="n">
        <v>180</v>
      </c>
      <c r="H149" s="515" t="n">
        <v>180</v>
      </c>
      <c r="I149" s="515" t="n">
        <v>180</v>
      </c>
      <c r="J149" s="515" t="n">
        <v>180</v>
      </c>
    </row>
    <row r="150" ht="15" customHeight="1" s="409">
      <c r="B150" s="574" t="inlineStr">
        <is>
          <t>Less: Minimum cash desired</t>
        </is>
      </c>
      <c r="F150" s="515" t="n">
        <v>-180</v>
      </c>
      <c r="G150" s="515" t="n">
        <v>-180</v>
      </c>
      <c r="H150" s="515" t="n">
        <v>-180</v>
      </c>
      <c r="I150" s="515" t="n">
        <v>-180</v>
      </c>
      <c r="J150" s="515" t="n">
        <v>-180</v>
      </c>
    </row>
    <row r="151" ht="15" customHeight="1" s="409">
      <c r="B151" s="574" t="inlineStr">
        <is>
          <t>Equals: Excess cash at BOP</t>
        </is>
      </c>
      <c r="F151" s="515" t="n">
        <v>0</v>
      </c>
      <c r="G151" s="515" t="n">
        <v>0</v>
      </c>
      <c r="H151" s="515" t="n">
        <v>0</v>
      </c>
      <c r="I151" s="515" t="n">
        <v>0</v>
      </c>
      <c r="J151" s="515" t="n">
        <v>0</v>
      </c>
    </row>
    <row r="152" ht="15" customHeight="1" s="409">
      <c r="B152" s="591" t="inlineStr">
        <is>
          <t>Plus: Free cash flows generated during period</t>
        </is>
      </c>
      <c r="C152" s="555" t="n"/>
      <c r="D152" s="555" t="n"/>
      <c r="E152" s="555" t="n"/>
      <c r="F152" s="592" t="n">
        <v>88.7366611647973</v>
      </c>
      <c r="G152" s="592" t="n">
        <v>341.347888508174</v>
      </c>
      <c r="H152" s="592" t="n">
        <v>430.874867157023</v>
      </c>
      <c r="I152" s="592" t="n">
        <v>495.283971347461</v>
      </c>
      <c r="J152" s="592" t="n">
        <v>586.718180731428</v>
      </c>
    </row>
    <row r="153" ht="15" customHeight="1" s="409">
      <c r="B153" s="593" t="inlineStr">
        <is>
          <t>Cash available (needed) to paydown (draw from) revolver</t>
        </is>
      </c>
      <c r="C153" s="500" t="n"/>
      <c r="D153" s="500" t="n"/>
      <c r="E153" s="500" t="n"/>
      <c r="F153" s="576" t="n">
        <v>88.7366611647973</v>
      </c>
      <c r="G153" s="576" t="n">
        <v>341.347888508174</v>
      </c>
      <c r="H153" s="576" t="n">
        <v>430.874867157023</v>
      </c>
      <c r="I153" s="576" t="n">
        <v>495.283971347461</v>
      </c>
      <c r="J153" s="576" t="n">
        <v>586.718180731428</v>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15" customHeight="1" s="409">
      <c r="B157" s="557" t="inlineStr">
        <is>
          <t>Revolver, EOP</t>
        </is>
      </c>
      <c r="D157" s="555" t="inlineStr">
        <is>
          <t>% AR</t>
        </is>
      </c>
      <c r="E157" s="555" t="inlineStr">
        <is>
          <t>% Other Assets</t>
        </is>
      </c>
      <c r="F157" s="537" t="n">
        <v>0</v>
      </c>
      <c r="G157" s="537" t="n">
        <v>0</v>
      </c>
      <c r="H157" s="537" t="n">
        <v>0</v>
      </c>
      <c r="I157" s="537" t="n">
        <v>0</v>
      </c>
      <c r="J157" s="537" t="n">
        <v>0</v>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15" customHeight="1" s="409">
      <c r="B162" s="498" t="inlineStr">
        <is>
          <t>Term Loan A, BOP</t>
        </is>
      </c>
      <c r="F162" s="588" t="n">
        <v>2886.429</v>
      </c>
      <c r="G162" s="515" t="n">
        <v>2509.0494388352</v>
      </c>
      <c r="H162" s="515" t="n">
        <v>2023.38010032703</v>
      </c>
      <c r="I162" s="515" t="n">
        <v>1448.18378317001</v>
      </c>
      <c r="J162" s="515" t="n">
        <v>808.578361822546</v>
      </c>
    </row>
    <row r="163" ht="15" customHeight="1" s="409">
      <c r="B163" s="498" t="inlineStr">
        <is>
          <t>Mandatory paydown $</t>
        </is>
      </c>
      <c r="F163" s="515" t="n">
        <v>288.6429</v>
      </c>
      <c r="G163" s="515" t="n">
        <v>144.32145</v>
      </c>
      <c r="H163" s="515" t="n">
        <v>144.32145</v>
      </c>
      <c r="I163" s="515" t="n">
        <v>144.32145</v>
      </c>
      <c r="J163" s="515" t="n">
        <v>144.32145</v>
      </c>
    </row>
    <row r="164" ht="15" customHeight="1" s="409">
      <c r="B164" s="498" t="inlineStr">
        <is>
          <t>Cash sweep (paydown from excess cash flows)</t>
        </is>
      </c>
      <c r="F164" s="515" t="n">
        <v>88.7366611647973</v>
      </c>
      <c r="G164" s="515" t="n">
        <v>341.347888508174</v>
      </c>
      <c r="H164" s="515" t="n">
        <v>430.874867157023</v>
      </c>
      <c r="I164" s="515" t="n">
        <v>495.283971347461</v>
      </c>
      <c r="J164" s="515" t="n">
        <v>586.718180731429</v>
      </c>
    </row>
    <row r="165" ht="15" customHeight="1" s="409">
      <c r="B165" s="557" t="inlineStr">
        <is>
          <t>Term Loan A, EOP</t>
        </is>
      </c>
      <c r="C165" s="513" t="n"/>
      <c r="D165" s="597" t="n"/>
      <c r="E165" s="513" t="n"/>
      <c r="F165" s="537" t="n">
        <v>2509.0494388352</v>
      </c>
      <c r="G165" s="537" t="n">
        <v>2023.38010032703</v>
      </c>
      <c r="H165" s="537" t="n">
        <v>1448.18378317001</v>
      </c>
      <c r="I165" s="537" t="n">
        <v>808.578361822546</v>
      </c>
      <c r="J165" s="537" t="n">
        <v>77.5387310911168</v>
      </c>
    </row>
    <row r="166" ht="15" customHeight="1" s="409">
      <c r="B166" s="593" t="inlineStr">
        <is>
          <t>Mandatory paydown (% of original)</t>
        </is>
      </c>
      <c r="C166" s="500" t="n"/>
      <c r="E166" s="559" t="inlineStr">
        <is>
          <t>% of available cash used</t>
        </is>
      </c>
      <c r="F166" s="598" t="n">
        <v>0.1</v>
      </c>
      <c r="G166" s="598" t="n">
        <v>0.05</v>
      </c>
      <c r="H166" s="598" t="n">
        <v>0.05</v>
      </c>
      <c r="I166" s="598" t="n">
        <v>0.05</v>
      </c>
      <c r="J166" s="598" t="n">
        <v>0.05</v>
      </c>
    </row>
    <row r="167" ht="15" customHeight="1" s="409">
      <c r="B167" s="593" t="inlineStr">
        <is>
          <t>Cash sweep</t>
        </is>
      </c>
      <c r="C167" s="500" t="n"/>
      <c r="E167" s="599" t="n">
        <v>1</v>
      </c>
      <c r="F167" s="600" t="n">
        <v>88.7366611647973</v>
      </c>
      <c r="G167" s="600" t="n">
        <v>341.347888508174</v>
      </c>
      <c r="H167" s="600" t="n">
        <v>430.874867157023</v>
      </c>
      <c r="I167" s="600" t="n">
        <v>495.283971347461</v>
      </c>
      <c r="J167" s="600" t="n">
        <v>586.718180731428</v>
      </c>
    </row>
    <row r="168" ht="15" customHeight="1" s="409">
      <c r="B168" s="498" t="n"/>
      <c r="F168" s="510" t="n"/>
      <c r="G168" s="510" t="n"/>
      <c r="H168" s="510" t="n"/>
      <c r="I168" s="510" t="n"/>
      <c r="J168" s="510" t="n"/>
    </row>
    <row r="169" ht="15" customHeight="1" s="409">
      <c r="B169" s="555" t="inlineStr">
        <is>
          <t>Term Loan B</t>
        </is>
      </c>
      <c r="F169" s="510" t="n"/>
    </row>
    <row r="170" ht="15" customHeight="1" s="409">
      <c r="B170" s="498" t="inlineStr">
        <is>
          <t>Term Loan B, BOP</t>
        </is>
      </c>
      <c r="F170" s="588" t="n">
        <v>670.852</v>
      </c>
      <c r="G170" s="515" t="n">
        <v>637.3094</v>
      </c>
      <c r="H170" s="515" t="n">
        <v>603.7668</v>
      </c>
      <c r="I170" s="515" t="n">
        <v>570.2242</v>
      </c>
      <c r="J170" s="515" t="n">
        <v>536.6816</v>
      </c>
    </row>
    <row r="171" ht="15" customHeight="1" s="409">
      <c r="B171" s="498" t="inlineStr">
        <is>
          <t>Mandatory amortization $</t>
        </is>
      </c>
      <c r="F171" s="515" t="n">
        <v>33.5426</v>
      </c>
      <c r="G171" s="515" t="n">
        <v>33.5426</v>
      </c>
      <c r="H171" s="515" t="n">
        <v>33.5426</v>
      </c>
      <c r="I171" s="515" t="n">
        <v>33.5426</v>
      </c>
      <c r="J171" s="515" t="n">
        <v>33.5426</v>
      </c>
    </row>
    <row r="172" ht="15" customHeight="1" s="409">
      <c r="B172" s="498" t="inlineStr">
        <is>
          <t>Cash sweep (paydown from excess cash flows)</t>
        </is>
      </c>
      <c r="F172" s="515" t="n">
        <v>0</v>
      </c>
      <c r="G172" s="515" t="n">
        <v>0</v>
      </c>
      <c r="H172" s="515" t="n">
        <v>0</v>
      </c>
      <c r="I172" s="515" t="n">
        <v>0</v>
      </c>
      <c r="J172" s="515" t="n">
        <v>2.27373675443232e-13</v>
      </c>
    </row>
    <row r="173" ht="15" customHeight="1" s="409">
      <c r="B173" s="557" t="inlineStr">
        <is>
          <t>Term Loan B, EOP</t>
        </is>
      </c>
      <c r="C173" s="513" t="n"/>
      <c r="F173" s="537" t="n">
        <v>637.3094</v>
      </c>
      <c r="G173" s="537" t="n">
        <v>603.7668</v>
      </c>
      <c r="H173" s="537" t="n">
        <v>570.2242</v>
      </c>
      <c r="I173" s="537" t="n">
        <v>536.6816</v>
      </c>
      <c r="J173" s="537" t="n">
        <v>503.139</v>
      </c>
    </row>
    <row r="174" ht="15" customHeight="1" s="409">
      <c r="B174" s="593" t="inlineStr">
        <is>
          <t>Mandatory paydown (% of original)</t>
        </is>
      </c>
      <c r="C174" s="500" t="n"/>
      <c r="E174" s="559" t="inlineStr">
        <is>
          <t>% of available cash used</t>
        </is>
      </c>
      <c r="F174" s="598" t="n">
        <v>0.05</v>
      </c>
      <c r="G174" s="598" t="n">
        <v>0.05</v>
      </c>
      <c r="H174" s="598" t="n">
        <v>0.05</v>
      </c>
      <c r="I174" s="598" t="n">
        <v>0.05</v>
      </c>
      <c r="J174" s="598" t="n">
        <v>0.05</v>
      </c>
    </row>
    <row r="175" ht="15" customHeight="1" s="409">
      <c r="B175" s="593" t="inlineStr">
        <is>
          <t>Cash available for cash sweep</t>
        </is>
      </c>
      <c r="C175" s="500" t="n"/>
      <c r="E175" s="599" t="n">
        <v>1</v>
      </c>
      <c r="F175" s="576" t="n">
        <v>0</v>
      </c>
      <c r="G175" s="576" t="n">
        <v>0</v>
      </c>
      <c r="H175" s="576" t="n">
        <v>0</v>
      </c>
      <c r="I175" s="576" t="n">
        <v>0</v>
      </c>
      <c r="J175" s="576" t="n">
        <v>-2.27373675443232e-13</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15" customHeight="1" s="409">
      <c r="B178" s="498" t="inlineStr">
        <is>
          <t>Senior Note, BOP</t>
        </is>
      </c>
      <c r="F178" s="588" t="n">
        <v>1632.995</v>
      </c>
      <c r="G178" s="515" t="n">
        <v>1632.995</v>
      </c>
      <c r="H178" s="515" t="n">
        <v>1632.995</v>
      </c>
      <c r="I178" s="515" t="n">
        <v>1632.995</v>
      </c>
      <c r="J178" s="515" t="n">
        <v>1632.995</v>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537" t="n">
        <v>1632.995</v>
      </c>
      <c r="G180" s="537" t="n">
        <v>1632.995</v>
      </c>
      <c r="H180" s="537" t="n">
        <v>1632.995</v>
      </c>
      <c r="I180" s="537" t="n">
        <v>1632.995</v>
      </c>
      <c r="J180" s="537" t="n">
        <v>1632.995</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15" customHeight="1" s="409">
      <c r="B208" s="498" t="inlineStr">
        <is>
          <t>Term Loan A</t>
        </is>
      </c>
      <c r="C208" s="608" t="n">
        <v>0.04</v>
      </c>
      <c r="D208" s="519" t="n">
        <v>0.01</v>
      </c>
      <c r="F208" s="586" t="n">
        <v>134.88696097088</v>
      </c>
      <c r="G208" s="586" t="n">
        <v>113.310738479056</v>
      </c>
      <c r="H208" s="586" t="n">
        <v>92.8330898085942</v>
      </c>
      <c r="I208" s="586" t="n">
        <v>65.9448466388274</v>
      </c>
      <c r="J208" s="586" t="n">
        <v>27.5254552571771</v>
      </c>
      <c r="M208" s="589" t="n"/>
    </row>
    <row r="209" ht="15" customHeight="1" s="409">
      <c r="B209" s="498" t="inlineStr">
        <is>
          <t>Term Loan B</t>
        </is>
      </c>
      <c r="C209" s="608" t="n">
        <v>0.04</v>
      </c>
      <c r="D209" s="519" t="n">
        <v>0</v>
      </c>
      <c r="F209" s="586" t="n">
        <v>29.3734560756</v>
      </c>
      <c r="G209" s="586" t="n">
        <v>29.9633026966</v>
      </c>
      <c r="H209" s="586" t="n">
        <v>31.393693331</v>
      </c>
      <c r="I209" s="586" t="n">
        <v>32.3448943818</v>
      </c>
      <c r="J209" s="586" t="n">
        <v>32.2999472978</v>
      </c>
    </row>
    <row r="210" ht="15" customHeight="1" s="409">
      <c r="B210" s="498" t="inlineStr">
        <is>
          <t>Senior Note</t>
        </is>
      </c>
      <c r="E210" s="609" t="n">
        <v>0.08125</v>
      </c>
      <c r="F210" s="515" t="n">
        <v>132.68084375</v>
      </c>
      <c r="G210" s="515" t="n">
        <v>132.68084375</v>
      </c>
      <c r="H210" s="515" t="n">
        <v>132.68084375</v>
      </c>
      <c r="I210" s="515" t="n">
        <v>132.68084375</v>
      </c>
      <c r="J210" s="515" t="n">
        <v>132.68084375</v>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row>
    <row r="215" ht="15" customHeight="1" s="409">
      <c r="B215" s="408" t="inlineStr">
        <is>
          <t>EXIT VALUATION (GTM AI case — not BMC)</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616" t="inlineStr">
        <is>
          <t>Net debt:</t>
        </is>
      </c>
      <c r="F221" s="510" t="n"/>
    </row>
    <row r="222" ht="15" customHeight="1" s="409">
      <c r="B222" s="574" t="inlineStr">
        <is>
          <t>Revolver</t>
        </is>
      </c>
      <c r="F222" s="517" t="n">
        <v>0</v>
      </c>
      <c r="G222" s="517" t="n">
        <v>0</v>
      </c>
      <c r="H222" s="517" t="n">
        <v>0</v>
      </c>
      <c r="I222" s="517" t="n">
        <v>0</v>
      </c>
      <c r="J222" s="517" t="n">
        <v>0</v>
      </c>
    </row>
    <row r="223" ht="15" customHeight="1" s="409">
      <c r="B223" s="574" t="inlineStr">
        <is>
          <t>Term Loan A</t>
        </is>
      </c>
      <c r="F223" s="517" t="n">
        <v>6.36046720066304</v>
      </c>
      <c r="G223" s="517" t="n">
        <v>6.36046720066304</v>
      </c>
      <c r="H223" s="517" t="n">
        <v>6.36046720066304</v>
      </c>
      <c r="I223" s="517" t="n">
        <v>6.36046720066304</v>
      </c>
      <c r="J223" s="517" t="n">
        <v>6.36046720066304</v>
      </c>
    </row>
    <row r="224" ht="15" customHeight="1" s="409">
      <c r="B224" s="574" t="inlineStr">
        <is>
          <t>Term Loan B</t>
        </is>
      </c>
      <c r="F224" s="517" t="n">
        <v>0</v>
      </c>
      <c r="G224" s="517" t="n">
        <v>0</v>
      </c>
      <c r="H224" s="517" t="n">
        <v>0</v>
      </c>
      <c r="I224" s="517" t="n">
        <v>0</v>
      </c>
      <c r="J224" s="517" t="n">
        <v>0</v>
      </c>
    </row>
    <row r="225" ht="15" customHeight="1" s="409">
      <c r="B225" s="574" t="inlineStr">
        <is>
          <t>Senior Note</t>
        </is>
      </c>
      <c r="E225" s="555" t="n"/>
      <c r="F225" s="517" t="n">
        <v>0</v>
      </c>
      <c r="G225" s="517" t="n">
        <v>0</v>
      </c>
      <c r="H225" s="517" t="n">
        <v>0</v>
      </c>
      <c r="I225" s="517" t="n">
        <v>0</v>
      </c>
      <c r="J225" s="517" t="n">
        <v>0</v>
      </c>
    </row>
    <row r="226" ht="15" customHeight="1" s="409">
      <c r="B226" s="574" t="inlineStr">
        <is>
          <t>Sub Note</t>
        </is>
      </c>
      <c r="E226" s="617" t="n"/>
      <c r="F226" s="517" t="n">
        <v>0</v>
      </c>
      <c r="G226" s="517" t="n">
        <v>0</v>
      </c>
      <c r="H226" s="517" t="n">
        <v>0</v>
      </c>
      <c r="I226" s="517" t="n">
        <v>0</v>
      </c>
      <c r="J226" s="517" t="n">
        <v>0</v>
      </c>
    </row>
    <row r="227" ht="15" customHeight="1" s="409">
      <c r="B227" s="574" t="inlineStr">
        <is>
          <t>Pref. stock</t>
        </is>
      </c>
      <c r="E227" s="617" t="n"/>
      <c r="F227" s="517" t="n">
        <v>0</v>
      </c>
      <c r="G227" s="517" t="n">
        <v>0</v>
      </c>
      <c r="H227" s="517" t="n">
        <v>0</v>
      </c>
      <c r="I227" s="517" t="n">
        <v>0</v>
      </c>
      <c r="J227" s="517" t="n">
        <v>0</v>
      </c>
    </row>
    <row r="228" ht="15" customHeight="1" s="409">
      <c r="B228" s="574" t="inlineStr">
        <is>
          <t>Cash</t>
        </is>
      </c>
      <c r="F228" s="517" t="n">
        <v>-50</v>
      </c>
      <c r="G228" s="517" t="n">
        <v>-50</v>
      </c>
      <c r="H228" s="517" t="n">
        <v>-50</v>
      </c>
      <c r="I228" s="517" t="n">
        <v>-50</v>
      </c>
      <c r="J228" s="517" t="n">
        <v>-50</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561" t="inlineStr">
        <is>
          <t>Sub Note at exit EBITDA multiple of:</t>
        </is>
      </c>
      <c r="C241" s="604" t="n"/>
      <c r="D241" s="634" t="n"/>
      <c r="E241" s="510" t="n"/>
      <c r="F241" s="510" t="n"/>
      <c r="G241" s="510" t="n"/>
      <c r="H241" s="510" t="n"/>
      <c r="I241" s="510" t="n"/>
      <c r="J241" s="556" t="n"/>
    </row>
    <row r="242" ht="15" customHeight="1" s="409">
      <c r="B242" s="635" t="n">
        <v>6.3</v>
      </c>
      <c r="C242" s="633" t="inlineStr">
        <is>
          <t>NM</t>
        </is>
      </c>
      <c r="D242" s="634" t="n">
        <v>0</v>
      </c>
      <c r="E242" s="515" t="n">
        <v>0</v>
      </c>
      <c r="F242" s="515" t="n">
        <v>0</v>
      </c>
      <c r="G242" s="515" t="n">
        <v>0</v>
      </c>
      <c r="H242" s="515" t="n">
        <v>0</v>
      </c>
      <c r="I242" s="515" t="n">
        <v>0</v>
      </c>
      <c r="J242" s="520" t="n">
        <v>0</v>
      </c>
    </row>
    <row r="243" ht="15" customHeight="1" s="409">
      <c r="B243" s="635" t="n">
        <v>6.8</v>
      </c>
      <c r="C243" s="633" t="inlineStr">
        <is>
          <t>NM</t>
        </is>
      </c>
      <c r="D243" s="634" t="n">
        <v>0</v>
      </c>
      <c r="E243" s="515" t="n">
        <v>0</v>
      </c>
      <c r="F243" s="515" t="n">
        <v>0</v>
      </c>
      <c r="G243" s="515" t="n">
        <v>0</v>
      </c>
      <c r="H243" s="515" t="n">
        <v>0</v>
      </c>
      <c r="I243" s="515" t="n">
        <v>0</v>
      </c>
      <c r="J243" s="520" t="n">
        <v>0</v>
      </c>
    </row>
    <row r="244" ht="15" customHeight="1" s="409">
      <c r="B244" s="635" t="n">
        <v>7.3</v>
      </c>
      <c r="C244" s="633" t="inlineStr">
        <is>
          <t>NM</t>
        </is>
      </c>
      <c r="D244" s="634" t="n">
        <v>0</v>
      </c>
      <c r="E244" s="515" t="n">
        <v>0</v>
      </c>
      <c r="F244" s="515" t="n">
        <v>0</v>
      </c>
      <c r="G244" s="515" t="n">
        <v>0</v>
      </c>
      <c r="H244" s="515" t="n">
        <v>0</v>
      </c>
      <c r="I244" s="515" t="n">
        <v>0</v>
      </c>
      <c r="J244" s="520" t="n">
        <v>0</v>
      </c>
    </row>
    <row r="245" ht="15" customHeight="1" s="409">
      <c r="B245" s="635" t="n">
        <v>7.8</v>
      </c>
      <c r="C245" s="633" t="inlineStr">
        <is>
          <t>NM</t>
        </is>
      </c>
      <c r="D245" s="634" t="n">
        <v>0</v>
      </c>
      <c r="E245" s="515" t="n">
        <v>0</v>
      </c>
      <c r="F245" s="515" t="n">
        <v>0</v>
      </c>
      <c r="G245" s="515" t="n">
        <v>0</v>
      </c>
      <c r="H245" s="515" t="n">
        <v>0</v>
      </c>
      <c r="I245" s="515" t="n">
        <v>0</v>
      </c>
      <c r="J245" s="520" t="n">
        <v>0</v>
      </c>
    </row>
    <row r="246" ht="15" customHeight="1" s="409">
      <c r="B246" s="635" t="n">
        <v>8.300000000000001</v>
      </c>
      <c r="C246" s="633" t="inlineStr">
        <is>
          <t>NM</t>
        </is>
      </c>
      <c r="D246" s="634" t="n">
        <v>0</v>
      </c>
      <c r="E246" s="515" t="n">
        <v>0</v>
      </c>
      <c r="F246" s="515" t="n">
        <v>0</v>
      </c>
      <c r="G246" s="515" t="n">
        <v>0</v>
      </c>
      <c r="H246" s="515" t="n">
        <v>0</v>
      </c>
      <c r="I246" s="515" t="n">
        <v>0</v>
      </c>
      <c r="J246" s="520" t="n">
        <v>0</v>
      </c>
    </row>
    <row r="247" ht="15" customHeight="1" s="409">
      <c r="B247" s="561" t="inlineStr">
        <is>
          <t>Preferred Stock at exit EBITDA multiple of:</t>
        </is>
      </c>
      <c r="C247" s="604" t="n"/>
      <c r="D247" s="634" t="n"/>
      <c r="E247" s="510" t="n"/>
      <c r="F247" s="510" t="n"/>
      <c r="G247" s="510" t="n"/>
      <c r="H247" s="510" t="n"/>
      <c r="I247" s="510" t="n"/>
      <c r="J247" s="556" t="n"/>
    </row>
    <row r="248" ht="15" customHeight="1" s="409">
      <c r="B248" s="635" t="n">
        <v>6.3</v>
      </c>
      <c r="C248" s="633" t="inlineStr">
        <is>
          <t>NM</t>
        </is>
      </c>
      <c r="D248" s="634" t="n">
        <v>0</v>
      </c>
      <c r="E248" s="515" t="n">
        <v>0</v>
      </c>
      <c r="F248" s="515" t="n">
        <v>0</v>
      </c>
      <c r="G248" s="515" t="n">
        <v>0</v>
      </c>
      <c r="H248" s="515" t="n">
        <v>0</v>
      </c>
      <c r="I248" s="515" t="n">
        <v>0</v>
      </c>
      <c r="J248" s="520" t="n">
        <v>0</v>
      </c>
    </row>
    <row r="249" ht="15" customHeight="1" s="409">
      <c r="B249" s="635" t="n">
        <v>6.8</v>
      </c>
      <c r="C249" s="633" t="inlineStr">
        <is>
          <t>NM</t>
        </is>
      </c>
      <c r="D249" s="634" t="n">
        <v>0</v>
      </c>
      <c r="E249" s="515" t="n">
        <v>0</v>
      </c>
      <c r="F249" s="515" t="n">
        <v>0</v>
      </c>
      <c r="G249" s="515" t="n">
        <v>0</v>
      </c>
      <c r="H249" s="515" t="n">
        <v>0</v>
      </c>
      <c r="I249" s="515" t="n">
        <v>0</v>
      </c>
      <c r="J249" s="520" t="n">
        <v>0</v>
      </c>
    </row>
    <row r="250" ht="15" customHeight="1" s="409">
      <c r="B250" s="635" t="n">
        <v>7.3</v>
      </c>
      <c r="C250" s="633" t="inlineStr">
        <is>
          <t>NM</t>
        </is>
      </c>
      <c r="D250" s="634" t="n">
        <v>0</v>
      </c>
      <c r="E250" s="515" t="n">
        <v>0</v>
      </c>
      <c r="F250" s="515" t="n">
        <v>0</v>
      </c>
      <c r="G250" s="515" t="n">
        <v>0</v>
      </c>
      <c r="H250" s="515" t="n">
        <v>0</v>
      </c>
      <c r="I250" s="515" t="n">
        <v>0</v>
      </c>
      <c r="J250" s="520" t="n">
        <v>0</v>
      </c>
    </row>
    <row r="251" ht="15" customHeight="1" s="409">
      <c r="B251" s="635" t="n">
        <v>7.8</v>
      </c>
      <c r="C251" s="633" t="inlineStr">
        <is>
          <t>NM</t>
        </is>
      </c>
      <c r="D251" s="634" t="n">
        <v>0</v>
      </c>
      <c r="E251" s="515" t="n">
        <v>0</v>
      </c>
      <c r="F251" s="515" t="n">
        <v>0</v>
      </c>
      <c r="G251" s="515" t="n">
        <v>0</v>
      </c>
      <c r="H251" s="515" t="n">
        <v>0</v>
      </c>
      <c r="I251" s="515" t="n">
        <v>0</v>
      </c>
      <c r="J251" s="520" t="n">
        <v>0</v>
      </c>
    </row>
    <row r="252" ht="15" customHeight="1" s="409">
      <c r="B252" s="635" t="n">
        <v>8.300000000000001</v>
      </c>
      <c r="C252" s="633" t="inlineStr">
        <is>
          <t>NM</t>
        </is>
      </c>
      <c r="D252" s="634" t="n">
        <v>0</v>
      </c>
      <c r="E252" s="515" t="n">
        <v>0</v>
      </c>
      <c r="F252" s="515" t="n">
        <v>0</v>
      </c>
      <c r="G252" s="515" t="n">
        <v>0</v>
      </c>
      <c r="H252" s="515" t="n">
        <v>0</v>
      </c>
      <c r="I252" s="515" t="n">
        <v>0</v>
      </c>
      <c r="J252" s="520" t="n">
        <v>0</v>
      </c>
    </row>
    <row r="253" ht="15" customHeight="1" s="409">
      <c r="B253" s="561" t="inlineStr">
        <is>
          <t>Management Equity at exit EBITDA multiple of:</t>
        </is>
      </c>
      <c r="C253" s="636" t="n"/>
      <c r="D253" s="634" t="n"/>
      <c r="E253" s="510" t="n"/>
      <c r="F253" s="510" t="n"/>
      <c r="G253" s="510" t="n"/>
      <c r="H253" s="510" t="n"/>
      <c r="I253" s="510" t="n"/>
      <c r="J253" s="556" t="n"/>
    </row>
    <row r="254" ht="15" customHeight="1" s="409">
      <c r="B254" s="635" t="n">
        <v>6.3</v>
      </c>
      <c r="C254" s="633" t="inlineStr">
        <is>
          <t>NM</t>
        </is>
      </c>
      <c r="D254" s="634" t="n">
        <v>0</v>
      </c>
      <c r="E254" s="515" t="n">
        <v>0</v>
      </c>
      <c r="F254" s="553" t="n">
        <v>0</v>
      </c>
      <c r="G254" s="553" t="n">
        <v>0</v>
      </c>
      <c r="H254" s="553" t="n">
        <v>0</v>
      </c>
      <c r="I254" s="553" t="n">
        <v>0</v>
      </c>
      <c r="J254" s="520" t="n">
        <v>0</v>
      </c>
    </row>
    <row r="255" ht="15" customHeight="1" s="409">
      <c r="B255" s="635" t="n">
        <v>6.8</v>
      </c>
      <c r="C255" s="633" t="inlineStr">
        <is>
          <t>NM</t>
        </is>
      </c>
      <c r="D255" s="634" t="n">
        <v>0</v>
      </c>
      <c r="E255" s="515" t="n">
        <v>0</v>
      </c>
      <c r="F255" s="515" t="n">
        <v>0</v>
      </c>
      <c r="G255" s="515" t="n">
        <v>0</v>
      </c>
      <c r="H255" s="515" t="n">
        <v>0</v>
      </c>
      <c r="I255" s="515" t="n">
        <v>0</v>
      </c>
      <c r="J255" s="520" t="n">
        <v>0</v>
      </c>
    </row>
    <row r="256" ht="15" customHeight="1" s="409">
      <c r="B256" s="635" t="n">
        <v>7.3</v>
      </c>
      <c r="C256" s="633" t="inlineStr">
        <is>
          <t>NM</t>
        </is>
      </c>
      <c r="D256" s="634" t="n">
        <v>0</v>
      </c>
      <c r="E256" s="515" t="n">
        <v>0</v>
      </c>
      <c r="F256" s="515" t="n">
        <v>0</v>
      </c>
      <c r="G256" s="515" t="n">
        <v>0</v>
      </c>
      <c r="H256" s="515" t="n">
        <v>0</v>
      </c>
      <c r="I256" s="515" t="n">
        <v>0</v>
      </c>
      <c r="J256" s="520" t="n">
        <v>0</v>
      </c>
    </row>
    <row r="257" ht="15" customHeight="1" s="409">
      <c r="B257" s="635" t="n">
        <v>7.8</v>
      </c>
      <c r="C257" s="633" t="inlineStr">
        <is>
          <t>NM</t>
        </is>
      </c>
      <c r="D257" s="634" t="n">
        <v>0</v>
      </c>
      <c r="E257" s="515" t="n">
        <v>0</v>
      </c>
      <c r="F257" s="515" t="n">
        <v>0</v>
      </c>
      <c r="G257" s="515" t="n">
        <v>0</v>
      </c>
      <c r="H257" s="515" t="n">
        <v>0</v>
      </c>
      <c r="I257" s="515" t="n">
        <v>0</v>
      </c>
      <c r="J257" s="520" t="n">
        <v>0</v>
      </c>
    </row>
    <row r="258" ht="15" customHeight="1" s="409">
      <c r="B258" s="635" t="n">
        <v>8.300000000000001</v>
      </c>
      <c r="C258" s="633" t="inlineStr">
        <is>
          <t>NM</t>
        </is>
      </c>
      <c r="D258" s="634" t="n">
        <v>0</v>
      </c>
      <c r="E258" s="515" t="n">
        <v>0</v>
      </c>
      <c r="F258" s="515" t="n">
        <v>0</v>
      </c>
      <c r="G258" s="515" t="n">
        <v>0</v>
      </c>
      <c r="H258" s="515" t="n">
        <v>0</v>
      </c>
      <c r="I258" s="515" t="n">
        <v>0</v>
      </c>
      <c r="J258" s="520" t="n">
        <v>0</v>
      </c>
    </row>
    <row r="259" ht="15" customHeight="1" s="409">
      <c r="B259" s="561" t="inlineStr">
        <is>
          <t>Sponsor's Equity at exit EBITDA multiple of:</t>
        </is>
      </c>
      <c r="C259" s="597" t="n"/>
      <c r="D259" s="637" t="n"/>
      <c r="E259" s="510" t="n"/>
      <c r="F259" s="582" t="n"/>
      <c r="G259" s="582" t="n"/>
      <c r="H259" s="582" t="n"/>
      <c r="I259" s="582" t="n"/>
      <c r="J259" s="638" t="n"/>
    </row>
    <row r="260" ht="15" customHeight="1" s="409">
      <c r="B260" s="635" t="n">
        <v>6.3</v>
      </c>
      <c r="C260" s="633" t="n">
        <v>3.43053056443323</v>
      </c>
      <c r="D260" s="634" t="n">
        <v>0.279594187366849</v>
      </c>
      <c r="E260" s="515" t="n">
        <v>-1660.27794</v>
      </c>
      <c r="F260" s="553" t="n">
        <v>0</v>
      </c>
      <c r="G260" s="553" t="n">
        <v>0</v>
      </c>
      <c r="H260" s="553" t="n">
        <v>0</v>
      </c>
      <c r="I260" s="553" t="n">
        <v>0</v>
      </c>
      <c r="J260" s="520" t="n">
        <v>5695.63421862424</v>
      </c>
    </row>
    <row r="261" ht="15" customHeight="1" s="409">
      <c r="B261" s="635" t="n">
        <v>6.8</v>
      </c>
      <c r="C261" s="633" t="n">
        <v>3.80000909855217</v>
      </c>
      <c r="D261" s="634" t="n">
        <v>0.306041350379885</v>
      </c>
      <c r="E261" s="515" t="n">
        <v>-1660.27794</v>
      </c>
      <c r="F261" s="515" t="n">
        <v>0</v>
      </c>
      <c r="G261" s="515" t="n">
        <v>0</v>
      </c>
      <c r="H261" s="515" t="n">
        <v>0</v>
      </c>
      <c r="I261" s="515" t="n">
        <v>0</v>
      </c>
      <c r="J261" s="520" t="n">
        <v>6309.07127812545</v>
      </c>
    </row>
    <row r="262" ht="15" customHeight="1" s="409">
      <c r="B262" s="635" t="n">
        <v>7.3</v>
      </c>
      <c r="C262" s="633" t="n">
        <v>4.16948763267112</v>
      </c>
      <c r="D262" s="634" t="n">
        <v>0.330505082844487</v>
      </c>
      <c r="E262" s="515" t="n">
        <v>-1660.27794</v>
      </c>
      <c r="F262" s="515" t="n">
        <v>0</v>
      </c>
      <c r="G262" s="515" t="n">
        <v>0</v>
      </c>
      <c r="H262" s="515" t="n">
        <v>0</v>
      </c>
      <c r="I262" s="515" t="n">
        <v>0</v>
      </c>
      <c r="J262" s="520" t="n">
        <v>6922.50833762667</v>
      </c>
    </row>
    <row r="263" ht="15" customHeight="1" s="409">
      <c r="B263" s="635" t="n">
        <v>7.8</v>
      </c>
      <c r="C263" s="633" t="n">
        <v>4.53896616679006</v>
      </c>
      <c r="D263" s="634" t="n">
        <v>0.353291609310027</v>
      </c>
      <c r="E263" s="515" t="n">
        <v>-1660.27794</v>
      </c>
      <c r="F263" s="515" t="n">
        <v>0</v>
      </c>
      <c r="G263" s="515" t="n">
        <v>0</v>
      </c>
      <c r="H263" s="515" t="n">
        <v>0</v>
      </c>
      <c r="I263" s="515" t="n">
        <v>0</v>
      </c>
      <c r="J263" s="520" t="n">
        <v>7535.94539712789</v>
      </c>
    </row>
    <row r="264" ht="15" customHeight="1" s="409">
      <c r="B264" s="635" t="n">
        <v>8.300000000000001</v>
      </c>
      <c r="C264" s="633" t="n">
        <v>4.908444700909</v>
      </c>
      <c r="D264" s="634" t="n">
        <v>0.374639377788437</v>
      </c>
      <c r="E264" s="515" t="n">
        <v>-1660.27794</v>
      </c>
      <c r="F264" s="515" t="n">
        <v>0</v>
      </c>
      <c r="G264" s="515" t="n">
        <v>0</v>
      </c>
      <c r="H264" s="515" t="n">
        <v>0</v>
      </c>
      <c r="I264" s="515" t="n">
        <v>0</v>
      </c>
      <c r="J264" s="520" t="n">
        <v>8149.38245662911</v>
      </c>
    </row>
    <row r="266" ht="15" customHeight="1" s="409">
      <c r="B266" s="497" t="inlineStr">
        <is>
          <t>SUMMARY @ 13.0x EXIT — AI vs Base (see Strategy_Summary)</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633" t="n">
        <v>2.19248363250499</v>
      </c>
      <c r="J275" s="640" t="n">
        <v>0.170003799222666</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ANALYISIS</t>
        </is>
      </c>
      <c r="C278" s="489" t="n"/>
      <c r="D278" s="645" t="n"/>
      <c r="E278" s="646" t="n"/>
      <c r="F278" s="645" t="n"/>
      <c r="G278" s="645" t="n"/>
      <c r="H278" s="645" t="n"/>
      <c r="I278" s="489" t="n"/>
      <c r="J278" s="489" t="n"/>
    </row>
    <row r="279" ht="15" customHeight="1" s="409">
      <c r="B279" s="647" t="n"/>
      <c r="C279" s="648" t="n"/>
      <c r="D279" s="648" t="n"/>
      <c r="E279" s="649" t="n"/>
      <c r="F279" s="648" t="n"/>
      <c r="G279" s="648" t="n"/>
      <c r="H279" s="648" t="n"/>
    </row>
    <row r="280" ht="15" customHeight="1" s="409">
      <c r="B280" s="541" t="n"/>
      <c r="C280" s="650" t="inlineStr">
        <is>
          <t>Actual</t>
        </is>
      </c>
      <c r="E280" s="651" t="inlineStr">
        <is>
          <t>Offer Price / Share At Various Sponsor Hurdle Rates</t>
        </is>
      </c>
      <c r="F280" s="652" t="n"/>
      <c r="G280" s="652" t="n"/>
      <c r="H280" s="652" t="n"/>
      <c r="I280" s="652" t="n"/>
      <c r="J280" s="653" t="n"/>
    </row>
    <row r="281" ht="15" customHeight="1" s="409">
      <c r="B281" s="408" t="inlineStr">
        <is>
          <t>Sponsor Hurdle Rate (Minimum IRR)</t>
        </is>
      </c>
      <c r="C281" s="654" t="n">
        <v>0.330505082844487</v>
      </c>
      <c r="E281" s="655" t="n">
        <v>0.15</v>
      </c>
      <c r="F281" s="656" t="n">
        <v>0.2</v>
      </c>
      <c r="G281" s="656" t="n">
        <v>0.25</v>
      </c>
      <c r="H281" s="656" t="n">
        <v>0.3</v>
      </c>
      <c r="I281" s="656" t="n">
        <v>0.35</v>
      </c>
      <c r="J281" s="657" t="n">
        <v>0.4</v>
      </c>
    </row>
    <row r="282" ht="15" customHeight="1" s="409">
      <c r="B282" s="408" t="inlineStr">
        <is>
          <t>Offer value</t>
        </is>
      </c>
      <c r="C282" s="658" t="n">
        <v>1555.6759</v>
      </c>
      <c r="E282" s="659" t="n">
        <v>1966.7351</v>
      </c>
      <c r="F282" s="514" t="n">
        <v>1814.5095</v>
      </c>
      <c r="G282" s="514" t="n">
        <v>1695.9904</v>
      </c>
      <c r="H282" s="514" t="n">
        <v>1602.7839</v>
      </c>
      <c r="I282" s="514" t="n">
        <v>1528.802</v>
      </c>
      <c r="J282" s="660" t="n">
        <v>1469.5739</v>
      </c>
    </row>
    <row r="283" ht="15" customHeight="1" s="409">
      <c r="B283" s="408" t="inlineStr">
        <is>
          <t>Diluted shares outstanding</t>
        </is>
      </c>
      <c r="C283" s="661" t="n">
        <v>307.294</v>
      </c>
      <c r="E283" s="662" t="n">
        <v>307.294</v>
      </c>
      <c r="F283" s="663" t="n">
        <v>307.294</v>
      </c>
      <c r="G283" s="663" t="n">
        <v>307.294</v>
      </c>
      <c r="H283" s="663" t="n">
        <v>307.294</v>
      </c>
      <c r="I283" s="663" t="n">
        <v>307.294</v>
      </c>
      <c r="J283" s="664" t="n">
        <v>307.294</v>
      </c>
    </row>
    <row r="284" ht="15" customHeight="1" s="409">
      <c r="B284" s="408" t="inlineStr">
        <is>
          <t>Offer value / per share</t>
        </is>
      </c>
      <c r="C284" s="665" t="n">
        <v>5.0625</v>
      </c>
      <c r="E284" s="666" t="n">
        <v>6.4002</v>
      </c>
      <c r="F284" s="511" t="n">
        <v>5.9048</v>
      </c>
      <c r="G284" s="511" t="n">
        <v>5.5191</v>
      </c>
      <c r="H284" s="511" t="n">
        <v>5.2158</v>
      </c>
      <c r="I284" s="511" t="n">
        <v>4.975</v>
      </c>
      <c r="J284" s="667" t="n">
        <v>4.7823</v>
      </c>
    </row>
    <row r="285" ht="15" customHeight="1" s="409">
      <c r="B285" s="525" t="inlineStr">
        <is>
          <t>% Premium / discount</t>
        </is>
      </c>
      <c r="C285" s="668" t="n">
        <v>0.25</v>
      </c>
      <c r="E285" s="669" t="n">
        <v>0.580289907015896</v>
      </c>
      <c r="F285" s="670" t="n">
        <v>0.457975224993954</v>
      </c>
      <c r="G285" s="670" t="n">
        <v>0.362744038114017</v>
      </c>
      <c r="H285" s="670" t="n">
        <v>0.287851723515967</v>
      </c>
      <c r="I285" s="670" t="n">
        <v>0.228406558330817</v>
      </c>
      <c r="J285" s="671" t="n">
        <v>0.180816270116169</v>
      </c>
    </row>
    <row r="286" ht="15" customHeight="1" s="409">
      <c r="B286" s="525" t="n"/>
      <c r="C286" s="672" t="n"/>
      <c r="E286" s="673" t="n"/>
      <c r="F286" s="674" t="n"/>
      <c r="G286" s="674" t="n"/>
      <c r="H286" s="674" t="n"/>
      <c r="I286" s="674" t="n"/>
      <c r="J286" s="675" t="n"/>
    </row>
    <row r="287" ht="15" customHeight="1" s="409">
      <c r="B287" s="541" t="inlineStr">
        <is>
          <t>Enterprise value</t>
        </is>
      </c>
      <c r="C287" s="676" t="n">
        <v>2705.6759</v>
      </c>
      <c r="E287" s="659" t="n">
        <v>3116.7351</v>
      </c>
      <c r="F287" s="514" t="n">
        <v>2964.5095</v>
      </c>
      <c r="G287" s="514" t="n">
        <v>2845.9904</v>
      </c>
      <c r="H287" s="514" t="n">
        <v>2752.7839</v>
      </c>
      <c r="I287" s="514" t="n">
        <v>2678.802</v>
      </c>
      <c r="J287" s="660" t="n">
        <v>2619.5739</v>
      </c>
    </row>
    <row r="288" ht="15" customHeight="1" s="409">
      <c r="B288" s="525" t="inlineStr">
        <is>
          <t>EV / LTM EBITDA multiple</t>
        </is>
      </c>
      <c r="C288" s="677" t="n">
        <v>14.777039186237</v>
      </c>
      <c r="E288" s="678" t="n">
        <v>17.0220377229956</v>
      </c>
      <c r="F288" s="679" t="n">
        <v>16.1906581490805</v>
      </c>
      <c r="G288" s="679" t="n">
        <v>15.5433665708096</v>
      </c>
      <c r="H288" s="679" t="n">
        <v>15.0343194182456</v>
      </c>
      <c r="I288" s="679" t="n">
        <v>14.6302673838865</v>
      </c>
      <c r="J288" s="680" t="n">
        <v>14.3067935957497</v>
      </c>
    </row>
    <row r="289" ht="15" customHeight="1" s="409">
      <c r="B289" s="561" t="n"/>
      <c r="E289" s="681" t="n"/>
    </row>
    <row r="290" ht="15" customHeight="1" s="409">
      <c r="D290" s="682" t="inlineStr">
        <is>
          <t>Sponsor IRR At Various Leverage And Initial EBITDA Multiple Sensitivity</t>
        </is>
      </c>
      <c r="E290" s="612" t="n"/>
      <c r="F290" s="612" t="n"/>
      <c r="G290" s="612" t="n"/>
      <c r="H290" s="612" t="n"/>
      <c r="I290" s="612" t="n"/>
      <c r="J290" s="612" t="n"/>
    </row>
    <row r="291" ht="15" customHeight="1" s="409">
      <c r="B291" s="683" t="inlineStr">
        <is>
          <t>Highlight IRR &gt;</t>
        </is>
      </c>
      <c r="D291" s="684" t="inlineStr">
        <is>
          <t>EXPLICIT EBITDA (APPROACH 1) MUST BE SELECTED FOR DATA TABLE TO APPEAR</t>
        </is>
      </c>
    </row>
    <row r="292" ht="15" customHeight="1" s="409">
      <c r="B292" s="685" t="n">
        <v>0.3</v>
      </c>
      <c r="F292" s="647" t="inlineStr">
        <is>
          <t>Term A / EBITDA ratio (other cumulative leverage of 2.6x)</t>
        </is>
      </c>
      <c r="M292" s="604" t="n"/>
      <c r="N292" s="604" t="n"/>
    </row>
    <row r="293" ht="15" customHeight="1" s="409">
      <c r="E293" s="686" t="n">
        <v>0.330505082844487</v>
      </c>
      <c r="F293" s="687" t="n">
        <v>3</v>
      </c>
      <c r="G293" s="688" t="n">
        <v>3.25</v>
      </c>
      <c r="H293" s="688" t="n">
        <v>3.5</v>
      </c>
      <c r="I293" s="688" t="n">
        <v>3.75</v>
      </c>
      <c r="J293" s="688" t="n">
        <v>4</v>
      </c>
    </row>
    <row r="294" ht="15" customHeight="1" s="409">
      <c r="D294" s="689" t="n"/>
      <c r="E294" s="687" t="n">
        <v>7</v>
      </c>
      <c r="F294" s="522" t="n">
        <v>0.306597235533177</v>
      </c>
      <c r="G294" s="522" t="n">
        <v>0.328569651824876</v>
      </c>
      <c r="H294" s="522" t="n">
        <v>0.355076536045657</v>
      </c>
      <c r="I294" s="522" t="n">
        <v>0.387857051798638</v>
      </c>
      <c r="J294" s="522" t="n">
        <v>0.42977043407343</v>
      </c>
    </row>
    <row r="295" ht="15.75" customHeight="1" s="409">
      <c r="D295" s="689" t="inlineStr">
        <is>
          <t>Initial</t>
        </is>
      </c>
      <c r="E295" s="690" t="n">
        <v>7.25</v>
      </c>
      <c r="F295" s="522" t="n">
        <v>0.306597278819627</v>
      </c>
      <c r="G295" s="522" t="n">
        <v>0.328569651824876</v>
      </c>
      <c r="H295" s="522" t="n">
        <v>0.355076536045657</v>
      </c>
      <c r="I295" s="522" t="n">
        <v>0.387857051798638</v>
      </c>
      <c r="J295" s="522" t="n">
        <v>0.42977043407343</v>
      </c>
    </row>
    <row r="296" ht="15.75" customHeight="1" s="409">
      <c r="D296" s="689" t="inlineStr">
        <is>
          <t>EBITDA</t>
        </is>
      </c>
      <c r="E296" s="690" t="n">
        <v>7.5</v>
      </c>
      <c r="F296" s="522" t="n">
        <v>0.306597278819627</v>
      </c>
      <c r="G296" s="522" t="n">
        <v>0.328569651824876</v>
      </c>
      <c r="H296" s="522" t="n">
        <v>0.355076536045657</v>
      </c>
      <c r="I296" s="522" t="n">
        <v>0.387857051798638</v>
      </c>
      <c r="J296" s="522" t="n">
        <v>0.42977043407343</v>
      </c>
    </row>
    <row r="297" ht="15.75" customHeight="1" s="409">
      <c r="D297" s="689" t="inlineStr">
        <is>
          <t>Multiple:</t>
        </is>
      </c>
      <c r="E297" s="690" t="n">
        <v>7.75</v>
      </c>
      <c r="F297" s="522" t="n">
        <v>0.306597278819627</v>
      </c>
      <c r="G297" s="522" t="n">
        <v>0.328569651824876</v>
      </c>
      <c r="H297" s="522" t="n">
        <v>0.355076536045657</v>
      </c>
      <c r="I297" s="522" t="n">
        <v>0.387857051798638</v>
      </c>
      <c r="J297" s="522" t="n">
        <v>0.42977043407343</v>
      </c>
    </row>
    <row r="298" ht="15" customHeight="1" s="409">
      <c r="D298" s="689" t="n"/>
      <c r="E298" s="690" t="n">
        <v>8</v>
      </c>
      <c r="F298" s="522" t="n">
        <v>0.306597278819627</v>
      </c>
      <c r="G298" s="522" t="n">
        <v>0.328569651824876</v>
      </c>
      <c r="H298" s="522" t="n">
        <v>0.355076536045657</v>
      </c>
      <c r="I298" s="522" t="n">
        <v>0.387857051798638</v>
      </c>
      <c r="J298" s="522" t="n">
        <v>0.42977043407343</v>
      </c>
    </row>
    <row r="300" ht="15" customHeight="1" s="409">
      <c r="D300" s="682" t="inlineStr">
        <is>
          <t>Sponsor IRR At Various Leverage And Offer Price / Share Sensitivity</t>
        </is>
      </c>
      <c r="E300" s="612" t="n"/>
      <c r="F300" s="612" t="n"/>
      <c r="G300" s="612" t="n"/>
      <c r="H300" s="612" t="n"/>
      <c r="I300" s="612" t="n"/>
      <c r="J300" s="612" t="n"/>
    </row>
    <row r="301" ht="15" customHeight="1" s="409">
      <c r="D301" s="684" t="inlineStr">
        <is>
          <t>Offer-price IRR grid axis reset to GTM $/sh; prior BMC 45–46 IRRs cleared (need full LBO re-solve).</t>
        </is>
      </c>
    </row>
    <row r="302" ht="15" customHeight="1" s="409">
      <c r="F302" s="647" t="inlineStr">
        <is>
          <t>Term A / EBITDA ratio (other cumulative leverage of 2.6x)</t>
        </is>
      </c>
    </row>
    <row r="303" ht="15" customHeight="1" s="409">
      <c r="E303" s="686" t="n">
        <v>0.330505082844487</v>
      </c>
      <c r="F303" s="687" t="n">
        <v>3</v>
      </c>
      <c r="G303" s="688" t="n">
        <v>3.25</v>
      </c>
      <c r="H303" s="688" t="n">
        <v>3.5</v>
      </c>
      <c r="I303" s="688" t="n">
        <v>3.75</v>
      </c>
      <c r="J303" s="688" t="n">
        <v>4</v>
      </c>
    </row>
    <row r="304" ht="15" customHeight="1" s="409">
      <c r="D304" s="689" t="n"/>
      <c r="E304" s="524" t="n">
        <v>4.75</v>
      </c>
      <c r="F304" s="522" t="n"/>
      <c r="G304" s="522" t="n"/>
      <c r="H304" s="522" t="n"/>
      <c r="I304" s="522" t="n"/>
      <c r="J304" s="522" t="n"/>
    </row>
    <row r="305" ht="15.75" customHeight="1" s="409">
      <c r="D305" s="689" t="inlineStr">
        <is>
          <t>Initial</t>
        </is>
      </c>
      <c r="E305" s="691" t="n">
        <v>5</v>
      </c>
      <c r="F305" s="522" t="n"/>
      <c r="G305" s="522" t="n"/>
      <c r="H305" s="522" t="n"/>
      <c r="I305" s="522" t="n"/>
      <c r="J305" s="522" t="n"/>
    </row>
    <row r="306" ht="15.75" customHeight="1" s="409">
      <c r="D306" s="689" t="inlineStr">
        <is>
          <t>Offer</t>
        </is>
      </c>
      <c r="E306" s="691" t="n">
        <v>5.0625</v>
      </c>
      <c r="F306" s="522" t="n"/>
      <c r="G306" s="522" t="n"/>
      <c r="H306" s="522" t="n"/>
      <c r="I306" s="522" t="n"/>
      <c r="J306" s="522" t="n"/>
    </row>
    <row r="307" ht="15.75" customHeight="1" s="409">
      <c r="D307" s="689" t="inlineStr">
        <is>
          <t>Price:</t>
        </is>
      </c>
      <c r="E307" s="691" t="n">
        <v>5.25</v>
      </c>
      <c r="F307" s="522" t="n"/>
      <c r="G307" s="522" t="n"/>
      <c r="H307" s="522" t="n"/>
      <c r="I307" s="522" t="n"/>
      <c r="J307" s="522" t="n"/>
    </row>
    <row r="308" ht="15" customHeight="1" s="409">
      <c r="D308" s="689" t="n"/>
      <c r="E308" s="691" t="n">
        <v>5.5</v>
      </c>
      <c r="F308" s="522" t="n"/>
      <c r="G308" s="522" t="n"/>
      <c r="H308" s="522" t="n"/>
      <c r="I308" s="522" t="n"/>
      <c r="J308" s="522" t="n"/>
    </row>
    <row r="310" ht="15" customHeight="1" s="409">
      <c r="D310" s="682" t="inlineStr">
        <is>
          <t>Sponsor IRR @ Preferred &amp; Sub Note Equity Kicker Sensitivity</t>
        </is>
      </c>
      <c r="E310" s="612" t="n"/>
      <c r="F310" s="612" t="n"/>
      <c r="G310" s="612" t="n"/>
      <c r="H310" s="612" t="n"/>
      <c r="I310" s="612" t="n"/>
      <c r="J310" s="612" t="n"/>
    </row>
    <row r="311" ht="15" customHeight="1" s="409">
      <c r="F311" s="647" t="inlineStr">
        <is>
          <t>Sub Note Equity Kicker</t>
        </is>
      </c>
    </row>
    <row r="312" ht="15" customHeight="1" s="409">
      <c r="E312" s="686" t="n">
        <v>0.330505082844487</v>
      </c>
      <c r="F312" s="692" t="n">
        <v>0</v>
      </c>
      <c r="G312" s="693" t="n">
        <v>0.02</v>
      </c>
      <c r="H312" s="693" t="n">
        <v>0.04</v>
      </c>
      <c r="I312" s="693" t="n">
        <v>0.06</v>
      </c>
      <c r="J312" s="693" t="n">
        <v>0.08</v>
      </c>
    </row>
    <row r="313" ht="15" customHeight="1" s="409">
      <c r="D313" s="689" t="n"/>
      <c r="E313" s="692" t="n">
        <v>0</v>
      </c>
      <c r="F313" s="522" t="n">
        <v>0.330505079978679</v>
      </c>
      <c r="G313" s="522" t="n">
        <v>0.325139968106701</v>
      </c>
      <c r="H313" s="522" t="n">
        <v>0.319686532179051</v>
      </c>
      <c r="I313" s="522" t="n">
        <v>0.314141434579203</v>
      </c>
      <c r="J313" s="522" t="n">
        <v>0.30850113434416</v>
      </c>
    </row>
    <row r="314" ht="15.75" customHeight="1" s="409">
      <c r="D314" s="689" t="inlineStr">
        <is>
          <t>Preferred</t>
        </is>
      </c>
      <c r="E314" s="694" t="n">
        <v>0.02</v>
      </c>
      <c r="F314" s="522" t="n">
        <v>0.32513996817322</v>
      </c>
      <c r="G314" s="522" t="n">
        <v>0.319686532180517</v>
      </c>
      <c r="H314" s="522" t="n">
        <v>0.314141434579234</v>
      </c>
      <c r="I314" s="522" t="n">
        <v>0.308501134344161</v>
      </c>
      <c r="J314" s="522" t="n">
        <v>0.302761872969077</v>
      </c>
    </row>
    <row r="315" ht="15.75" customHeight="1" s="409">
      <c r="D315" s="689" t="inlineStr">
        <is>
          <t>Equity</t>
        </is>
      </c>
      <c r="E315" s="694" t="n">
        <v>0.04</v>
      </c>
      <c r="F315" s="522" t="n">
        <v>0.319686532180517</v>
      </c>
      <c r="G315" s="522" t="n">
        <v>0.314141434579234</v>
      </c>
      <c r="H315" s="522" t="n">
        <v>0.308501134344161</v>
      </c>
      <c r="I315" s="522" t="n">
        <v>0.302761872969077</v>
      </c>
      <c r="J315" s="522" t="n">
        <v>0.29691965598224</v>
      </c>
    </row>
    <row r="316" ht="15.75" customHeight="1" s="409">
      <c r="D316" s="689" t="inlineStr">
        <is>
          <t>Kicker:</t>
        </is>
      </c>
      <c r="E316" s="694" t="n">
        <v>0.06</v>
      </c>
      <c r="F316" s="522" t="n">
        <v>0.314141434579234</v>
      </c>
      <c r="G316" s="522" t="n">
        <v>0.308501134344161</v>
      </c>
      <c r="H316" s="522" t="n">
        <v>0.302761872969077</v>
      </c>
      <c r="I316" s="522" t="n">
        <v>0.29691965598224</v>
      </c>
      <c r="J316" s="522" t="n">
        <v>0.290970232291228</v>
      </c>
    </row>
    <row r="317" ht="15" customHeight="1" s="409">
      <c r="D317" s="689" t="n"/>
      <c r="E317" s="694" t="n">
        <v>0.08</v>
      </c>
      <c r="F317" s="522" t="n">
        <v>0.308501134344161</v>
      </c>
      <c r="G317" s="522" t="n">
        <v>0.302761872969077</v>
      </c>
      <c r="H317" s="522" t="n">
        <v>0.29691965598224</v>
      </c>
      <c r="I317" s="522" t="n">
        <v>0.290970232291228</v>
      </c>
      <c r="J317" s="522" t="n">
        <v>0.284909071351131</v>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2">
    <mergeCell ref="F302:J302"/>
    <mergeCell ref="G321:I321"/>
    <mergeCell ref="D291:J291"/>
    <mergeCell ref="D290:J290"/>
    <mergeCell ref="D300:J300"/>
    <mergeCell ref="D310:J310"/>
    <mergeCell ref="F292:J292"/>
    <mergeCell ref="F311:J311"/>
    <mergeCell ref="F216:J216"/>
    <mergeCell ref="L64:N64"/>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2026-08-16T16:21:32Z</dcterms:modified>
  <cp:revision>0</cp:revision>
</cp:coreProperties>
</file>