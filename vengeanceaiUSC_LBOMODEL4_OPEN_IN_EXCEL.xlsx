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86">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
      <b val="1"/>
      <color rgb="00FFFFFF"/>
      <sz val="9"/>
    </font>
    <font>
      <color rgb="001F4E79"/>
      <sz val="9"/>
    </font>
    <font>
      <b val="1"/>
      <color rgb="009C0006"/>
      <sz val="9"/>
    </font>
    <font>
      <b val="1"/>
      <color rgb="00006100"/>
      <sz val="9"/>
    </font>
    <font>
      <b val="1"/>
      <i val="1"/>
      <color rgb="009C0006"/>
      <sz val="9"/>
    </font>
    <font>
      <b val="1"/>
      <color rgb="00006100"/>
      <sz val="14"/>
    </font>
    <font>
      <b val="1"/>
      <color rgb="00FFFFFF"/>
      <sz val="16"/>
    </font>
    <font>
      <b val="1"/>
      <color rgb="00006100"/>
      <sz val="11"/>
    </font>
  </fonts>
  <fills count="29">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
      <patternFill patternType="solid">
        <fgColor rgb="00FFF8E1"/>
      </patternFill>
    </fill>
    <fill>
      <patternFill patternType="solid">
        <fgColor rgb="00E3F2FD"/>
      </patternFill>
    </fill>
    <fill>
      <patternFill patternType="solid">
        <fgColor rgb="00FCE4EC"/>
      </patternFill>
    </fill>
    <fill>
      <patternFill patternType="solid">
        <fgColor rgb="00E8F5E9"/>
      </patternFill>
    </fill>
    <fill>
      <patternFill patternType="solid">
        <fgColor rgb="00006100"/>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xf numFmtId="0" fontId="73" fillId="23" borderId="0" applyAlignment="1" pivotButton="0" quotePrefix="0" xfId="0">
      <alignment vertical="center" wrapText="1"/>
    </xf>
    <xf numFmtId="0" fontId="78" fillId="15" borderId="0" applyAlignment="1" pivotButton="0" quotePrefix="0" xfId="0">
      <alignment wrapText="1"/>
    </xf>
    <xf numFmtId="0" fontId="62" fillId="24" borderId="0" applyAlignment="1" pivotButton="0" quotePrefix="0" xfId="0">
      <alignment vertical="top" wrapText="1"/>
    </xf>
    <xf numFmtId="0" fontId="62" fillId="25" borderId="0" applyAlignment="1" pivotButton="0" quotePrefix="0" xfId="0">
      <alignment vertical="top" wrapText="1"/>
    </xf>
    <xf numFmtId="0" fontId="82" fillId="0" borderId="0" applyAlignment="1" pivotButton="0" quotePrefix="0" xfId="0">
      <alignment wrapText="1"/>
    </xf>
    <xf numFmtId="0" fontId="79" fillId="20" borderId="21" applyAlignment="1" pivotButton="0" quotePrefix="0" xfId="0">
      <alignment vertical="top" wrapText="1"/>
    </xf>
    <xf numFmtId="0" fontId="62" fillId="26" borderId="21" applyAlignment="1" pivotButton="0" quotePrefix="0" xfId="0">
      <alignment vertical="top" wrapText="1"/>
    </xf>
    <xf numFmtId="0" fontId="80" fillId="22" borderId="21" applyAlignment="1" pivotButton="0" quotePrefix="0" xfId="0">
      <alignment vertical="top" wrapText="1"/>
    </xf>
    <xf numFmtId="0" fontId="62" fillId="27" borderId="21" applyAlignment="1" pivotButton="0" quotePrefix="0" xfId="0">
      <alignment vertical="top" wrapText="1"/>
    </xf>
    <xf numFmtId="0" fontId="81" fillId="19" borderId="21" applyAlignment="1" pivotButton="0" quotePrefix="0" xfId="0">
      <alignment vertical="top" wrapText="1"/>
    </xf>
    <xf numFmtId="0" fontId="62" fillId="19" borderId="21" applyAlignment="1" pivotButton="0" quotePrefix="0" xfId="0">
      <alignment vertical="top" wrapText="1"/>
    </xf>
    <xf numFmtId="0" fontId="84" fillId="28" borderId="0" applyAlignment="1" pivotButton="0" quotePrefix="0" xfId="0">
      <alignment horizontal="center" vertical="center"/>
    </xf>
    <xf numFmtId="0" fontId="83" fillId="19" borderId="0" applyAlignment="1" pivotButton="0" quotePrefix="0" xfId="0">
      <alignment vertical="center" wrapText="1"/>
    </xf>
    <xf numFmtId="0" fontId="85" fillId="0" borderId="0" applyAlignment="1" pivotButton="0" quotePrefix="0" xfId="0">
      <alignment horizontal="left" vertical="bottom" inden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U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42" customWidth="1" style="409" min="16" max="16"/>
    <col width="40" customWidth="1" style="409" min="20" max="20"/>
    <col width="40" customWidth="1" style="409" min="21" max="21"/>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40">
        <f>HYPERLINK("https://raw.githubusercontent.com/vengeanceaiUSC/Rainmaker/cursor/lbomodel4-dcf-shares-gtm-44dc/LBO/output/LBOMODEL4_CASH_AND_DEBT_SOURCES.pdf","CLICK HERE — CASH &amp; DEBT PDF (OUTFLOWS IN RED)")</f>
        <v/>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44" t="inlineStr">
        <is>
          <t>COLOR KEY: RED = cash OUTFLOW · GREEN = cash INFLOW · BLUE = not a cash-flow line (balance/idle). Outflows stay red even if NET + for the LBO.</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c r="T141" s="841" t="inlineStr">
        <is>
          <t>What this line is (≤30 words, plain English)</t>
        </is>
      </c>
      <c r="U141" s="841" t="inlineStr">
        <is>
          <t>What it is required for (≤30 words, plain English)</t>
        </is>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45" t="inlineStr">
        <is>
          <t>NO — cash stock stays flat. Not the main lever; the sweep of extra cash is.</t>
        </is>
      </c>
      <c r="T144" s="842" t="inlineStr">
        <is>
          <t>Cash at year-end sitting in the company’s bank account after the year’s cash moves.</t>
        </is>
      </c>
      <c r="U144" s="843" t="inlineStr">
        <is>
          <t>Required so the model shows how much cash is left on hand; here it stays at the $50m minimum.</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46"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47" t="inlineStr">
        <is>
          <t>YES — OUTFLOW of usable cash (locked as minimum). NET − vs using that cash to cut debt, but needed so the company can operate.</t>
        </is>
      </c>
      <c r="T150" s="842" t="inlineStr">
        <is>
          <t>The smallest cash pile the company must keep so it can pay bills and run normally.</t>
        </is>
      </c>
      <c r="U150" s="843" t="inlineStr">
        <is>
          <t>Required as a safety floor. Cash above this can be used to pay down buyout debt.</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48"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49" t="inlineStr">
        <is>
          <t>YES — INFLOW of cash to the LBO. NET + for the LBO. More free cash means more debt paydown and a better equity outcome.</t>
        </is>
      </c>
      <c r="T152" s="842" t="inlineStr">
        <is>
          <t>Free cash flow: leftover cash after running the business, interest, and needed reinvestment.</t>
        </is>
      </c>
      <c r="U152" s="843" t="inlineStr">
        <is>
          <t>Required to pay down loans. More free cash flow usually means a stronger LBO for equity owners.</t>
        </is>
      </c>
    </row>
    <row r="153" ht="70"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c r="L153" s="848" t="inlineStr">
        <is>
          <t>+5% sales-driven. Equals FCF when cash sits at minimum (F151=0). Y1 ≈ $123 → then split to mand + sweep.</t>
        </is>
      </c>
      <c r="O153" s="850" t="inlineStr">
        <is>
          <t>F153 is the full $123 cash pool. F164 is only the leftover after mandatory TLA+TLB paydowns (~$7.3), swept to TLA.</t>
        </is>
      </c>
      <c r="P153" s="849" t="inlineStr">
        <is>
          <t>YES — INFLOW pool ≈ $123 FCF (excess BOP $0). Split next: ~$4.6 TLA mand (163) + ~$2.7 TLB mand (171) + ~$115.7 TLA sweep (164).</t>
        </is>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45" t="inlineStr">
        <is>
          <t>NO — not used. If drawn it would be an INFLOW of cash but also NET − (more debt). Here it is idle.</t>
        </is>
      </c>
      <c r="T157" s="842" t="inlineStr">
        <is>
          <t>A backup credit card-style loan the company can draw if it needs short-term cash.</t>
        </is>
      </c>
      <c r="U157" s="843" t="inlineStr">
        <is>
          <t>Required as emergency funding capacity. In this case it stays at $0 because free cash covers needs.</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45" t="inlineStr">
        <is>
          <t>YES — debt balance (not cash flow by itself). NET + for equity when the balance falls; lower TLA means less interest and more exit equity.</t>
        </is>
      </c>
      <c r="T162" s="842" t="inlineStr">
        <is>
          <t>Term Loan A starting balance — the senior bank loan taken to help buy the company.</t>
        </is>
      </c>
      <c r="U162" s="843" t="inlineStr">
        <is>
          <t>Required to track the biggest loan that gets paid first. Paying it down raises equity value at exit.</t>
        </is>
      </c>
    </row>
    <row r="163" ht="88" customHeight="1" s="409">
      <c r="B163" s="498" t="inlineStr">
        <is>
          <t>Mandatory paydown $</t>
        </is>
      </c>
      <c r="F163" s="515">
        <f>$D$29*Assumptions_Drivers!$C$17</f>
        <v/>
      </c>
      <c r="G163" s="515">
        <f>$D$29*Assumptions_Drivers!$C$17</f>
        <v/>
      </c>
      <c r="H163" s="515">
        <f>$D$29*Assumptions_Drivers!$C$17</f>
        <v/>
      </c>
      <c r="I163" s="515">
        <f>$D$29*Assumptions_Drivers!$C$17</f>
        <v/>
      </c>
      <c r="J163" s="515">
        <f>$D$29*Assumptions_Drivers!$C$17</f>
        <v/>
      </c>
      <c r="L163" s="846" t="inlineStr">
        <is>
          <t>1%/yr of original TLA (Drivers C17). Flat $ amort each year (=0.01×$457.8m), not 5–10% old hardcodes.</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47" t="inlineStr">
        <is>
          <t>YES — OUTFLOW of cash to lenders. NET + for the LBO. Required paydown shrinks debt and helps the buyout delever.</t>
        </is>
      </c>
      <c r="T163" s="842" t="inlineStr">
        <is>
          <t>The fixed yearly amount lenders force you to repay on Term Loan A (1% of the original loan).</t>
        </is>
      </c>
      <c r="U163" s="843" t="inlineStr">
        <is>
          <t>Required by the loan contract. It steadily shrinks debt even before extra cash sweep paydowns.</t>
        </is>
      </c>
    </row>
    <row r="164" ht="75" customHeight="1" s="409">
      <c r="B164" s="498" t="inlineStr">
        <is>
          <t>Cash sweep (paydown from excess cash flows)</t>
        </is>
      </c>
      <c r="F164" s="733">
        <f>MAX(0,AI_Operating!D21-F163-F171)*Assumptions_Drivers!$C$18</f>
        <v/>
      </c>
      <c r="G164" s="733">
        <f>MAX(0,AI_Operating!E21-G163-G171)*Assumptions_Drivers!$C$18</f>
        <v/>
      </c>
      <c r="H164" s="733">
        <f>MAX(0,AI_Operating!F21-H163-H171)*Assumptions_Drivers!$C$18</f>
        <v/>
      </c>
      <c r="I164" s="733">
        <f>MAX(0,AI_Operating!G21-I163-I171)*Assumptions_Drivers!$C$18</f>
        <v/>
      </c>
      <c r="J164" s="733">
        <f>MAX(0,AI_Operating!H21-J163-J171)*Assumptions_Drivers!$C$18</f>
        <v/>
      </c>
      <c r="L164" s="846"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47" t="inlineStr">
        <is>
          <t>YES — OUTFLOW. From $123 FCF: $4.6→TLA 1% mand, $2.7→TLB 1% mand, $115.7→TLA cash sweep (164). Notes get $0 amort.</t>
        </is>
      </c>
      <c r="T164" s="842" t="inlineStr">
        <is>
          <t>Extra free cash sent to repay Term Loan A after the required 1% payment is made.</t>
        </is>
      </c>
      <c r="U164" s="843" t="inlineStr">
        <is>
          <t>Required in this LBO to cut debt fast. Sweeping cash to debt is a main way the buyout wins.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46"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47" t="inlineStr">
        <is>
          <t>YES — OUTFLOW rule. NET + for the LBO. A full sweep is credit-positive: cash goes to debt, not dividends or idle cash.</t>
        </is>
      </c>
      <c r="T167" s="842" t="inlineStr">
        <is>
          <t>The share of leftover free cash that must go to debt paydown — here set to 100%.</t>
        </is>
      </c>
      <c r="U167" s="843" t="inlineStr">
        <is>
          <t>Required to define the paydown rule. 100% means almost all extra cash goes to loans, not dividends.</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45" t="inlineStr">
        <is>
          <t>YES — debt balance. NET + for equity as it declines, but less than TLA because most extra cash hits TLA first.</t>
        </is>
      </c>
      <c r="T170" s="842" t="inlineStr">
        <is>
          <t>Term Loan B starting balance — the next loan behind Term Loan A in repayment priority.</t>
        </is>
      </c>
      <c r="U170" s="843" t="inlineStr">
        <is>
          <t>Required to track the second loan. It gets the small required paydown while TLA takes most sweep cash.</t>
        </is>
      </c>
    </row>
    <row r="171" ht="88" customHeight="1" s="409">
      <c r="B171" s="498" t="inlineStr">
        <is>
          <t>Mandatory amortization $</t>
        </is>
      </c>
      <c r="F171" s="515">
        <f>$D$30*Assumptions_Drivers!$C$17</f>
        <v/>
      </c>
      <c r="G171" s="515">
        <f>$D$30*Assumptions_Drivers!$C$17</f>
        <v/>
      </c>
      <c r="H171" s="515">
        <f>$D$30*Assumptions_Drivers!$C$17</f>
        <v/>
      </c>
      <c r="I171" s="515">
        <f>$D$30*Assumptions_Drivers!$C$17</f>
        <v/>
      </c>
      <c r="J171" s="515">
        <f>$D$30*Assumptions_Drivers!$C$17</f>
        <v/>
      </c>
      <c r="L171" s="846"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47" t="inlineStr">
        <is>
          <t>YES — OUTFLOW of cash to TLB lenders. NET + for the LBO because it still reduces total debt each year.</t>
        </is>
      </c>
      <c r="T171" s="842" t="inlineStr">
        <is>
          <t>The fixed yearly amount lenders force you to repay on Term Loan B (1% of the original loan).</t>
        </is>
      </c>
      <c r="U171" s="843" t="inlineStr">
        <is>
          <t>Required by the loan contract. It reduces Term Loan B a little each year.</t>
        </is>
      </c>
    </row>
    <row r="172" ht="15" customHeight="1" s="409">
      <c r="B172" s="498" t="inlineStr">
        <is>
          <t>Cash sweep (paydown from excess cash flows)</t>
        </is>
      </c>
      <c r="F172" s="515" t="n">
        <v>0</v>
      </c>
      <c r="G172" s="515" t="n">
        <v>0</v>
      </c>
      <c r="H172" s="515" t="n">
        <v>0</v>
      </c>
      <c r="I172" s="515" t="n">
        <v>0</v>
      </c>
      <c r="J172" s="515" t="n">
        <v>0</v>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75"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47" t="inlineStr">
        <is>
          <t>YES — in Cash &amp; Debt (rows 177–181), $183.1m BOP. No amortization (bullet): $0 annual paydown; still pays interest (row 210). NET −.</t>
        </is>
      </c>
      <c r="T178" s="842" t="inlineStr">
        <is>
          <t>Senior Notes starting balance — bond-like debt that usually is not paid down a little each year.</t>
        </is>
      </c>
      <c r="U178" s="843" t="inlineStr">
        <is>
          <t>Required to track junior debt that mostly waits until exit or refinance, while still charging interest.</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F178-F179</f>
        <v/>
      </c>
      <c r="G180" s="614">
        <f>G178-G179</f>
        <v/>
      </c>
      <c r="H180" s="614">
        <f>H178-H179</f>
        <v/>
      </c>
      <c r="I180" s="614">
        <f>I178-I179</f>
        <v/>
      </c>
      <c r="J180" s="614">
        <f>J178-J179</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46"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47" t="inlineStr">
        <is>
          <t>YES — OUTFLOW of cash (interest). NET − for the LBO each year it is paid, but falling TLA makes this outflow smaller over time (good).</t>
        </is>
      </c>
      <c r="T208" s="842" t="inlineStr">
        <is>
          <t>Yearly interest cost on Term Loan A — the fee for borrowing that bank loan money.</t>
        </is>
      </c>
      <c r="U208" s="843" t="inlineStr">
        <is>
          <t>Required because interest is a real cash bill. As Term Loan A falls, this cost should fall too.</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46"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47" t="inlineStr">
        <is>
          <t>YES — OUTFLOW of cash (interest). NET − for the LBO. Higher rate than TLA, and the balance falls only slowly.</t>
        </is>
      </c>
      <c r="T209" s="842" t="inlineStr">
        <is>
          <t>Yearly interest cost on Term Loan B — usually a bit higher than Term Loan A.</t>
        </is>
      </c>
      <c r="U209" s="843" t="inlineStr">
        <is>
          <t>Required to capture the cash cost of the second loan. It stays painful until that balance shrinks.</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46"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47" t="inlineStr">
        <is>
          <t>YES — OUTFLOW of cash (interest). NET − for the LBO until exit or refinance clears the Notes.</t>
        </is>
      </c>
      <c r="T210" s="842" t="inlineStr">
        <is>
          <t>Yearly interest cost on the Senior Notes while that Notes balance stays outstanding.</t>
        </is>
      </c>
      <c r="U210" s="843" t="inlineStr">
        <is>
          <t>Required because Notes keep charging interest every year until exit or a refinance clears them.</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c r="L214" s="851" t="inlineStr">
        <is>
          <t>DEBT FIGURED OUT</t>
        </is>
      </c>
    </row>
    <row r="215" ht="28" customHeight="1" s="409">
      <c r="B215" s="852" t="inlineStr">
        <is>
          <t>EXIT VALUATION — DEBT FIGURED OUT (from Cash &amp; Debt Y5 EOP)</t>
        </is>
      </c>
      <c r="L215" s="830" t="inlineStr">
        <is>
          <t>Net debt at exit pulls Cash &amp; Debt year-5 ending balances (revolver / TLA / TLB / Notes / cash). Equity value = Exit EV − net debt.</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853" t="inlineStr">
        <is>
          <t>Net debt: (DEBT FIGURED OUT ← Cash &amp; Debt Y5)</t>
        </is>
      </c>
      <c r="F221" s="510" t="n"/>
    </row>
    <row r="222" ht="15" customHeight="1" s="409">
      <c r="B222" s="574" t="inlineStr">
        <is>
          <t>Revolver</t>
        </is>
      </c>
      <c r="F222" s="733">
        <f>$J$157</f>
        <v/>
      </c>
      <c r="G222" s="733">
        <f>$J$157</f>
        <v/>
      </c>
      <c r="H222" s="733">
        <f>$J$157</f>
        <v/>
      </c>
      <c r="I222" s="733">
        <f>$J$157</f>
        <v/>
      </c>
      <c r="J222" s="733">
        <f>$J$157</f>
        <v/>
      </c>
    </row>
    <row r="223" ht="15" customHeight="1" s="409">
      <c r="B223" s="574" t="inlineStr">
        <is>
          <t>Term Loan A</t>
        </is>
      </c>
      <c r="F223" s="733">
        <f>$J$165</f>
        <v/>
      </c>
      <c r="G223" s="733">
        <f>$J$165</f>
        <v/>
      </c>
      <c r="H223" s="733">
        <f>$J$165</f>
        <v/>
      </c>
      <c r="I223" s="733">
        <f>$J$165</f>
        <v/>
      </c>
      <c r="J223" s="733">
        <f>$J$165</f>
        <v/>
      </c>
    </row>
    <row r="224" ht="15" customHeight="1" s="409">
      <c r="B224" s="574" t="inlineStr">
        <is>
          <t>Term Loan B</t>
        </is>
      </c>
      <c r="F224" s="733">
        <f>$J$173</f>
        <v/>
      </c>
      <c r="G224" s="733">
        <f>$J$173</f>
        <v/>
      </c>
      <c r="H224" s="733">
        <f>$J$173</f>
        <v/>
      </c>
      <c r="I224" s="733">
        <f>$J$173</f>
        <v/>
      </c>
      <c r="J224" s="733">
        <f>$J$173</f>
        <v/>
      </c>
    </row>
    <row r="225" ht="15" customHeight="1" s="409">
      <c r="B225" s="574" t="inlineStr">
        <is>
          <t>Senior Note</t>
        </is>
      </c>
      <c r="E225" s="555" t="n"/>
      <c r="F225" s="733">
        <f>$J$180</f>
        <v/>
      </c>
      <c r="G225" s="733">
        <f>$J$180</f>
        <v/>
      </c>
      <c r="H225" s="733">
        <f>$J$180</f>
        <v/>
      </c>
      <c r="I225" s="733">
        <f>$J$180</f>
        <v/>
      </c>
      <c r="J225" s="733">
        <f>$J$180</f>
        <v/>
      </c>
    </row>
    <row r="226" ht="15" customHeight="1" s="409">
      <c r="B226" s="574" t="inlineStr">
        <is>
          <t>Sub Note</t>
        </is>
      </c>
      <c r="E226" s="617" t="n"/>
      <c r="F226" s="733" t="n">
        <v>0</v>
      </c>
      <c r="G226" s="733" t="n">
        <v>0</v>
      </c>
      <c r="H226" s="733" t="n">
        <v>0</v>
      </c>
      <c r="I226" s="733" t="n">
        <v>0</v>
      </c>
      <c r="J226" s="733" t="n">
        <v>0</v>
      </c>
    </row>
    <row r="227" ht="15" customHeight="1" s="409">
      <c r="B227" s="574" t="inlineStr">
        <is>
          <t>Pref. stock</t>
        </is>
      </c>
      <c r="E227" s="617" t="n"/>
      <c r="F227" s="733" t="n">
        <v>0</v>
      </c>
      <c r="G227" s="733" t="n">
        <v>0</v>
      </c>
      <c r="H227" s="733" t="n">
        <v>0</v>
      </c>
      <c r="I227" s="733" t="n">
        <v>0</v>
      </c>
      <c r="J227" s="733" t="n">
        <v>0</v>
      </c>
    </row>
    <row r="228" ht="15" customHeight="1" s="409">
      <c r="B228" s="574" t="inlineStr">
        <is>
          <t>Cash</t>
        </is>
      </c>
      <c r="F228" s="733">
        <f>-$J$144</f>
        <v/>
      </c>
      <c r="G228" s="733">
        <f>-$J$144</f>
        <v/>
      </c>
      <c r="H228" s="733">
        <f>-$J$144</f>
        <v/>
      </c>
      <c r="I228" s="733">
        <f>-$J$144</f>
        <v/>
      </c>
      <c r="J228" s="733">
        <f>-$J$144</f>
        <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5">
    <mergeCell ref="F302:J302"/>
    <mergeCell ref="G321:I321"/>
    <mergeCell ref="D291:J291"/>
    <mergeCell ref="D290:J290"/>
    <mergeCell ref="D300:J300"/>
    <mergeCell ref="Q141:S141"/>
    <mergeCell ref="D310:J310"/>
    <mergeCell ref="L215:N216"/>
    <mergeCell ref="F292:J292"/>
    <mergeCell ref="L214:N214"/>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2026-08-17T16:42:26Z</dcterms:modified>
  <cp:revision>0</cp:revision>
</cp:coreProperties>
</file>