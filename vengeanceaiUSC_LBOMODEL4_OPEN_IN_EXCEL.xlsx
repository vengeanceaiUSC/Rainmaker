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95">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48" customHeight="1" s="409">
      <c r="B279" s="882" t="inlineStr">
        <is>
          <t>FIXED: B281:J288 was partly GTM Actual ($5.0625/307.294/14.78x) but E:J offer-at-hurdle grid was stale BMC (implied you could pay ~$5.22 at 30% IRR). Live AI IRR at GTM offer is ~17% (J275) — does NOT clear 33%. E:J now = max offer such that MOIC^(1/5)-1 equals hurdle, using exit equity H262 and D35=1.02×Offer+D21+H33−SUM(D27:D34).</t>
        </is>
      </c>
      <c r="C279" s="648" t="n"/>
      <c r="D279" s="648" t="n"/>
      <c r="E279" s="649" t="n"/>
      <c r="F279" s="648" t="n"/>
      <c r="G279" s="648" t="n"/>
      <c r="H279" s="648" t="n"/>
    </row>
    <row r="280" ht="30" customHeight="1" s="409">
      <c r="B280" s="541" t="n"/>
      <c r="C280" s="883" t="inlineStr">
        <is>
          <t>Actual (GTM live)</t>
        </is>
      </c>
      <c r="E280" s="884" t="inlineStr">
        <is>
          <t>Max offer/share at hurdle IRR (GTM math — was stale BMC). Holds AI exit equity H262 @12.9x fixed.</t>
        </is>
      </c>
      <c r="F280" s="652" t="n"/>
      <c r="G280" s="652" t="n"/>
      <c r="H280" s="652" t="n"/>
      <c r="I280" s="652" t="n"/>
      <c r="J280" s="653" t="n"/>
    </row>
    <row r="281" ht="15" customHeight="1" s="409">
      <c r="B281" s="408" t="inlineStr">
        <is>
          <t>IRR at this offer (AI case) / Hurdle rates →</t>
        </is>
      </c>
      <c r="C281" s="885">
        <f>J275</f>
        <v/>
      </c>
      <c r="E281" s="886" t="n">
        <v>0.15</v>
      </c>
      <c r="F281" s="887" t="n">
        <v>0.2</v>
      </c>
      <c r="G281" s="887" t="n">
        <v>0.25</v>
      </c>
      <c r="H281" s="887" t="n">
        <v>0.3</v>
      </c>
      <c r="I281" s="887" t="n">
        <v>0.35</v>
      </c>
      <c r="J281" s="888" t="n">
        <v>0.4</v>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15" customHeight="1" s="409">
      <c r="B286" s="525" t="n"/>
      <c r="C286" s="672" t="n"/>
      <c r="E286" s="673" t="n"/>
      <c r="F286" s="674" t="n"/>
      <c r="G286" s="674" t="n"/>
      <c r="H286" s="674" t="n"/>
      <c r="I286" s="674" t="n"/>
      <c r="J286" s="675" t="n"/>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2026-08-17T17:31:23Z</dcterms:modified>
  <cp:revision>0</cp:revision>
</cp:coreProperties>
</file>