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3">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 numFmtId="196" formatCode="#,##0.000"/>
  </numFmts>
  <fonts count="103">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
      <color rgb="001F4E79"/>
      <sz val="9"/>
    </font>
    <font>
      <b val="1"/>
      <color rgb="009C0006"/>
      <sz val="9"/>
    </font>
    <font>
      <b val="1"/>
      <color rgb="00006100"/>
      <sz val="9"/>
    </font>
    <font>
      <b val="1"/>
      <i val="1"/>
      <color rgb="009C0006"/>
      <sz val="9"/>
    </font>
    <font>
      <b val="1"/>
      <color rgb="00006100"/>
      <sz val="14"/>
    </font>
    <font>
      <b val="1"/>
      <color rgb="00FFFFFF"/>
      <sz val="16"/>
    </font>
    <font>
      <b val="1"/>
      <color rgb="00006100"/>
      <sz val="11"/>
    </font>
    <font>
      <color rgb="001F4E79"/>
      <sz val="10"/>
    </font>
    <font>
      <b val="1"/>
      <color rgb="009C0006"/>
      <sz val="10"/>
    </font>
    <font>
      <b val="1"/>
      <color rgb="00C00000"/>
      <sz val="11"/>
    </font>
    <font>
      <i val="1"/>
      <color rgb="00808080"/>
      <sz val="9"/>
    </font>
    <font>
      <b val="1"/>
      <color rgb="00006100"/>
      <sz val="10"/>
    </font>
    <font>
      <b val="1"/>
      <sz val="10"/>
    </font>
    <font>
      <b val="1"/>
      <color rgb="001F4E79"/>
      <sz val="10"/>
    </font>
    <font>
      <b val="1"/>
      <color rgb="00C00000"/>
      <sz val="9"/>
    </font>
    <font>
      <i val="1"/>
      <color rgb="001F4E79"/>
      <sz val="9"/>
    </font>
    <font>
      <b val="1"/>
      <color rgb="001F4E79"/>
      <sz val="9"/>
    </font>
    <font>
      <color rgb="00C00000"/>
      <sz val="9"/>
    </font>
    <font>
      <b val="1"/>
      <color rgb="001F4E79"/>
    </font>
    <font>
      <i val="1"/>
      <color rgb="00808080"/>
    </font>
    <font>
      <b val="1"/>
      <color rgb="00C00000"/>
      <sz val="10"/>
    </font>
    <font>
      <b val="1"/>
      <color rgb="00006600"/>
      <sz val="10"/>
    </font>
    <font>
      <b val="1"/>
    </font>
    <font>
      <b val="1"/>
      <color rgb="00006600"/>
      <sz val="9"/>
    </font>
  </fonts>
  <fills count="30">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
      <patternFill patternType="solid">
        <fgColor rgb="00FCE4EC"/>
      </patternFill>
    </fill>
    <fill>
      <patternFill patternType="solid">
        <fgColor rgb="00E8F5E9"/>
      </patternFill>
    </fill>
    <fill>
      <patternFill patternType="solid">
        <fgColor rgb="00006100"/>
      </patternFill>
    </fill>
    <fill>
      <patternFill patternType="solid">
        <fgColor rgb="00A9D08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2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xf numFmtId="0" fontId="82" fillId="0" borderId="0" applyAlignment="1" pivotButton="0" quotePrefix="0" xfId="0">
      <alignment wrapText="1"/>
    </xf>
    <xf numFmtId="0" fontId="79" fillId="20" borderId="21" applyAlignment="1" pivotButton="0" quotePrefix="0" xfId="0">
      <alignment vertical="top" wrapText="1"/>
    </xf>
    <xf numFmtId="0" fontId="62" fillId="26" borderId="21" applyAlignment="1" pivotButton="0" quotePrefix="0" xfId="0">
      <alignment vertical="top" wrapText="1"/>
    </xf>
    <xf numFmtId="0" fontId="80" fillId="22" borderId="21" applyAlignment="1" pivotButton="0" quotePrefix="0" xfId="0">
      <alignment vertical="top" wrapText="1"/>
    </xf>
    <xf numFmtId="0" fontId="62" fillId="27" borderId="21" applyAlignment="1" pivotButton="0" quotePrefix="0" xfId="0">
      <alignment vertical="top" wrapText="1"/>
    </xf>
    <xf numFmtId="0" fontId="81" fillId="19" borderId="21" applyAlignment="1" pivotButton="0" quotePrefix="0" xfId="0">
      <alignment vertical="top" wrapText="1"/>
    </xf>
    <xf numFmtId="0" fontId="62" fillId="19" borderId="21" applyAlignment="1" pivotButton="0" quotePrefix="0" xfId="0">
      <alignment vertical="top" wrapText="1"/>
    </xf>
    <xf numFmtId="0" fontId="84" fillId="28" borderId="0" applyAlignment="1" pivotButton="0" quotePrefix="0" xfId="0">
      <alignment horizontal="center" vertical="center"/>
    </xf>
    <xf numFmtId="0" fontId="83" fillId="19" borderId="0" applyAlignment="1" pivotButton="0" quotePrefix="0" xfId="0">
      <alignment vertical="center" wrapText="1"/>
    </xf>
    <xf numFmtId="0" fontId="85" fillId="0" borderId="0" applyAlignment="1" pivotButton="0" quotePrefix="0" xfId="0">
      <alignment horizontal="left" vertical="bottom" indent="1"/>
    </xf>
    <xf numFmtId="0" fontId="88" fillId="26" borderId="0" applyAlignment="1" pivotButton="0" quotePrefix="0" xfId="0">
      <alignment wrapText="1"/>
    </xf>
    <xf numFmtId="0" fontId="87" fillId="0" borderId="0" applyAlignment="1" pivotButton="0" quotePrefix="0" xfId="0">
      <alignment horizontal="left" vertical="bottom"/>
    </xf>
    <xf numFmtId="0" fontId="86" fillId="17" borderId="0" applyAlignment="1" pivotButton="0" quotePrefix="0" xfId="0">
      <alignment vertical="top" wrapText="1"/>
    </xf>
    <xf numFmtId="0" fontId="89" fillId="0" borderId="0" applyAlignment="1" pivotButton="0" quotePrefix="0" xfId="0">
      <alignment horizontal="left" vertical="bottom"/>
    </xf>
    <xf numFmtId="0" fontId="90" fillId="19" borderId="0" applyAlignment="1" pivotButton="0" quotePrefix="0" xfId="0">
      <alignment vertical="top" wrapText="1"/>
    </xf>
    <xf numFmtId="0" fontId="78" fillId="15" borderId="0" applyAlignment="1" pivotButton="0" quotePrefix="0" xfId="0">
      <alignment vertical="top" wrapText="1"/>
    </xf>
    <xf numFmtId="9" fontId="78" fillId="15" borderId="0" applyAlignment="1" pivotButton="0" quotePrefix="0" xfId="0">
      <alignment vertical="top" wrapText="1"/>
    </xf>
    <xf numFmtId="174" fontId="78" fillId="15" borderId="0" applyAlignment="1" pivotButton="0" quotePrefix="0" xfId="0">
      <alignment vertical="top" wrapText="1"/>
    </xf>
    <xf numFmtId="0" fontId="62" fillId="17" borderId="0" applyAlignment="1" pivotButton="0" quotePrefix="0" xfId="0">
      <alignment vertical="top" wrapText="1"/>
    </xf>
    <xf numFmtId="165" fontId="0" fillId="16" borderId="21" applyAlignment="1" pivotButton="0" quotePrefix="0" xfId="0">
      <alignment horizontal="left" vertical="bottom" indent="1"/>
    </xf>
    <xf numFmtId="2" fontId="0" fillId="16" borderId="21" applyAlignment="1" pivotButton="0" quotePrefix="0" xfId="0">
      <alignment horizontal="center" vertical="bottom"/>
    </xf>
    <xf numFmtId="164" fontId="0" fillId="16" borderId="21" applyAlignment="1" pivotButton="0" quotePrefix="0" xfId="0">
      <alignment horizontal="center" vertical="bottom"/>
    </xf>
    <xf numFmtId="166" fontId="0" fillId="16" borderId="21" applyAlignment="1" pivotButton="0" quotePrefix="0" xfId="0">
      <alignment horizontal="general" vertical="bottom"/>
    </xf>
    <xf numFmtId="166" fontId="34" fillId="16" borderId="21" applyAlignment="1" pivotButton="0" quotePrefix="0" xfId="0">
      <alignment horizontal="general" vertical="bottom"/>
    </xf>
    <xf numFmtId="175" fontId="34" fillId="16" borderId="21" applyAlignment="1" pivotButton="0" quotePrefix="0" xfId="0">
      <alignment horizontal="general" vertical="bottom"/>
    </xf>
    <xf numFmtId="166" fontId="36" fillId="16" borderId="21" applyAlignment="1" pivotButton="0" quotePrefix="0" xfId="0">
      <alignment horizontal="general" vertical="bottom"/>
    </xf>
    <xf numFmtId="175" fontId="0" fillId="16" borderId="21" applyAlignment="1" pivotButton="0" quotePrefix="0" xfId="0">
      <alignment horizontal="general" vertical="bottom"/>
    </xf>
    <xf numFmtId="165" fontId="0" fillId="29" borderId="21" applyAlignment="1" pivotButton="0" quotePrefix="0" xfId="0">
      <alignment horizontal="left" vertical="bottom" indent="1"/>
    </xf>
    <xf numFmtId="2" fontId="0" fillId="29" borderId="21" applyAlignment="1" pivotButton="0" quotePrefix="0" xfId="0">
      <alignment horizontal="center" vertical="bottom"/>
    </xf>
    <xf numFmtId="164" fontId="0" fillId="29" borderId="21" applyAlignment="1" pivotButton="0" quotePrefix="0" xfId="0">
      <alignment horizontal="center" vertical="bottom"/>
    </xf>
    <xf numFmtId="166" fontId="0" fillId="29" borderId="21" applyAlignment="1" pivotButton="0" quotePrefix="0" xfId="0">
      <alignment horizontal="general" vertical="bottom"/>
    </xf>
    <xf numFmtId="175" fontId="0" fillId="29" borderId="21" applyAlignment="1" pivotButton="0" quotePrefix="0" xfId="0">
      <alignment horizontal="general" vertical="bottom"/>
    </xf>
    <xf numFmtId="166" fontId="36" fillId="29" borderId="21" applyAlignment="1" pivotButton="0" quotePrefix="0" xfId="0">
      <alignment horizontal="general" vertical="bottom"/>
    </xf>
    <xf numFmtId="0" fontId="91" fillId="0" borderId="5" applyAlignment="1" pivotButton="0" quotePrefix="0" xfId="0">
      <alignment horizontal="general" vertical="bottom"/>
    </xf>
    <xf numFmtId="174" fontId="91" fillId="15" borderId="0" applyAlignment="1" pivotButton="0" quotePrefix="0" xfId="0">
      <alignment vertical="top" wrapText="1"/>
    </xf>
    <xf numFmtId="174" fontId="92" fillId="15" borderId="0" applyAlignment="1" pivotButton="0" quotePrefix="0" xfId="0">
      <alignment vertical="top" wrapText="1"/>
    </xf>
    <xf numFmtId="0" fontId="79" fillId="17" borderId="0" applyAlignment="1" pivotButton="0" quotePrefix="0" xfId="0">
      <alignment vertical="top" wrapText="1"/>
    </xf>
    <xf numFmtId="175" fontId="79" fillId="16" borderId="21" applyAlignment="1" pivotButton="0" quotePrefix="0" xfId="0">
      <alignment vertical="top" wrapText="1"/>
    </xf>
    <xf numFmtId="0" fontId="94" fillId="0" borderId="0" applyAlignment="1" pivotButton="0" quotePrefix="0" xfId="0">
      <alignment wrapText="1"/>
    </xf>
    <xf numFmtId="0" fontId="91" fillId="0" borderId="4" applyAlignment="1" pivotButton="0" quotePrefix="0" xfId="0">
      <alignment horizontal="center" vertical="bottom"/>
    </xf>
    <xf numFmtId="0" fontId="93" fillId="0" borderId="15" applyAlignment="1" pivotButton="0" quotePrefix="0" xfId="0">
      <alignment wrapText="1"/>
    </xf>
    <xf numFmtId="164" fontId="0" fillId="0" borderId="16" applyAlignment="1" pivotButton="0" quotePrefix="0" xfId="0">
      <alignment horizontal="center" vertical="bottom"/>
    </xf>
    <xf numFmtId="9" fontId="34" fillId="0" borderId="7" applyAlignment="1" pivotButton="0" quotePrefix="0" xfId="0">
      <alignment horizontal="general" vertical="bottom"/>
    </xf>
    <xf numFmtId="9" fontId="0" fillId="0" borderId="8" applyAlignment="1" pivotButton="0" quotePrefix="0" xfId="0">
      <alignment horizontal="general" vertical="bottom"/>
    </xf>
    <xf numFmtId="9" fontId="0" fillId="0" borderId="9" applyAlignment="1" pivotButton="0" quotePrefix="0" xfId="0">
      <alignment horizontal="general" vertical="bottom"/>
    </xf>
    <xf numFmtId="196" fontId="0" fillId="0" borderId="16" applyAlignment="1" pivotButton="0" quotePrefix="0" xfId="0">
      <alignment horizontal="center" vertical="bottom"/>
    </xf>
    <xf numFmtId="196" fontId="0" fillId="0" borderId="10" applyAlignment="1" pivotButton="0" quotePrefix="0" xfId="0">
      <alignment horizontal="general" vertical="bottom"/>
    </xf>
    <xf numFmtId="196" fontId="0" fillId="0" borderId="0" applyAlignment="1" pivotButton="0" quotePrefix="0" xfId="0">
      <alignment horizontal="general" vertical="bottom"/>
    </xf>
    <xf numFmtId="196" fontId="0" fillId="0" borderId="11" applyAlignment="1" pivotButton="0" quotePrefix="0" xfId="0">
      <alignment horizontal="general" vertical="bottom"/>
    </xf>
    <xf numFmtId="191" fontId="0" fillId="0" borderId="10" applyAlignment="1" pivotButton="0" quotePrefix="0" xfId="0">
      <alignment horizontal="general" vertical="bottom"/>
    </xf>
    <xf numFmtId="191" fontId="0" fillId="0" borderId="11" applyAlignment="1" pivotButton="0" quotePrefix="0" xfId="0">
      <alignment horizontal="general" vertical="bottom"/>
    </xf>
    <xf numFmtId="0" fontId="91" fillId="0" borderId="0" applyAlignment="1" pivotButton="0" quotePrefix="0" xfId="0">
      <alignment horizontal="general" vertical="bottom"/>
    </xf>
    <xf numFmtId="0" fontId="95" fillId="0" borderId="0" applyAlignment="1" pivotButton="0" quotePrefix="0" xfId="0">
      <alignment vertical="center" wrapText="1"/>
    </xf>
    <xf numFmtId="0" fontId="93" fillId="0" borderId="0" applyAlignment="1" pivotButton="0" quotePrefix="0" xfId="0">
      <alignment horizontal="right"/>
    </xf>
    <xf numFmtId="0" fontId="92" fillId="0" borderId="0" applyAlignment="1" pivotButton="0" quotePrefix="0" xfId="0">
      <alignment horizontal="left" vertical="bottom" indent="1"/>
    </xf>
    <xf numFmtId="0" fontId="79" fillId="0" borderId="16" applyAlignment="1" pivotButton="0" quotePrefix="0" xfId="0">
      <alignment vertical="center" wrapText="1"/>
    </xf>
    <xf numFmtId="2" fontId="0" fillId="0" borderId="0" applyAlignment="1" pivotButton="0" quotePrefix="0" xfId="0">
      <alignment horizontal="center" vertical="bottom"/>
    </xf>
    <xf numFmtId="0" fontId="64" fillId="0" borderId="0" applyAlignment="1" pivotButton="0" quotePrefix="0" xfId="0">
      <alignment wrapText="1"/>
    </xf>
    <xf numFmtId="0" fontId="96" fillId="0" borderId="0" applyAlignment="1" pivotButton="0" quotePrefix="0" xfId="0">
      <alignment wrapText="1"/>
    </xf>
    <xf numFmtId="0" fontId="95" fillId="0" borderId="0" applyAlignment="1" pivotButton="0" quotePrefix="0" xfId="0">
      <alignment wrapText="1"/>
    </xf>
    <xf numFmtId="0" fontId="96" fillId="26" borderId="21" applyAlignment="1" pivotButton="0" quotePrefix="0" xfId="0">
      <alignment wrapText="1"/>
    </xf>
    <xf numFmtId="0" fontId="99" fillId="0" borderId="0" pivotButton="0" quotePrefix="0" xfId="0"/>
    <xf numFmtId="164" fontId="33" fillId="0" borderId="17" applyAlignment="1" pivotButton="0" quotePrefix="0" xfId="0">
      <alignment horizontal="left" vertical="bottom"/>
    </xf>
    <xf numFmtId="0" fontId="64" fillId="0" borderId="0" applyAlignment="1" pivotButton="0" quotePrefix="0" xfId="0">
      <alignment horizontal="center" vertical="bottom"/>
    </xf>
    <xf numFmtId="164" fontId="97" fillId="0" borderId="0" applyAlignment="1" pivotButton="0" quotePrefix="0" xfId="0">
      <alignment horizontal="general" vertical="bottom"/>
    </xf>
    <xf numFmtId="0" fontId="79" fillId="17" borderId="0" applyAlignment="1" pivotButton="0" quotePrefix="0" xfId="0">
      <alignment wrapText="1"/>
    </xf>
    <xf numFmtId="177" fontId="98" fillId="0" borderId="0" applyAlignment="1" pivotButton="0" quotePrefix="0" xfId="0">
      <alignment horizontal="general" vertical="bottom"/>
    </xf>
    <xf numFmtId="0" fontId="64" fillId="0" borderId="0" applyAlignment="1" pivotButton="0" quotePrefix="0" xfId="0">
      <alignment horizontal="right" vertical="center" wrapText="1"/>
    </xf>
    <xf numFmtId="0" fontId="95" fillId="0" borderId="0" pivotButton="0" quotePrefix="0" xfId="0"/>
    <xf numFmtId="0" fontId="64" fillId="0" borderId="5" applyAlignment="1" pivotButton="0" quotePrefix="0" xfId="0">
      <alignment horizontal="center" vertical="bottom"/>
    </xf>
    <xf numFmtId="0" fontId="100" fillId="0" borderId="0" pivotButton="0" quotePrefix="0" xfId="0"/>
    <xf numFmtId="0" fontId="92" fillId="0" borderId="5" applyAlignment="1" pivotButton="0" quotePrefix="0" xfId="0">
      <alignment horizontal="center" vertical="bottom"/>
    </xf>
    <xf numFmtId="0" fontId="79" fillId="0" borderId="0" applyAlignment="1" pivotButton="0" quotePrefix="0" xfId="0">
      <alignment wrapText="1"/>
    </xf>
    <xf numFmtId="0" fontId="92" fillId="0" borderId="0" applyAlignment="1" pivotButton="0" quotePrefix="0" xfId="0">
      <alignment horizontal="center" vertical="bottom"/>
    </xf>
    <xf numFmtId="165" fontId="101" fillId="0" borderId="0" applyAlignment="1" pivotButton="0" quotePrefix="0" xfId="0">
      <alignment horizontal="general" vertical="bottom"/>
    </xf>
    <xf numFmtId="2" fontId="101" fillId="0" borderId="0" applyAlignment="1" pivotButton="0" quotePrefix="0" xfId="0">
      <alignment horizontal="general" vertical="bottom"/>
    </xf>
    <xf numFmtId="164" fontId="98" fillId="0" borderId="21" applyAlignment="1" pivotButton="0" quotePrefix="0" xfId="0">
      <alignment horizontal="general" vertical="bottom"/>
    </xf>
    <xf numFmtId="2" fontId="101" fillId="0" borderId="0" applyAlignment="1" pivotButton="0" quotePrefix="0" xfId="0">
      <alignment horizontal="right" vertical="bottom"/>
    </xf>
    <xf numFmtId="191" fontId="101" fillId="0" borderId="0" applyAlignment="1" pivotButton="0" quotePrefix="0" xfId="0">
      <alignment horizontal="general" vertical="bottom"/>
    </xf>
    <xf numFmtId="164" fontId="0" fillId="0" borderId="21" applyAlignment="1" pivotButton="0" quotePrefix="0" xfId="0">
      <alignment horizontal="general" vertical="bottom"/>
    </xf>
    <xf numFmtId="191" fontId="101" fillId="0" borderId="0" applyAlignment="1" pivotButton="0" quotePrefix="0" xfId="0">
      <alignment horizontal="right" vertical="bottom"/>
    </xf>
    <xf numFmtId="191" fontId="101" fillId="19" borderId="0" applyAlignment="1" pivotButton="0" quotePrefix="0" xfId="0">
      <alignment horizontal="right" vertical="bottom"/>
    </xf>
    <xf numFmtId="0" fontId="102" fillId="0" borderId="0" pivotButton="0" quotePrefix="0" xfId="0"/>
    <xf numFmtId="9" fontId="33" fillId="0" borderId="0" applyAlignment="1" pivotButton="0" quotePrefix="0" xfId="0">
      <alignment horizontal="general" vertical="bottom"/>
    </xf>
    <xf numFmtId="9" fontId="32" fillId="0" borderId="0" applyAlignment="1" pivotButton="0" quotePrefix="0" xfId="0">
      <alignment horizontal="righ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f>Base_Operating!H13</f>
        <v/>
      </c>
      <c r="D33" s="456">
        <f>AI_Operating!H13</f>
        <v/>
      </c>
      <c r="E33" s="456" t="n">
        <v>136.45536591733</v>
      </c>
      <c r="F33" s="455" t="inlineStr">
        <is>
          <t>Year 5 EBITDA; AI-driven cost savings (with $34m AI infra) boosted this to $477.4m vs Base $212.2m.</t>
        </is>
      </c>
    </row>
    <row r="34" ht="42" customHeight="1" s="409">
      <c r="B34" s="448" t="inlineStr">
        <is>
          <t>Exit EV @ 12.9x ($m)</t>
        </is>
      </c>
      <c r="C34" s="456">
        <f>C33*C22</f>
        <v/>
      </c>
      <c r="D34" s="456">
        <f>D33*C22</f>
        <v/>
      </c>
      <c r="E34" s="456" t="n">
        <v>1760.27422033356</v>
      </c>
      <c r="F34" s="455" t="inlineStr">
        <is>
          <t>Projected exit EV; higher EBITDA from AI increased this valuation by $3,447.4m to $6,206.2m.</t>
        </is>
      </c>
    </row>
    <row r="35" ht="42" customHeight="1" s="409">
      <c r="B35" s="448" t="inlineStr">
        <is>
          <t>Exit net debt ($m)</t>
        </is>
      </c>
      <c r="C35" s="456">
        <f>Base_Operating!H24</f>
        <v/>
      </c>
      <c r="D35" s="456">
        <f>Debt_Sweep_AI!F9</f>
        <v/>
      </c>
      <c r="E35" s="456" t="n">
        <v>-480.779932020604</v>
      </c>
      <c r="F35" s="455" t="inlineStr">
        <is>
          <t>Remaining debt at exit; AI case $6.4m vs Base $487.1m.</t>
        </is>
      </c>
    </row>
    <row r="36" ht="42" customHeight="1" s="409">
      <c r="B36" s="448" t="inlineStr">
        <is>
          <t>Exit equity value ($m)</t>
        </is>
      </c>
      <c r="C36" s="456">
        <f>C34-C35</f>
        <v/>
      </c>
      <c r="D36" s="456">
        <f>D34-D35</f>
        <v/>
      </c>
      <c r="E36" s="456" t="n">
        <v>2241.05415235416</v>
      </c>
      <c r="F36" s="455" t="inlineStr">
        <is>
          <t>Total equity payout; AI strategy changed final payout by $2,241.1m to $4,102.8m (exit 12.9x).</t>
        </is>
      </c>
    </row>
    <row r="37" ht="42" customHeight="1" s="409">
      <c r="B37" s="448" t="inlineStr">
        <is>
          <t>MOIC</t>
        </is>
      </c>
      <c r="C37" s="457">
        <f>IF(C20=0,"NM",C36/C20)</f>
        <v/>
      </c>
      <c r="D37" s="457">
        <f>IF(C20=0,"NM",D36/C20)</f>
        <v/>
      </c>
      <c r="E37" s="457">
        <f>IF(OR(D37="NM",C37="NM"),"NM",D37-C37)</f>
        <v/>
      </c>
      <c r="F37" s="455" t="inlineStr">
        <is>
          <t>MOIC = Exit equity D36 ÷ sponsor equity C20 (~$1,884m). AI exit equity from EV@12.9x − Debt_Sweep_AI Y5 debt.</t>
        </is>
      </c>
    </row>
    <row r="38" ht="42" customHeight="1" s="409">
      <c r="B38" s="448" t="inlineStr">
        <is>
          <t>IRR</t>
        </is>
      </c>
      <c r="C38" s="454">
        <f>IF(OR(C37="NM",C37&lt;=0),"NM",C37^(1/5)-1)</f>
        <v/>
      </c>
      <c r="D38" s="454">
        <f>IF(OR(D37="NM",D37&lt;=0),"NM",D37^(1/5)-1)</f>
        <v/>
      </c>
      <c r="E38" s="454">
        <f>IF(OR(D38="NM",C38="NM"),"NM",D38-C38)</f>
        <v/>
      </c>
      <c r="F38" s="455" t="inlineStr">
        <is>
          <t>5-year IRR from Strategy_Summary exit equity (Debt_Sweep_AI path). Matches ~17% when exit net debt ≈ $6.4m.</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(D38) − Base IRR (C38) = IRR points from AI-driven S&amp;M reduction.</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42" customWidth="1" style="409" min="9" max="9"/>
    <col width="48" customWidth="1" style="408" min="11" max="11"/>
    <col width="52"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(OUTFLOWS IN RED)")</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44" t="inlineStr">
        <is>
          <t>COLOR KEY: RED = cash OUTFLOW · GREEN = cash INFLOW · BLUE = not a cash-flow line (balance/idle). Outflows stay red even if NET + for the LBO.</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45"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46"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47"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48"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49"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70"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c r="L153" s="848" t="inlineStr">
        <is>
          <t>+5% sales-driven. Equals FCF when cash sits at minimum (F151=0). Y1 ≈ $123 → then split to mand + sweep.</t>
        </is>
      </c>
      <c r="O153" s="850" t="inlineStr">
        <is>
          <t>F153 is the full $123 cash pool. F164 is only the leftover after mandatory TLA+TLB paydowns (~$7.3), swept to TLA.</t>
        </is>
      </c>
      <c r="P153" s="849" t="inlineStr">
        <is>
          <t>YES — INFLOW pool ≈ $123 FCF (excess BOP $0). Split next: ~$4.6 TLA mand (163) + ~$2.7 TLB mand (171) + ~$115.7 TLA sweep (164).</t>
        </is>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45"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45"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MIN(F162,$D$29*Assumptions_Drivers!$C$17)</f>
        <v/>
      </c>
      <c r="G163" s="515">
        <f>MIN(G162,$D$29*Assumptions_Drivers!$C$17)</f>
        <v/>
      </c>
      <c r="H163" s="515">
        <f>MIN(H162,$D$29*Assumptions_Drivers!$C$17)</f>
        <v/>
      </c>
      <c r="I163" s="515">
        <f>MIN(I162,$D$29*Assumptions_Drivers!$C$17)</f>
        <v/>
      </c>
      <c r="J163" s="515">
        <f>MIN(J162,$D$29*Assumptions_Drivers!$C$17)</f>
        <v/>
      </c>
      <c r="L163" s="904" t="inlineStr">
        <is>
          <t>FIXED: Mandatory amort = MIN(BOP, 1%×original) so repaid TLA does not create phantom mand that blocks TLB/Notes sweep.</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47"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75" customHeight="1" s="409">
      <c r="B164" s="498" t="inlineStr">
        <is>
          <t>Cash sweep (paydown from excess cash flows)</t>
        </is>
      </c>
      <c r="F164" s="733">
        <f>MIN(MAX(0,AI_Operating!D21-F163-F171)*Assumptions_Drivers!$C$18,MAX(0,F162-F163))</f>
        <v/>
      </c>
      <c r="G164" s="733">
        <f>MIN(MAX(0,AI_Operating!E21-G163-G171)*Assumptions_Drivers!$C$18,MAX(0,G162-G163))</f>
        <v/>
      </c>
      <c r="H164" s="733">
        <f>MIN(MAX(0,AI_Operating!F21-H163-H171)*Assumptions_Drivers!$C$18,MAX(0,H162-H163))</f>
        <v/>
      </c>
      <c r="I164" s="733">
        <f>MIN(MAX(0,AI_Operating!G21-I163-I171)*Assumptions_Drivers!$C$18,MAX(0,I162-I163))</f>
        <v/>
      </c>
      <c r="J164" s="733">
        <f>MIN(MAX(0,AI_Operating!H21-J163-J171)*Assumptions_Drivers!$C$18,MAX(0,J162-J163))</f>
        <v/>
      </c>
      <c r="L164" s="846"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47" t="inlineStr">
        <is>
          <t>YES — OUTFLOW. From $123 FCF: $4.6→TLA 1% mand, $2.7→TLB 1% mand, $115.7→TLA cash sweep (164). Notes get $0 amort.</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46"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47"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45"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MIN(F170,$D$30*Assumptions_Drivers!$C$17)</f>
        <v/>
      </c>
      <c r="G171" s="515">
        <f>MIN(G170,$D$30*Assumptions_Drivers!$C$17)</f>
        <v/>
      </c>
      <c r="H171" s="515">
        <f>MIN(H170,$D$30*Assumptions_Drivers!$C$17)</f>
        <v/>
      </c>
      <c r="I171" s="515">
        <f>MIN(I170,$D$30*Assumptions_Drivers!$C$17)</f>
        <v/>
      </c>
      <c r="J171" s="515">
        <f>MIN(J170,$D$30*Assumptions_Drivers!$C$17)</f>
        <v/>
      </c>
      <c r="L171" s="846"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47"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f>MIN(MAX(0,MAX(0,AI_Operating!D21-F163-F171)*Assumptions_Drivers!$C$18-F164),MAX(0,F170-F171))</f>
        <v/>
      </c>
      <c r="G172" s="515">
        <f>MIN(MAX(0,MAX(0,AI_Operating!E21-G163-G171)*Assumptions_Drivers!$C$18-G164),MAX(0,G170-G171))</f>
        <v/>
      </c>
      <c r="H172" s="515">
        <f>MIN(MAX(0,MAX(0,AI_Operating!F21-H163-H171)*Assumptions_Drivers!$C$18-H164),MAX(0,H170-H171))</f>
        <v/>
      </c>
      <c r="I172" s="515">
        <f>MIN(MAX(0,MAX(0,AI_Operating!G21-I163-I171)*Assumptions_Drivers!$C$18-I164),MAX(0,I170-I171))</f>
        <v/>
      </c>
      <c r="J172" s="515">
        <f>MIN(MAX(0,MAX(0,AI_Operating!H21-J163-J171)*Assumptions_Drivers!$C$18-J164),MAX(0,J170-J171))</f>
        <v/>
      </c>
      <c r="L172" s="902" t="inlineStr">
        <is>
          <t>FIXED: TLB/Notes now receive residual cash sweep after TLA is repaid (was $0 TLB sweep + bullet Notes → Y5 debt stuck ~$394m). Aligns with Debt_Sweep_AI 100% FCF sweep → ~$6m exit debt / ~17% IRR.</t>
        </is>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75"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47" t="inlineStr">
        <is>
          <t>YES — in Cash &amp; Debt (rows 177–181), $183.1m BOP. No amortization (bullet): $0 annual paydown; still pays interest (row 210). NET −.</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MAX(0,F178-F179-MIN(MAX(0,MAX(0,AI_Operating!D21-F163-F171)*Assumptions_Drivers!$C$18-F164-F172),F178))</f>
        <v/>
      </c>
      <c r="G180" s="614">
        <f>MAX(0,G178-G179-MIN(MAX(0,MAX(0,AI_Operating!E21-G163-G171)*Assumptions_Drivers!$C$18-G164-G172),G178))</f>
        <v/>
      </c>
      <c r="H180" s="614">
        <f>MAX(0,H178-H179-MIN(MAX(0,MAX(0,AI_Operating!F21-H163-H171)*Assumptions_Drivers!$C$18-H164-H172),H178))</f>
        <v/>
      </c>
      <c r="I180" s="614">
        <f>MAX(0,I178-I179-MIN(MAX(0,MAX(0,AI_Operating!G21-I163-I171)*Assumptions_Drivers!$C$18-I164-I172),I178))</f>
        <v/>
      </c>
      <c r="J180" s="614">
        <f>MAX(0,J178-J179-MIN(MAX(0,MAX(0,AI_Operating!H21-J163-J171)*Assumptions_Drivers!$C$18-J164-J172),J178))</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46"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47"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46"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47"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46"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47"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c r="L214" s="851" t="inlineStr">
        <is>
          <t>DEBT FIGURED OUT</t>
        </is>
      </c>
    </row>
    <row r="215" ht="28" customHeight="1" s="409">
      <c r="B215" s="852" t="inlineStr">
        <is>
          <t>EXIT VALUATION — DEBT FIGURED OUT (from Cash &amp; Debt Y5 EOP)</t>
        </is>
      </c>
      <c r="L215" s="830" t="inlineStr">
        <is>
          <t>Net debt at exit pulls Cash &amp; Debt year-5 ending balances (revolver / TLA / TLB / Notes / cash). Equity value = Exit EV − net debt.</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853" t="inlineStr">
        <is>
          <t>Net debt: (DEBT FIGURED OUT ← Cash &amp; Debt Y5)</t>
        </is>
      </c>
      <c r="F221" s="510" t="n"/>
    </row>
    <row r="222" ht="15" customHeight="1" s="409">
      <c r="B222" s="574" t="inlineStr">
        <is>
          <t>Revolver</t>
        </is>
      </c>
      <c r="F222" s="733">
        <f>$J$157</f>
        <v/>
      </c>
      <c r="G222" s="733">
        <f>$J$157</f>
        <v/>
      </c>
      <c r="H222" s="733">
        <f>$J$157</f>
        <v/>
      </c>
      <c r="I222" s="733">
        <f>$J$157</f>
        <v/>
      </c>
      <c r="J222" s="733">
        <f>$J$157</f>
        <v/>
      </c>
    </row>
    <row r="223" ht="15" customHeight="1" s="409">
      <c r="B223" s="574" t="inlineStr">
        <is>
          <t>Term Loan A</t>
        </is>
      </c>
      <c r="F223" s="733">
        <f>$J$165</f>
        <v/>
      </c>
      <c r="G223" s="733">
        <f>$J$165</f>
        <v/>
      </c>
      <c r="H223" s="733">
        <f>$J$165</f>
        <v/>
      </c>
      <c r="I223" s="733">
        <f>$J$165</f>
        <v/>
      </c>
      <c r="J223" s="733">
        <f>$J$165</f>
        <v/>
      </c>
    </row>
    <row r="224" ht="15" customHeight="1" s="409">
      <c r="B224" s="574" t="inlineStr">
        <is>
          <t>Term Loan B</t>
        </is>
      </c>
      <c r="F224" s="733">
        <f>$J$173</f>
        <v/>
      </c>
      <c r="G224" s="733">
        <f>$J$173</f>
        <v/>
      </c>
      <c r="H224" s="733">
        <f>$J$173</f>
        <v/>
      </c>
      <c r="I224" s="733">
        <f>$J$173</f>
        <v/>
      </c>
      <c r="J224" s="733">
        <f>$J$173</f>
        <v/>
      </c>
    </row>
    <row r="225" ht="15" customHeight="1" s="409">
      <c r="B225" s="574" t="inlineStr">
        <is>
          <t>Senior Note</t>
        </is>
      </c>
      <c r="E225" s="555" t="n"/>
      <c r="F225" s="733">
        <f>$J$180</f>
        <v/>
      </c>
      <c r="G225" s="733">
        <f>$J$180</f>
        <v/>
      </c>
      <c r="H225" s="733">
        <f>$J$180</f>
        <v/>
      </c>
      <c r="I225" s="733">
        <f>$J$180</f>
        <v/>
      </c>
      <c r="J225" s="733">
        <f>$J$180</f>
        <v/>
      </c>
    </row>
    <row r="226" ht="15" customHeight="1" s="409">
      <c r="B226" s="574" t="inlineStr">
        <is>
          <t>Sub Note</t>
        </is>
      </c>
      <c r="E226" s="617" t="n"/>
      <c r="F226" s="733" t="n">
        <v>0</v>
      </c>
      <c r="G226" s="733" t="n">
        <v>0</v>
      </c>
      <c r="H226" s="733" t="n">
        <v>0</v>
      </c>
      <c r="I226" s="733" t="n">
        <v>0</v>
      </c>
      <c r="J226" s="733" t="n">
        <v>0</v>
      </c>
    </row>
    <row r="227" ht="15" customHeight="1" s="409">
      <c r="B227" s="574" t="inlineStr">
        <is>
          <t>Pref. stock</t>
        </is>
      </c>
      <c r="E227" s="617" t="n"/>
      <c r="F227" s="733" t="n">
        <v>0</v>
      </c>
      <c r="G227" s="733" t="n">
        <v>0</v>
      </c>
      <c r="H227" s="733" t="n">
        <v>0</v>
      </c>
      <c r="I227" s="733" t="n">
        <v>0</v>
      </c>
      <c r="J227" s="733" t="n">
        <v>0</v>
      </c>
    </row>
    <row r="228" ht="15" customHeight="1" s="409">
      <c r="B228" s="574" t="inlineStr">
        <is>
          <t>Cash</t>
        </is>
      </c>
      <c r="F228" s="733">
        <f>-$J$144</f>
        <v/>
      </c>
      <c r="G228" s="733">
        <f>-$J$144</f>
        <v/>
      </c>
      <c r="H228" s="733">
        <f>-$J$144</f>
        <v/>
      </c>
      <c r="I228" s="733">
        <f>-$J$144</f>
        <v/>
      </c>
      <c r="J228" s="733">
        <f>-$J$144</f>
        <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857" t="inlineStr">
        <is>
          <t>Sub Note at exit EBITDA multiple of: (N/A — no Sub Note in GTM stack)</t>
        </is>
      </c>
      <c r="C241" s="604" t="n"/>
      <c r="D241" s="634" t="n"/>
      <c r="E241" s="510" t="n"/>
      <c r="F241" s="510" t="n"/>
      <c r="G241" s="510" t="n"/>
      <c r="H241" s="510" t="n"/>
      <c r="I241" s="510" t="n"/>
      <c r="J241" s="556" t="n"/>
    </row>
    <row r="242" ht="15" customHeight="1" s="409">
      <c r="B242" s="635" t="inlineStr">
        <is>
          <t>n/a</t>
        </is>
      </c>
      <c r="C242" s="633" t="inlineStr">
        <is>
          <t>n/a</t>
        </is>
      </c>
      <c r="D242" s="634" t="n"/>
      <c r="E242" s="515" t="n"/>
      <c r="F242" s="515" t="n"/>
      <c r="G242" s="515" t="n"/>
      <c r="H242" s="515" t="n"/>
      <c r="I242" s="515" t="n"/>
      <c r="J242" s="520" t="n"/>
    </row>
    <row r="243" ht="15" customHeight="1" s="409">
      <c r="B243" s="635" t="inlineStr">
        <is>
          <t>n/a</t>
        </is>
      </c>
      <c r="C243" s="633" t="inlineStr">
        <is>
          <t>n/a</t>
        </is>
      </c>
      <c r="D243" s="634" t="n"/>
      <c r="E243" s="515" t="n"/>
      <c r="F243" s="515" t="n"/>
      <c r="G243" s="515" t="n"/>
      <c r="H243" s="515" t="n"/>
      <c r="I243" s="515" t="n"/>
      <c r="J243" s="520" t="n"/>
    </row>
    <row r="244" ht="15" customHeight="1" s="409">
      <c r="B244" s="635" t="inlineStr">
        <is>
          <t>n/a</t>
        </is>
      </c>
      <c r="C244" s="633" t="inlineStr">
        <is>
          <t>n/a</t>
        </is>
      </c>
      <c r="D244" s="634" t="n"/>
      <c r="E244" s="515" t="n"/>
      <c r="F244" s="515" t="n"/>
      <c r="G244" s="515" t="n"/>
      <c r="H244" s="515" t="n"/>
      <c r="I244" s="515" t="n"/>
      <c r="J244" s="520" t="n"/>
    </row>
    <row r="245" ht="15" customHeight="1" s="409">
      <c r="B245" s="635" t="inlineStr">
        <is>
          <t>n/a</t>
        </is>
      </c>
      <c r="C245" s="633" t="inlineStr">
        <is>
          <t>n/a</t>
        </is>
      </c>
      <c r="D245" s="634" t="n"/>
      <c r="E245" s="515" t="n"/>
      <c r="F245" s="515" t="n"/>
      <c r="G245" s="515" t="n"/>
      <c r="H245" s="515" t="n"/>
      <c r="I245" s="515" t="n"/>
      <c r="J245" s="520" t="n"/>
    </row>
    <row r="246" ht="15" customHeight="1" s="409">
      <c r="B246" s="635" t="inlineStr">
        <is>
          <t>n/a</t>
        </is>
      </c>
      <c r="C246" s="633" t="inlineStr">
        <is>
          <t>n/a</t>
        </is>
      </c>
      <c r="D246" s="634" t="n"/>
      <c r="E246" s="515" t="n"/>
      <c r="F246" s="515" t="n"/>
      <c r="G246" s="515" t="n"/>
      <c r="H246" s="515" t="n"/>
      <c r="I246" s="515" t="n"/>
      <c r="J246" s="520" t="n"/>
    </row>
    <row r="247" ht="15" customHeight="1" s="409">
      <c r="B247" s="857" t="inlineStr">
        <is>
          <t>Preferred Stock at exit EBITDA multiple of: (N/A — no Pref in GTM stack)</t>
        </is>
      </c>
      <c r="C247" s="604" t="n"/>
      <c r="D247" s="634" t="n"/>
      <c r="E247" s="510" t="n"/>
      <c r="F247" s="510" t="n"/>
      <c r="G247" s="510" t="n"/>
      <c r="H247" s="510" t="n"/>
      <c r="I247" s="510" t="n"/>
      <c r="J247" s="556" t="n"/>
    </row>
    <row r="248" ht="15" customHeight="1" s="409">
      <c r="B248" s="635" t="inlineStr">
        <is>
          <t>n/a</t>
        </is>
      </c>
      <c r="C248" s="633" t="inlineStr">
        <is>
          <t>n/a</t>
        </is>
      </c>
      <c r="D248" s="634" t="n"/>
      <c r="E248" s="515" t="n"/>
      <c r="F248" s="515" t="n"/>
      <c r="G248" s="515" t="n"/>
      <c r="H248" s="515" t="n"/>
      <c r="I248" s="515" t="n"/>
      <c r="J248" s="520" t="n"/>
    </row>
    <row r="249" ht="15" customHeight="1" s="409">
      <c r="B249" s="635" t="inlineStr">
        <is>
          <t>n/a</t>
        </is>
      </c>
      <c r="C249" s="633" t="inlineStr">
        <is>
          <t>n/a</t>
        </is>
      </c>
      <c r="D249" s="634" t="n"/>
      <c r="E249" s="515" t="n"/>
      <c r="F249" s="515" t="n"/>
      <c r="G249" s="515" t="n"/>
      <c r="H249" s="515" t="n"/>
      <c r="I249" s="515" t="n"/>
      <c r="J249" s="520" t="n"/>
    </row>
    <row r="250" ht="15" customHeight="1" s="409">
      <c r="B250" s="635" t="inlineStr">
        <is>
          <t>n/a</t>
        </is>
      </c>
      <c r="C250" s="633" t="inlineStr">
        <is>
          <t>n/a</t>
        </is>
      </c>
      <c r="D250" s="634" t="n"/>
      <c r="E250" s="515" t="n"/>
      <c r="F250" s="515" t="n"/>
      <c r="G250" s="515" t="n"/>
      <c r="H250" s="515" t="n"/>
      <c r="I250" s="515" t="n"/>
      <c r="J250" s="520" t="n"/>
    </row>
    <row r="251" ht="15" customHeight="1" s="409">
      <c r="B251" s="635" t="inlineStr">
        <is>
          <t>n/a</t>
        </is>
      </c>
      <c r="C251" s="633" t="inlineStr">
        <is>
          <t>n/a</t>
        </is>
      </c>
      <c r="D251" s="634" t="n"/>
      <c r="E251" s="515" t="n"/>
      <c r="F251" s="515" t="n"/>
      <c r="G251" s="515" t="n"/>
      <c r="H251" s="515" t="n"/>
      <c r="I251" s="515" t="n"/>
      <c r="J251" s="520" t="n"/>
    </row>
    <row r="252" ht="15" customHeight="1" s="409">
      <c r="B252" s="635" t="inlineStr">
        <is>
          <t>n/a</t>
        </is>
      </c>
      <c r="C252" s="633" t="inlineStr">
        <is>
          <t>n/a</t>
        </is>
      </c>
      <c r="D252" s="634" t="n"/>
      <c r="E252" s="515" t="n"/>
      <c r="F252" s="515" t="n"/>
      <c r="G252" s="515" t="n"/>
      <c r="H252" s="515" t="n"/>
      <c r="I252" s="515" t="n"/>
      <c r="J252" s="520" t="n"/>
    </row>
    <row r="253" ht="15" customHeight="1" s="409">
      <c r="B253" s="857" t="inlineStr">
        <is>
          <t>Management Equity at exit EBITDA multiple of: (N/A — 0% mgmt equity in GTM case)</t>
        </is>
      </c>
      <c r="C253" s="636" t="n"/>
      <c r="D253" s="634" t="n"/>
      <c r="E253" s="510" t="n"/>
      <c r="F253" s="510" t="n"/>
      <c r="G253" s="510" t="n"/>
      <c r="H253" s="510" t="n"/>
      <c r="I253" s="510" t="n"/>
      <c r="J253" s="556" t="n"/>
    </row>
    <row r="254" ht="15" customHeight="1" s="409">
      <c r="B254" s="635" t="inlineStr">
        <is>
          <t>n/a</t>
        </is>
      </c>
      <c r="C254" s="633" t="inlineStr">
        <is>
          <t>n/a</t>
        </is>
      </c>
      <c r="D254" s="634" t="n"/>
      <c r="E254" s="515" t="n"/>
      <c r="F254" s="553" t="n"/>
      <c r="G254" s="553" t="n"/>
      <c r="H254" s="553" t="n"/>
      <c r="I254" s="553" t="n"/>
      <c r="J254" s="520" t="n"/>
    </row>
    <row r="255" ht="15" customHeight="1" s="409">
      <c r="B255" s="635" t="inlineStr">
        <is>
          <t>n/a</t>
        </is>
      </c>
      <c r="C255" s="633" t="inlineStr">
        <is>
          <t>n/a</t>
        </is>
      </c>
      <c r="D255" s="634" t="n"/>
      <c r="E255" s="515" t="n"/>
      <c r="F255" s="515" t="n"/>
      <c r="G255" s="515" t="n"/>
      <c r="H255" s="515" t="n"/>
      <c r="I255" s="515" t="n"/>
      <c r="J255" s="520" t="n"/>
    </row>
    <row r="256" ht="15" customHeight="1" s="409">
      <c r="B256" s="635" t="inlineStr">
        <is>
          <t>n/a</t>
        </is>
      </c>
      <c r="C256" s="633" t="inlineStr">
        <is>
          <t>n/a</t>
        </is>
      </c>
      <c r="D256" s="634" t="n"/>
      <c r="E256" s="515" t="n"/>
      <c r="F256" s="515" t="n"/>
      <c r="G256" s="515" t="n"/>
      <c r="H256" s="515" t="n"/>
      <c r="I256" s="515" t="n"/>
      <c r="J256" s="520" t="n"/>
    </row>
    <row r="257" ht="15" customHeight="1" s="409">
      <c r="B257" s="635" t="inlineStr">
        <is>
          <t>n/a</t>
        </is>
      </c>
      <c r="C257" s="633" t="inlineStr">
        <is>
          <t>n/a</t>
        </is>
      </c>
      <c r="D257" s="634" t="n"/>
      <c r="E257" s="515" t="n"/>
      <c r="F257" s="515" t="n"/>
      <c r="G257" s="515" t="n"/>
      <c r="H257" s="515" t="n"/>
      <c r="I257" s="515" t="n"/>
      <c r="J257" s="520" t="n"/>
    </row>
    <row r="258" ht="15" customHeight="1" s="409">
      <c r="B258" s="635" t="inlineStr">
        <is>
          <t>n/a</t>
        </is>
      </c>
      <c r="C258" s="633" t="inlineStr">
        <is>
          <t>n/a</t>
        </is>
      </c>
      <c r="D258" s="634" t="n"/>
      <c r="E258" s="515" t="n"/>
      <c r="F258" s="515" t="n"/>
      <c r="G258" s="515" t="n"/>
      <c r="H258" s="515" t="n"/>
      <c r="I258" s="515" t="n"/>
      <c r="J258" s="520" t="n"/>
      <c r="L258" s="858" t="inlineStr">
        <is>
          <t>FIXED: Sponsor sensitivity now uses GTM exit multiples 10.9x / 11.9x / 12.9x / 13.9x / 14.9x (same as EXIT VALUATION). Old 6–8x block was leftover template and was wrong for ZoomInfo.</t>
        </is>
      </c>
    </row>
    <row r="259" ht="20" customHeight="1" s="409">
      <c r="B259" s="859" t="inlineStr">
        <is>
          <t>Sponsor's Equity at exit EBITDA multiple of: (GTM live — same band as EXIT VALUATION F218:J218)</t>
        </is>
      </c>
      <c r="C259" s="859" t="inlineStr">
        <is>
          <t>MOIC</t>
        </is>
      </c>
      <c r="D259" s="860" t="inlineStr">
        <is>
          <t>IRR (5-yr)</t>
        </is>
      </c>
      <c r="E259" s="878" t="inlineStr">
        <is>
          <t>Sponsor equity in (t0) — cash OUT to fund buy</t>
        </is>
      </c>
      <c r="F259" s="861" t="inlineStr">
        <is>
          <t>Exit EV</t>
        </is>
      </c>
      <c r="G259" s="861" t="inlineStr">
        <is>
          <t>Net debt (Y5)</t>
        </is>
      </c>
      <c r="H259" s="861" t="inlineStr">
        <is>
          <t>Exit equity</t>
        </is>
      </c>
      <c r="I259" s="879" t="inlineStr">
        <is>
          <t>Why E260 negative?</t>
        </is>
      </c>
      <c r="J259" s="861" t="inlineStr">
        <is>
          <t>Exit equity (check)</t>
        </is>
      </c>
      <c r="L259" s="880" t="inlineStr">
        <is>
          <t>Math per row: Exit EV = multiple × AI Y5 EBITDA; Net debt = Cash&amp;Debt Y5 (TLA+TLB+Notes+Revolver−Cash); Exit equity = EV − net debt; MOIC = Exit equity ÷ sponsor equity (D35); IRR ≈ MOIC^(1/5)−1 over 5 years. IRR is a % return; multiple is a price tag — different units. | E260=−D35: money going out at close to help pay sellers (sponsor equity portion of purchase). Not exit sale — exit proceeds are H260.</t>
        </is>
      </c>
    </row>
    <row r="260" ht="52" customHeight="1" s="409">
      <c r="B260" s="863">
        <f>F218</f>
        <v/>
      </c>
      <c r="C260" s="864">
        <f>IF($D$35=0,"NM",H260/$D$35)</f>
        <v/>
      </c>
      <c r="D260" s="865">
        <f>IF(OR(C260="NM",C260&lt;=0),"NM",C260^(1/5)-1)</f>
        <v/>
      </c>
      <c r="E260" s="866">
        <f>-$D$35</f>
        <v/>
      </c>
      <c r="F260" s="867">
        <f>B260*AI_Operating!$H$13</f>
        <v/>
      </c>
      <c r="G260" s="867">
        <f>$J$157+$J$165+$J$173+$J$180-$J$144</f>
        <v/>
      </c>
      <c r="H260" s="867">
        <f>F260-G260</f>
        <v/>
      </c>
      <c r="I260" s="881" t="inlineStr">
        <is>
          <t>E260 negative = sponsor cash OUT at close (not a sale). Sponsor writes equity check (−D35) that funds Uses / purchase price to sellers. Exit sell = H260 positive. Sign convention for MOIC/IRR.</t>
        </is>
      </c>
      <c r="J260" s="869">
        <f>H260</f>
        <v/>
      </c>
    </row>
    <row r="261" ht="15" customHeight="1" s="409">
      <c r="B261" s="863">
        <f>G218</f>
        <v/>
      </c>
      <c r="C261" s="864">
        <f>IF($D$35=0,"NM",H261/$D$35)</f>
        <v/>
      </c>
      <c r="D261" s="865">
        <f>IF(OR(C261="NM",C261&lt;=0),"NM",C261^(1/5)-1)</f>
        <v/>
      </c>
      <c r="E261" s="866">
        <f>-$D$35</f>
        <v/>
      </c>
      <c r="F261" s="866">
        <f>B261*AI_Operating!$H$13</f>
        <v/>
      </c>
      <c r="G261" s="866">
        <f>$J$157+$J$165+$J$173+$J$180-$J$144</f>
        <v/>
      </c>
      <c r="H261" s="866">
        <f>F261-G261</f>
        <v/>
      </c>
      <c r="I261" s="870" t="n"/>
      <c r="J261" s="869">
        <f>H261</f>
        <v/>
      </c>
    </row>
    <row r="262" ht="15" customHeight="1" s="409">
      <c r="B262" s="871">
        <f>H218</f>
        <v/>
      </c>
      <c r="C262" s="872">
        <f>IF($D$35=0,"NM",H262/$D$35)</f>
        <v/>
      </c>
      <c r="D262" s="873">
        <f>IF(OR(C262="NM",C262&lt;=0),"NM",C262^(1/5)-1)</f>
        <v/>
      </c>
      <c r="E262" s="874">
        <f>-$D$35</f>
        <v/>
      </c>
      <c r="F262" s="874">
        <f>B262*AI_Operating!$H$13</f>
        <v/>
      </c>
      <c r="G262" s="874">
        <f>$J$157+$J$165+$J$173+$J$180-$J$144</f>
        <v/>
      </c>
      <c r="H262" s="874">
        <f>F262-G262</f>
        <v/>
      </c>
      <c r="I262" s="875" t="n"/>
      <c r="J262" s="876">
        <f>H262</f>
        <v/>
      </c>
    </row>
    <row r="263" ht="15" customHeight="1" s="409">
      <c r="B263" s="863">
        <f>I218</f>
        <v/>
      </c>
      <c r="C263" s="864">
        <f>IF($D$35=0,"NM",H263/$D$35)</f>
        <v/>
      </c>
      <c r="D263" s="865">
        <f>IF(OR(C263="NM",C263&lt;=0),"NM",C263^(1/5)-1)</f>
        <v/>
      </c>
      <c r="E263" s="866">
        <f>-$D$35</f>
        <v/>
      </c>
      <c r="F263" s="866">
        <f>B263*AI_Operating!$H$13</f>
        <v/>
      </c>
      <c r="G263" s="866">
        <f>$J$157+$J$165+$J$173+$J$180-$J$144</f>
        <v/>
      </c>
      <c r="H263" s="866">
        <f>F263-G263</f>
        <v/>
      </c>
      <c r="I263" s="870" t="n"/>
      <c r="J263" s="869">
        <f>H263</f>
        <v/>
      </c>
    </row>
    <row r="264" ht="15" customHeight="1" s="409">
      <c r="B264" s="863">
        <f>J218</f>
        <v/>
      </c>
      <c r="C264" s="864">
        <f>IF($D$35=0,"NM",H264/$D$35)</f>
        <v/>
      </c>
      <c r="D264" s="865">
        <f>IF(OR(C264="NM",C264&lt;=0),"NM",C264^(1/5)-1)</f>
        <v/>
      </c>
      <c r="E264" s="866">
        <f>-$D$35</f>
        <v/>
      </c>
      <c r="F264" s="866">
        <f>B264*AI_Operating!$H$13</f>
        <v/>
      </c>
      <c r="G264" s="866">
        <f>$J$157+$J$165+$J$173+$J$180-$J$144</f>
        <v/>
      </c>
      <c r="H264" s="866">
        <f>F264-G264</f>
        <v/>
      </c>
      <c r="I264" s="870" t="n"/>
      <c r="J264" s="869">
        <f>H264</f>
        <v/>
      </c>
    </row>
    <row r="266" ht="15" customHeight="1" s="409">
      <c r="B266" s="877" t="inlineStr">
        <is>
          <t>SUMMARY @ Drivers 12.9x EXIT — AI vs Base (see Strategy_Summary). Financing $ below still partly template — sponsor IRR row is live.</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900">
        <f>H230/$D$35</f>
        <v/>
      </c>
      <c r="J275" s="640">
        <f>IF(OR(I275="NM",I275&lt;=0),"NM",I275^(1/5)-1)</f>
        <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ANALYSIS (GTM)</t>
        </is>
      </c>
      <c r="C278" s="489" t="n"/>
      <c r="D278" s="645" t="n"/>
      <c r="E278" s="646" t="n"/>
      <c r="F278" s="645" t="n"/>
      <c r="G278" s="645" t="n"/>
      <c r="H278" s="645" t="n"/>
      <c r="I278" s="489" t="n"/>
      <c r="J278" s="489" t="n"/>
    </row>
    <row r="279" ht="78" customHeight="1" s="409">
      <c r="B279" s="882" t="inlineStr">
        <is>
          <t>MATH CHECK (corrected): Strategy_Summary ~17% was RIGHT. Debt_Sweep_AI exit debt ≈ $6.4m → exit equity ≈ $4,103m → IRR ~17%. LBO Cash &amp; Debt was wrong: TLB sweep $0, Notes never swept, and mand still charged after TLA repaid — that left ~$394m debt and a false ~14.5% IRR, which made 15% max offer ($1,519m) look &lt; current $1,556m. Sweep now TLA→TLB→Notes; mand capped at BOP. Live C281/J275 ≈17%; 15% max offer &gt; current offer.</t>
        </is>
      </c>
      <c r="C279" s="648" t="n"/>
      <c r="D279" s="648" t="n"/>
      <c r="E279" s="649" t="n"/>
      <c r="F279" s="648" t="n"/>
      <c r="G279" s="648" t="n"/>
      <c r="H279" s="648" t="n"/>
    </row>
    <row r="280" ht="30" customHeight="1" s="409">
      <c r="B280" s="541" t="n"/>
      <c r="C280" s="883" t="inlineStr">
        <is>
          <t>Actual (GTM)</t>
        </is>
      </c>
      <c r="E280" s="884" t="inlineStr">
        <is>
          <t>Max offer/share at hurdle IRR (GTM math — was stale BMC). Holds AI exit equity H262 @12.9x fixed.</t>
        </is>
      </c>
      <c r="F280" s="652" t="n"/>
      <c r="G280" s="652" t="n"/>
      <c r="H280" s="652" t="n"/>
      <c r="I280" s="652" t="n"/>
      <c r="J280" s="653" t="n"/>
    </row>
    <row r="281" ht="36" customHeight="1" s="409">
      <c r="B281" s="895" t="inlineStr">
        <is>
          <t>Realized IRR (AI @ current offer)</t>
        </is>
      </c>
      <c r="C281" s="885">
        <f>J275</f>
        <v/>
      </c>
      <c r="D281" s="897" t="inlineStr">
        <is>
          <t>Hurdle rates →</t>
        </is>
      </c>
      <c r="E281" s="886" t="n">
        <v>0.15</v>
      </c>
      <c r="F281" s="887" t="n">
        <v>0.2</v>
      </c>
      <c r="G281" s="887" t="n">
        <v>0.25</v>
      </c>
      <c r="H281" s="887" t="n">
        <v>0.3</v>
      </c>
      <c r="I281" s="887" t="n">
        <v>0.35</v>
      </c>
      <c r="J281" s="888" t="n">
        <v>0.4</v>
      </c>
      <c r="K281" s="903" t="inlineStr">
        <is>
          <t>C281 ≈17% = realized IRR (aligned with Strategy_Summary / Debt_Sweep_AI). Hurdle columns = max offer to hit those required IRRs.</t>
        </is>
      </c>
    </row>
    <row r="282" ht="15" customHeight="1" s="409">
      <c r="B282" s="408" t="inlineStr">
        <is>
          <t>Offer value</t>
        </is>
      </c>
      <c r="C282" s="658">
        <f>H17</f>
        <v/>
      </c>
      <c r="E282" s="659">
        <f>($H$262/(1+E281)^5-$D$21-$H$33+SUM($D$27:$D$34))/1.02</f>
        <v/>
      </c>
      <c r="F282" s="514">
        <f>($H$262/(1+F281)^5-$D$21-$H$33+SUM($D$27:$D$34))/1.02</f>
        <v/>
      </c>
      <c r="G282" s="514">
        <f>($H$262/(1+G281)^5-$D$21-$H$33+SUM($D$27:$D$34))/1.02</f>
        <v/>
      </c>
      <c r="H282" s="514">
        <f>($H$262/(1+H281)^5-$D$21-$H$33+SUM($D$27:$D$34))/1.02</f>
        <v/>
      </c>
      <c r="I282" s="514">
        <f>($H$262/(1+I281)^5-$D$21-$H$33+SUM($D$27:$D$34))/1.02</f>
        <v/>
      </c>
      <c r="J282" s="660">
        <f>($H$262/(1+J281)^5-$D$21-$H$33+SUM($D$27:$D$34))/1.02</f>
        <v/>
      </c>
    </row>
    <row r="283" ht="15" customHeight="1" s="409">
      <c r="B283" s="408" t="inlineStr">
        <is>
          <t>Diluted shares outstanding</t>
        </is>
      </c>
      <c r="C283" s="889">
        <f>H18</f>
        <v/>
      </c>
      <c r="E283" s="890">
        <f>$H$18</f>
        <v/>
      </c>
      <c r="F283" s="891">
        <f>$H$18</f>
        <v/>
      </c>
      <c r="G283" s="891">
        <f>$H$18</f>
        <v/>
      </c>
      <c r="H283" s="891">
        <f>$H$18</f>
        <v/>
      </c>
      <c r="I283" s="891">
        <f>$H$18</f>
        <v/>
      </c>
      <c r="J283" s="892">
        <f>$H$18</f>
        <v/>
      </c>
    </row>
    <row r="284" ht="15" customHeight="1" s="409">
      <c r="B284" s="408" t="inlineStr">
        <is>
          <t>Offer value / per share</t>
        </is>
      </c>
      <c r="C284" s="665">
        <f>H20</f>
        <v/>
      </c>
      <c r="E284" s="893">
        <f>E282/E283</f>
        <v/>
      </c>
      <c r="F284" s="785">
        <f>F282/F283</f>
        <v/>
      </c>
      <c r="G284" s="785">
        <f>G282/G283</f>
        <v/>
      </c>
      <c r="H284" s="785">
        <f>H282/H283</f>
        <v/>
      </c>
      <c r="I284" s="785">
        <f>I282/I283</f>
        <v/>
      </c>
      <c r="J284" s="894">
        <f>J282/J283</f>
        <v/>
      </c>
    </row>
    <row r="285" ht="15" customHeight="1" s="409">
      <c r="B285" s="525" t="inlineStr">
        <is>
          <t>% Premium / discount</t>
        </is>
      </c>
      <c r="C285" s="668">
        <f>H21</f>
        <v/>
      </c>
      <c r="E285" s="669">
        <f>E284/$D$8-1</f>
        <v/>
      </c>
      <c r="F285" s="670">
        <f>F284/$D$8-1</f>
        <v/>
      </c>
      <c r="G285" s="670">
        <f>G284/$D$8-1</f>
        <v/>
      </c>
      <c r="H285" s="670">
        <f>H284/$D$8-1</f>
        <v/>
      </c>
      <c r="I285" s="670">
        <f>I284/$D$8-1</f>
        <v/>
      </c>
      <c r="J285" s="671">
        <f>J284/$D$8-1</f>
        <v/>
      </c>
    </row>
    <row r="286" ht="42" customHeight="1" s="409">
      <c r="B286" s="898" t="inlineStr">
        <is>
          <t>HOW TO READ</t>
        </is>
      </c>
      <c r="C286" s="899">
        <f>"If your required hurdle rate is 30%, the maximum offer you can make is "&amp;TEXT(H282,"$#,##0.0")&amp;" million (or "&amp;TEXT(H284,"$0.0000")&amp;" per share). "&amp;"If your required hurdle rate drops to 20%, you can afford to pay a higher price: "&amp;TEXT(F282,"$#,##0.0")&amp;" million (or "&amp;TEXT(F284,"$0.0000")&amp;" per share)."</f>
        <v/>
      </c>
      <c r="E286" s="673" t="n"/>
      <c r="F286" s="674" t="n"/>
      <c r="G286" s="674" t="n"/>
      <c r="H286" s="674" t="n"/>
      <c r="I286" s="674" t="n"/>
      <c r="J286" s="675" t="n"/>
      <c r="K286" s="882" t="inlineStr">
        <is>
          <t>How to read: pick a hurdle column → that column’s offer/$/share is the most you can pay and still clear that IRR.</t>
        </is>
      </c>
    </row>
    <row r="287" ht="15" customHeight="1" s="409">
      <c r="B287" s="541" t="inlineStr">
        <is>
          <t>Enterprise value</t>
        </is>
      </c>
      <c r="C287" s="676">
        <f>H12</f>
        <v/>
      </c>
      <c r="E287" s="659">
        <f>E282+(-$D$14)-$D$15</f>
        <v/>
      </c>
      <c r="F287" s="514">
        <f>F282+(-$D$14)-$D$15</f>
        <v/>
      </c>
      <c r="G287" s="514">
        <f>G282+(-$D$14)-$D$15</f>
        <v/>
      </c>
      <c r="H287" s="514">
        <f>H282+(-$D$14)-$D$15</f>
        <v/>
      </c>
      <c r="I287" s="514">
        <f>I282+(-$D$14)-$D$15</f>
        <v/>
      </c>
      <c r="J287" s="660">
        <f>J282+(-$D$14)-$D$15</f>
        <v/>
      </c>
    </row>
    <row r="288" ht="15" customHeight="1" s="409">
      <c r="B288" s="525" t="inlineStr">
        <is>
          <t>EV / LTM EBITDA multiple</t>
        </is>
      </c>
      <c r="C288" s="677">
        <f>H11</f>
        <v/>
      </c>
      <c r="E288" s="678">
        <f>E287/$D$13</f>
        <v/>
      </c>
      <c r="F288" s="679">
        <f>F287/$D$13</f>
        <v/>
      </c>
      <c r="G288" s="679">
        <f>G287/$D$13</f>
        <v/>
      </c>
      <c r="H288" s="679">
        <f>H287/$D$13</f>
        <v/>
      </c>
      <c r="I288" s="679">
        <f>I287/$D$13</f>
        <v/>
      </c>
      <c r="J288" s="680">
        <f>J287/$D$13</f>
        <v/>
      </c>
    </row>
    <row r="289" ht="15" customHeight="1" s="409">
      <c r="B289" s="561" t="n"/>
      <c r="E289" s="681" t="n"/>
    </row>
    <row r="290" ht="15" customHeight="1" s="409">
      <c r="B290" s="914" t="inlineStr">
        <is>
          <t>GTM LIVE</t>
        </is>
      </c>
      <c r="D290" s="915" t="inlineStr">
        <is>
          <t>Sponsor IRR at GTM entry EV/EBITDA multiple × Term Loan A leverage (TLB 1.5× + Notes 1.0× held)</t>
        </is>
      </c>
      <c r="E290" s="612" t="n"/>
      <c r="F290" s="612" t="n"/>
      <c r="G290" s="612" t="n"/>
      <c r="H290" s="612" t="n"/>
      <c r="I290" s="612" t="n"/>
      <c r="J290" s="612" t="n"/>
    </row>
    <row r="291" ht="36" customHeight="1" s="409">
      <c r="B291" s="683" t="inlineStr">
        <is>
          <t>Highlight IRR &gt;</t>
        </is>
      </c>
      <c r="D291" s="916" t="inlineStr">
        <is>
          <t>GTM grid: exit equity held at H230 (AI @12.9× after Debt_Sweep). Offer = entry EV − filing net debt ($1,150m). Sponsor equity plugs from Sources/Uses; IRR ≈ (H230/D35)^(1/5)−1.</t>
        </is>
      </c>
    </row>
    <row r="292" ht="15" customHeight="1" s="409">
      <c r="B292" s="906">
        <f>$J$275</f>
        <v/>
      </c>
      <c r="F292" s="917" t="inlineStr">
        <is>
          <t>Term Loan A / LTM EBITDA (GTM base 2.5×) →</t>
        </is>
      </c>
      <c r="M292" s="604" t="n"/>
      <c r="N292" s="604" t="n"/>
    </row>
    <row r="293" ht="40" customHeight="1" s="409">
      <c r="E293" s="908">
        <f>$J$275</f>
        <v/>
      </c>
      <c r="F293" s="918" t="n">
        <v>1.5</v>
      </c>
      <c r="G293" s="918" t="n">
        <v>2</v>
      </c>
      <c r="H293" s="918" t="n">
        <v>2.5</v>
      </c>
      <c r="I293" s="918" t="n">
        <v>3</v>
      </c>
      <c r="J293" s="918" t="n">
        <v>3.5</v>
      </c>
      <c r="K293" s="909" t="inlineStr">
        <is>
          <t>How to read: left = entry EV/EBITDA. Top = Term A size vs EBITDA. Cell = approx 5-yr sponsor IRR. GTM base is ~14.8× and 2.5×.</t>
        </is>
      </c>
      <c r="L293" s="916" t="inlineStr">
        <is>
          <t>GTM numbers filled (was BMC 7–8× / 3–4× N/A). Corner E293 = live realized IRR J275. Base case ≈ row 14.78× / col 2.5×.</t>
        </is>
      </c>
    </row>
    <row r="294" ht="36" customHeight="1" s="409">
      <c r="D294" s="689" t="inlineStr">
        <is>
          <t>Entry</t>
        </is>
      </c>
      <c r="E294" s="919" t="n">
        <v>12.9</v>
      </c>
      <c r="F294" s="920">
        <f>IF((1.02*(E294*$D$13-(-$D$14-$D$15))+$D$21+(0.015*(F$293*$D$13)+0.015*(1.5*$D$13)+0.01*(1*$D$13))-$D$27-(F$293*$D$13)-(1.5*$D$13)-(1*$D$13))&lt;=0,"NM",($H$230/(1.02*(E294*$D$13-(-$D$14-$D$15))+$D$21+(0.015*(F$293*$D$13)+0.015*(1.5*$D$13)+0.01*(1*$D$13))-$D$27-(F$293*$D$13)-(1.5*$D$13)-(1*$D$13)))^(1/5)-1)</f>
        <v/>
      </c>
      <c r="G294" s="920">
        <f>IF((1.02*(E294*$D$13-(-$D$14-$D$15))+$D$21+(0.015*(G$293*$D$13)+0.015*(1.5*$D$13)+0.01*(1*$D$13))-$D$27-(G$293*$D$13)-(1.5*$D$13)-(1*$D$13))&lt;=0,"NM",($H$230/(1.02*(E294*$D$13-(-$D$14-$D$15))+$D$21+(0.015*(G$293*$D$13)+0.015*(1.5*$D$13)+0.01*(1*$D$13))-$D$27-(G$293*$D$13)-(1.5*$D$13)-(1*$D$13)))^(1/5)-1)</f>
        <v/>
      </c>
      <c r="H294" s="920">
        <f>IF((1.02*(E294*$D$13-(-$D$14-$D$15))+$D$21+(0.015*(H$293*$D$13)+0.015*(1.5*$D$13)+0.01*(1*$D$13))-$D$27-(H$293*$D$13)-(1.5*$D$13)-(1*$D$13))&lt;=0,"NM",($H$230/(1.02*(E294*$D$13-(-$D$14-$D$15))+$D$21+(0.015*(H$293*$D$13)+0.015*(1.5*$D$13)+0.01*(1*$D$13))-$D$27-(H$293*$D$13)-(1.5*$D$13)-(1*$D$13)))^(1/5)-1)</f>
        <v/>
      </c>
      <c r="I294" s="920">
        <f>IF((1.02*(E294*$D$13-(-$D$14-$D$15))+$D$21+(0.015*(I$293*$D$13)+0.015*(1.5*$D$13)+0.01*(1*$D$13))-$D$27-(I$293*$D$13)-(1.5*$D$13)-(1*$D$13))&lt;=0,"NM",($H$230/(1.02*(E294*$D$13-(-$D$14-$D$15))+$D$21+(0.015*(I$293*$D$13)+0.015*(1.5*$D$13)+0.01*(1*$D$13))-$D$27-(I$293*$D$13)-(1.5*$D$13)-(1*$D$13)))^(1/5)-1)</f>
        <v/>
      </c>
      <c r="J294" s="920">
        <f>IF((1.02*(E294*$D$13-(-$D$14-$D$15))+$D$21+(0.015*(J$293*$D$13)+0.015*(1.5*$D$13)+0.01*(1*$D$13))-$D$27-(J$293*$D$13)-(1.5*$D$13)-(1*$D$13))&lt;=0,"NM",($H$230/(1.02*(E294*$D$13-(-$D$14-$D$15))+$D$21+(0.015*(J$293*$D$13)+0.015*(1.5*$D$13)+0.01*(1*$D$13))-$D$27-(J$293*$D$13)-(1.5*$D$13)-(1*$D$13)))^(1/5)-1)</f>
        <v/>
      </c>
      <c r="L294" s="909" t="inlineStr">
        <is>
          <t>Live GTM approx: holds exit equity H230 fixed; varies entry price via EV/EBITDA and TLA turns. Not a full re-solve of every interest path.</t>
        </is>
      </c>
    </row>
    <row r="295" ht="15.75" customHeight="1" s="409">
      <c r="D295" s="689" t="inlineStr">
        <is>
          <t>EV /</t>
        </is>
      </c>
      <c r="E295" s="921" t="n">
        <v>13.9</v>
      </c>
      <c r="F295" s="920">
        <f>IF((1.02*(E295*$D$13-(-$D$14-$D$15))+$D$21+(0.015*(F$293*$D$13)+0.015*(1.5*$D$13)+0.01*(1*$D$13))-$D$27-(F$293*$D$13)-(1.5*$D$13)-(1*$D$13))&lt;=0,"NM",($H$230/(1.02*(E295*$D$13-(-$D$14-$D$15))+$D$21+(0.015*(F$293*$D$13)+0.015*(1.5*$D$13)+0.01*(1*$D$13))-$D$27-(F$293*$D$13)-(1.5*$D$13)-(1*$D$13)))^(1/5)-1)</f>
        <v/>
      </c>
      <c r="G295" s="920">
        <f>IF((1.02*(E295*$D$13-(-$D$14-$D$15))+$D$21+(0.015*(G$293*$D$13)+0.015*(1.5*$D$13)+0.01*(1*$D$13))-$D$27-(G$293*$D$13)-(1.5*$D$13)-(1*$D$13))&lt;=0,"NM",($H$230/(1.02*(E295*$D$13-(-$D$14-$D$15))+$D$21+(0.015*(G$293*$D$13)+0.015*(1.5*$D$13)+0.01*(1*$D$13))-$D$27-(G$293*$D$13)-(1.5*$D$13)-(1*$D$13)))^(1/5)-1)</f>
        <v/>
      </c>
      <c r="H295" s="920">
        <f>IF((1.02*(E295*$D$13-(-$D$14-$D$15))+$D$21+(0.015*(H$293*$D$13)+0.015*(1.5*$D$13)+0.01*(1*$D$13))-$D$27-(H$293*$D$13)-(1.5*$D$13)-(1*$D$13))&lt;=0,"NM",($H$230/(1.02*(E295*$D$13-(-$D$14-$D$15))+$D$21+(0.015*(H$293*$D$13)+0.015*(1.5*$D$13)+0.01*(1*$D$13))-$D$27-(H$293*$D$13)-(1.5*$D$13)-(1*$D$13)))^(1/5)-1)</f>
        <v/>
      </c>
      <c r="I295" s="920">
        <f>IF((1.02*(E295*$D$13-(-$D$14-$D$15))+$D$21+(0.015*(I$293*$D$13)+0.015*(1.5*$D$13)+0.01*(1*$D$13))-$D$27-(I$293*$D$13)-(1.5*$D$13)-(1*$D$13))&lt;=0,"NM",($H$230/(1.02*(E295*$D$13-(-$D$14-$D$15))+$D$21+(0.015*(I$293*$D$13)+0.015*(1.5*$D$13)+0.01*(1*$D$13))-$D$27-(I$293*$D$13)-(1.5*$D$13)-(1*$D$13)))^(1/5)-1)</f>
        <v/>
      </c>
      <c r="J295" s="920">
        <f>IF((1.02*(E295*$D$13-(-$D$14-$D$15))+$D$21+(0.015*(J$293*$D$13)+0.015*(1.5*$D$13)+0.01*(1*$D$13))-$D$27-(J$293*$D$13)-(1.5*$D$13)-(1*$D$13))&lt;=0,"NM",($H$230/(1.02*(E295*$D$13-(-$D$14-$D$15))+$D$21+(0.015*(J$293*$D$13)+0.015*(1.5*$D$13)+0.01*(1*$D$13))-$D$27-(J$293*$D$13)-(1.5*$D$13)-(1*$D$13)))^(1/5)-1)</f>
        <v/>
      </c>
    </row>
    <row r="296" ht="15.75" customHeight="1" s="409">
      <c r="D296" s="689" t="inlineStr">
        <is>
          <t>LTM</t>
        </is>
      </c>
      <c r="E296" s="921" t="n">
        <v>14.78</v>
      </c>
      <c r="F296" s="920">
        <f>IF((1.02*(E296*$D$13-(-$D$14-$D$15))+$D$21+(0.015*(F$293*$D$13)+0.015*(1.5*$D$13)+0.01*(1*$D$13))-$D$27-(F$293*$D$13)-(1.5*$D$13)-(1*$D$13))&lt;=0,"NM",($H$230/(1.02*(E296*$D$13-(-$D$14-$D$15))+$D$21+(0.015*(F$293*$D$13)+0.015*(1.5*$D$13)+0.01*(1*$D$13))-$D$27-(F$293*$D$13)-(1.5*$D$13)-(1*$D$13)))^(1/5)-1)</f>
        <v/>
      </c>
      <c r="G296" s="920">
        <f>IF((1.02*(E296*$D$13-(-$D$14-$D$15))+$D$21+(0.015*(G$293*$D$13)+0.015*(1.5*$D$13)+0.01*(1*$D$13))-$D$27-(G$293*$D$13)-(1.5*$D$13)-(1*$D$13))&lt;=0,"NM",($H$230/(1.02*(E296*$D$13-(-$D$14-$D$15))+$D$21+(0.015*(G$293*$D$13)+0.015*(1.5*$D$13)+0.01*(1*$D$13))-$D$27-(G$293*$D$13)-(1.5*$D$13)-(1*$D$13)))^(1/5)-1)</f>
        <v/>
      </c>
      <c r="H296" s="920">
        <f>IF((1.02*(E296*$D$13-(-$D$14-$D$15))+$D$21+(0.015*(H$293*$D$13)+0.015*(1.5*$D$13)+0.01*(1*$D$13))-$D$27-(H$293*$D$13)-(1.5*$D$13)-(1*$D$13))&lt;=0,"NM",($H$230/(1.02*(E296*$D$13-(-$D$14-$D$15))+$D$21+(0.015*(H$293*$D$13)+0.015*(1.5*$D$13)+0.01*(1*$D$13))-$D$27-(H$293*$D$13)-(1.5*$D$13)-(1*$D$13)))^(1/5)-1)</f>
        <v/>
      </c>
      <c r="I296" s="920">
        <f>IF((1.02*(E296*$D$13-(-$D$14-$D$15))+$D$21+(0.015*(I$293*$D$13)+0.015*(1.5*$D$13)+0.01*(1*$D$13))-$D$27-(I$293*$D$13)-(1.5*$D$13)-(1*$D$13))&lt;=0,"NM",($H$230/(1.02*(E296*$D$13-(-$D$14-$D$15))+$D$21+(0.015*(I$293*$D$13)+0.015*(1.5*$D$13)+0.01*(1*$D$13))-$D$27-(I$293*$D$13)-(1.5*$D$13)-(1*$D$13)))^(1/5)-1)</f>
        <v/>
      </c>
      <c r="J296" s="920">
        <f>IF((1.02*(E296*$D$13-(-$D$14-$D$15))+$D$21+(0.015*(J$293*$D$13)+0.015*(1.5*$D$13)+0.01*(1*$D$13))-$D$27-(J$293*$D$13)-(1.5*$D$13)-(1*$D$13))&lt;=0,"NM",($H$230/(1.02*(E296*$D$13-(-$D$14-$D$15))+$D$21+(0.015*(J$293*$D$13)+0.015*(1.5*$D$13)+0.01*(1*$D$13))-$D$27-(J$293*$D$13)-(1.5*$D$13)-(1*$D$13)))^(1/5)-1)</f>
        <v/>
      </c>
    </row>
    <row r="297" ht="15.75" customHeight="1" s="409">
      <c r="D297" s="911" t="inlineStr">
        <is>
          <t>EBITDA</t>
        </is>
      </c>
      <c r="E297" s="921" t="n">
        <v>15.8</v>
      </c>
      <c r="F297" s="920">
        <f>IF((1.02*(E297*$D$13-(-$D$14-$D$15))+$D$21+(0.015*(F$293*$D$13)+0.015*(1.5*$D$13)+0.01*(1*$D$13))-$D$27-(F$293*$D$13)-(1.5*$D$13)-(1*$D$13))&lt;=0,"NM",($H$230/(1.02*(E297*$D$13-(-$D$14-$D$15))+$D$21+(0.015*(F$293*$D$13)+0.015*(1.5*$D$13)+0.01*(1*$D$13))-$D$27-(F$293*$D$13)-(1.5*$D$13)-(1*$D$13)))^(1/5)-1)</f>
        <v/>
      </c>
      <c r="G297" s="920">
        <f>IF((1.02*(E297*$D$13-(-$D$14-$D$15))+$D$21+(0.015*(G$293*$D$13)+0.015*(1.5*$D$13)+0.01*(1*$D$13))-$D$27-(G$293*$D$13)-(1.5*$D$13)-(1*$D$13))&lt;=0,"NM",($H$230/(1.02*(E297*$D$13-(-$D$14-$D$15))+$D$21+(0.015*(G$293*$D$13)+0.015*(1.5*$D$13)+0.01*(1*$D$13))-$D$27-(G$293*$D$13)-(1.5*$D$13)-(1*$D$13)))^(1/5)-1)</f>
        <v/>
      </c>
      <c r="H297" s="920">
        <f>IF((1.02*(E297*$D$13-(-$D$14-$D$15))+$D$21+(0.015*(H$293*$D$13)+0.015*(1.5*$D$13)+0.01*(1*$D$13))-$D$27-(H$293*$D$13)-(1.5*$D$13)-(1*$D$13))&lt;=0,"NM",($H$230/(1.02*(E297*$D$13-(-$D$14-$D$15))+$D$21+(0.015*(H$293*$D$13)+0.015*(1.5*$D$13)+0.01*(1*$D$13))-$D$27-(H$293*$D$13)-(1.5*$D$13)-(1*$D$13)))^(1/5)-1)</f>
        <v/>
      </c>
      <c r="I297" s="920">
        <f>IF((1.02*(E297*$D$13-(-$D$14-$D$15))+$D$21+(0.015*(I$293*$D$13)+0.015*(1.5*$D$13)+0.01*(1*$D$13))-$D$27-(I$293*$D$13)-(1.5*$D$13)-(1*$D$13))&lt;=0,"NM",($H$230/(1.02*(E297*$D$13-(-$D$14-$D$15))+$D$21+(0.015*(I$293*$D$13)+0.015*(1.5*$D$13)+0.01*(1*$D$13))-$D$27-(I$293*$D$13)-(1.5*$D$13)-(1*$D$13)))^(1/5)-1)</f>
        <v/>
      </c>
      <c r="J297" s="920">
        <f>IF((1.02*(E297*$D$13-(-$D$14-$D$15))+$D$21+(0.015*(J$293*$D$13)+0.015*(1.5*$D$13)+0.01*(1*$D$13))-$D$27-(J$293*$D$13)-(1.5*$D$13)-(1*$D$13))&lt;=0,"NM",($H$230/(1.02*(E297*$D$13-(-$D$14-$D$15))+$D$21+(0.015*(J$293*$D$13)+0.015*(1.5*$D$13)+0.01*(1*$D$13))-$D$27-(J$293*$D$13)-(1.5*$D$13)-(1*$D$13)))^(1/5)-1)</f>
        <v/>
      </c>
    </row>
    <row r="298" ht="15" customHeight="1" s="409">
      <c r="D298" s="689" t="inlineStr">
        <is>
          <t>(GTM ~14.78×)</t>
        </is>
      </c>
      <c r="E298" s="921" t="n">
        <v>16.8</v>
      </c>
      <c r="F298" s="920">
        <f>IF((1.02*(E298*$D$13-(-$D$14-$D$15))+$D$21+(0.015*(F$293*$D$13)+0.015*(1.5*$D$13)+0.01*(1*$D$13))-$D$27-(F$293*$D$13)-(1.5*$D$13)-(1*$D$13))&lt;=0,"NM",($H$230/(1.02*(E298*$D$13-(-$D$14-$D$15))+$D$21+(0.015*(F$293*$D$13)+0.015*(1.5*$D$13)+0.01*(1*$D$13))-$D$27-(F$293*$D$13)-(1.5*$D$13)-(1*$D$13)))^(1/5)-1)</f>
        <v/>
      </c>
      <c r="G298" s="920">
        <f>IF((1.02*(E298*$D$13-(-$D$14-$D$15))+$D$21+(0.015*(G$293*$D$13)+0.015*(1.5*$D$13)+0.01*(1*$D$13))-$D$27-(G$293*$D$13)-(1.5*$D$13)-(1*$D$13))&lt;=0,"NM",($H$230/(1.02*(E298*$D$13-(-$D$14-$D$15))+$D$21+(0.015*(G$293*$D$13)+0.015*(1.5*$D$13)+0.01*(1*$D$13))-$D$27-(G$293*$D$13)-(1.5*$D$13)-(1*$D$13)))^(1/5)-1)</f>
        <v/>
      </c>
      <c r="H298" s="920">
        <f>IF((1.02*(E298*$D$13-(-$D$14-$D$15))+$D$21+(0.015*(H$293*$D$13)+0.015*(1.5*$D$13)+0.01*(1*$D$13))-$D$27-(H$293*$D$13)-(1.5*$D$13)-(1*$D$13))&lt;=0,"NM",($H$230/(1.02*(E298*$D$13-(-$D$14-$D$15))+$D$21+(0.015*(H$293*$D$13)+0.015*(1.5*$D$13)+0.01*(1*$D$13))-$D$27-(H$293*$D$13)-(1.5*$D$13)-(1*$D$13)))^(1/5)-1)</f>
        <v/>
      </c>
      <c r="I298" s="920">
        <f>IF((1.02*(E298*$D$13-(-$D$14-$D$15))+$D$21+(0.015*(I$293*$D$13)+0.015*(1.5*$D$13)+0.01*(1*$D$13))-$D$27-(I$293*$D$13)-(1.5*$D$13)-(1*$D$13))&lt;=0,"NM",($H$230/(1.02*(E298*$D$13-(-$D$14-$D$15))+$D$21+(0.015*(I$293*$D$13)+0.015*(1.5*$D$13)+0.01*(1*$D$13))-$D$27-(I$293*$D$13)-(1.5*$D$13)-(1*$D$13)))^(1/5)-1)</f>
        <v/>
      </c>
      <c r="J298" s="920">
        <f>IF((1.02*(E298*$D$13-(-$D$14-$D$15))+$D$21+(0.015*(J$293*$D$13)+0.015*(1.5*$D$13)+0.01*(1*$D$13))-$D$27-(J$293*$D$13)-(1.5*$D$13)-(1*$D$13))&lt;=0,"NM",($H$230/(1.02*(E298*$D$13-(-$D$14-$D$15))+$D$21+(0.015*(J$293*$D$13)+0.015*(1.5*$D$13)+0.01*(1*$D$13))-$D$27-(J$293*$D$13)-(1.5*$D$13)-(1*$D$13)))^(1/5)-1)</f>
        <v/>
      </c>
    </row>
    <row r="300" ht="15" customHeight="1" s="409">
      <c r="D300" s="915" t="inlineStr">
        <is>
          <t>Sponsor IRR at GTM offer price / share × Term Loan A leverage (TLB 1.5× + Notes 1.0× held)</t>
        </is>
      </c>
      <c r="E300" s="612" t="n"/>
      <c r="F300" s="612" t="n"/>
      <c r="G300" s="612" t="n"/>
      <c r="H300" s="612" t="n"/>
      <c r="I300" s="612" t="n"/>
      <c r="J300" s="612" t="n"/>
    </row>
    <row r="301" ht="15" customHeight="1" s="409">
      <c r="D301" s="916" t="inlineStr">
        <is>
          <t>GTM grid: same H230 exit-equity shortcut. Offer value = $/share × diluted shares H18. Actual GTM offer row = $5.0625.</t>
        </is>
      </c>
    </row>
    <row r="302" ht="15" customHeight="1" s="409">
      <c r="F302" s="917" t="inlineStr">
        <is>
          <t>Term Loan A / LTM EBITDA (GTM base 2.5×) →</t>
        </is>
      </c>
    </row>
    <row r="303" ht="40" customHeight="1" s="409">
      <c r="E303" s="908">
        <f>$J$275</f>
        <v/>
      </c>
      <c r="F303" s="918" t="n">
        <v>1.5</v>
      </c>
      <c r="G303" s="918" t="n">
        <v>2</v>
      </c>
      <c r="H303" s="918" t="n">
        <v>2.5</v>
      </c>
      <c r="I303" s="918" t="n">
        <v>3</v>
      </c>
      <c r="J303" s="918" t="n">
        <v>3.5</v>
      </c>
      <c r="K303" s="909" t="inlineStr">
        <is>
          <t>How to read: left = offer price per share. Top = Term A leverage. Green row is the real GTM $5.0625 offer. Cell = approx sponsor IRR.</t>
        </is>
      </c>
    </row>
    <row r="304" ht="15" customHeight="1" s="409">
      <c r="D304" s="689" t="n"/>
      <c r="E304" s="922" t="n">
        <v>4.05</v>
      </c>
      <c r="F304" s="923">
        <f>IF((1.02*(E304*$H$18)+$D$21+(0.015*(F$303*$D$13)+0.015*(1.5*$D$13)+0.01*(1*$D$13))-$D$27-(F$303*$D$13)-(1.5*$D$13)-(1*$D$13))&lt;=0,"NM",($H$230/(1.02*(E304*$H$18)+$D$21+(0.015*(F$303*$D$13)+0.015*(1.5*$D$13)+0.01*(1*$D$13))-$D$27-(F$303*$D$13)-(1.5*$D$13)-(1*$D$13)))^(1/5)-1)</f>
        <v/>
      </c>
      <c r="G304" s="923">
        <f>IF((1.02*(E304*$H$18)+$D$21+(0.015*(G$303*$D$13)+0.015*(1.5*$D$13)+0.01*(1*$D$13))-$D$27-(G$303*$D$13)-(1.5*$D$13)-(1*$D$13))&lt;=0,"NM",($H$230/(1.02*(E304*$H$18)+$D$21+(0.015*(G$303*$D$13)+0.015*(1.5*$D$13)+0.01*(1*$D$13))-$D$27-(G$303*$D$13)-(1.5*$D$13)-(1*$D$13)))^(1/5)-1)</f>
        <v/>
      </c>
      <c r="H304" s="923">
        <f>IF((1.02*(E304*$H$18)+$D$21+(0.015*(H$303*$D$13)+0.015*(1.5*$D$13)+0.01*(1*$D$13))-$D$27-(H$303*$D$13)-(1.5*$D$13)-(1*$D$13))&lt;=0,"NM",($H$230/(1.02*(E304*$H$18)+$D$21+(0.015*(H$303*$D$13)+0.015*(1.5*$D$13)+0.01*(1*$D$13))-$D$27-(H$303*$D$13)-(1.5*$D$13)-(1*$D$13)))^(1/5)-1)</f>
        <v/>
      </c>
      <c r="I304" s="923">
        <f>IF((1.02*(E304*$H$18)+$D$21+(0.015*(I$303*$D$13)+0.015*(1.5*$D$13)+0.01*(1*$D$13))-$D$27-(I$303*$D$13)-(1.5*$D$13)-(1*$D$13))&lt;=0,"NM",($H$230/(1.02*(E304*$H$18)+$D$21+(0.015*(I$303*$D$13)+0.015*(1.5*$D$13)+0.01*(1*$D$13))-$D$27-(I$303*$D$13)-(1.5*$D$13)-(1*$D$13)))^(1/5)-1)</f>
        <v/>
      </c>
      <c r="J304" s="923">
        <f>IF((1.02*(E304*$H$18)+$D$21+(0.015*(J$303*$D$13)+0.015*(1.5*$D$13)+0.01*(1*$D$13))-$D$27-(J$303*$D$13)-(1.5*$D$13)-(1*$D$13))&lt;=0,"NM",($H$230/(1.02*(E304*$H$18)+$D$21+(0.015*(J$303*$D$13)+0.015*(1.5*$D$13)+0.01*(1*$D$13))-$D$27-(J$303*$D$13)-(1.5*$D$13)-(1*$D$13)))^(1/5)-1)</f>
        <v/>
      </c>
      <c r="L304" s="909" t="inlineStr">
        <is>
          <t>GTM offer×leverage IRRs filled (was empty/N/A). Uses live H230 and Sources plug math.</t>
        </is>
      </c>
    </row>
    <row r="305" ht="15.75" customHeight="1" s="409">
      <c r="D305" s="689" t="inlineStr">
        <is>
          <t>Offer</t>
        </is>
      </c>
      <c r="E305" s="924" t="n">
        <v>4.5</v>
      </c>
      <c r="F305" s="923">
        <f>IF((1.02*(E305*$H$18)+$D$21+(0.015*(F$303*$D$13)+0.015*(1.5*$D$13)+0.01*(1*$D$13))-$D$27-(F$303*$D$13)-(1.5*$D$13)-(1*$D$13))&lt;=0,"NM",($H$230/(1.02*(E305*$H$18)+$D$21+(0.015*(F$303*$D$13)+0.015*(1.5*$D$13)+0.01*(1*$D$13))-$D$27-(F$303*$D$13)-(1.5*$D$13)-(1*$D$13)))^(1/5)-1)</f>
        <v/>
      </c>
      <c r="G305" s="923">
        <f>IF((1.02*(E305*$H$18)+$D$21+(0.015*(G$303*$D$13)+0.015*(1.5*$D$13)+0.01*(1*$D$13))-$D$27-(G$303*$D$13)-(1.5*$D$13)-(1*$D$13))&lt;=0,"NM",($H$230/(1.02*(E305*$H$18)+$D$21+(0.015*(G$303*$D$13)+0.015*(1.5*$D$13)+0.01*(1*$D$13))-$D$27-(G$303*$D$13)-(1.5*$D$13)-(1*$D$13)))^(1/5)-1)</f>
        <v/>
      </c>
      <c r="H305" s="923">
        <f>IF((1.02*(E305*$H$18)+$D$21+(0.015*(H$303*$D$13)+0.015*(1.5*$D$13)+0.01*(1*$D$13))-$D$27-(H$303*$D$13)-(1.5*$D$13)-(1*$D$13))&lt;=0,"NM",($H$230/(1.02*(E305*$H$18)+$D$21+(0.015*(H$303*$D$13)+0.015*(1.5*$D$13)+0.01*(1*$D$13))-$D$27-(H$303*$D$13)-(1.5*$D$13)-(1*$D$13)))^(1/5)-1)</f>
        <v/>
      </c>
      <c r="I305" s="923">
        <f>IF((1.02*(E305*$H$18)+$D$21+(0.015*(I$303*$D$13)+0.015*(1.5*$D$13)+0.01*(1*$D$13))-$D$27-(I$303*$D$13)-(1.5*$D$13)-(1*$D$13))&lt;=0,"NM",($H$230/(1.02*(E305*$H$18)+$D$21+(0.015*(I$303*$D$13)+0.015*(1.5*$D$13)+0.01*(1*$D$13))-$D$27-(I$303*$D$13)-(1.5*$D$13)-(1*$D$13)))^(1/5)-1)</f>
        <v/>
      </c>
      <c r="J305" s="923">
        <f>IF((1.02*(E305*$H$18)+$D$21+(0.015*(J$303*$D$13)+0.015*(1.5*$D$13)+0.01*(1*$D$13))-$D$27-(J$303*$D$13)-(1.5*$D$13)-(1*$D$13))&lt;=0,"NM",($H$230/(1.02*(E305*$H$18)+$D$21+(0.015*(J$303*$D$13)+0.015*(1.5*$D$13)+0.01*(1*$D$13))-$D$27-(J$303*$D$13)-(1.5*$D$13)-(1*$D$13)))^(1/5)-1)</f>
        <v/>
      </c>
    </row>
    <row r="306" ht="15.75" customHeight="1" s="409">
      <c r="D306" s="689" t="inlineStr">
        <is>
          <t>price</t>
        </is>
      </c>
      <c r="E306" s="925" t="n">
        <v>5.0625</v>
      </c>
      <c r="F306" s="923">
        <f>IF((1.02*(E306*$H$18)+$D$21+(0.015*(F$303*$D$13)+0.015*(1.5*$D$13)+0.01*(1*$D$13))-$D$27-(F$303*$D$13)-(1.5*$D$13)-(1*$D$13))&lt;=0,"NM",($H$230/(1.02*(E306*$H$18)+$D$21+(0.015*(F$303*$D$13)+0.015*(1.5*$D$13)+0.01*(1*$D$13))-$D$27-(F$303*$D$13)-(1.5*$D$13)-(1*$D$13)))^(1/5)-1)</f>
        <v/>
      </c>
      <c r="G306" s="923">
        <f>IF((1.02*(E306*$H$18)+$D$21+(0.015*(G$303*$D$13)+0.015*(1.5*$D$13)+0.01*(1*$D$13))-$D$27-(G$303*$D$13)-(1.5*$D$13)-(1*$D$13))&lt;=0,"NM",($H$230/(1.02*(E306*$H$18)+$D$21+(0.015*(G$303*$D$13)+0.015*(1.5*$D$13)+0.01*(1*$D$13))-$D$27-(G$303*$D$13)-(1.5*$D$13)-(1*$D$13)))^(1/5)-1)</f>
        <v/>
      </c>
      <c r="H306" s="923">
        <f>IF((1.02*(E306*$H$18)+$D$21+(0.015*(H$303*$D$13)+0.015*(1.5*$D$13)+0.01*(1*$D$13))-$D$27-(H$303*$D$13)-(1.5*$D$13)-(1*$D$13))&lt;=0,"NM",($H$230/(1.02*(E306*$H$18)+$D$21+(0.015*(H$303*$D$13)+0.015*(1.5*$D$13)+0.01*(1*$D$13))-$D$27-(H$303*$D$13)-(1.5*$D$13)-(1*$D$13)))^(1/5)-1)</f>
        <v/>
      </c>
      <c r="I306" s="923">
        <f>IF((1.02*(E306*$H$18)+$D$21+(0.015*(I$303*$D$13)+0.015*(1.5*$D$13)+0.01*(1*$D$13))-$D$27-(I$303*$D$13)-(1.5*$D$13)-(1*$D$13))&lt;=0,"NM",($H$230/(1.02*(E306*$H$18)+$D$21+(0.015*(I$303*$D$13)+0.015*(1.5*$D$13)+0.01*(1*$D$13))-$D$27-(I$303*$D$13)-(1.5*$D$13)-(1*$D$13)))^(1/5)-1)</f>
        <v/>
      </c>
      <c r="J306" s="923">
        <f>IF((1.02*(E306*$H$18)+$D$21+(0.015*(J$303*$D$13)+0.015*(1.5*$D$13)+0.01*(1*$D$13))-$D$27-(J$303*$D$13)-(1.5*$D$13)-(1*$D$13))&lt;=0,"NM",($H$230/(1.02*(E306*$H$18)+$D$21+(0.015*(J$303*$D$13)+0.015*(1.5*$D$13)+0.01*(1*$D$13))-$D$27-(J$303*$D$13)-(1.5*$D$13)-(1*$D$13)))^(1/5)-1)</f>
        <v/>
      </c>
      <c r="L306" s="926" t="inlineStr">
        <is>
          <t>GTM actual offer / share (highlighted)</t>
        </is>
      </c>
    </row>
    <row r="307" ht="15.75" customHeight="1" s="409">
      <c r="D307" s="689" t="inlineStr">
        <is>
          <t>/ share</t>
        </is>
      </c>
      <c r="E307" s="924" t="n">
        <v>5.5</v>
      </c>
      <c r="F307" s="923">
        <f>IF((1.02*(E307*$H$18)+$D$21+(0.015*(F$303*$D$13)+0.015*(1.5*$D$13)+0.01*(1*$D$13))-$D$27-(F$303*$D$13)-(1.5*$D$13)-(1*$D$13))&lt;=0,"NM",($H$230/(1.02*(E307*$H$18)+$D$21+(0.015*(F$303*$D$13)+0.015*(1.5*$D$13)+0.01*(1*$D$13))-$D$27-(F$303*$D$13)-(1.5*$D$13)-(1*$D$13)))^(1/5)-1)</f>
        <v/>
      </c>
      <c r="G307" s="923">
        <f>IF((1.02*(E307*$H$18)+$D$21+(0.015*(G$303*$D$13)+0.015*(1.5*$D$13)+0.01*(1*$D$13))-$D$27-(G$303*$D$13)-(1.5*$D$13)-(1*$D$13))&lt;=0,"NM",($H$230/(1.02*(E307*$H$18)+$D$21+(0.015*(G$303*$D$13)+0.015*(1.5*$D$13)+0.01*(1*$D$13))-$D$27-(G$303*$D$13)-(1.5*$D$13)-(1*$D$13)))^(1/5)-1)</f>
        <v/>
      </c>
      <c r="H307" s="923">
        <f>IF((1.02*(E307*$H$18)+$D$21+(0.015*(H$303*$D$13)+0.015*(1.5*$D$13)+0.01*(1*$D$13))-$D$27-(H$303*$D$13)-(1.5*$D$13)-(1*$D$13))&lt;=0,"NM",($H$230/(1.02*(E307*$H$18)+$D$21+(0.015*(H$303*$D$13)+0.015*(1.5*$D$13)+0.01*(1*$D$13))-$D$27-(H$303*$D$13)-(1.5*$D$13)-(1*$D$13)))^(1/5)-1)</f>
        <v/>
      </c>
      <c r="I307" s="923">
        <f>IF((1.02*(E307*$H$18)+$D$21+(0.015*(I$303*$D$13)+0.015*(1.5*$D$13)+0.01*(1*$D$13))-$D$27-(I$303*$D$13)-(1.5*$D$13)-(1*$D$13))&lt;=0,"NM",($H$230/(1.02*(E307*$H$18)+$D$21+(0.015*(I$303*$D$13)+0.015*(1.5*$D$13)+0.01*(1*$D$13))-$D$27-(I$303*$D$13)-(1.5*$D$13)-(1*$D$13)))^(1/5)-1)</f>
        <v/>
      </c>
      <c r="J307" s="923">
        <f>IF((1.02*(E307*$H$18)+$D$21+(0.015*(J$303*$D$13)+0.015*(1.5*$D$13)+0.01*(1*$D$13))-$D$27-(J$303*$D$13)-(1.5*$D$13)-(1*$D$13))&lt;=0,"NM",($H$230/(1.02*(E307*$H$18)+$D$21+(0.015*(J$303*$D$13)+0.015*(1.5*$D$13)+0.01*(1*$D$13))-$D$27-(J$303*$D$13)-(1.5*$D$13)-(1*$D$13)))^(1/5)-1)</f>
        <v/>
      </c>
    </row>
    <row r="308" ht="15" customHeight="1" s="409">
      <c r="D308" s="689" t="inlineStr">
        <is>
          <t>(GTM $5.0625)</t>
        </is>
      </c>
      <c r="E308" s="924" t="n">
        <v>6</v>
      </c>
      <c r="F308" s="923">
        <f>IF((1.02*(E308*$H$18)+$D$21+(0.015*(F$303*$D$13)+0.015*(1.5*$D$13)+0.01*(1*$D$13))-$D$27-(F$303*$D$13)-(1.5*$D$13)-(1*$D$13))&lt;=0,"NM",($H$230/(1.02*(E308*$H$18)+$D$21+(0.015*(F$303*$D$13)+0.015*(1.5*$D$13)+0.01*(1*$D$13))-$D$27-(F$303*$D$13)-(1.5*$D$13)-(1*$D$13)))^(1/5)-1)</f>
        <v/>
      </c>
      <c r="G308" s="923">
        <f>IF((1.02*(E308*$H$18)+$D$21+(0.015*(G$303*$D$13)+0.015*(1.5*$D$13)+0.01*(1*$D$13))-$D$27-(G$303*$D$13)-(1.5*$D$13)-(1*$D$13))&lt;=0,"NM",($H$230/(1.02*(E308*$H$18)+$D$21+(0.015*(G$303*$D$13)+0.015*(1.5*$D$13)+0.01*(1*$D$13))-$D$27-(G$303*$D$13)-(1.5*$D$13)-(1*$D$13)))^(1/5)-1)</f>
        <v/>
      </c>
      <c r="H308" s="923">
        <f>IF((1.02*(E308*$H$18)+$D$21+(0.015*(H$303*$D$13)+0.015*(1.5*$D$13)+0.01*(1*$D$13))-$D$27-(H$303*$D$13)-(1.5*$D$13)-(1*$D$13))&lt;=0,"NM",($H$230/(1.02*(E308*$H$18)+$D$21+(0.015*(H$303*$D$13)+0.015*(1.5*$D$13)+0.01*(1*$D$13))-$D$27-(H$303*$D$13)-(1.5*$D$13)-(1*$D$13)))^(1/5)-1)</f>
        <v/>
      </c>
      <c r="I308" s="923">
        <f>IF((1.02*(E308*$H$18)+$D$21+(0.015*(I$303*$D$13)+0.015*(1.5*$D$13)+0.01*(1*$D$13))-$D$27-(I$303*$D$13)-(1.5*$D$13)-(1*$D$13))&lt;=0,"NM",($H$230/(1.02*(E308*$H$18)+$D$21+(0.015*(I$303*$D$13)+0.015*(1.5*$D$13)+0.01*(1*$D$13))-$D$27-(I$303*$D$13)-(1.5*$D$13)-(1*$D$13)))^(1/5)-1)</f>
        <v/>
      </c>
      <c r="J308" s="923">
        <f>IF((1.02*(E308*$H$18)+$D$21+(0.015*(J$303*$D$13)+0.015*(1.5*$D$13)+0.01*(1*$D$13))-$D$27-(J$303*$D$13)-(1.5*$D$13)-(1*$D$13))&lt;=0,"NM",($H$230/(1.02*(E308*$H$18)+$D$21+(0.015*(J$303*$D$13)+0.015*(1.5*$D$13)+0.01*(1*$D$13))-$D$27-(J$303*$D$13)-(1.5*$D$13)-(1*$D$13)))^(1/5)-1)</f>
        <v/>
      </c>
    </row>
    <row r="310" ht="15" customHeight="1" s="409">
      <c r="D310" s="915" t="inlineStr">
        <is>
          <t>Sponsor IRR @ Preferred &amp; Sub Note Equity Kicker — GTM base is 0% / 0% (no kickers)</t>
        </is>
      </c>
      <c r="E310" s="612" t="n"/>
      <c r="F310" s="612" t="n"/>
      <c r="G310" s="612" t="n"/>
      <c r="H310" s="612" t="n"/>
      <c r="I310" s="612" t="n"/>
      <c r="J310" s="612" t="n"/>
    </row>
    <row r="311" ht="15" customHeight="1" s="409">
      <c r="F311" s="917" t="inlineStr">
        <is>
          <t>Sub Note Equity Kicker (GTM = 0)</t>
        </is>
      </c>
    </row>
    <row r="312" ht="15" customHeight="1" s="409">
      <c r="E312" s="908">
        <f>$J$275</f>
        <v/>
      </c>
      <c r="F312" s="927" t="n">
        <v>0</v>
      </c>
      <c r="G312" s="693" t="n">
        <v>0.02</v>
      </c>
      <c r="H312" s="693" t="n">
        <v>0.04</v>
      </c>
      <c r="I312" s="693" t="n">
        <v>0.06</v>
      </c>
      <c r="J312" s="693" t="n">
        <v>0.08</v>
      </c>
      <c r="K312" s="909" t="inlineStr">
        <is>
          <t>How to read: GTM has $0 Pref and $0 Sub. Top-left 0%/0% = real IRR. Other cells only show simple dilution if kickers were added.</t>
        </is>
      </c>
    </row>
    <row r="313" ht="15" customHeight="1" s="409">
      <c r="D313" s="689" t="n"/>
      <c r="E313" s="927" t="n">
        <v>0</v>
      </c>
      <c r="F313" s="920">
        <f>$J$275</f>
        <v/>
      </c>
      <c r="G313" s="920">
        <f>IF($H$230&lt;=0,"NM",(($H$230/(1+E313+G$312))/$D$35)^(1/5)-1)</f>
        <v/>
      </c>
      <c r="H313" s="920">
        <f>IF($H$230&lt;=0,"NM",(($H$230/(1+E313+H$312))/$D$35)^(1/5)-1)</f>
        <v/>
      </c>
      <c r="I313" s="920">
        <f>IF($H$230&lt;=0,"NM",(($H$230/(1+E313+I$312))/$D$35)^(1/5)-1)</f>
        <v/>
      </c>
      <c r="J313" s="920">
        <f>IF($H$230&lt;=0,"NM",(($H$230/(1+E313+J$312))/$D$35)^(1/5)-1)</f>
        <v/>
      </c>
      <c r="L313" s="909" t="inlineStr">
        <is>
          <t>GTM: only 0%/0% is the deal. Other IRRs are illustrative dilution, not a full preferred waterfall.</t>
        </is>
      </c>
    </row>
    <row r="314" ht="15.75" customHeight="1" s="409">
      <c r="D314" s="689" t="inlineStr">
        <is>
          <t>Preferred</t>
        </is>
      </c>
      <c r="E314" s="928" t="n">
        <v>0.02</v>
      </c>
      <c r="F314" s="920">
        <f>IF($H$230&lt;=0,"NM",(($H$230/(1+E314+F$312))/$D$35)^(1/5)-1)</f>
        <v/>
      </c>
      <c r="G314" s="920">
        <f>IF($H$230&lt;=0,"NM",(($H$230/(1+E314+G$312))/$D$35)^(1/5)-1)</f>
        <v/>
      </c>
      <c r="H314" s="920">
        <f>IF($H$230&lt;=0,"NM",(($H$230/(1+E314+H$312))/$D$35)^(1/5)-1)</f>
        <v/>
      </c>
      <c r="I314" s="920">
        <f>IF($H$230&lt;=0,"NM",(($H$230/(1+E314+I$312))/$D$35)^(1/5)-1)</f>
        <v/>
      </c>
      <c r="J314" s="920">
        <f>IF($H$230&lt;=0,"NM",(($H$230/(1+E314+J$312))/$D$35)^(1/5)-1)</f>
        <v/>
      </c>
    </row>
    <row r="315" ht="15.75" customHeight="1" s="409">
      <c r="D315" s="689" t="inlineStr">
        <is>
          <t>Equity</t>
        </is>
      </c>
      <c r="E315" s="928" t="n">
        <v>0.04</v>
      </c>
      <c r="F315" s="920">
        <f>IF($H$230&lt;=0,"NM",(($H$230/(1+E315+F$312))/$D$35)^(1/5)-1)</f>
        <v/>
      </c>
      <c r="G315" s="920">
        <f>IF($H$230&lt;=0,"NM",(($H$230/(1+E315+G$312))/$D$35)^(1/5)-1)</f>
        <v/>
      </c>
      <c r="H315" s="920">
        <f>IF($H$230&lt;=0,"NM",(($H$230/(1+E315+H$312))/$D$35)^(1/5)-1)</f>
        <v/>
      </c>
      <c r="I315" s="920">
        <f>IF($H$230&lt;=0,"NM",(($H$230/(1+E315+I$312))/$D$35)^(1/5)-1)</f>
        <v/>
      </c>
      <c r="J315" s="920">
        <f>IF($H$230&lt;=0,"NM",(($H$230/(1+E315+J$312))/$D$35)^(1/5)-1)</f>
        <v/>
      </c>
    </row>
    <row r="316" ht="15.75" customHeight="1" s="409">
      <c r="D316" s="689" t="inlineStr">
        <is>
          <t>Kicker</t>
        </is>
      </c>
      <c r="E316" s="928" t="n">
        <v>0.06</v>
      </c>
      <c r="F316" s="920">
        <f>IF($H$230&lt;=0,"NM",(($H$230/(1+E316+F$312))/$D$35)^(1/5)-1)</f>
        <v/>
      </c>
      <c r="G316" s="920">
        <f>IF($H$230&lt;=0,"NM",(($H$230/(1+E316+G$312))/$D$35)^(1/5)-1)</f>
        <v/>
      </c>
      <c r="H316" s="920">
        <f>IF($H$230&lt;=0,"NM",(($H$230/(1+E316+H$312))/$D$35)^(1/5)-1)</f>
        <v/>
      </c>
      <c r="I316" s="920">
        <f>IF($H$230&lt;=0,"NM",(($H$230/(1+E316+I$312))/$D$35)^(1/5)-1)</f>
        <v/>
      </c>
      <c r="J316" s="920">
        <f>IF($H$230&lt;=0,"NM",(($H$230/(1+E316+J$312))/$D$35)^(1/5)-1)</f>
        <v/>
      </c>
    </row>
    <row r="317" ht="15" customHeight="1" s="409">
      <c r="D317" s="689" t="inlineStr">
        <is>
          <t>(GTM 0%)</t>
        </is>
      </c>
      <c r="E317" s="928" t="n">
        <v>0.08</v>
      </c>
      <c r="F317" s="920">
        <f>IF($H$230&lt;=0,"NM",(($H$230/(1+E317+F$312))/$D$35)^(1/5)-1)</f>
        <v/>
      </c>
      <c r="G317" s="920">
        <f>IF($H$230&lt;=0,"NM",(($H$230/(1+E317+G$312))/$D$35)^(1/5)-1)</f>
        <v/>
      </c>
      <c r="H317" s="920">
        <f>IF($H$230&lt;=0,"NM",(($H$230/(1+E317+H$312))/$D$35)^(1/5)-1)</f>
        <v/>
      </c>
      <c r="I317" s="920">
        <f>IF($H$230&lt;=0,"NM",(($H$230/(1+E317+I$312))/$D$35)^(1/5)-1)</f>
        <v/>
      </c>
      <c r="J317" s="920">
        <f>IF($H$230&lt;=0,"NM",(($H$230/(1+E317+J$312))/$D$35)^(1/5)-1)</f>
        <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7">
    <mergeCell ref="L259:P264"/>
    <mergeCell ref="G321:I321"/>
    <mergeCell ref="D291:J291"/>
    <mergeCell ref="F302:J302"/>
    <mergeCell ref="D290:J290"/>
    <mergeCell ref="L258:P258"/>
    <mergeCell ref="D300:J300"/>
    <mergeCell ref="Q141:S141"/>
    <mergeCell ref="D310:J310"/>
    <mergeCell ref="L215:N216"/>
    <mergeCell ref="F292:J292"/>
    <mergeCell ref="L214:N214"/>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2026-08-17T18:18:21Z</dcterms:modified>
  <cp:revision>0</cp:revision>
</cp:coreProperties>
</file>