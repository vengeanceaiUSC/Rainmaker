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
<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name="Assumptions_Drivers" sheetId="1" state="visible" r:id="rId1"/>
    <sheet name="Strategy_Summary" sheetId="2" state="visible" r:id="rId2"/>
    <sheet name="00_Assumptions_List" sheetId="3" state="visible" r:id="rId3"/>
    <sheet name="Debt_Sweep_AI" sheetId="4" state="visible" r:id="rId4"/>
    <sheet name="Base_Operating" sheetId="5" state="visible" r:id="rId5"/>
    <sheet name="AI_Operating" sheetId="6" state="visible" r:id="rId6"/>
    <sheet name="Coversheet" sheetId="7" state="visible" r:id="rId7"/>
    <sheet name="LBO" sheetId="8" state="visible" r:id="rId8"/>
    <sheet name="DCF" sheetId="9" state="visible" r:id="rId9"/>
    <sheet name="Shares" sheetId="10" state="visible" r:id="rId10"/>
    <sheet name="52wkHL" sheetId="11" state="visible" r:id="rId11"/>
  </sheets>
  <definedNames/>
  <calcPr calcId="124519" fullCalcOnLoad="1" refMode="A1" iterate="0" iterateCount="100" iterateDelta="0.0001"/>
</workbook>
</file>

<file path=xl/styles.xml><?xml version="1.0" encoding="utf-8"?>
<styleSheet xmlns="http://schemas.openxmlformats.org/spreadsheetml/2006/main">
  <numFmts count="32">
    <numFmt numFmtId="164" formatCode="0.0%"/>
    <numFmt numFmtId="165" formatCode="0.0"/>
    <numFmt numFmtId="166" formatCode="#,##0.0"/>
    <numFmt numFmtId="167" formatCode="0.00\x"/>
    <numFmt numFmtId="168" formatCode="m/d/yyyy"/>
    <numFmt numFmtId="169" formatCode="&quot;Approach &quot;0"/>
    <numFmt numFmtId="170" formatCode="#,##0.00_);\(#,##0.00\)"/>
    <numFmt numFmtId="171" formatCode="0.0\x_);\(0.0&quot;x)&quot;;@_)"/>
    <numFmt numFmtId="172" formatCode="yyyy\-mm\-dd"/>
    <numFmt numFmtId="173" formatCode="#,##0.0_);\(#,##0.0\);@_)"/>
    <numFmt numFmtId="174" formatCode="#,##0_);\(#,##0\)"/>
    <numFmt numFmtId="175" formatCode="#,##0.0_);\(#,##0.0\)"/>
    <numFmt numFmtId="176" formatCode="0%_);\(0%\);@_)"/>
    <numFmt numFmtId="177" formatCode="0.0%_);\(0.0%\);@_)"/>
    <numFmt numFmtId="178" formatCode="0.00\x__"/>
    <numFmt numFmtId="179" formatCode="0&quot; yrs&quot;"/>
    <numFmt numFmtId="180" formatCode="0\A;[RED]0\A"/>
    <numFmt numFmtId="181" formatCode="0\A"/>
    <numFmt numFmtId="182" formatCode="0\P_);\(0&quot;P)&quot;"/>
    <numFmt numFmtId="183" formatCode="m/d/yy;@"/>
    <numFmt numFmtId="184" formatCode="\$#,##0.0_);&quot;($&quot;#,##0.0\)"/>
    <numFmt numFmtId="185" formatCode="0.00%_);\(0.00%\);@_)"/>
    <numFmt numFmtId="186" formatCode="&quot;L + &quot;0%"/>
    <numFmt numFmtId="187" formatCode="0.000%_);\(0.000%\);@_)"/>
    <numFmt numFmtId="188" formatCode="&quot;Assumed exit on &quot;[$-409]&quot;mmmm d, yyyy&quot;;@"/>
    <numFmt numFmtId="189" formatCode="0.00\x_);\(0.00&quot;x)&quot;;@_)"/>
    <numFmt numFmtId="190" formatCode="0.000"/>
    <numFmt numFmtId="191" formatCode="0.0000"/>
    <numFmt numFmtId="192" formatCode="General&quot; yrs&quot;"/>
    <numFmt numFmtId="193" formatCode="\$#,##0.00_);&quot;($&quot;#,##0.00\);@_)"/>
    <numFmt numFmtId="194" formatCode="#,##0.0_);\(#,##0.0\);\-_);@_)"/>
    <numFmt numFmtId="195" formatCode="&quot;Tranche &quot;0"/>
  </numFmts>
  <fonts count="63">
    <font>
      <name val="Calibri"/>
      <charset val="1"/>
      <family val="2"/>
      <color theme="1"/>
      <sz val="11"/>
    </font>
    <font>
      <name val="Arial"/>
      <family val="0"/>
      <sz val="10"/>
    </font>
    <font>
      <name val="Arial"/>
      <family val="0"/>
      <sz val="10"/>
    </font>
    <font>
      <name val="Arial"/>
      <family val="0"/>
      <sz val="10"/>
    </font>
    <font>
      <name val="Calibri"/>
      <charset val="1"/>
      <family val="0"/>
      <b val="1"/>
      <color rgb="FF0B3D5C"/>
      <sz val="14"/>
    </font>
    <font>
      <name val="Calibri"/>
      <charset val="1"/>
      <family val="0"/>
      <color rgb="FF334455"/>
      <sz val="10"/>
    </font>
    <font>
      <name val="Calibri"/>
      <charset val="1"/>
      <family val="0"/>
      <b val="1"/>
      <color rgb="FFFFFFFF"/>
      <sz val="9"/>
    </font>
    <font>
      <name val="Calibri"/>
      <charset val="1"/>
      <family val="0"/>
      <b val="1"/>
      <color rgb="FFFFFFFF"/>
      <sz val="10"/>
    </font>
    <font>
      <name val="Calibri"/>
      <charset val="1"/>
      <family val="0"/>
      <b val="1"/>
      <sz val="9"/>
    </font>
    <font>
      <name val="Calibri"/>
      <charset val="1"/>
      <family val="0"/>
      <sz val="9"/>
    </font>
    <font>
      <name val="Calibri"/>
      <charset val="1"/>
      <family val="0"/>
      <b val="1"/>
      <color rgb="FF0000FF"/>
      <sz val="11"/>
    </font>
    <font>
      <name val="Calibri"/>
      <charset val="1"/>
      <family val="0"/>
      <color rgb="FF0563C1"/>
      <sz val="9"/>
      <u val="single"/>
    </font>
    <font>
      <name val="Calibri"/>
      <charset val="1"/>
      <family val="0"/>
      <color rgb="FF0000FF"/>
      <sz val="9"/>
    </font>
    <font>
      <name val="Calibri"/>
      <charset val="1"/>
      <family val="0"/>
      <b val="1"/>
      <sz val="10"/>
    </font>
    <font>
      <name val="Calibri"/>
      <charset val="1"/>
      <family val="0"/>
      <sz val="10"/>
    </font>
    <font>
      <name val="Calibri"/>
      <charset val="1"/>
      <family val="0"/>
      <i val="1"/>
      <color rgb="FF556677"/>
      <sz val="9"/>
    </font>
    <font>
      <name val="Calibri"/>
      <charset val="1"/>
      <family val="0"/>
      <b val="1"/>
      <color rgb="FF1F4E79"/>
      <sz val="14"/>
    </font>
    <font>
      <name val="Calibri"/>
      <charset val="1"/>
      <family val="0"/>
      <b val="1"/>
      <sz val="11"/>
    </font>
    <font>
      <name val="Calibri"/>
      <charset val="1"/>
      <family val="0"/>
      <i val="1"/>
      <sz val="9"/>
    </font>
    <font>
      <name val="Calibri"/>
      <charset val="1"/>
      <family val="0"/>
      <b val="1"/>
      <color rgb="FFFFFFFF"/>
      <sz val="11"/>
    </font>
    <font>
      <name val="Calibri"/>
      <charset val="1"/>
      <family val="0"/>
      <color rgb="FF0563C1"/>
      <sz val="10"/>
      <u val="single"/>
    </font>
    <font>
      <name val="Calibri"/>
      <charset val="1"/>
      <family val="0"/>
      <b val="1"/>
      <color rgb="FF0000FF"/>
      <sz val="10"/>
    </font>
    <font>
      <name val="Calibri"/>
      <charset val="1"/>
      <family val="0"/>
      <b val="1"/>
      <color rgb="FFC00000"/>
      <sz val="14"/>
    </font>
    <font>
      <name val="Calibri"/>
      <charset val="1"/>
      <family val="0"/>
      <b val="1"/>
      <color rgb="FFFFFFFF"/>
      <sz val="12"/>
    </font>
    <font>
      <name val="Calibri"/>
      <charset val="1"/>
      <family val="0"/>
      <b val="1"/>
      <sz val="12"/>
    </font>
    <font>
      <name val="Calibri"/>
      <charset val="1"/>
      <family val="0"/>
      <i val="1"/>
      <sz val="10"/>
    </font>
    <font>
      <name val="Calibri"/>
      <charset val="1"/>
      <family val="0"/>
      <i val="1"/>
      <sz val="11"/>
    </font>
    <font>
      <name val="Calibri"/>
      <charset val="1"/>
      <family val="2"/>
      <b val="1"/>
      <color theme="1"/>
      <sz val="20"/>
    </font>
    <font>
      <name val="Calibri"/>
      <charset val="1"/>
      <family val="2"/>
      <color rgb="FF000000"/>
      <sz val="11"/>
    </font>
    <font>
      <name val="Cambria"/>
      <charset val="1"/>
      <family val="0"/>
      <i val="1"/>
      <color rgb="FF666666"/>
      <sz val="8"/>
    </font>
    <font>
      <name val="Cambria"/>
      <charset val="1"/>
      <family val="0"/>
      <b val="1"/>
      <sz val="14"/>
    </font>
    <font>
      <name val="Calibri"/>
      <charset val="1"/>
      <family val="2"/>
      <i val="1"/>
      <color rgb="FF000000"/>
      <sz val="11"/>
    </font>
    <font>
      <name val="Calibri"/>
      <charset val="1"/>
      <family val="2"/>
      <b val="1"/>
      <color rgb="FF008000"/>
      <sz val="11"/>
    </font>
    <font>
      <name val="Calibri"/>
      <charset val="1"/>
      <family val="2"/>
      <i val="1"/>
      <color theme="1"/>
      <sz val="11"/>
    </font>
    <font>
      <name val="Calibri"/>
      <charset val="1"/>
      <family val="2"/>
      <b val="1"/>
      <color theme="1"/>
      <sz val="11"/>
    </font>
    <font>
      <name val="Calibri"/>
      <charset val="1"/>
      <family val="2"/>
      <b val="1"/>
      <color rgb="FF000000"/>
      <sz val="11"/>
    </font>
    <font>
      <name val="Calibri"/>
      <charset val="1"/>
      <family val="2"/>
      <b val="1"/>
      <color rgb="FF0000FF"/>
      <sz val="11"/>
    </font>
    <font>
      <name val="Calibri"/>
      <charset val="1"/>
      <family val="2"/>
      <color rgb="FF0000FF"/>
      <sz val="11"/>
    </font>
    <font>
      <name val="Calibri"/>
      <charset val="1"/>
      <family val="2"/>
      <i val="1"/>
      <color theme="1"/>
      <sz val="10"/>
    </font>
    <font>
      <name val="Calibri"/>
      <charset val="1"/>
      <family val="2"/>
      <color rgb="FF008000"/>
      <sz val="11"/>
    </font>
    <font>
      <name val="Cambria"/>
      <charset val="1"/>
      <family val="0"/>
      <i val="1"/>
      <color rgb="FF333333"/>
      <sz val="9"/>
    </font>
    <font>
      <name val="Calibri"/>
      <charset val="1"/>
      <family val="2"/>
      <color theme="1"/>
      <sz val="10"/>
      <u val="single"/>
    </font>
    <font>
      <name val="Calibri"/>
      <charset val="1"/>
      <family val="2"/>
      <i val="1"/>
      <color rgb="FF0000FF"/>
      <sz val="11"/>
    </font>
    <font>
      <name val="Calibri"/>
      <charset val="1"/>
      <family val="2"/>
      <b val="1"/>
      <i val="1"/>
      <color rgb="FF000000"/>
      <sz val="11"/>
    </font>
    <font>
      <name val="Cambria"/>
      <charset val="1"/>
      <family val="0"/>
      <b val="1"/>
      <sz val="10"/>
    </font>
    <font>
      <name val="Cambria"/>
      <charset val="1"/>
      <family val="0"/>
      <i val="1"/>
      <color rgb="FF333333"/>
      <sz val="8"/>
    </font>
    <font>
      <name val="Calibri"/>
      <charset val="1"/>
      <family val="2"/>
      <color theme="1"/>
      <sz val="11"/>
      <u val="single"/>
    </font>
    <font>
      <name val="Calibri"/>
      <charset val="1"/>
      <family val="2"/>
      <b val="1"/>
      <i val="1"/>
      <color theme="1"/>
      <sz val="11"/>
    </font>
    <font>
      <name val="Calibri"/>
      <charset val="1"/>
      <family val="2"/>
      <i val="1"/>
      <color theme="1"/>
      <sz val="11"/>
      <u val="single"/>
    </font>
    <font>
      <name val="Calibri"/>
      <charset val="1"/>
      <family val="2"/>
      <b val="1"/>
      <color rgb="FFFF0000"/>
      <sz val="11"/>
    </font>
    <font>
      <name val="Calibri"/>
      <charset val="1"/>
      <family val="2"/>
      <color theme="1"/>
      <sz val="10"/>
    </font>
    <font>
      <name val="Calibri"/>
      <charset val="1"/>
      <family val="2"/>
      <i val="1"/>
      <color rgb="FF0000FF"/>
      <sz val="10"/>
    </font>
    <font>
      <name val="Calibri"/>
      <charset val="1"/>
      <family val="2"/>
      <color rgb="FF000000"/>
      <sz val="11"/>
      <u val="single"/>
    </font>
    <font>
      <name val="Calibri"/>
      <charset val="1"/>
      <family val="2"/>
      <b val="1"/>
      <i val="1"/>
      <color theme="1"/>
      <sz val="10"/>
    </font>
    <font>
      <name val="Calibri"/>
      <charset val="1"/>
      <family val="2"/>
      <i val="1"/>
      <color rgb="FF000000"/>
      <sz val="10"/>
    </font>
    <font>
      <name val="Cambria"/>
      <charset val="1"/>
      <family val="0"/>
      <b val="1"/>
      <sz val="11"/>
    </font>
    <font>
      <name val="Calibri"/>
      <charset val="1"/>
      <family val="2"/>
      <i val="1"/>
      <color rgb="FF008000"/>
      <sz val="11"/>
    </font>
    <font>
      <name val="Calibri"/>
      <charset val="1"/>
      <family val="2"/>
      <b val="1"/>
      <color rgb="FF0000FF"/>
      <sz val="8"/>
    </font>
    <font>
      <name val="Calibri"/>
      <charset val="1"/>
      <family val="2"/>
      <color theme="1"/>
      <sz val="8"/>
    </font>
    <font>
      <name val="Calibri"/>
      <charset val="1"/>
      <family val="2"/>
      <sz val="11"/>
    </font>
    <font>
      <name val="Calibri"/>
      <charset val="1"/>
      <family val="2"/>
      <b val="1"/>
      <color theme="1"/>
      <sz val="13"/>
    </font>
    <font>
      <b val="1"/>
      <sz val="10"/>
    </font>
    <font>
      <i val="1"/>
      <color rgb="00333333"/>
      <sz val="8"/>
    </font>
  </fonts>
  <fills count="15">
    <fill>
      <patternFill/>
    </fill>
    <fill>
      <patternFill patternType="gray125"/>
    </fill>
    <fill>
      <patternFill patternType="solid">
        <fgColor rgb="FF1F4E79"/>
        <bgColor rgb="FF334455"/>
      </patternFill>
    </fill>
    <fill>
      <patternFill patternType="solid">
        <fgColor rgb="FF0B3D5C"/>
        <bgColor rgb="FF1F4E79"/>
      </patternFill>
    </fill>
    <fill>
      <patternFill patternType="solid">
        <fgColor rgb="FFFCE4D6"/>
        <bgColor rgb="FFFFF2CC"/>
      </patternFill>
    </fill>
    <fill>
      <patternFill patternType="solid">
        <fgColor rgb="FFC6EFCE"/>
        <bgColor rgb="FFE2EFDA"/>
      </patternFill>
    </fill>
    <fill>
      <patternFill patternType="solid">
        <fgColor rgb="FFE8F1F8"/>
        <bgColor rgb="FFE7F3FF"/>
      </patternFill>
    </fill>
    <fill>
      <patternFill patternType="solid">
        <fgColor rgb="FFFFF2CC"/>
        <bgColor rgb="FFFCE4D6"/>
      </patternFill>
    </fill>
    <fill>
      <patternFill patternType="solid">
        <fgColor rgb="FFF7FAFC"/>
        <bgColor rgb="FFFFFFFF"/>
      </patternFill>
    </fill>
    <fill>
      <patternFill patternType="solid">
        <fgColor rgb="FFF2F2F2"/>
        <bgColor rgb="FFE8F1F8"/>
      </patternFill>
    </fill>
    <fill>
      <patternFill patternType="solid">
        <fgColor rgb="FFE2EFDA"/>
        <bgColor rgb="FFE8F1F8"/>
      </patternFill>
    </fill>
    <fill>
      <patternFill patternType="solid">
        <fgColor rgb="FFFFE8A3"/>
        <bgColor rgb="FFFFF2CC"/>
      </patternFill>
    </fill>
    <fill>
      <patternFill patternType="solid">
        <fgColor rgb="FFE7F3FF"/>
        <bgColor rgb="FFE8F1F8"/>
      </patternFill>
    </fill>
    <fill>
      <patternFill patternType="solid">
        <fgColor rgb="FFFFFF99"/>
        <bgColor rgb="FFFFE8A3"/>
      </patternFill>
    </fill>
    <fill>
      <patternFill patternType="solid">
        <fgColor rgb="FFCCFFFF"/>
        <bgColor rgb="FFE7F3FF"/>
      </patternFill>
    </fill>
  </fills>
  <borders count="21">
    <border>
      <left/>
      <right/>
      <top/>
      <bottom/>
      <diagonal/>
    </border>
    <border>
      <left style="thin">
        <color rgb="FFC5D0DA"/>
      </left>
      <right style="thin">
        <color rgb="FFC5D0DA"/>
      </right>
      <top style="thin">
        <color rgb="FFC5D0DA"/>
      </top>
      <bottom style="thin">
        <color rgb="FFC5D0DA"/>
      </bottom>
      <diagonal/>
    </border>
    <border>
      <left style="thin">
        <color rgb="FFD0D0D0"/>
      </left>
      <right style="thin">
        <color rgb="FFD0D0D0"/>
      </right>
      <top style="thin">
        <color rgb="FFD0D0D0"/>
      </top>
      <bottom style="thin">
        <color rgb="FFD0D0D0"/>
      </bottom>
      <diagonal/>
    </border>
    <border>
      <left style="thin">
        <color rgb="FFB0B0B0"/>
      </left>
      <right style="thin">
        <color rgb="FFB0B0B0"/>
      </right>
      <top style="thin">
        <color rgb="FFB0B0B0"/>
      </top>
      <bottom style="thin">
        <color rgb="FFB0B0B0"/>
      </bottom>
      <diagonal/>
    </border>
    <border>
      <left style="thin"/>
      <right style="thin"/>
      <top style="thin"/>
      <bottom style="thin"/>
      <diagonal/>
    </border>
    <border>
      <left/>
      <right/>
      <top/>
      <bottom style="thin"/>
      <diagonal/>
    </border>
    <border>
      <left/>
      <right/>
      <top style="medium"/>
      <bottom style="mediu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style="thin"/>
      <top/>
      <bottom style="thin"/>
      <diagonal/>
    </border>
    <border>
      <left/>
      <right/>
      <top style="thin"/>
      <bottom style="thin"/>
      <diagonal/>
    </border>
    <border>
      <left style="thin"/>
      <right style="thin"/>
      <top style="thin"/>
      <bottom/>
      <diagonal/>
    </border>
    <border>
      <left style="thin"/>
      <right style="thin"/>
      <top/>
      <bottom/>
      <diagonal/>
    </border>
    <border>
      <left style="thin"/>
      <right style="thin"/>
      <top/>
      <bottom style="thin"/>
      <diagonal/>
    </border>
    <border>
      <left/>
      <right/>
      <top/>
      <bottom style="medium"/>
      <diagonal/>
    </border>
    <border>
      <left style="thin"/>
      <right/>
      <top style="thin"/>
      <bottom style="thin"/>
      <diagonal/>
    </border>
    <border>
      <left/>
      <right style="thin"/>
      <top style="thin"/>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825">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28" fillId="0" borderId="5" applyAlignment="1" pivotButton="0" quotePrefix="0" xfId="0">
      <alignment horizontal="general" vertical="bottom"/>
    </xf>
    <xf numFmtId="0" fontId="0" fillId="0" borderId="0" applyAlignment="1" pivotButton="0" quotePrefix="0" xfId="0">
      <alignment horizontal="left" vertical="bottom" wrapText="1"/>
    </xf>
    <xf numFmtId="0" fontId="29" fillId="0" borderId="0" applyAlignment="1" pivotButton="0" quotePrefix="0" xfId="0">
      <alignment horizontal="general" vertical="bottom"/>
    </xf>
    <xf numFmtId="0" fontId="30" fillId="0" borderId="6" applyAlignment="1" pivotButton="0" quotePrefix="0" xfId="0">
      <alignment horizontal="general" vertical="bottom"/>
    </xf>
    <xf numFmtId="0" fontId="0" fillId="0" borderId="6" applyAlignment="1" pivotButton="0" quotePrefix="0" xfId="0">
      <alignment horizontal="general" vertical="bottom"/>
    </xf>
    <xf numFmtId="168" fontId="31" fillId="0" borderId="0" applyAlignment="1" pivotButton="0" quotePrefix="0" xfId="0">
      <alignment horizontal="left" vertical="bottom"/>
    </xf>
    <xf numFmtId="0" fontId="32" fillId="0" borderId="0" applyAlignment="1" pivotButton="0" quotePrefix="0" xfId="0">
      <alignment horizontal="general" vertical="bottom"/>
    </xf>
    <xf numFmtId="168" fontId="33" fillId="0" borderId="0" applyAlignment="1" pivotButton="0" quotePrefix="0" xfId="0">
      <alignment horizontal="general" vertical="bottom"/>
    </xf>
    <xf numFmtId="0" fontId="34" fillId="0" borderId="5" applyAlignment="1" pivotButton="0" quotePrefix="0" xfId="0">
      <alignment horizontal="general" vertical="bottom"/>
    </xf>
    <xf numFmtId="0" fontId="35" fillId="0" borderId="5" applyAlignment="1" pivotButton="0" quotePrefix="0" xfId="0">
      <alignment horizontal="general" vertical="bottom"/>
    </xf>
    <xf numFmtId="0" fontId="28" fillId="0" borderId="0" applyAlignment="1" pivotButton="0" quotePrefix="0" xfId="0">
      <alignment horizontal="left" vertical="bottom" indent="1"/>
    </xf>
    <xf numFmtId="0" fontId="0" fillId="0" borderId="0" applyAlignment="1" pivotButton="0" quotePrefix="0" xfId="0">
      <alignment horizontal="right" vertical="bottom"/>
    </xf>
    <xf numFmtId="0" fontId="33" fillId="0" borderId="0" applyAlignment="1" pivotButton="0" quotePrefix="0" xfId="0">
      <alignment horizontal="general" vertical="bottom"/>
    </xf>
    <xf numFmtId="169" fontId="36" fillId="13" borderId="4" applyAlignment="1" pivotButton="0" quotePrefix="0" xfId="0">
      <alignment horizontal="center" vertical="bottom"/>
    </xf>
    <xf numFmtId="169" fontId="34" fillId="0" borderId="0" applyAlignment="1" pivotButton="0" quotePrefix="0" xfId="0">
      <alignment horizontal="general" vertical="bottom"/>
    </xf>
    <xf numFmtId="169" fontId="34" fillId="0" borderId="0" applyAlignment="1" pivotButton="0" quotePrefix="0" xfId="0">
      <alignment horizontal="right" vertical="bottom"/>
    </xf>
    <xf numFmtId="170" fontId="37" fillId="0" borderId="0" applyAlignment="1" pivotButton="0" quotePrefix="0" xfId="0">
      <alignment horizontal="general" vertical="bottom"/>
    </xf>
    <xf numFmtId="171" fontId="38" fillId="0" borderId="0" applyAlignment="1" pivotButton="0" quotePrefix="0" xfId="0">
      <alignment horizontal="center" vertical="bottom"/>
    </xf>
    <xf numFmtId="0" fontId="38" fillId="0" borderId="0" applyAlignment="1" pivotButton="0" quotePrefix="0" xfId="0">
      <alignment horizontal="right" vertical="bottom"/>
    </xf>
    <xf numFmtId="172" fontId="37" fillId="0" borderId="0" applyAlignment="1" pivotButton="0" quotePrefix="0" xfId="0">
      <alignment horizontal="general" vertical="bottom"/>
    </xf>
    <xf numFmtId="0" fontId="29" fillId="0" borderId="0" applyAlignment="1" pivotButton="0" quotePrefix="0" xfId="0">
      <alignment horizontal="general" vertical="bottom" wrapText="1"/>
    </xf>
    <xf numFmtId="173" fontId="37" fillId="0" borderId="0" applyAlignment="1" pivotButton="0" quotePrefix="0" xfId="0">
      <alignment horizontal="right" vertical="bottom"/>
    </xf>
    <xf numFmtId="0" fontId="28"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7" fillId="0" borderId="0" applyAlignment="1" pivotButton="0" quotePrefix="0" xfId="0">
      <alignment horizontal="general" vertical="bottom"/>
    </xf>
    <xf numFmtId="0" fontId="35" fillId="0" borderId="0" applyAlignment="1" pivotButton="0" quotePrefix="0" xfId="0">
      <alignment horizontal="general" vertical="bottom"/>
    </xf>
    <xf numFmtId="166" fontId="34" fillId="0" borderId="0" applyAlignment="1" pivotButton="0" quotePrefix="0" xfId="0">
      <alignment horizontal="general" vertical="bottom"/>
    </xf>
    <xf numFmtId="175" fontId="28" fillId="0" borderId="0" applyAlignment="1" pivotButton="0" quotePrefix="0" xfId="0">
      <alignment horizontal="general" vertical="bottom"/>
    </xf>
    <xf numFmtId="174" fontId="37"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left" vertical="bottom" indent="1"/>
    </xf>
    <xf numFmtId="171" fontId="37" fillId="0" borderId="0" applyAlignment="1" pivotButton="0" quotePrefix="0" xfId="0">
      <alignment horizontal="general" vertical="bottom"/>
    </xf>
    <xf numFmtId="164" fontId="37" fillId="0" borderId="0" applyAlignment="1" pivotButton="0" quotePrefix="0" xfId="0">
      <alignment horizontal="general" vertical="bottom"/>
    </xf>
    <xf numFmtId="175" fontId="39" fillId="0" borderId="0" applyAlignment="1" pivotButton="0" quotePrefix="0" xfId="0">
      <alignment horizontal="general" vertical="bottom"/>
    </xf>
    <xf numFmtId="176" fontId="28"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4" fillId="0" borderId="0" applyAlignment="1" pivotButton="0" quotePrefix="0" xfId="0">
      <alignment horizontal="general" vertical="bottom"/>
    </xf>
    <xf numFmtId="2" fontId="36" fillId="0" borderId="0" applyAlignment="1" pivotButton="0" quotePrefix="0" xfId="0">
      <alignment horizontal="general" vertical="bottom"/>
    </xf>
    <xf numFmtId="0" fontId="31" fillId="0" borderId="0" applyAlignment="1" pivotButton="0" quotePrefix="0" xfId="0">
      <alignment horizontal="left" vertical="bottom" indent="1"/>
    </xf>
    <xf numFmtId="166" fontId="28" fillId="0" borderId="5" applyAlignment="1" pivotButton="0" quotePrefix="0" xfId="0">
      <alignment horizontal="general" vertical="bottom"/>
    </xf>
    <xf numFmtId="0" fontId="40" fillId="0" borderId="0" applyAlignment="1" pivotButton="0" quotePrefix="0" xfId="0">
      <alignment horizontal="general" vertical="bottom" wrapText="1"/>
    </xf>
    <xf numFmtId="176" fontId="0" fillId="0" borderId="0" applyAlignment="1" pivotButton="0" quotePrefix="0" xfId="0">
      <alignment horizontal="general" vertical="bottom"/>
    </xf>
    <xf numFmtId="0" fontId="34" fillId="0" borderId="0" applyAlignment="1" pivotButton="0" quotePrefix="0" xfId="0">
      <alignment horizontal="general" vertical="bottom"/>
    </xf>
    <xf numFmtId="0" fontId="41" fillId="0" borderId="0" applyAlignment="1" pivotButton="0" quotePrefix="0" xfId="0">
      <alignment horizontal="general" vertical="bottom"/>
    </xf>
    <xf numFmtId="0" fontId="41" fillId="0" borderId="0" applyAlignment="1" pivotButton="0" quotePrefix="0" xfId="0">
      <alignment horizontal="right" vertical="bottom"/>
    </xf>
    <xf numFmtId="2" fontId="31" fillId="0" borderId="0" applyAlignment="1" pivotButton="0" quotePrefix="0" xfId="0">
      <alignment horizontal="center" vertical="bottom"/>
    </xf>
    <xf numFmtId="0" fontId="40" fillId="0" borderId="0" applyAlignment="1" pivotButton="0" quotePrefix="0" xfId="0">
      <alignment horizontal="general" vertical="top" wrapText="1"/>
    </xf>
    <xf numFmtId="178" fontId="42" fillId="0" borderId="0" applyAlignment="1" pivotButton="0" quotePrefix="0" xfId="0">
      <alignment horizontal="center" vertical="bottom"/>
    </xf>
    <xf numFmtId="177" fontId="37" fillId="0" borderId="0" applyAlignment="1" pivotButton="0" quotePrefix="0" xfId="0">
      <alignment horizontal="general" vertical="bottom"/>
    </xf>
    <xf numFmtId="179" fontId="37" fillId="0" borderId="0" applyAlignment="1" pivotButton="0" quotePrefix="0" xfId="0">
      <alignment horizontal="general" vertical="bottom"/>
    </xf>
    <xf numFmtId="4" fontId="28" fillId="0" borderId="0" applyAlignment="1" pivotButton="0" quotePrefix="0" xfId="0">
      <alignment horizontal="right" vertical="bottom"/>
    </xf>
    <xf numFmtId="175" fontId="34" fillId="0" borderId="0" applyAlignment="1" pivotButton="0" quotePrefix="0" xfId="0">
      <alignment horizontal="general" vertical="bottom"/>
    </xf>
    <xf numFmtId="166" fontId="0" fillId="0" borderId="5" applyAlignment="1" pivotButton="0" quotePrefix="0" xfId="0">
      <alignment horizontal="general" vertical="bottom"/>
    </xf>
    <xf numFmtId="175" fontId="28" fillId="0" borderId="5" applyAlignment="1" pivotButton="0" quotePrefix="0" xfId="0">
      <alignment horizontal="right" vertical="bottom"/>
    </xf>
    <xf numFmtId="0" fontId="34" fillId="0" borderId="0" applyAlignment="1" pivotButton="0" quotePrefix="0" xfId="0">
      <alignment horizontal="left" vertical="bottom" indent="2"/>
    </xf>
    <xf numFmtId="0" fontId="33" fillId="0" borderId="0" applyAlignment="1" pivotButton="0" quotePrefix="0" xfId="0">
      <alignment horizontal="left" vertical="bottom" indent="1"/>
    </xf>
    <xf numFmtId="4" fontId="0" fillId="0" borderId="0" applyAlignment="1" pivotButton="0" quotePrefix="0" xfId="0">
      <alignment horizontal="general" vertical="bottom"/>
    </xf>
    <xf numFmtId="0" fontId="34" fillId="0" borderId="0" applyAlignment="1" pivotButton="0" quotePrefix="0" xfId="0">
      <alignment horizontal="left" vertical="bottom"/>
    </xf>
    <xf numFmtId="2" fontId="43" fillId="0" borderId="0" applyAlignment="1" pivotButton="0" quotePrefix="0" xfId="0">
      <alignment horizontal="center" vertical="bottom"/>
    </xf>
    <xf numFmtId="0" fontId="32" fillId="0" borderId="5" applyAlignment="1" pivotButton="0" quotePrefix="0" xfId="0">
      <alignment horizontal="general" vertical="bottom"/>
    </xf>
    <xf numFmtId="0" fontId="44" fillId="0" borderId="0" applyAlignment="1" pivotButton="0" quotePrefix="0" xfId="0">
      <alignment horizontal="general" vertical="bottom"/>
    </xf>
    <xf numFmtId="180" fontId="34" fillId="0" borderId="0" applyAlignment="1" pivotButton="0" quotePrefix="0" xfId="0">
      <alignment horizontal="general" vertical="bottom"/>
    </xf>
    <xf numFmtId="181" fontId="34" fillId="0" borderId="0" applyAlignment="1" pivotButton="0" quotePrefix="0" xfId="0">
      <alignment horizontal="general" vertical="bottom"/>
    </xf>
    <xf numFmtId="182" fontId="34" fillId="0" borderId="0" applyAlignment="1" pivotButton="0" quotePrefix="0" xfId="0">
      <alignment horizontal="general" vertical="bottom"/>
    </xf>
    <xf numFmtId="0" fontId="33" fillId="0" borderId="5" applyAlignment="1" pivotButton="0" quotePrefix="0" xfId="0">
      <alignment horizontal="general" vertical="bottom"/>
    </xf>
    <xf numFmtId="172" fontId="42" fillId="0" borderId="5" applyAlignment="1" pivotButton="0" quotePrefix="0" xfId="0">
      <alignment horizontal="general" vertical="bottom"/>
    </xf>
    <xf numFmtId="172" fontId="33" fillId="0" borderId="5" applyAlignment="1" pivotButton="0" quotePrefix="0" xfId="0">
      <alignment horizontal="general" vertical="bottom"/>
    </xf>
    <xf numFmtId="183" fontId="42" fillId="0" borderId="0" applyAlignment="1" pivotButton="0" quotePrefix="0" xfId="0">
      <alignment horizontal="general" vertical="bottom"/>
    </xf>
    <xf numFmtId="183" fontId="33" fillId="0" borderId="0" applyAlignment="1" pivotButton="0" quotePrefix="0" xfId="0">
      <alignment horizontal="general" vertical="bottom"/>
    </xf>
    <xf numFmtId="175" fontId="37" fillId="0" borderId="0" applyAlignment="1" pivotButton="0" quotePrefix="0" xfId="0">
      <alignment horizontal="general" vertical="bottom"/>
    </xf>
    <xf numFmtId="0" fontId="45" fillId="0" borderId="0" applyAlignment="1" pivotButton="0" quotePrefix="0" xfId="0">
      <alignment horizontal="general" vertical="top" wrapText="1"/>
    </xf>
    <xf numFmtId="175" fontId="35" fillId="0" borderId="0" applyAlignment="1" pivotButton="0" quotePrefix="0" xfId="0">
      <alignment horizontal="general" vertical="bottom"/>
    </xf>
    <xf numFmtId="0" fontId="46" fillId="0" borderId="0" applyAlignment="1" pivotButton="0" quotePrefix="0" xfId="0">
      <alignment horizontal="general" vertical="bottom"/>
    </xf>
    <xf numFmtId="174" fontId="39" fillId="0" borderId="0" applyAlignment="1" pivotButton="0" quotePrefix="0" xfId="0">
      <alignment horizontal="general" vertical="bottom"/>
    </xf>
    <xf numFmtId="166" fontId="35" fillId="0" borderId="0" applyAlignment="1" pivotButton="0" quotePrefix="0" xfId="0">
      <alignment horizontal="general" vertical="bottom"/>
    </xf>
    <xf numFmtId="0" fontId="34" fillId="0" borderId="0" applyAlignment="1" pivotButton="0" quotePrefix="0" xfId="0">
      <alignment horizontal="left" vertical="bottom" indent="1"/>
    </xf>
    <xf numFmtId="0" fontId="46" fillId="0" borderId="0" applyAlignment="1" pivotButton="0" quotePrefix="0" xfId="0">
      <alignment horizontal="right" vertical="bottom"/>
    </xf>
    <xf numFmtId="0" fontId="0" fillId="0" borderId="0" applyAlignment="1" pivotButton="0" quotePrefix="0" xfId="0">
      <alignment horizontal="left" vertical="bottom"/>
    </xf>
    <xf numFmtId="177" fontId="28" fillId="0" borderId="0" applyAlignment="1" pivotButton="0" quotePrefix="0" xfId="0">
      <alignment horizontal="general" vertical="bottom"/>
    </xf>
    <xf numFmtId="3" fontId="35" fillId="0" borderId="0" applyAlignment="1" pivotButton="0" quotePrefix="0" xfId="0">
      <alignment horizontal="general" vertical="bottom"/>
    </xf>
    <xf numFmtId="0" fontId="34" fillId="0" borderId="5" applyAlignment="1" pivotButton="0" quotePrefix="0" xfId="0">
      <alignment horizontal="left" vertical="bottom"/>
    </xf>
    <xf numFmtId="3" fontId="35" fillId="0" borderId="5" applyAlignment="1" pivotButton="0" quotePrefix="0" xfId="0">
      <alignment horizontal="general" vertical="bottom"/>
    </xf>
    <xf numFmtId="184" fontId="34" fillId="0" borderId="0" applyAlignment="1" pivotButton="0" quotePrefix="0" xfId="0">
      <alignment horizontal="general" vertical="bottom"/>
    </xf>
    <xf numFmtId="175" fontId="36" fillId="0" borderId="0" applyAlignment="1" pivotButton="0" quotePrefix="0" xfId="0">
      <alignment horizontal="general" vertical="bottom"/>
    </xf>
    <xf numFmtId="0" fontId="0" fillId="0" borderId="0" applyAlignment="1" pivotButton="0" quotePrefix="0" xfId="0">
      <alignment horizontal="left" vertical="bottom" indent="2"/>
    </xf>
    <xf numFmtId="177" fontId="34" fillId="0" borderId="0" applyAlignment="1" pivotButton="0" quotePrefix="0" xfId="0">
      <alignment horizontal="general" vertical="bottom"/>
    </xf>
    <xf numFmtId="175" fontId="33" fillId="0" borderId="0" applyAlignment="1" pivotButton="0" quotePrefix="0" xfId="0">
      <alignment horizontal="general" vertical="bottom"/>
    </xf>
    <xf numFmtId="175" fontId="37" fillId="0" borderId="5" applyAlignment="1" pivotButton="0" quotePrefix="0" xfId="0">
      <alignment horizontal="general" vertical="bottom"/>
    </xf>
    <xf numFmtId="174" fontId="0" fillId="0" borderId="5" applyAlignment="1" pivotButton="0" quotePrefix="0" xfId="0">
      <alignment horizontal="general" vertical="bottom"/>
    </xf>
    <xf numFmtId="0" fontId="33" fillId="0" borderId="0" applyAlignment="1" pivotButton="0" quotePrefix="0" xfId="0">
      <alignment horizontal="left" vertical="bottom" indent="3"/>
    </xf>
    <xf numFmtId="177" fontId="42" fillId="0" borderId="0" applyAlignment="1" pivotButton="0" quotePrefix="0" xfId="0">
      <alignment horizontal="right" vertical="bottom"/>
    </xf>
    <xf numFmtId="177" fontId="33" fillId="0" borderId="0" applyAlignment="1" pivotButton="0" quotePrefix="0" xfId="0">
      <alignment horizontal="general" vertical="bottom"/>
    </xf>
    <xf numFmtId="176" fontId="28" fillId="0" borderId="0" applyAlignment="1" pivotButton="0" quotePrefix="0" xfId="0">
      <alignment horizontal="general" vertical="bottom"/>
    </xf>
    <xf numFmtId="174" fontId="34" fillId="0" borderId="0" applyAlignment="1" pivotButton="0" quotePrefix="0" xfId="0">
      <alignment horizontal="general" vertical="bottom"/>
    </xf>
    <xf numFmtId="165" fontId="37" fillId="0" borderId="0" applyAlignment="1" pivotButton="0" quotePrefix="0" xfId="0">
      <alignment horizontal="general" vertical="bottom"/>
    </xf>
    <xf numFmtId="183" fontId="33" fillId="0" borderId="5" applyAlignment="1" pivotButton="0" quotePrefix="0" xfId="0">
      <alignment horizontal="general" vertical="bottom"/>
    </xf>
    <xf numFmtId="180" fontId="35" fillId="0" borderId="0" applyAlignment="1" pivotButton="0" quotePrefix="0" xfId="0">
      <alignment horizontal="general" vertical="bottom"/>
    </xf>
    <xf numFmtId="182" fontId="35" fillId="0" borderId="0" applyAlignment="1" pivotButton="0" quotePrefix="0" xfId="0">
      <alignment horizontal="general" vertical="bottom"/>
    </xf>
    <xf numFmtId="183" fontId="31" fillId="0" borderId="5" applyAlignment="1" pivotButton="0" quotePrefix="0" xfId="0">
      <alignment horizontal="general" vertical="bottom"/>
    </xf>
    <xf numFmtId="172" fontId="31"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7" fillId="0" borderId="0" applyAlignment="1" pivotButton="0" quotePrefix="0" xfId="0">
      <alignment horizontal="left" vertical="bottom" indent="1"/>
    </xf>
    <xf numFmtId="175" fontId="0" fillId="0" borderId="4" applyAlignment="1" pivotButton="0" quotePrefix="0" xfId="0">
      <alignment horizontal="general" vertical="bottom"/>
    </xf>
    <xf numFmtId="185" fontId="28" fillId="0" borderId="0" applyAlignment="1" pivotButton="0" quotePrefix="0" xfId="0">
      <alignment horizontal="general" vertical="bottom"/>
    </xf>
    <xf numFmtId="10" fontId="28" fillId="0" borderId="0" applyAlignment="1" pivotButton="0" quotePrefix="0" xfId="0">
      <alignment horizontal="general" vertical="bottom"/>
    </xf>
    <xf numFmtId="0" fontId="46" fillId="0" borderId="0" applyAlignment="1" pivotButton="0" quotePrefix="0" xfId="0">
      <alignment horizontal="left" vertical="bottom" indent="2"/>
    </xf>
    <xf numFmtId="175" fontId="46" fillId="0" borderId="0" applyAlignment="1" pivotButton="0" quotePrefix="0" xfId="0">
      <alignment horizontal="general" vertical="bottom"/>
    </xf>
    <xf numFmtId="0" fontId="33" fillId="0" borderId="0" applyAlignment="1" pivotButton="0" quotePrefix="0" xfId="0">
      <alignment horizontal="left" vertical="bottom" indent="2"/>
    </xf>
    <xf numFmtId="176" fontId="37" fillId="0" borderId="0" applyAlignment="1" pivotButton="0" quotePrefix="0" xfId="0">
      <alignment horizontal="right" vertical="bottom"/>
    </xf>
    <xf numFmtId="9" fontId="42" fillId="0" borderId="0" applyAlignment="1" pivotButton="0" quotePrefix="0" xfId="0">
      <alignment horizontal="right" vertical="bottom"/>
    </xf>
    <xf numFmtId="0" fontId="33" fillId="0" borderId="0" applyAlignment="1" pivotButton="0" quotePrefix="0" xfId="0">
      <alignment horizontal="right" vertical="bottom"/>
    </xf>
    <xf numFmtId="0" fontId="34" fillId="0" borderId="0" applyAlignment="1" pivotButton="0" quotePrefix="0" xfId="0">
      <alignment horizontal="center" vertical="bottom"/>
    </xf>
    <xf numFmtId="176" fontId="42" fillId="0" borderId="0" applyAlignment="1" pivotButton="0" quotePrefix="0" xfId="0">
      <alignment horizontal="general" vertical="bottom"/>
    </xf>
    <xf numFmtId="9" fontId="42" fillId="0" borderId="0" applyAlignment="1" pivotButton="0" quotePrefix="0" xfId="0">
      <alignment horizontal="general" vertical="bottom"/>
    </xf>
    <xf numFmtId="175" fontId="33" fillId="0" borderId="0" applyAlignment="1" pivotButton="0" quotePrefix="0" xfId="0">
      <alignment horizontal="right" vertical="bottom"/>
    </xf>
    <xf numFmtId="174" fontId="28" fillId="0" borderId="0" applyAlignment="1" pivotButton="0" quotePrefix="0" xfId="0">
      <alignment horizontal="general" vertical="bottom"/>
    </xf>
    <xf numFmtId="175" fontId="31" fillId="0" borderId="0" applyAlignment="1" pivotButton="0" quotePrefix="0" xfId="0">
      <alignment horizontal="general" vertical="bottom"/>
    </xf>
    <xf numFmtId="174" fontId="31" fillId="0" borderId="0" applyAlignment="1" pivotButton="0" quotePrefix="0" xfId="0">
      <alignment horizontal="general" vertical="bottom"/>
    </xf>
    <xf numFmtId="176" fontId="37" fillId="0" borderId="0" applyAlignment="1" pivotButton="0" quotePrefix="0" xfId="0">
      <alignment horizontal="general" vertical="bottom"/>
    </xf>
    <xf numFmtId="9" fontId="37" fillId="0" borderId="0" applyAlignment="1" pivotButton="0" quotePrefix="0" xfId="0">
      <alignment horizontal="general" vertical="bottom"/>
    </xf>
    <xf numFmtId="0" fontId="28" fillId="0" borderId="0" applyAlignment="1" pivotButton="0" quotePrefix="0" xfId="0">
      <alignment horizontal="center" vertical="bottom"/>
    </xf>
    <xf numFmtId="175" fontId="28" fillId="0" borderId="4" applyAlignment="1" pivotButton="0" quotePrefix="0" xfId="0">
      <alignment horizontal="general" vertical="bottom"/>
    </xf>
    <xf numFmtId="0" fontId="46" fillId="0" borderId="0" applyAlignment="1" pivotButton="0" quotePrefix="0" xfId="0">
      <alignment horizontal="left" vertical="bottom"/>
    </xf>
    <xf numFmtId="0" fontId="48" fillId="0" borderId="0" applyAlignment="1" pivotButton="0" quotePrefix="0" xfId="0">
      <alignment horizontal="right" vertical="bottom"/>
    </xf>
    <xf numFmtId="174" fontId="42" fillId="0" borderId="0" applyAlignment="1" pivotButton="0" quotePrefix="0" xfId="0">
      <alignment horizontal="general" vertical="bottom"/>
    </xf>
    <xf numFmtId="186" fontId="37" fillId="0" borderId="0" applyAlignment="1" pivotButton="0" quotePrefix="0" xfId="0">
      <alignment horizontal="right" vertical="bottom"/>
    </xf>
    <xf numFmtId="185" fontId="0" fillId="0" borderId="0" applyAlignment="1" pivotButton="0" quotePrefix="0" xfId="0">
      <alignment horizontal="general" vertical="bottom"/>
    </xf>
    <xf numFmtId="187" fontId="37" fillId="0" borderId="0" applyAlignment="1" pivotButton="0" quotePrefix="0" xfId="0">
      <alignment horizontal="general" vertical="bottom"/>
    </xf>
    <xf numFmtId="187" fontId="28" fillId="0" borderId="0" applyAlignment="1" pivotButton="0" quotePrefix="0" xfId="0">
      <alignment horizontal="general" vertical="bottom"/>
    </xf>
    <xf numFmtId="188" fontId="33" fillId="0" borderId="5" applyAlignment="1" pivotButton="0" quotePrefix="0" xfId="0">
      <alignment horizontal="center" vertical="bottom"/>
    </xf>
    <xf numFmtId="165" fontId="34" fillId="0" borderId="4" applyAlignment="1" pivotButton="0" quotePrefix="0" xfId="0">
      <alignment horizontal="general" vertical="bottom"/>
    </xf>
    <xf numFmtId="165" fontId="34" fillId="0" borderId="0" applyAlignment="1" pivotButton="0" quotePrefix="0" xfId="0">
      <alignment horizontal="general" vertical="bottom"/>
    </xf>
    <xf numFmtId="171" fontId="37" fillId="0" borderId="0" applyAlignment="1" pivotButton="0" quotePrefix="0" xfId="0">
      <alignment horizontal="right" vertical="bottom"/>
    </xf>
    <xf numFmtId="0" fontId="46" fillId="0" borderId="0" applyAlignment="1" pivotButton="0" quotePrefix="0" xfId="0">
      <alignment horizontal="left" vertical="bottom" indent="1"/>
    </xf>
    <xf numFmtId="0" fontId="28" fillId="0" borderId="0" applyAlignment="1" pivotButton="0" quotePrefix="0" xfId="0">
      <alignment horizontal="left" vertical="bottom" indent="2"/>
    </xf>
    <xf numFmtId="9" fontId="37" fillId="0" borderId="0" applyAlignment="1" pivotButton="0" quotePrefix="0" xfId="0">
      <alignment horizontal="center" vertical="bottom"/>
    </xf>
    <xf numFmtId="0" fontId="46" fillId="0" borderId="7" applyAlignment="1" pivotButton="0" quotePrefix="0" xfId="0">
      <alignment horizontal="center" vertical="bottom"/>
    </xf>
    <xf numFmtId="0" fontId="46" fillId="0" borderId="8" applyAlignment="1" pivotButton="0" quotePrefix="0" xfId="0">
      <alignment horizontal="center" vertical="bottom"/>
    </xf>
    <xf numFmtId="0" fontId="46" fillId="0" borderId="9" applyAlignment="1" pivotButton="0" quotePrefix="0" xfId="0">
      <alignment horizontal="center" vertical="bottom"/>
    </xf>
    <xf numFmtId="166" fontId="0" fillId="0" borderId="10" applyAlignment="1" pivotButton="0" quotePrefix="0" xfId="0">
      <alignment horizontal="center" vertical="bottom"/>
    </xf>
    <xf numFmtId="177" fontId="28"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7" fillId="0" borderId="10" applyAlignment="1" pivotButton="0" quotePrefix="0" xfId="0">
      <alignment horizontal="center" vertical="bottom"/>
    </xf>
    <xf numFmtId="177" fontId="37" fillId="13" borderId="11" applyAlignment="1" pivotButton="0" quotePrefix="0" xfId="0">
      <alignment horizontal="center" vertical="bottom"/>
    </xf>
    <xf numFmtId="174" fontId="37" fillId="0" borderId="12" applyAlignment="1" pivotButton="0" quotePrefix="0" xfId="0">
      <alignment horizontal="center" vertical="bottom"/>
    </xf>
    <xf numFmtId="177" fontId="28" fillId="0" borderId="5" applyAlignment="1" pivotButton="0" quotePrefix="0" xfId="0">
      <alignment horizontal="center" vertical="bottom"/>
    </xf>
    <xf numFmtId="177" fontId="37" fillId="13" borderId="13" applyAlignment="1" pivotButton="0" quotePrefix="0" xfId="0">
      <alignment horizontal="center" vertical="bottom"/>
    </xf>
    <xf numFmtId="0" fontId="34" fillId="0" borderId="14" applyAlignment="1" pivotButton="0" quotePrefix="0" xfId="0">
      <alignment horizontal="center" vertical="bottom"/>
    </xf>
    <xf numFmtId="0" fontId="34" fillId="0" borderId="14" applyAlignment="1" pivotButton="0" quotePrefix="0" xfId="0">
      <alignment horizontal="right" vertical="bottom"/>
    </xf>
    <xf numFmtId="182" fontId="34"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4" fillId="0" borderId="0" applyAlignment="1" pivotButton="0" quotePrefix="0" xfId="0">
      <alignment horizontal="center" vertical="bottom"/>
    </xf>
    <xf numFmtId="174" fontId="35" fillId="0" borderId="0" applyAlignment="1" pivotButton="0" quotePrefix="0" xfId="0">
      <alignment horizontal="general" vertical="bottom"/>
    </xf>
    <xf numFmtId="174" fontId="32"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4" fillId="0" borderId="0" applyAlignment="1" pivotButton="0" quotePrefix="0" xfId="0">
      <alignment horizontal="center" vertical="bottom"/>
    </xf>
    <xf numFmtId="177" fontId="34" fillId="0" borderId="0" applyAlignment="1" pivotButton="0" quotePrefix="0" xfId="0">
      <alignment horizontal="center" vertical="bottom"/>
    </xf>
    <xf numFmtId="174" fontId="34" fillId="0" borderId="0" applyAlignment="1" pivotButton="0" quotePrefix="0" xfId="0">
      <alignment horizontal="center" vertical="bottom"/>
    </xf>
    <xf numFmtId="0" fontId="33" fillId="0" borderId="5" applyAlignment="1" pivotButton="0" quotePrefix="0" xfId="0">
      <alignment horizontal="center" vertical="bottom"/>
    </xf>
    <xf numFmtId="185" fontId="42" fillId="0" borderId="5" applyAlignment="1" pivotButton="0" quotePrefix="0" xfId="0">
      <alignment horizontal="center" vertical="bottom"/>
    </xf>
    <xf numFmtId="0" fontId="47" fillId="0" borderId="0" applyAlignment="1" pivotButton="0" quotePrefix="0" xfId="0">
      <alignment horizontal="center" vertical="bottom"/>
    </xf>
    <xf numFmtId="0" fontId="33" fillId="0" borderId="0" applyAlignment="1" pivotButton="0" quotePrefix="0" xfId="0">
      <alignment horizontal="center" vertical="bottom"/>
    </xf>
    <xf numFmtId="185" fontId="42" fillId="0" borderId="0" applyAlignment="1" pivotButton="0" quotePrefix="0" xfId="0">
      <alignment horizontal="center" vertical="bottom"/>
    </xf>
    <xf numFmtId="0" fontId="34" fillId="0" borderId="4" applyAlignment="1" pivotButton="0" quotePrefix="0" xfId="0">
      <alignment horizontal="center" vertical="bottom"/>
    </xf>
    <xf numFmtId="0" fontId="47" fillId="0" borderId="15" applyAlignment="1" pivotButton="0" quotePrefix="0" xfId="0">
      <alignment horizontal="center" vertical="bottom"/>
    </xf>
    <xf numFmtId="185" fontId="28" fillId="0" borderId="16" applyAlignment="1" pivotButton="0" quotePrefix="0" xfId="0">
      <alignment horizontal="center" vertical="bottom"/>
    </xf>
    <xf numFmtId="185" fontId="37" fillId="0" borderId="7" applyAlignment="1" pivotButton="0" quotePrefix="0" xfId="0">
      <alignment horizontal="general" vertical="bottom"/>
    </xf>
    <xf numFmtId="185" fontId="28" fillId="0" borderId="8" applyAlignment="1" pivotButton="0" quotePrefix="0" xfId="0">
      <alignment horizontal="general" vertical="bottom"/>
    </xf>
    <xf numFmtId="185" fontId="28" fillId="0" borderId="9" applyAlignment="1" pivotButton="0" quotePrefix="0" xfId="0">
      <alignment horizontal="general" vertical="bottom"/>
    </xf>
    <xf numFmtId="166" fontId="0" fillId="0" borderId="16" applyAlignment="1" pivotButton="0" quotePrefix="0" xfId="0">
      <alignment horizontal="center" vertical="bottom"/>
    </xf>
    <xf numFmtId="166" fontId="34" fillId="0" borderId="10" applyAlignment="1" pivotButton="0" quotePrefix="0" xfId="0">
      <alignment horizontal="general" vertical="bottom"/>
    </xf>
    <xf numFmtId="166" fontId="34"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3" fillId="0" borderId="16" applyAlignment="1" pivotButton="0" quotePrefix="0" xfId="0">
      <alignment horizontal="center" vertical="bottom"/>
    </xf>
    <xf numFmtId="164" fontId="33" fillId="0" borderId="10" applyAlignment="1" pivotButton="0" quotePrefix="0" xfId="0">
      <alignment horizontal="general" vertical="bottom"/>
    </xf>
    <xf numFmtId="164" fontId="33" fillId="0" borderId="0" applyAlignment="1" pivotButton="0" quotePrefix="0" xfId="0">
      <alignment horizontal="general" vertical="bottom"/>
    </xf>
    <xf numFmtId="164" fontId="33" fillId="0" borderId="11" applyAlignment="1" pivotButton="0" quotePrefix="0" xfId="0">
      <alignment horizontal="general" vertical="bottom"/>
    </xf>
    <xf numFmtId="0" fontId="33" fillId="0" borderId="16" applyAlignment="1" pivotButton="0" quotePrefix="0" xfId="0">
      <alignment horizontal="center" vertical="bottom"/>
    </xf>
    <xf numFmtId="176" fontId="33" fillId="0" borderId="10" applyAlignment="1" pivotButton="0" quotePrefix="0" xfId="0">
      <alignment horizontal="general" vertical="bottom"/>
    </xf>
    <xf numFmtId="176" fontId="33" fillId="0" borderId="0" applyAlignment="1" pivotButton="0" quotePrefix="0" xfId="0">
      <alignment horizontal="general" vertical="bottom"/>
    </xf>
    <xf numFmtId="176" fontId="33" fillId="0" borderId="11" applyAlignment="1" pivotButton="0" quotePrefix="0" xfId="0">
      <alignment horizontal="general" vertical="bottom"/>
    </xf>
    <xf numFmtId="166" fontId="34"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7" fillId="0" borderId="0" applyAlignment="1" pivotButton="0" quotePrefix="0" xfId="0">
      <alignment horizontal="right" vertical="bottom"/>
    </xf>
    <xf numFmtId="0" fontId="47" fillId="0" borderId="5" applyAlignment="1" pivotButton="0" quotePrefix="0" xfId="0">
      <alignment horizontal="center" vertical="bottom"/>
    </xf>
    <xf numFmtId="0" fontId="34" fillId="0" borderId="15" applyAlignment="1" pivotButton="0" quotePrefix="0" xfId="0">
      <alignment horizontal="left" vertical="bottom"/>
    </xf>
    <xf numFmtId="0" fontId="49" fillId="0" borderId="0" applyAlignment="1" pivotButton="0" quotePrefix="0" xfId="0">
      <alignment horizontal="center" vertical="bottom"/>
    </xf>
    <xf numFmtId="185" fontId="36" fillId="0" borderId="17" applyAlignment="1" pivotButton="0" quotePrefix="0" xfId="0">
      <alignment horizontal="left" vertical="bottom"/>
    </xf>
    <xf numFmtId="0" fontId="47" fillId="0" borderId="0" applyAlignment="1" pivotButton="0" quotePrefix="0" xfId="0">
      <alignment horizontal="center" vertical="bottom"/>
    </xf>
    <xf numFmtId="9" fontId="31" fillId="0" borderId="0" applyAlignment="1" pivotButton="0" quotePrefix="0" xfId="0">
      <alignment horizontal="general" vertical="bottom"/>
    </xf>
    <xf numFmtId="189" fontId="36" fillId="0" borderId="0" applyAlignment="1" pivotButton="0" quotePrefix="0" xfId="0">
      <alignment horizontal="general" vertical="bottom"/>
    </xf>
    <xf numFmtId="189" fontId="35" fillId="0" borderId="0" applyAlignment="1" pivotButton="0" quotePrefix="0" xfId="0">
      <alignment horizontal="general" vertical="bottom"/>
    </xf>
    <xf numFmtId="0" fontId="33" fillId="0" borderId="0" applyAlignment="1" pivotButton="0" quotePrefix="0" xfId="0">
      <alignment horizontal="right" vertical="center" wrapText="1"/>
    </xf>
    <xf numFmtId="189" fontId="35" fillId="0" borderId="0" applyAlignment="1" pivotButton="0" quotePrefix="0" xfId="0">
      <alignment horizontal="right" vertical="bottom"/>
    </xf>
    <xf numFmtId="2" fontId="35" fillId="0" borderId="0" applyAlignment="1" pivotButton="0" quotePrefix="0" xfId="0">
      <alignment horizontal="right" vertical="bottom"/>
    </xf>
    <xf numFmtId="176" fontId="36" fillId="0" borderId="0" applyAlignment="1" pivotButton="0" quotePrefix="0" xfId="0">
      <alignment horizontal="general" vertical="bottom"/>
    </xf>
    <xf numFmtId="9" fontId="35" fillId="0" borderId="0" applyAlignment="1" pivotButton="0" quotePrefix="0" xfId="0">
      <alignment horizontal="general" vertical="bottom"/>
    </xf>
    <xf numFmtId="176" fontId="35" fillId="0" borderId="0" applyAlignment="1" pivotButton="0" quotePrefix="0" xfId="0">
      <alignment horizontal="right" vertical="bottom"/>
    </xf>
    <xf numFmtId="0" fontId="47" fillId="0" borderId="0" applyAlignment="1" pivotButton="0" quotePrefix="0" xfId="0">
      <alignment horizontal="right" vertical="bottom"/>
    </xf>
    <xf numFmtId="0" fontId="0" fillId="0" borderId="0" applyAlignment="1" pivotButton="0" quotePrefix="0" xfId="0">
      <alignment horizontal="center" vertical="bottom"/>
    </xf>
    <xf numFmtId="183" fontId="0" fillId="0" borderId="5" applyAlignment="1" pivotButton="0" quotePrefix="0" xfId="0">
      <alignment horizontal="general" vertical="bottom"/>
    </xf>
    <xf numFmtId="0" fontId="50"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7" fillId="0" borderId="0" applyAlignment="1" pivotButton="0" quotePrefix="0" xfId="0">
      <alignment horizontal="general" vertical="bottom"/>
    </xf>
    <xf numFmtId="174" fontId="0" fillId="0" borderId="0" applyAlignment="1" pivotButton="0" quotePrefix="0" xfId="0">
      <alignment horizontal="center" vertical="bottom"/>
    </xf>
    <xf numFmtId="174" fontId="28" fillId="0" borderId="0" applyAlignment="1" pivotButton="0" quotePrefix="0" xfId="0">
      <alignment horizontal="right" vertical="bottom"/>
    </xf>
    <xf numFmtId="175" fontId="33"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4" fillId="0" borderId="0" applyAlignment="1" pivotButton="0" quotePrefix="0" xfId="0">
      <alignment horizontal="general" vertical="bottom"/>
    </xf>
    <xf numFmtId="175" fontId="0" fillId="0" borderId="0" applyAlignment="1" pivotButton="0" quotePrefix="0" xfId="0">
      <alignment horizontal="right" vertical="bottom"/>
    </xf>
    <xf numFmtId="0" fontId="36" fillId="13" borderId="4" applyAlignment="1" pivotButton="0" quotePrefix="0" xfId="0">
      <alignment horizontal="center" vertical="center"/>
    </xf>
    <xf numFmtId="0" fontId="34" fillId="0" borderId="18" applyAlignment="1" pivotButton="0" quotePrefix="0" xfId="0">
      <alignment horizontal="left" vertical="bottom"/>
    </xf>
    <xf numFmtId="0" fontId="34" fillId="0" borderId="18" applyAlignment="1" pivotButton="0" quotePrefix="0" xfId="0">
      <alignment horizontal="center" vertical="bottom"/>
    </xf>
    <xf numFmtId="173" fontId="28" fillId="0" borderId="0" applyAlignment="1" pivotButton="0" quotePrefix="0" xfId="0">
      <alignment horizontal="general" vertical="bottom"/>
    </xf>
    <xf numFmtId="173" fontId="37" fillId="0" borderId="0" applyAlignment="1" pivotButton="0" quotePrefix="0" xfId="0">
      <alignment horizontal="general" vertical="bottom"/>
    </xf>
    <xf numFmtId="192" fontId="51" fillId="0" borderId="0" applyAlignment="1" pivotButton="0" quotePrefix="0" xfId="0">
      <alignment horizontal="general" vertical="bottom"/>
    </xf>
    <xf numFmtId="173" fontId="52" fillId="0" borderId="0" applyAlignment="1" pivotButton="0" quotePrefix="0" xfId="0">
      <alignment horizontal="general" vertical="bottom"/>
    </xf>
    <xf numFmtId="173" fontId="53" fillId="0" borderId="0" applyAlignment="1" pivotButton="0" quotePrefix="0" xfId="0">
      <alignment horizontal="general" vertical="bottom"/>
    </xf>
    <xf numFmtId="0" fontId="50" fillId="0" borderId="0" applyAlignment="1" pivotButton="0" quotePrefix="0" xfId="0">
      <alignment horizontal="right" vertical="bottom"/>
    </xf>
    <xf numFmtId="173" fontId="54" fillId="0" borderId="0" applyAlignment="1" pivotButton="0" quotePrefix="0" xfId="0">
      <alignment horizontal="general" vertical="bottom"/>
    </xf>
    <xf numFmtId="175" fontId="54" fillId="0" borderId="0" applyAlignment="1" pivotButton="0" quotePrefix="0" xfId="0">
      <alignment horizontal="general" vertical="bottom"/>
    </xf>
    <xf numFmtId="168" fontId="0" fillId="0" borderId="0" applyAlignment="1" pivotButton="0" quotePrefix="0" xfId="0">
      <alignment horizontal="general" vertical="bottom"/>
    </xf>
    <xf numFmtId="0" fontId="55" fillId="0" borderId="18" applyAlignment="1" pivotButton="0" quotePrefix="0" xfId="0">
      <alignment horizontal="general" vertical="bottom"/>
    </xf>
    <xf numFmtId="0" fontId="0" fillId="0" borderId="18" applyAlignment="1" pivotButton="0" quotePrefix="0" xfId="0">
      <alignment horizontal="general" vertical="bottom"/>
    </xf>
    <xf numFmtId="2" fontId="39" fillId="13" borderId="0" applyAlignment="1" pivotButton="0" quotePrefix="0" xfId="0">
      <alignment horizontal="general" vertical="bottom"/>
    </xf>
    <xf numFmtId="172" fontId="0" fillId="13" borderId="0" applyAlignment="1" pivotButton="0" quotePrefix="0" xfId="0">
      <alignment horizontal="general" vertical="bottom"/>
    </xf>
    <xf numFmtId="190" fontId="39" fillId="13" borderId="0" applyAlignment="1" pivotButton="0" quotePrefix="0" xfId="0">
      <alignment horizontal="general" vertical="bottom"/>
    </xf>
    <xf numFmtId="10" fontId="0" fillId="0" borderId="0" applyAlignment="1" pivotButton="0" quotePrefix="0" xfId="0">
      <alignment horizontal="general" vertical="bottom"/>
    </xf>
    <xf numFmtId="168" fontId="55" fillId="0" borderId="18" applyAlignment="1" pivotButton="0" quotePrefix="0" xfId="0">
      <alignment horizontal="general" vertical="bottom"/>
    </xf>
    <xf numFmtId="0" fontId="33" fillId="0" borderId="0" applyAlignment="1" pivotButton="0" quotePrefix="0" xfId="0">
      <alignment horizontal="left" vertical="bottom"/>
    </xf>
    <xf numFmtId="166" fontId="39" fillId="0" borderId="0" applyAlignment="1" pivotButton="0" quotePrefix="0" xfId="0">
      <alignment horizontal="general" vertical="bottom"/>
    </xf>
    <xf numFmtId="164" fontId="56" fillId="0" borderId="0" applyAlignment="1" pivotButton="0" quotePrefix="0" xfId="0">
      <alignment horizontal="general" vertical="bottom"/>
    </xf>
    <xf numFmtId="177" fontId="56" fillId="0" borderId="0" applyAlignment="1" pivotButton="0" quotePrefix="0" xfId="0">
      <alignment horizontal="general" vertical="bottom"/>
    </xf>
    <xf numFmtId="0" fontId="55" fillId="0" borderId="0" applyAlignment="1" pivotButton="0" quotePrefix="0" xfId="0">
      <alignment horizontal="general" vertical="bottom"/>
    </xf>
    <xf numFmtId="166" fontId="55"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7" fillId="13" borderId="15" applyAlignment="1" pivotButton="0" quotePrefix="0" xfId="0">
      <alignment horizontal="center" vertical="bottom"/>
    </xf>
    <xf numFmtId="191" fontId="58" fillId="0" borderId="4" applyAlignment="1" pivotButton="0" quotePrefix="0" xfId="0">
      <alignment horizontal="center" vertical="bottom"/>
    </xf>
    <xf numFmtId="166" fontId="34" fillId="0" borderId="0" applyAlignment="1" pivotButton="0" quotePrefix="0" xfId="0">
      <alignment horizontal="general" vertical="center"/>
    </xf>
    <xf numFmtId="174" fontId="34" fillId="0" borderId="0" applyAlignment="1" pivotButton="0" quotePrefix="0" xfId="0">
      <alignment horizontal="general" vertical="center"/>
    </xf>
    <xf numFmtId="166" fontId="28" fillId="0" borderId="0" applyAlignment="1" pivotButton="0" quotePrefix="0" xfId="0">
      <alignment horizontal="general" vertical="bottom"/>
    </xf>
    <xf numFmtId="164" fontId="37" fillId="13"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3" fillId="0" borderId="0" applyAlignment="1" pivotButton="0" quotePrefix="0" xfId="0">
      <alignment horizontal="general" vertical="bottom"/>
    </xf>
    <xf numFmtId="10" fontId="33" fillId="0" borderId="0" applyAlignment="1" pivotButton="0" quotePrefix="0" xfId="0">
      <alignment horizontal="general" vertical="bottom"/>
    </xf>
    <xf numFmtId="166" fontId="39" fillId="13" borderId="0" applyAlignment="1" pivotButton="0" quotePrefix="0" xfId="0">
      <alignment horizontal="general" vertical="bottom"/>
    </xf>
    <xf numFmtId="166" fontId="32" fillId="0" borderId="0" applyAlignment="1" pivotButton="0" quotePrefix="0" xfId="0">
      <alignment horizontal="general" vertical="bottom"/>
    </xf>
    <xf numFmtId="190" fontId="39" fillId="0" borderId="0" applyAlignment="1" pivotButton="0" quotePrefix="0" xfId="0">
      <alignment horizontal="general" vertical="bottom"/>
    </xf>
    <xf numFmtId="190" fontId="28" fillId="0" borderId="0" applyAlignment="1" pivotButton="0" quotePrefix="0" xfId="0">
      <alignment horizontal="general" vertical="bottom"/>
    </xf>
    <xf numFmtId="0" fontId="59" fillId="0" borderId="0" applyAlignment="1" pivotButton="0" quotePrefix="0" xfId="0">
      <alignment horizontal="general" vertical="bottom"/>
    </xf>
    <xf numFmtId="10" fontId="37" fillId="0" borderId="0" applyAlignment="1" pivotButton="0" quotePrefix="0" xfId="0">
      <alignment horizontal="general" vertical="bottom"/>
    </xf>
    <xf numFmtId="2" fontId="34" fillId="0" borderId="0" applyAlignment="1" pivotButton="0" quotePrefix="0" xfId="0">
      <alignment horizontal="general" vertical="bottom"/>
    </xf>
    <xf numFmtId="177" fontId="0" fillId="0" borderId="0" applyAlignment="1" pivotButton="0" quotePrefix="0" xfId="0">
      <alignment horizontal="right" vertical="bottom"/>
    </xf>
    <xf numFmtId="164" fontId="39" fillId="0" borderId="0" applyAlignment="1" pivotButton="0" quotePrefix="0" xfId="0">
      <alignment horizontal="general" vertical="bottom"/>
    </xf>
    <xf numFmtId="10" fontId="37" fillId="13" borderId="0" applyAlignment="1" pivotButton="0" quotePrefix="0" xfId="0">
      <alignment horizontal="general" vertical="bottom"/>
    </xf>
    <xf numFmtId="2" fontId="37" fillId="13" borderId="0" applyAlignment="1" pivotButton="0" quotePrefix="0" xfId="0">
      <alignment horizontal="general" vertical="bottom"/>
    </xf>
    <xf numFmtId="10" fontId="55" fillId="0" borderId="0" applyAlignment="1" pivotButton="0" quotePrefix="0" xfId="0">
      <alignment horizontal="general" vertical="bottom"/>
    </xf>
    <xf numFmtId="0" fontId="34" fillId="0" borderId="18" applyAlignment="1" pivotButton="0" quotePrefix="0" xfId="0">
      <alignment horizontal="general" vertical="bottom"/>
    </xf>
    <xf numFmtId="0" fontId="46" fillId="0" borderId="0" applyAlignment="1" pivotButton="0" quotePrefix="0" xfId="0">
      <alignment horizontal="center" vertical="bottom"/>
    </xf>
    <xf numFmtId="193" fontId="0" fillId="0" borderId="5" applyAlignment="1" pivotButton="0" quotePrefix="0" xfId="0">
      <alignment horizontal="right" vertical="bottom"/>
    </xf>
    <xf numFmtId="164" fontId="28" fillId="14" borderId="19" applyAlignment="1" pivotButton="0" quotePrefix="0" xfId="0">
      <alignment horizontal="general" vertical="bottom"/>
    </xf>
    <xf numFmtId="164" fontId="28" fillId="14" borderId="14" applyAlignment="1" pivotButton="0" quotePrefix="0" xfId="0">
      <alignment horizontal="general" vertical="bottom"/>
    </xf>
    <xf numFmtId="164" fontId="37" fillId="14" borderId="14" applyAlignment="1" pivotButton="0" quotePrefix="0" xfId="0">
      <alignment horizontal="general" vertical="bottom"/>
    </xf>
    <xf numFmtId="164" fontId="28" fillId="14" borderId="20" applyAlignment="1" pivotButton="0" quotePrefix="0" xfId="0">
      <alignment horizontal="general" vertical="bottom"/>
    </xf>
    <xf numFmtId="9" fontId="37" fillId="14" borderId="16" applyAlignment="1" pivotButton="0" quotePrefix="0" xfId="0">
      <alignment horizontal="right" vertical="bottom"/>
    </xf>
    <xf numFmtId="194" fontId="0" fillId="0" borderId="0" applyAlignment="1" pivotButton="0" quotePrefix="0" xfId="0">
      <alignment horizontal="general" vertical="bottom"/>
    </xf>
    <xf numFmtId="9" fontId="28" fillId="14" borderId="16" applyAlignment="1" pivotButton="0" quotePrefix="0" xfId="0">
      <alignment horizontal="right" vertical="bottom"/>
    </xf>
    <xf numFmtId="9" fontId="28" fillId="14" borderId="17" applyAlignment="1" pivotButton="0" quotePrefix="0" xfId="0">
      <alignment horizontal="right" vertical="bottom"/>
    </xf>
    <xf numFmtId="193" fontId="0" fillId="0" borderId="13" applyAlignment="1" pivotButton="0" quotePrefix="0" xfId="0">
      <alignment horizontal="general" vertical="bottom"/>
    </xf>
    <xf numFmtId="171" fontId="28" fillId="14" borderId="14" applyAlignment="1" pivotButton="0" quotePrefix="0" xfId="0">
      <alignment horizontal="general" vertical="bottom"/>
    </xf>
    <xf numFmtId="171" fontId="37" fillId="14" borderId="14" applyAlignment="1" pivotButton="0" quotePrefix="0" xfId="0">
      <alignment horizontal="general" vertical="bottom"/>
    </xf>
    <xf numFmtId="171" fontId="28" fillId="14" borderId="20" applyAlignment="1" pivotButton="0" quotePrefix="0" xfId="0">
      <alignment horizontal="general" vertical="bottom"/>
    </xf>
    <xf numFmtId="9" fontId="37" fillId="14" borderId="16" applyAlignment="1" pivotButton="0" quotePrefix="0" xfId="0">
      <alignment horizontal="general" vertical="bottom"/>
    </xf>
    <xf numFmtId="9" fontId="28" fillId="14" borderId="16" applyAlignment="1" pivotButton="0" quotePrefix="0" xfId="0">
      <alignment horizontal="general" vertical="bottom"/>
    </xf>
    <xf numFmtId="9" fontId="28" fillId="14" borderId="17" applyAlignment="1" pivotButton="0" quotePrefix="0" xfId="0">
      <alignment horizontal="general" vertical="bottom"/>
    </xf>
    <xf numFmtId="193" fontId="0" fillId="0" borderId="0" applyAlignment="1" pivotButton="0" quotePrefix="0" xfId="0">
      <alignment horizontal="general" vertical="bottom"/>
    </xf>
    <xf numFmtId="171" fontId="28" fillId="14" borderId="19" applyAlignment="1" pivotButton="0" quotePrefix="0" xfId="0">
      <alignment horizontal="general" vertical="bottom"/>
    </xf>
    <xf numFmtId="9" fontId="51" fillId="0" borderId="0" applyAlignment="1" pivotButton="0" quotePrefix="0" xfId="0">
      <alignment horizontal="right" vertical="bottom"/>
    </xf>
    <xf numFmtId="174" fontId="28" fillId="14" borderId="15" applyAlignment="1" pivotButton="0" quotePrefix="0" xfId="0">
      <alignment horizontal="general" vertical="bottom"/>
    </xf>
    <xf numFmtId="9" fontId="54" fillId="0" borderId="0" applyAlignment="1" pivotButton="0" quotePrefix="0" xfId="0">
      <alignment horizontal="right" vertical="bottom"/>
    </xf>
    <xf numFmtId="174" fontId="28" fillId="14" borderId="16" applyAlignment="1" pivotButton="0" quotePrefix="0" xfId="0">
      <alignment horizontal="general" vertical="bottom"/>
    </xf>
    <xf numFmtId="174" fontId="37" fillId="14" borderId="16" applyAlignment="1" pivotButton="0" quotePrefix="0" xfId="0">
      <alignment horizontal="general" vertical="bottom"/>
    </xf>
    <xf numFmtId="174" fontId="28"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68" fontId="33" fillId="0" borderId="0" applyAlignment="1" pivotButton="0" quotePrefix="0" xfId="0">
      <alignment horizontal="left" vertical="bottom"/>
    </xf>
    <xf numFmtId="191" fontId="36" fillId="13" borderId="0" applyAlignment="1" pivotButton="0" quotePrefix="0" xfId="0">
      <alignment horizontal="general" vertical="bottom"/>
    </xf>
    <xf numFmtId="191" fontId="0" fillId="0" borderId="0" applyAlignment="1" pivotButton="0" quotePrefix="0" xfId="0">
      <alignment horizontal="general" vertical="bottom"/>
    </xf>
    <xf numFmtId="0" fontId="56" fillId="0" borderId="0" applyAlignment="1" pivotButton="0" quotePrefix="0" xfId="0">
      <alignment horizontal="left" vertical="bottom" indent="1"/>
    </xf>
    <xf numFmtId="2" fontId="56" fillId="13" borderId="0" applyAlignment="1" pivotButton="0" quotePrefix="0" xfId="0">
      <alignment horizontal="right" vertical="bottom"/>
    </xf>
    <xf numFmtId="190" fontId="37" fillId="13" borderId="0" applyAlignment="1" pivotButton="0" quotePrefix="0" xfId="0">
      <alignment horizontal="general" vertical="bottom"/>
    </xf>
    <xf numFmtId="0" fontId="55" fillId="0" borderId="0" applyAlignment="1" pivotButton="0" quotePrefix="0" xfId="0">
      <alignment horizontal="left" vertical="bottom"/>
    </xf>
    <xf numFmtId="190" fontId="55" fillId="0" borderId="0" applyAlignment="1" pivotButton="0" quotePrefix="0" xfId="0">
      <alignment horizontal="general" vertical="bottom"/>
    </xf>
    <xf numFmtId="195" fontId="0" fillId="0" borderId="0" applyAlignment="1" pivotButton="0" quotePrefix="0" xfId="0">
      <alignment horizontal="left" vertical="bottom"/>
    </xf>
    <xf numFmtId="0" fontId="37"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4" fillId="0" borderId="0" applyAlignment="1" pivotButton="0" quotePrefix="0" xfId="0">
      <alignment horizontal="right" vertical="bottom" indent="1"/>
    </xf>
    <xf numFmtId="0" fontId="60" fillId="0" borderId="18" applyAlignment="1" pivotButton="0" quotePrefix="0" xfId="0">
      <alignment horizontal="general" vertical="bottom"/>
    </xf>
    <xf numFmtId="2" fontId="34" fillId="13" borderId="0" applyAlignment="1" pivotButton="0" quotePrefix="0" xfId="0">
      <alignment horizontal="general" vertical="bottom"/>
    </xf>
    <xf numFmtId="172" fontId="0"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top" wrapText="1"/>
    </xf>
    <xf numFmtId="0" fontId="6" fillId="2" borderId="0"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general" vertical="top" wrapText="1"/>
    </xf>
    <xf numFmtId="0" fontId="6" fillId="2" borderId="0" applyAlignment="1" pivotButton="0" quotePrefix="0" xfId="0">
      <alignment horizontal="general" vertical="top" wrapText="1"/>
    </xf>
    <xf numFmtId="0" fontId="9" fillId="4" borderId="2" applyAlignment="1" pivotButton="0" quotePrefix="0" xfId="0">
      <alignment horizontal="general" vertical="top" wrapText="1"/>
    </xf>
    <xf numFmtId="0" fontId="9" fillId="0" borderId="2" applyAlignment="1" pivotButton="0" quotePrefix="0" xfId="0">
      <alignment horizontal="general" vertical="top" wrapText="1"/>
    </xf>
    <xf numFmtId="164" fontId="10" fillId="5" borderId="2" applyAlignment="1" pivotButton="0" quotePrefix="0" xfId="0">
      <alignment horizontal="general" vertical="top" wrapText="1"/>
    </xf>
    <xf numFmtId="0" fontId="9" fillId="6" borderId="2" applyAlignment="1" pivotButton="0" quotePrefix="0" xfId="0">
      <alignment horizontal="general" vertical="top" wrapText="1"/>
    </xf>
    <xf numFmtId="0" fontId="11" fillId="5" borderId="2" applyAlignment="1" pivotButton="0" quotePrefix="0" xfId="0">
      <alignment horizontal="general" vertical="top" wrapText="1"/>
    </xf>
    <xf numFmtId="0" fontId="9" fillId="7" borderId="2" applyAlignment="1" pivotButton="0" quotePrefix="0" xfId="0">
      <alignment horizontal="general" vertical="top" wrapText="1"/>
    </xf>
    <xf numFmtId="0" fontId="9" fillId="8" borderId="2" applyAlignment="1" pivotButton="0" quotePrefix="0" xfId="0">
      <alignment horizontal="general" vertical="top" wrapText="1"/>
    </xf>
    <xf numFmtId="0" fontId="11" fillId="0" borderId="3" applyAlignment="1" pivotButton="0" quotePrefix="0" xfId="0">
      <alignment horizontal="general" vertical="top" wrapText="1"/>
    </xf>
    <xf numFmtId="0" fontId="9" fillId="5" borderId="2" applyAlignment="1" pivotButton="0" quotePrefix="0" xfId="0">
      <alignment horizontal="general" vertical="top" wrapText="1"/>
    </xf>
    <xf numFmtId="0" fontId="9" fillId="9" borderId="3" applyAlignment="1" pivotButton="0" quotePrefix="0" xfId="0">
      <alignment horizontal="general" vertical="top" wrapText="1"/>
    </xf>
    <xf numFmtId="0" fontId="9" fillId="9" borderId="2" applyAlignment="1" pivotButton="0" quotePrefix="0" xfId="0">
      <alignment horizontal="general" vertical="top" wrapText="1"/>
    </xf>
    <xf numFmtId="165" fontId="10" fillId="5" borderId="2" applyAlignment="1" pivotButton="0" quotePrefix="0" xfId="0">
      <alignment horizontal="general" vertical="top" wrapText="1"/>
    </xf>
    <xf numFmtId="0" fontId="12" fillId="0" borderId="2" applyAlignment="1" pivotButton="0" quotePrefix="0" xfId="0">
      <alignment horizontal="general" vertical="top" wrapText="1"/>
    </xf>
    <xf numFmtId="0" fontId="11" fillId="7" borderId="2" applyAlignment="1" pivotButton="0" quotePrefix="0" xfId="0">
      <alignment horizontal="general" vertical="top" wrapText="1"/>
    </xf>
    <xf numFmtId="0" fontId="11" fillId="0" borderId="2" applyAlignment="1" pivotButton="0" quotePrefix="0" xfId="0">
      <alignment horizontal="general" vertical="top" wrapText="1"/>
    </xf>
    <xf numFmtId="166" fontId="10" fillId="5" borderId="2" applyAlignment="1" pivotButton="0" quotePrefix="0" xfId="0">
      <alignment horizontal="general" vertical="top" wrapText="1"/>
    </xf>
    <xf numFmtId="164" fontId="0" fillId="5" borderId="2" applyAlignment="1" pivotButton="0" quotePrefix="0" xfId="0">
      <alignment horizontal="general" vertical="top" wrapText="1"/>
    </xf>
    <xf numFmtId="0" fontId="13" fillId="4" borderId="3" applyAlignment="1" pivotButton="0" quotePrefix="0" xfId="0">
      <alignment horizontal="center" vertical="center" wrapText="1"/>
    </xf>
    <xf numFmtId="0" fontId="13" fillId="8" borderId="1" applyAlignment="1" pivotButton="0" quotePrefix="0" xfId="0">
      <alignment horizontal="general" vertical="top" wrapText="1"/>
    </xf>
    <xf numFmtId="10" fontId="14" fillId="10" borderId="1" applyAlignment="1" pivotButton="0" quotePrefix="0" xfId="0">
      <alignment horizontal="center" vertical="center"/>
    </xf>
    <xf numFmtId="0" fontId="14" fillId="6" borderId="1" applyAlignment="1" pivotButton="0" quotePrefix="0" xfId="0">
      <alignment horizontal="general" vertical="top" wrapText="1"/>
    </xf>
    <xf numFmtId="0" fontId="9" fillId="5" borderId="3" applyAlignment="1" pivotButton="0" quotePrefix="0" xfId="0">
      <alignment horizontal="general" vertical="top" wrapText="1"/>
    </xf>
    <xf numFmtId="0" fontId="11" fillId="0" borderId="1" applyAlignment="1" pivotButton="0" quotePrefix="0" xfId="0">
      <alignment horizontal="general" vertical="top" wrapText="1"/>
    </xf>
    <xf numFmtId="0" fontId="13" fillId="0" borderId="1" applyAlignment="1" pivotButton="0" quotePrefix="0" xfId="0">
      <alignment horizontal="general" vertical="top" wrapText="1"/>
    </xf>
    <xf numFmtId="0" fontId="13" fillId="0" borderId="0" applyAlignment="1" pivotButton="0" quotePrefix="0" xfId="0">
      <alignment horizontal="general" vertical="bottom"/>
    </xf>
    <xf numFmtId="0" fontId="0" fillId="11" borderId="1" applyAlignment="1" pivotButton="0" quotePrefix="0" xfId="0">
      <alignment horizontal="general" vertical="top" wrapText="1"/>
    </xf>
    <xf numFmtId="0" fontId="15" fillId="0" borderId="0" applyAlignment="1" pivotButton="0" quotePrefix="0" xfId="0">
      <alignment horizontal="general" vertical="bottom"/>
    </xf>
    <xf numFmtId="0" fontId="11" fillId="0" borderId="0" applyAlignment="1" pivotButton="0" quotePrefix="0" xfId="0">
      <alignment horizontal="general" vertical="top" wrapText="1"/>
    </xf>
    <xf numFmtId="0" fontId="9" fillId="0" borderId="0" applyAlignment="1" pivotButton="0" quotePrefix="0" xfId="0">
      <alignment horizontal="general" vertical="top" wrapText="1"/>
    </xf>
    <xf numFmtId="0" fontId="0" fillId="0" borderId="0" applyAlignment="1" pivotButton="0" quotePrefix="0" xfId="0">
      <alignment horizontal="general" vertical="top" wrapText="1"/>
    </xf>
    <xf numFmtId="0" fontId="16" fillId="0" borderId="0" applyAlignment="1" pivotButton="0" quotePrefix="0" xfId="0">
      <alignment horizontal="general" vertical="bottom"/>
    </xf>
    <xf numFmtId="0" fontId="17" fillId="0" borderId="0" applyAlignment="1" pivotButton="0" quotePrefix="0" xfId="0">
      <alignment horizontal="general" vertical="bottom"/>
    </xf>
    <xf numFmtId="0" fontId="14" fillId="0" borderId="0" applyAlignment="1" pivotButton="0" quotePrefix="0" xfId="0">
      <alignment horizontal="general" vertical="bottom"/>
    </xf>
    <xf numFmtId="166" fontId="0" fillId="10" borderId="3" applyAlignment="1" pivotButton="0" quotePrefix="0" xfId="0">
      <alignment horizontal="general" vertical="bottom"/>
    </xf>
    <xf numFmtId="0" fontId="18" fillId="0" borderId="0" applyAlignment="1" pivotButton="0" quotePrefix="0" xfId="0">
      <alignment horizontal="general" vertical="bottom"/>
    </xf>
    <xf numFmtId="0" fontId="0" fillId="10" borderId="3" applyAlignment="1" pivotButton="0" quotePrefix="0" xfId="0">
      <alignment horizontal="general" vertical="bottom"/>
    </xf>
    <xf numFmtId="164" fontId="0" fillId="10" borderId="3" applyAlignment="1" pivotButton="0" quotePrefix="0" xfId="0">
      <alignment horizontal="general" vertical="bottom"/>
    </xf>
    <xf numFmtId="0" fontId="19" fillId="2" borderId="0" applyAlignment="1" pivotButton="0" quotePrefix="0" xfId="0">
      <alignment horizontal="general" vertical="bottom"/>
    </xf>
    <xf numFmtId="164" fontId="0" fillId="10" borderId="1" applyAlignment="1" pivotButton="0" quotePrefix="0" xfId="0">
      <alignment horizontal="general" vertical="bottom"/>
    </xf>
    <xf numFmtId="0" fontId="0" fillId="6" borderId="1" applyAlignment="1" pivotButton="0" quotePrefix="0" xfId="0">
      <alignment horizontal="general" vertical="top" wrapText="1"/>
    </xf>
    <xf numFmtId="166" fontId="0" fillId="10" borderId="1" applyAlignment="1" pivotButton="0" quotePrefix="0" xfId="0">
      <alignment horizontal="general" vertical="bottom"/>
    </xf>
    <xf numFmtId="167" fontId="0" fillId="10" borderId="1" applyAlignment="1" pivotButton="0" quotePrefix="0" xfId="0">
      <alignment horizontal="general" vertical="bottom"/>
    </xf>
    <xf numFmtId="0" fontId="0" fillId="5" borderId="0" applyAlignment="1" pivotButton="0" quotePrefix="0" xfId="0">
      <alignment horizontal="general" vertical="bottom"/>
    </xf>
    <xf numFmtId="0" fontId="20" fillId="0" borderId="0" applyAlignment="1" pivotButton="0" quotePrefix="0" xfId="0">
      <alignment horizontal="general" vertical="bottom"/>
    </xf>
    <xf numFmtId="0" fontId="19" fillId="2" borderId="0" applyAlignment="1" pivotButton="0" quotePrefix="0" xfId="0">
      <alignment horizontal="center" vertical="bottom" wrapText="1"/>
    </xf>
    <xf numFmtId="0" fontId="6" fillId="2" borderId="0" applyAlignment="1" pivotButton="0" quotePrefix="0" xfId="0">
      <alignment horizontal="general" vertical="bottom"/>
    </xf>
    <xf numFmtId="0" fontId="14" fillId="0" borderId="3" applyAlignment="1" pivotButton="0" quotePrefix="0" xfId="0">
      <alignment horizontal="general" vertical="top" wrapText="1"/>
    </xf>
    <xf numFmtId="0" fontId="20" fillId="0" borderId="3" applyAlignment="1" pivotButton="0" quotePrefix="0" xfId="0">
      <alignment horizontal="general" vertical="top" wrapText="1"/>
    </xf>
    <xf numFmtId="0" fontId="14" fillId="12" borderId="3" applyAlignment="1" pivotButton="0" quotePrefix="0" xfId="0">
      <alignment horizontal="general" vertical="top" wrapText="1"/>
    </xf>
    <xf numFmtId="0" fontId="13" fillId="5" borderId="3" applyAlignment="1" pivotButton="0" quotePrefix="0" xfId="0">
      <alignment horizontal="general" vertical="bottom"/>
    </xf>
    <xf numFmtId="0" fontId="13" fillId="4" borderId="3" applyAlignment="1" pivotButton="0" quotePrefix="0" xfId="0">
      <alignment horizontal="general" vertical="bottom"/>
    </xf>
    <xf numFmtId="0" fontId="20" fillId="0" borderId="0" applyAlignment="1" pivotButton="0" quotePrefix="0" xfId="0">
      <alignment horizontal="general" vertical="top" wrapText="1"/>
    </xf>
    <xf numFmtId="0" fontId="21" fillId="0" borderId="0" applyAlignment="1" pivotButton="0" quotePrefix="0" xfId="0">
      <alignment horizontal="general" vertical="top" wrapText="1"/>
    </xf>
    <xf numFmtId="0" fontId="17" fillId="0" borderId="0" applyAlignment="1" pivotButton="0" quotePrefix="0" xfId="0">
      <alignment horizontal="general" vertical="top" wrapText="1"/>
    </xf>
    <xf numFmtId="1" fontId="0" fillId="10" borderId="1" applyAlignment="1" pivotButton="0" quotePrefix="0" xfId="0">
      <alignment horizontal="general" vertical="bottom"/>
    </xf>
    <xf numFmtId="0" fontId="8" fillId="0" borderId="2" applyAlignment="1" pivotButton="0" quotePrefix="0" xfId="0">
      <alignment horizontal="general" vertical="top" wrapText="1"/>
    </xf>
    <xf numFmtId="0" fontId="19" fillId="2" borderId="4" applyAlignment="1" pivotButton="0" quotePrefix="0" xfId="0">
      <alignment horizontal="center" vertical="center"/>
    </xf>
    <xf numFmtId="10" fontId="9" fillId="0" borderId="2" applyAlignment="1" pivotButton="0" quotePrefix="0" xfId="0">
      <alignment horizontal="general" vertical="top" wrapText="1"/>
    </xf>
    <xf numFmtId="0" fontId="17" fillId="7" borderId="4" applyAlignment="1" pivotButton="0" quotePrefix="0" xfId="0">
      <alignment horizontal="general" vertical="center"/>
    </xf>
    <xf numFmtId="4" fontId="17" fillId="7" borderId="4" applyAlignment="1" pivotButton="0" quotePrefix="0" xfId="0">
      <alignment horizontal="general" vertical="center"/>
    </xf>
    <xf numFmtId="0" fontId="22" fillId="0" borderId="0" applyAlignment="1" pivotButton="0" quotePrefix="0" xfId="0">
      <alignment horizontal="general" vertical="bottom"/>
    </xf>
    <xf numFmtId="0" fontId="23" fillId="0" borderId="0" applyAlignment="1" pivotButton="0" quotePrefix="0" xfId="0">
      <alignment horizontal="center" vertical="bottom"/>
    </xf>
    <xf numFmtId="0" fontId="17" fillId="5" borderId="4" applyAlignment="1" pivotButton="0" quotePrefix="0" xfId="0">
      <alignment horizontal="general" vertical="center"/>
    </xf>
    <xf numFmtId="4" fontId="17" fillId="5" borderId="4" applyAlignment="1" pivotButton="0" quotePrefix="0" xfId="0">
      <alignment horizontal="general" vertical="center"/>
    </xf>
    <xf numFmtId="0" fontId="24" fillId="0" borderId="0" applyAlignment="1" pivotButton="0" quotePrefix="0" xfId="0">
      <alignment horizontal="general" vertical="center"/>
    </xf>
    <xf numFmtId="4" fontId="24" fillId="0" borderId="0" applyAlignment="1" pivotButton="0" quotePrefix="0" xfId="0">
      <alignment horizontal="right" vertical="center"/>
    </xf>
    <xf numFmtId="0" fontId="25" fillId="0" borderId="0" applyAlignment="1" pivotButton="0" quotePrefix="0" xfId="0">
      <alignment horizontal="general" vertical="bottom"/>
    </xf>
    <xf numFmtId="0" fontId="13" fillId="0" borderId="0" applyAlignment="1" pivotButton="0" quotePrefix="0" xfId="0">
      <alignment horizontal="general" vertical="center"/>
    </xf>
    <xf numFmtId="4" fontId="13" fillId="0" borderId="0" applyAlignment="1" pivotButton="0" quotePrefix="0" xfId="0">
      <alignment horizontal="general" vertical="center"/>
    </xf>
    <xf numFmtId="0" fontId="26" fillId="0" borderId="0" applyAlignment="1" pivotButton="0" quotePrefix="0" xfId="0">
      <alignment horizontal="general" vertical="bottom"/>
    </xf>
    <xf numFmtId="166" fontId="0" fillId="10" borderId="0" applyAlignment="1" pivotButton="0" quotePrefix="0" xfId="0">
      <alignment horizontal="general" vertical="bottom"/>
    </xf>
    <xf numFmtId="164" fontId="0" fillId="10" borderId="0" applyAlignment="1" pivotButton="0" quotePrefix="0" xfId="0">
      <alignment horizontal="general" vertical="bottom"/>
    </xf>
    <xf numFmtId="0" fontId="27" fillId="0" borderId="5" applyAlignment="1" pivotButton="0" quotePrefix="0" xfId="0">
      <alignment horizontal="general" vertical="bottom"/>
    </xf>
    <xf numFmtId="0" fontId="0" fillId="0" borderId="5" applyAlignment="1" pivotButton="0" quotePrefix="0" xfId="0">
      <alignment horizontal="general" vertical="bottom"/>
    </xf>
    <xf numFmtId="0" fontId="28" fillId="0" borderId="5" applyAlignment="1" pivotButton="0" quotePrefix="0" xfId="0">
      <alignment horizontal="general" vertical="bottom"/>
    </xf>
    <xf numFmtId="0" fontId="0" fillId="0" borderId="0" applyAlignment="1" pivotButton="0" quotePrefix="0" xfId="0">
      <alignment horizontal="left" vertical="bottom" wrapText="1"/>
    </xf>
    <xf numFmtId="0" fontId="29" fillId="0" borderId="0" applyAlignment="1" pivotButton="0" quotePrefix="0" xfId="0">
      <alignment horizontal="general" vertical="bottom"/>
    </xf>
    <xf numFmtId="0" fontId="30" fillId="0" borderId="6" applyAlignment="1" pivotButton="0" quotePrefix="0" xfId="0">
      <alignment horizontal="general" vertical="bottom"/>
    </xf>
    <xf numFmtId="0" fontId="0" fillId="0" borderId="6" applyAlignment="1" pivotButton="0" quotePrefix="0" xfId="0">
      <alignment horizontal="general" vertical="bottom"/>
    </xf>
    <xf numFmtId="168" fontId="31" fillId="0" borderId="0" applyAlignment="1" pivotButton="0" quotePrefix="0" xfId="0">
      <alignment horizontal="left" vertical="bottom"/>
    </xf>
    <xf numFmtId="0" fontId="32" fillId="0" borderId="0" applyAlignment="1" pivotButton="0" quotePrefix="0" xfId="0">
      <alignment horizontal="general" vertical="bottom"/>
    </xf>
    <xf numFmtId="168" fontId="33" fillId="0" borderId="0" applyAlignment="1" pivotButton="0" quotePrefix="0" xfId="0">
      <alignment horizontal="general" vertical="bottom"/>
    </xf>
    <xf numFmtId="0" fontId="34" fillId="0" borderId="5" applyAlignment="1" pivotButton="0" quotePrefix="0" xfId="0">
      <alignment horizontal="general" vertical="bottom"/>
    </xf>
    <xf numFmtId="0" fontId="35" fillId="0" borderId="5" applyAlignment="1" pivotButton="0" quotePrefix="0" xfId="0">
      <alignment horizontal="general" vertical="bottom"/>
    </xf>
    <xf numFmtId="0" fontId="28" fillId="0" borderId="0" applyAlignment="1" pivotButton="0" quotePrefix="0" xfId="0">
      <alignment horizontal="left" vertical="bottom" indent="1"/>
    </xf>
    <xf numFmtId="0" fontId="0" fillId="0" borderId="0" applyAlignment="1" pivotButton="0" quotePrefix="0" xfId="0">
      <alignment horizontal="right" vertical="bottom"/>
    </xf>
    <xf numFmtId="0" fontId="33" fillId="0" borderId="0" applyAlignment="1" pivotButton="0" quotePrefix="0" xfId="0">
      <alignment horizontal="general" vertical="bottom"/>
    </xf>
    <xf numFmtId="169" fontId="36" fillId="13" borderId="4" applyAlignment="1" pivotButton="0" quotePrefix="0" xfId="0">
      <alignment horizontal="center" vertical="bottom"/>
    </xf>
    <xf numFmtId="169" fontId="34" fillId="0" borderId="0" applyAlignment="1" pivotButton="0" quotePrefix="0" xfId="0">
      <alignment horizontal="general" vertical="bottom"/>
    </xf>
    <xf numFmtId="169" fontId="34" fillId="0" borderId="0" applyAlignment="1" pivotButton="0" quotePrefix="0" xfId="0">
      <alignment horizontal="right" vertical="bottom"/>
    </xf>
    <xf numFmtId="170" fontId="37" fillId="0" borderId="0" applyAlignment="1" pivotButton="0" quotePrefix="0" xfId="0">
      <alignment horizontal="general" vertical="bottom"/>
    </xf>
    <xf numFmtId="171" fontId="38" fillId="0" borderId="0" applyAlignment="1" pivotButton="0" quotePrefix="0" xfId="0">
      <alignment horizontal="center" vertical="bottom"/>
    </xf>
    <xf numFmtId="0" fontId="38" fillId="0" borderId="0" applyAlignment="1" pivotButton="0" quotePrefix="0" xfId="0">
      <alignment horizontal="right" vertical="bottom"/>
    </xf>
    <xf numFmtId="172" fontId="37" fillId="0" borderId="0" applyAlignment="1" pivotButton="0" quotePrefix="0" xfId="0">
      <alignment horizontal="general" vertical="bottom"/>
    </xf>
    <xf numFmtId="0" fontId="29" fillId="0" borderId="0" applyAlignment="1" pivotButton="0" quotePrefix="0" xfId="0">
      <alignment horizontal="general" vertical="bottom" wrapText="1"/>
    </xf>
    <xf numFmtId="173" fontId="37" fillId="0" borderId="0" applyAlignment="1" pivotButton="0" quotePrefix="0" xfId="0">
      <alignment horizontal="right" vertical="bottom"/>
    </xf>
    <xf numFmtId="0" fontId="28" fillId="0" borderId="0" applyAlignment="1" pivotButton="0" quotePrefix="0" xfId="0">
      <alignment horizontal="general" vertical="bottom"/>
    </xf>
    <xf numFmtId="174" fontId="0" fillId="0" borderId="0" applyAlignment="1" pivotButton="0" quotePrefix="0" xfId="0">
      <alignment horizontal="general" vertical="bottom"/>
    </xf>
    <xf numFmtId="2" fontId="0" fillId="0" borderId="0" applyAlignment="1" pivotButton="0" quotePrefix="0" xfId="0">
      <alignment horizontal="general" vertical="bottom"/>
    </xf>
    <xf numFmtId="2" fontId="37" fillId="0" borderId="0" applyAlignment="1" pivotButton="0" quotePrefix="0" xfId="0">
      <alignment horizontal="general" vertical="bottom"/>
    </xf>
    <xf numFmtId="0" fontId="35" fillId="0" borderId="0" applyAlignment="1" pivotButton="0" quotePrefix="0" xfId="0">
      <alignment horizontal="general" vertical="bottom"/>
    </xf>
    <xf numFmtId="166" fontId="34" fillId="0" borderId="0" applyAlignment="1" pivotButton="0" quotePrefix="0" xfId="0">
      <alignment horizontal="general" vertical="bottom"/>
    </xf>
    <xf numFmtId="175" fontId="28" fillId="0" borderId="0" applyAlignment="1" pivotButton="0" quotePrefix="0" xfId="0">
      <alignment horizontal="general" vertical="bottom"/>
    </xf>
    <xf numFmtId="174" fontId="37" fillId="0" borderId="0" applyAlignment="1" pivotButton="0" quotePrefix="0" xfId="0">
      <alignment horizontal="general" vertical="bottom"/>
    </xf>
    <xf numFmtId="166" fontId="0" fillId="0" borderId="0" applyAlignment="1" pivotButton="0" quotePrefix="0" xfId="0">
      <alignment horizontal="general" vertical="bottom"/>
    </xf>
    <xf numFmtId="0" fontId="0" fillId="0" borderId="0" applyAlignment="1" pivotButton="0" quotePrefix="0" xfId="0">
      <alignment horizontal="left" vertical="bottom" indent="1"/>
    </xf>
    <xf numFmtId="171" fontId="37" fillId="0" borderId="0" applyAlignment="1" pivotButton="0" quotePrefix="0" xfId="0">
      <alignment horizontal="general" vertical="bottom"/>
    </xf>
    <xf numFmtId="164" fontId="37" fillId="0" borderId="0" applyAlignment="1" pivotButton="0" quotePrefix="0" xfId="0">
      <alignment horizontal="general" vertical="bottom"/>
    </xf>
    <xf numFmtId="175" fontId="39" fillId="0" borderId="0" applyAlignment="1" pivotButton="0" quotePrefix="0" xfId="0">
      <alignment horizontal="general" vertical="bottom"/>
    </xf>
    <xf numFmtId="176" fontId="28" fillId="0" borderId="0" applyAlignment="1" pivotButton="0" quotePrefix="0" xfId="0">
      <alignment horizontal="right" vertical="bottom"/>
    </xf>
    <xf numFmtId="175" fontId="0" fillId="0" borderId="0" applyAlignment="1" pivotButton="0" quotePrefix="0" xfId="0">
      <alignment horizontal="general" vertical="bottom"/>
    </xf>
    <xf numFmtId="177" fontId="0" fillId="0" borderId="0" applyAlignment="1" pivotButton="0" quotePrefix="0" xfId="0">
      <alignment horizontal="general" vertical="bottom"/>
    </xf>
    <xf numFmtId="170" fontId="34" fillId="0" borderId="0" applyAlignment="1" pivotButton="0" quotePrefix="0" xfId="0">
      <alignment horizontal="general" vertical="bottom"/>
    </xf>
    <xf numFmtId="2" fontId="36" fillId="0" borderId="0" applyAlignment="1" pivotButton="0" quotePrefix="0" xfId="0">
      <alignment horizontal="general" vertical="bottom"/>
    </xf>
    <xf numFmtId="0" fontId="31" fillId="0" borderId="0" applyAlignment="1" pivotButton="0" quotePrefix="0" xfId="0">
      <alignment horizontal="left" vertical="bottom" indent="1"/>
    </xf>
    <xf numFmtId="166" fontId="28" fillId="0" borderId="5" applyAlignment="1" pivotButton="0" quotePrefix="0" xfId="0">
      <alignment horizontal="general" vertical="bottom"/>
    </xf>
    <xf numFmtId="0" fontId="40" fillId="0" borderId="0" applyAlignment="1" pivotButton="0" quotePrefix="0" xfId="0">
      <alignment horizontal="general" vertical="bottom" wrapText="1"/>
    </xf>
    <xf numFmtId="176" fontId="0" fillId="0" borderId="0" applyAlignment="1" pivotButton="0" quotePrefix="0" xfId="0">
      <alignment horizontal="general" vertical="bottom"/>
    </xf>
    <xf numFmtId="0" fontId="34" fillId="0" borderId="0" applyAlignment="1" pivotButton="0" quotePrefix="0" xfId="0">
      <alignment horizontal="general" vertical="bottom"/>
    </xf>
    <xf numFmtId="0" fontId="41" fillId="0" borderId="0" applyAlignment="1" pivotButton="0" quotePrefix="0" xfId="0">
      <alignment horizontal="general" vertical="bottom"/>
    </xf>
    <xf numFmtId="0" fontId="41" fillId="0" borderId="0" applyAlignment="1" pivotButton="0" quotePrefix="0" xfId="0">
      <alignment horizontal="right" vertical="bottom"/>
    </xf>
    <xf numFmtId="2" fontId="31" fillId="0" borderId="0" applyAlignment="1" pivotButton="0" quotePrefix="0" xfId="0">
      <alignment horizontal="center" vertical="bottom"/>
    </xf>
    <xf numFmtId="0" fontId="40" fillId="0" borderId="0" applyAlignment="1" pivotButton="0" quotePrefix="0" xfId="0">
      <alignment horizontal="general" vertical="top" wrapText="1"/>
    </xf>
    <xf numFmtId="178" fontId="42" fillId="0" borderId="0" applyAlignment="1" pivotButton="0" quotePrefix="0" xfId="0">
      <alignment horizontal="center" vertical="bottom"/>
    </xf>
    <xf numFmtId="177" fontId="37" fillId="0" borderId="0" applyAlignment="1" pivotButton="0" quotePrefix="0" xfId="0">
      <alignment horizontal="general" vertical="bottom"/>
    </xf>
    <xf numFmtId="179" fontId="37" fillId="0" borderId="0" applyAlignment="1" pivotButton="0" quotePrefix="0" xfId="0">
      <alignment horizontal="general" vertical="bottom"/>
    </xf>
    <xf numFmtId="4" fontId="28" fillId="0" borderId="0" applyAlignment="1" pivotButton="0" quotePrefix="0" xfId="0">
      <alignment horizontal="right" vertical="bottom"/>
    </xf>
    <xf numFmtId="175" fontId="34" fillId="0" borderId="0" applyAlignment="1" pivotButton="0" quotePrefix="0" xfId="0">
      <alignment horizontal="general" vertical="bottom"/>
    </xf>
    <xf numFmtId="166" fontId="0" fillId="0" borderId="5" applyAlignment="1" pivotButton="0" quotePrefix="0" xfId="0">
      <alignment horizontal="general" vertical="bottom"/>
    </xf>
    <xf numFmtId="175" fontId="28" fillId="0" borderId="5" applyAlignment="1" pivotButton="0" quotePrefix="0" xfId="0">
      <alignment horizontal="right" vertical="bottom"/>
    </xf>
    <xf numFmtId="0" fontId="34" fillId="0" borderId="0" applyAlignment="1" pivotButton="0" quotePrefix="0" xfId="0">
      <alignment horizontal="left" vertical="bottom" indent="2"/>
    </xf>
    <xf numFmtId="0" fontId="33" fillId="0" borderId="0" applyAlignment="1" pivotButton="0" quotePrefix="0" xfId="0">
      <alignment horizontal="left" vertical="bottom" indent="1"/>
    </xf>
    <xf numFmtId="4" fontId="0" fillId="0" borderId="0" applyAlignment="1" pivotButton="0" quotePrefix="0" xfId="0">
      <alignment horizontal="general" vertical="bottom"/>
    </xf>
    <xf numFmtId="0" fontId="34" fillId="0" borderId="0" applyAlignment="1" pivotButton="0" quotePrefix="0" xfId="0">
      <alignment horizontal="left" vertical="bottom"/>
    </xf>
    <xf numFmtId="2" fontId="43" fillId="0" borderId="0" applyAlignment="1" pivotButton="0" quotePrefix="0" xfId="0">
      <alignment horizontal="center" vertical="bottom"/>
    </xf>
    <xf numFmtId="0" fontId="32" fillId="0" borderId="5" applyAlignment="1" pivotButton="0" quotePrefix="0" xfId="0">
      <alignment horizontal="general" vertical="bottom"/>
    </xf>
    <xf numFmtId="0" fontId="61" fillId="0" borderId="0" applyAlignment="1" pivotButton="0" quotePrefix="0" xfId="0">
      <alignment horizontal="general" vertical="bottom"/>
    </xf>
    <xf numFmtId="180" fontId="34" fillId="0" borderId="0" applyAlignment="1" pivotButton="0" quotePrefix="0" xfId="0">
      <alignment horizontal="general" vertical="bottom"/>
    </xf>
    <xf numFmtId="181" fontId="34" fillId="0" borderId="0" applyAlignment="1" pivotButton="0" quotePrefix="0" xfId="0">
      <alignment horizontal="general" vertical="bottom"/>
    </xf>
    <xf numFmtId="182" fontId="34" fillId="0" borderId="0" applyAlignment="1" pivotButton="0" quotePrefix="0" xfId="0">
      <alignment horizontal="general" vertical="bottom"/>
    </xf>
    <xf numFmtId="0" fontId="33" fillId="0" borderId="5" applyAlignment="1" pivotButton="0" quotePrefix="0" xfId="0">
      <alignment horizontal="general" vertical="bottom"/>
    </xf>
    <xf numFmtId="172" fontId="42" fillId="0" borderId="5" applyAlignment="1" pivotButton="0" quotePrefix="0" xfId="0">
      <alignment horizontal="general" vertical="bottom"/>
    </xf>
    <xf numFmtId="172" fontId="33" fillId="0" borderId="5" applyAlignment="1" pivotButton="0" quotePrefix="0" xfId="0">
      <alignment horizontal="general" vertical="bottom"/>
    </xf>
    <xf numFmtId="183" fontId="42" fillId="0" borderId="0" applyAlignment="1" pivotButton="0" quotePrefix="0" xfId="0">
      <alignment horizontal="general" vertical="bottom"/>
    </xf>
    <xf numFmtId="183" fontId="33" fillId="0" borderId="0" applyAlignment="1" pivotButton="0" quotePrefix="0" xfId="0">
      <alignment horizontal="general" vertical="bottom"/>
    </xf>
    <xf numFmtId="175" fontId="37" fillId="0" borderId="0" applyAlignment="1" pivotButton="0" quotePrefix="0" xfId="0">
      <alignment horizontal="general" vertical="bottom"/>
    </xf>
    <xf numFmtId="0" fontId="62" fillId="0" borderId="0" applyAlignment="1" pivotButton="0" quotePrefix="0" xfId="0">
      <alignment vertical="top" wrapText="1"/>
    </xf>
    <xf numFmtId="175" fontId="35" fillId="0" borderId="0" applyAlignment="1" pivotButton="0" quotePrefix="0" xfId="0">
      <alignment horizontal="general" vertical="bottom"/>
    </xf>
    <xf numFmtId="0" fontId="46" fillId="0" borderId="0" applyAlignment="1" pivotButton="0" quotePrefix="0" xfId="0">
      <alignment horizontal="general" vertical="bottom"/>
    </xf>
    <xf numFmtId="174" fontId="39" fillId="0" borderId="0" applyAlignment="1" pivotButton="0" quotePrefix="0" xfId="0">
      <alignment horizontal="general" vertical="bottom"/>
    </xf>
    <xf numFmtId="166" fontId="35" fillId="0" borderId="0" applyAlignment="1" pivotButton="0" quotePrefix="0" xfId="0">
      <alignment horizontal="general" vertical="bottom"/>
    </xf>
    <xf numFmtId="0" fontId="34" fillId="0" borderId="0" applyAlignment="1" pivotButton="0" quotePrefix="0" xfId="0">
      <alignment horizontal="left" vertical="bottom" indent="1"/>
    </xf>
    <xf numFmtId="0" fontId="46" fillId="0" borderId="0" applyAlignment="1" pivotButton="0" quotePrefix="0" xfId="0">
      <alignment horizontal="right" vertical="bottom"/>
    </xf>
    <xf numFmtId="0" fontId="0" fillId="0" borderId="0" applyAlignment="1" pivotButton="0" quotePrefix="0" xfId="0">
      <alignment horizontal="left" vertical="bottom"/>
    </xf>
    <xf numFmtId="177" fontId="28" fillId="0" borderId="0" applyAlignment="1" pivotButton="0" quotePrefix="0" xfId="0">
      <alignment horizontal="general" vertical="bottom"/>
    </xf>
    <xf numFmtId="3" fontId="35" fillId="0" borderId="0" applyAlignment="1" pivotButton="0" quotePrefix="0" xfId="0">
      <alignment horizontal="general" vertical="bottom"/>
    </xf>
    <xf numFmtId="0" fontId="34" fillId="0" borderId="5" applyAlignment="1" pivotButton="0" quotePrefix="0" xfId="0">
      <alignment horizontal="left" vertical="bottom"/>
    </xf>
    <xf numFmtId="3" fontId="35" fillId="0" borderId="5" applyAlignment="1" pivotButton="0" quotePrefix="0" xfId="0">
      <alignment horizontal="general" vertical="bottom"/>
    </xf>
    <xf numFmtId="184" fontId="34" fillId="0" borderId="0" applyAlignment="1" pivotButton="0" quotePrefix="0" xfId="0">
      <alignment horizontal="general" vertical="bottom"/>
    </xf>
    <xf numFmtId="175" fontId="36" fillId="0" borderId="0" applyAlignment="1" pivotButton="0" quotePrefix="0" xfId="0">
      <alignment horizontal="general" vertical="bottom"/>
    </xf>
    <xf numFmtId="0" fontId="0" fillId="0" borderId="0" applyAlignment="1" pivotButton="0" quotePrefix="0" xfId="0">
      <alignment horizontal="left" vertical="bottom" indent="2"/>
    </xf>
    <xf numFmtId="177" fontId="34" fillId="0" borderId="0" applyAlignment="1" pivotButton="0" quotePrefix="0" xfId="0">
      <alignment horizontal="general" vertical="bottom"/>
    </xf>
    <xf numFmtId="175" fontId="33" fillId="0" borderId="0" applyAlignment="1" pivotButton="0" quotePrefix="0" xfId="0">
      <alignment horizontal="general" vertical="bottom"/>
    </xf>
    <xf numFmtId="175" fontId="37" fillId="0" borderId="5" applyAlignment="1" pivotButton="0" quotePrefix="0" xfId="0">
      <alignment horizontal="general" vertical="bottom"/>
    </xf>
    <xf numFmtId="174" fontId="0" fillId="0" borderId="5" applyAlignment="1" pivotButton="0" quotePrefix="0" xfId="0">
      <alignment horizontal="general" vertical="bottom"/>
    </xf>
    <xf numFmtId="0" fontId="33" fillId="0" borderId="0" applyAlignment="1" pivotButton="0" quotePrefix="0" xfId="0">
      <alignment horizontal="left" vertical="bottom" indent="3"/>
    </xf>
    <xf numFmtId="177" fontId="42" fillId="0" borderId="0" applyAlignment="1" pivotButton="0" quotePrefix="0" xfId="0">
      <alignment horizontal="right" vertical="bottom"/>
    </xf>
    <xf numFmtId="177" fontId="33" fillId="0" borderId="0" applyAlignment="1" pivotButton="0" quotePrefix="0" xfId="0">
      <alignment horizontal="general" vertical="bottom"/>
    </xf>
    <xf numFmtId="176" fontId="28" fillId="0" borderId="0" applyAlignment="1" pivotButton="0" quotePrefix="0" xfId="0">
      <alignment horizontal="general" vertical="bottom"/>
    </xf>
    <xf numFmtId="174" fontId="34" fillId="0" borderId="0" applyAlignment="1" pivotButton="0" quotePrefix="0" xfId="0">
      <alignment horizontal="general" vertical="bottom"/>
    </xf>
    <xf numFmtId="165" fontId="37" fillId="0" borderId="0" applyAlignment="1" pivotButton="0" quotePrefix="0" xfId="0">
      <alignment horizontal="general" vertical="bottom"/>
    </xf>
    <xf numFmtId="183" fontId="33" fillId="0" borderId="5" applyAlignment="1" pivotButton="0" quotePrefix="0" xfId="0">
      <alignment horizontal="general" vertical="bottom"/>
    </xf>
    <xf numFmtId="180" fontId="35" fillId="0" borderId="0" applyAlignment="1" pivotButton="0" quotePrefix="0" xfId="0">
      <alignment horizontal="general" vertical="bottom"/>
    </xf>
    <xf numFmtId="182" fontId="35" fillId="0" borderId="0" applyAlignment="1" pivotButton="0" quotePrefix="0" xfId="0">
      <alignment horizontal="general" vertical="bottom"/>
    </xf>
    <xf numFmtId="183" fontId="31" fillId="0" borderId="5" applyAlignment="1" pivotButton="0" quotePrefix="0" xfId="0">
      <alignment horizontal="general" vertical="bottom"/>
    </xf>
    <xf numFmtId="172" fontId="31" fillId="0" borderId="5" applyAlignment="1" pivotButton="0" quotePrefix="0" xfId="0">
      <alignment horizontal="general" vertical="bottom"/>
    </xf>
    <xf numFmtId="3" fontId="0" fillId="0" borderId="0" applyAlignment="1" pivotButton="0" quotePrefix="0" xfId="0">
      <alignment horizontal="general" vertical="bottom"/>
    </xf>
    <xf numFmtId="173" fontId="0" fillId="0" borderId="0" applyAlignment="1" pivotButton="0" quotePrefix="0" xfId="0">
      <alignment horizontal="general" vertical="bottom"/>
    </xf>
    <xf numFmtId="0" fontId="47" fillId="0" borderId="0" applyAlignment="1" pivotButton="0" quotePrefix="0" xfId="0">
      <alignment horizontal="left" vertical="bottom" indent="1"/>
    </xf>
    <xf numFmtId="175" fontId="0" fillId="0" borderId="4" applyAlignment="1" pivotButton="0" quotePrefix="0" xfId="0">
      <alignment horizontal="general" vertical="bottom"/>
    </xf>
    <xf numFmtId="185" fontId="28" fillId="0" borderId="0" applyAlignment="1" pivotButton="0" quotePrefix="0" xfId="0">
      <alignment horizontal="general" vertical="bottom"/>
    </xf>
    <xf numFmtId="10" fontId="28" fillId="0" borderId="0" applyAlignment="1" pivotButton="0" quotePrefix="0" xfId="0">
      <alignment horizontal="general" vertical="bottom"/>
    </xf>
    <xf numFmtId="0" fontId="46" fillId="0" borderId="0" applyAlignment="1" pivotButton="0" quotePrefix="0" xfId="0">
      <alignment horizontal="left" vertical="bottom" indent="2"/>
    </xf>
    <xf numFmtId="175" fontId="46" fillId="0" borderId="0" applyAlignment="1" pivotButton="0" quotePrefix="0" xfId="0">
      <alignment horizontal="general" vertical="bottom"/>
    </xf>
    <xf numFmtId="0" fontId="33" fillId="0" borderId="0" applyAlignment="1" pivotButton="0" quotePrefix="0" xfId="0">
      <alignment horizontal="left" vertical="bottom" indent="2"/>
    </xf>
    <xf numFmtId="176" fontId="37" fillId="0" borderId="0" applyAlignment="1" pivotButton="0" quotePrefix="0" xfId="0">
      <alignment horizontal="right" vertical="bottom"/>
    </xf>
    <xf numFmtId="9" fontId="42" fillId="0" borderId="0" applyAlignment="1" pivotButton="0" quotePrefix="0" xfId="0">
      <alignment horizontal="right" vertical="bottom"/>
    </xf>
    <xf numFmtId="0" fontId="33" fillId="0" borderId="0" applyAlignment="1" pivotButton="0" quotePrefix="0" xfId="0">
      <alignment horizontal="right" vertical="bottom"/>
    </xf>
    <xf numFmtId="0" fontId="34" fillId="0" borderId="0" applyAlignment="1" pivotButton="0" quotePrefix="0" xfId="0">
      <alignment horizontal="center" vertical="bottom"/>
    </xf>
    <xf numFmtId="176" fontId="42" fillId="0" borderId="0" applyAlignment="1" pivotButton="0" quotePrefix="0" xfId="0">
      <alignment horizontal="general" vertical="bottom"/>
    </xf>
    <xf numFmtId="9" fontId="42" fillId="0" borderId="0" applyAlignment="1" pivotButton="0" quotePrefix="0" xfId="0">
      <alignment horizontal="general" vertical="bottom"/>
    </xf>
    <xf numFmtId="175" fontId="33" fillId="0" borderId="0" applyAlignment="1" pivotButton="0" quotePrefix="0" xfId="0">
      <alignment horizontal="right" vertical="bottom"/>
    </xf>
    <xf numFmtId="174" fontId="28" fillId="0" borderId="0" applyAlignment="1" pivotButton="0" quotePrefix="0" xfId="0">
      <alignment horizontal="general" vertical="bottom"/>
    </xf>
    <xf numFmtId="175" fontId="31" fillId="0" borderId="0" applyAlignment="1" pivotButton="0" quotePrefix="0" xfId="0">
      <alignment horizontal="general" vertical="bottom"/>
    </xf>
    <xf numFmtId="174" fontId="31" fillId="0" borderId="0" applyAlignment="1" pivotButton="0" quotePrefix="0" xfId="0">
      <alignment horizontal="general" vertical="bottom"/>
    </xf>
    <xf numFmtId="176" fontId="37" fillId="0" borderId="0" applyAlignment="1" pivotButton="0" quotePrefix="0" xfId="0">
      <alignment horizontal="general" vertical="bottom"/>
    </xf>
    <xf numFmtId="9" fontId="37" fillId="0" borderId="0" applyAlignment="1" pivotButton="0" quotePrefix="0" xfId="0">
      <alignment horizontal="general" vertical="bottom"/>
    </xf>
    <xf numFmtId="0" fontId="28" fillId="0" borderId="0" applyAlignment="1" pivotButton="0" quotePrefix="0" xfId="0">
      <alignment horizontal="center" vertical="bottom"/>
    </xf>
    <xf numFmtId="175" fontId="28" fillId="0" borderId="4" applyAlignment="1" pivotButton="0" quotePrefix="0" xfId="0">
      <alignment horizontal="general" vertical="bottom"/>
    </xf>
    <xf numFmtId="0" fontId="46" fillId="0" borderId="0" applyAlignment="1" pivotButton="0" quotePrefix="0" xfId="0">
      <alignment horizontal="left" vertical="bottom"/>
    </xf>
    <xf numFmtId="0" fontId="48" fillId="0" borderId="0" applyAlignment="1" pivotButton="0" quotePrefix="0" xfId="0">
      <alignment horizontal="right" vertical="bottom"/>
    </xf>
    <xf numFmtId="174" fontId="42" fillId="0" borderId="0" applyAlignment="1" pivotButton="0" quotePrefix="0" xfId="0">
      <alignment horizontal="general" vertical="bottom"/>
    </xf>
    <xf numFmtId="186" fontId="37" fillId="0" borderId="0" applyAlignment="1" pivotButton="0" quotePrefix="0" xfId="0">
      <alignment horizontal="right" vertical="bottom"/>
    </xf>
    <xf numFmtId="185" fontId="0" fillId="0" borderId="0" applyAlignment="1" pivotButton="0" quotePrefix="0" xfId="0">
      <alignment horizontal="general" vertical="bottom"/>
    </xf>
    <xf numFmtId="187" fontId="37" fillId="0" borderId="0" applyAlignment="1" pivotButton="0" quotePrefix="0" xfId="0">
      <alignment horizontal="general" vertical="bottom"/>
    </xf>
    <xf numFmtId="187" fontId="28" fillId="0" borderId="0" applyAlignment="1" pivotButton="0" quotePrefix="0" xfId="0">
      <alignment horizontal="general" vertical="bottom"/>
    </xf>
    <xf numFmtId="188" fontId="33" fillId="0" borderId="5" applyAlignment="1" pivotButton="0" quotePrefix="0" xfId="0">
      <alignment horizontal="center" vertical="bottom"/>
    </xf>
    <xf numFmtId="0" fontId="0" fillId="0" borderId="5" pivotButton="0" quotePrefix="0" xfId="0"/>
    <xf numFmtId="165" fontId="34" fillId="0" borderId="4" applyAlignment="1" pivotButton="0" quotePrefix="0" xfId="0">
      <alignment horizontal="general" vertical="bottom"/>
    </xf>
    <xf numFmtId="165" fontId="34" fillId="0" borderId="0" applyAlignment="1" pivotButton="0" quotePrefix="0" xfId="0">
      <alignment horizontal="general" vertical="bottom"/>
    </xf>
    <xf numFmtId="171" fontId="37" fillId="0" borderId="0" applyAlignment="1" pivotButton="0" quotePrefix="0" xfId="0">
      <alignment horizontal="right" vertical="bottom"/>
    </xf>
    <xf numFmtId="0" fontId="46" fillId="0" borderId="0" applyAlignment="1" pivotButton="0" quotePrefix="0" xfId="0">
      <alignment horizontal="left" vertical="bottom" indent="1"/>
    </xf>
    <xf numFmtId="0" fontId="28" fillId="0" borderId="0" applyAlignment="1" pivotButton="0" quotePrefix="0" xfId="0">
      <alignment horizontal="left" vertical="bottom" indent="2"/>
    </xf>
    <xf numFmtId="9" fontId="37" fillId="0" borderId="0" applyAlignment="1" pivotButton="0" quotePrefix="0" xfId="0">
      <alignment horizontal="center" vertical="bottom"/>
    </xf>
    <xf numFmtId="0" fontId="46" fillId="0" borderId="7" applyAlignment="1" pivotButton="0" quotePrefix="0" xfId="0">
      <alignment horizontal="center" vertical="bottom"/>
    </xf>
    <xf numFmtId="0" fontId="46" fillId="0" borderId="8" applyAlignment="1" pivotButton="0" quotePrefix="0" xfId="0">
      <alignment horizontal="center" vertical="bottom"/>
    </xf>
    <xf numFmtId="0" fontId="46" fillId="0" borderId="9" applyAlignment="1" pivotButton="0" quotePrefix="0" xfId="0">
      <alignment horizontal="center" vertical="bottom"/>
    </xf>
    <xf numFmtId="166" fontId="0" fillId="0" borderId="10" applyAlignment="1" pivotButton="0" quotePrefix="0" xfId="0">
      <alignment horizontal="center" vertical="bottom"/>
    </xf>
    <xf numFmtId="177" fontId="28" fillId="0" borderId="0" applyAlignment="1" pivotButton="0" quotePrefix="0" xfId="0">
      <alignment horizontal="center" vertical="bottom"/>
    </xf>
    <xf numFmtId="177" fontId="0" fillId="0" borderId="11" applyAlignment="1" pivotButton="0" quotePrefix="0" xfId="0">
      <alignment horizontal="center" vertical="bottom"/>
    </xf>
    <xf numFmtId="175" fontId="0" fillId="0" borderId="10" applyAlignment="1" pivotButton="0" quotePrefix="0" xfId="0">
      <alignment horizontal="center" vertical="bottom"/>
    </xf>
    <xf numFmtId="174" fontId="37" fillId="0" borderId="10" applyAlignment="1" pivotButton="0" quotePrefix="0" xfId="0">
      <alignment horizontal="center" vertical="bottom"/>
    </xf>
    <xf numFmtId="177" fontId="37" fillId="13" borderId="11" applyAlignment="1" pivotButton="0" quotePrefix="0" xfId="0">
      <alignment horizontal="center" vertical="bottom"/>
    </xf>
    <xf numFmtId="174" fontId="37" fillId="0" borderId="12" applyAlignment="1" pivotButton="0" quotePrefix="0" xfId="0">
      <alignment horizontal="center" vertical="bottom"/>
    </xf>
    <xf numFmtId="177" fontId="28" fillId="0" borderId="5" applyAlignment="1" pivotButton="0" quotePrefix="0" xfId="0">
      <alignment horizontal="center" vertical="bottom"/>
    </xf>
    <xf numFmtId="177" fontId="37" fillId="13" borderId="13" applyAlignment="1" pivotButton="0" quotePrefix="0" xfId="0">
      <alignment horizontal="center" vertical="bottom"/>
    </xf>
    <xf numFmtId="0" fontId="34" fillId="0" borderId="14" applyAlignment="1" pivotButton="0" quotePrefix="0" xfId="0">
      <alignment horizontal="center" vertical="bottom"/>
    </xf>
    <xf numFmtId="0" fontId="34" fillId="0" borderId="14" applyAlignment="1" pivotButton="0" quotePrefix="0" xfId="0">
      <alignment horizontal="right" vertical="bottom"/>
    </xf>
    <xf numFmtId="182" fontId="34" fillId="0" borderId="14" applyAlignment="1" pivotButton="0" quotePrefix="0" xfId="0">
      <alignment horizontal="general" vertical="bottom"/>
    </xf>
    <xf numFmtId="189" fontId="0" fillId="0" borderId="0" applyAlignment="1" pivotButton="0" quotePrefix="0" xfId="0">
      <alignment horizontal="center" vertical="bottom"/>
    </xf>
    <xf numFmtId="9" fontId="0" fillId="0" borderId="0" applyAlignment="1" pivotButton="0" quotePrefix="0" xfId="0">
      <alignment horizontal="center" vertical="bottom"/>
    </xf>
    <xf numFmtId="0" fontId="0" fillId="0" borderId="0" applyAlignment="1" pivotButton="0" quotePrefix="0" xfId="0">
      <alignment horizontal="center" vertical="bottom"/>
    </xf>
    <xf numFmtId="171" fontId="0" fillId="0" borderId="0" applyAlignment="1" pivotButton="0" quotePrefix="0" xfId="0">
      <alignment horizontal="left" vertical="bottom" indent="1"/>
    </xf>
    <xf numFmtId="171" fontId="0" fillId="0" borderId="0" applyAlignment="1" pivotButton="0" quotePrefix="0" xfId="0">
      <alignment horizontal="center" vertical="bottom"/>
    </xf>
    <xf numFmtId="9" fontId="34" fillId="0" borderId="0" applyAlignment="1" pivotButton="0" quotePrefix="0" xfId="0">
      <alignment horizontal="center" vertical="bottom"/>
    </xf>
    <xf numFmtId="174" fontId="35" fillId="0" borderId="0" applyAlignment="1" pivotButton="0" quotePrefix="0" xfId="0">
      <alignment horizontal="general" vertical="bottom"/>
    </xf>
    <xf numFmtId="174" fontId="32" fillId="0" borderId="0" applyAlignment="1" pivotButton="0" quotePrefix="0" xfId="0">
      <alignment horizontal="general" vertical="bottom"/>
    </xf>
    <xf numFmtId="175" fontId="0" fillId="0" borderId="0" applyAlignment="1" pivotButton="0" quotePrefix="0" xfId="0">
      <alignment horizontal="center" vertical="bottom"/>
    </xf>
    <xf numFmtId="177" fontId="0" fillId="0" borderId="0" applyAlignment="1" pivotButton="0" quotePrefix="0" xfId="0">
      <alignment horizontal="center" vertical="bottom"/>
    </xf>
    <xf numFmtId="164" fontId="0" fillId="0" borderId="0" applyAlignment="1" pivotButton="0" quotePrefix="0" xfId="0">
      <alignment horizontal="center" vertical="bottom"/>
    </xf>
    <xf numFmtId="166" fontId="0" fillId="0" borderId="0" applyAlignment="1" pivotButton="0" quotePrefix="0" xfId="0">
      <alignment horizontal="center" vertical="bottom"/>
    </xf>
    <xf numFmtId="175" fontId="34" fillId="0" borderId="0" applyAlignment="1" pivotButton="0" quotePrefix="0" xfId="0">
      <alignment horizontal="center" vertical="bottom"/>
    </xf>
    <xf numFmtId="177" fontId="34" fillId="0" borderId="0" applyAlignment="1" pivotButton="0" quotePrefix="0" xfId="0">
      <alignment horizontal="center" vertical="bottom"/>
    </xf>
    <xf numFmtId="174" fontId="34" fillId="0" borderId="0" applyAlignment="1" pivotButton="0" quotePrefix="0" xfId="0">
      <alignment horizontal="center" vertical="bottom"/>
    </xf>
    <xf numFmtId="0" fontId="33" fillId="0" borderId="5" applyAlignment="1" pivotButton="0" quotePrefix="0" xfId="0">
      <alignment horizontal="center" vertical="bottom"/>
    </xf>
    <xf numFmtId="185" fontId="42" fillId="0" borderId="5" applyAlignment="1" pivotButton="0" quotePrefix="0" xfId="0">
      <alignment horizontal="center" vertical="bottom"/>
    </xf>
    <xf numFmtId="0" fontId="47" fillId="0" borderId="0" applyAlignment="1" pivotButton="0" quotePrefix="0" xfId="0">
      <alignment horizontal="center" vertical="bottom"/>
    </xf>
    <xf numFmtId="0" fontId="33" fillId="0" borderId="0" applyAlignment="1" pivotButton="0" quotePrefix="0" xfId="0">
      <alignment horizontal="center" vertical="bottom"/>
    </xf>
    <xf numFmtId="185" fontId="42" fillId="0" borderId="0" applyAlignment="1" pivotButton="0" quotePrefix="0" xfId="0">
      <alignment horizontal="center" vertical="bottom"/>
    </xf>
    <xf numFmtId="0" fontId="34" fillId="0" borderId="4" applyAlignment="1" pivotButton="0" quotePrefix="0" xfId="0">
      <alignment horizontal="center" vertical="bottom"/>
    </xf>
    <xf numFmtId="0" fontId="47" fillId="0" borderId="15" applyAlignment="1" pivotButton="0" quotePrefix="0" xfId="0">
      <alignment horizontal="center" vertical="bottom"/>
    </xf>
    <xf numFmtId="0" fontId="0" fillId="0" borderId="8" pivotButton="0" quotePrefix="0" xfId="0"/>
    <xf numFmtId="0" fontId="0" fillId="0" borderId="9" pivotButton="0" quotePrefix="0" xfId="0"/>
    <xf numFmtId="185" fontId="28" fillId="0" borderId="16" applyAlignment="1" pivotButton="0" quotePrefix="0" xfId="0">
      <alignment horizontal="center" vertical="bottom"/>
    </xf>
    <xf numFmtId="185" fontId="37" fillId="0" borderId="7" applyAlignment="1" pivotButton="0" quotePrefix="0" xfId="0">
      <alignment horizontal="general" vertical="bottom"/>
    </xf>
    <xf numFmtId="185" fontId="28" fillId="0" borderId="8" applyAlignment="1" pivotButton="0" quotePrefix="0" xfId="0">
      <alignment horizontal="general" vertical="bottom"/>
    </xf>
    <xf numFmtId="185" fontId="28" fillId="0" borderId="9" applyAlignment="1" pivotButton="0" quotePrefix="0" xfId="0">
      <alignment horizontal="general" vertical="bottom"/>
    </xf>
    <xf numFmtId="166" fontId="0" fillId="0" borderId="16" applyAlignment="1" pivotButton="0" quotePrefix="0" xfId="0">
      <alignment horizontal="center" vertical="bottom"/>
    </xf>
    <xf numFmtId="166" fontId="34" fillId="0" borderId="10" applyAlignment="1" pivotButton="0" quotePrefix="0" xfId="0">
      <alignment horizontal="general" vertical="bottom"/>
    </xf>
    <xf numFmtId="166" fontId="34" fillId="0" borderId="11" applyAlignment="1" pivotButton="0" quotePrefix="0" xfId="0">
      <alignment horizontal="general" vertical="bottom"/>
    </xf>
    <xf numFmtId="190" fontId="0" fillId="0" borderId="16" applyAlignment="1" pivotButton="0" quotePrefix="0" xfId="0">
      <alignment horizontal="center" vertical="bottom"/>
    </xf>
    <xf numFmtId="190" fontId="0" fillId="0" borderId="10" applyAlignment="1" pivotButton="0" quotePrefix="0" xfId="0">
      <alignment horizontal="general" vertical="bottom"/>
    </xf>
    <xf numFmtId="190" fontId="0" fillId="0" borderId="0" applyAlignment="1" pivotButton="0" quotePrefix="0" xfId="0">
      <alignment horizontal="general" vertical="bottom"/>
    </xf>
    <xf numFmtId="190" fontId="0" fillId="0" borderId="11" applyAlignment="1" pivotButton="0" quotePrefix="0" xfId="0">
      <alignment horizontal="general" vertical="bottom"/>
    </xf>
    <xf numFmtId="191" fontId="0" fillId="0" borderId="16" applyAlignment="1" pivotButton="0" quotePrefix="0" xfId="0">
      <alignment horizontal="center" vertical="bottom"/>
    </xf>
    <xf numFmtId="2" fontId="0" fillId="0" borderId="10" applyAlignment="1" pivotButton="0" quotePrefix="0" xfId="0">
      <alignment horizontal="general" vertical="bottom"/>
    </xf>
    <xf numFmtId="2" fontId="0" fillId="0" borderId="11" applyAlignment="1" pivotButton="0" quotePrefix="0" xfId="0">
      <alignment horizontal="general" vertical="bottom"/>
    </xf>
    <xf numFmtId="164" fontId="33" fillId="0" borderId="16" applyAlignment="1" pivotButton="0" quotePrefix="0" xfId="0">
      <alignment horizontal="center" vertical="bottom"/>
    </xf>
    <xf numFmtId="164" fontId="33" fillId="0" borderId="10" applyAlignment="1" pivotButton="0" quotePrefix="0" xfId="0">
      <alignment horizontal="general" vertical="bottom"/>
    </xf>
    <xf numFmtId="164" fontId="33" fillId="0" borderId="0" applyAlignment="1" pivotButton="0" quotePrefix="0" xfId="0">
      <alignment horizontal="general" vertical="bottom"/>
    </xf>
    <xf numFmtId="164" fontId="33" fillId="0" borderId="11" applyAlignment="1" pivotButton="0" quotePrefix="0" xfId="0">
      <alignment horizontal="general" vertical="bottom"/>
    </xf>
    <xf numFmtId="0" fontId="33" fillId="0" borderId="16" applyAlignment="1" pivotButton="0" quotePrefix="0" xfId="0">
      <alignment horizontal="center" vertical="bottom"/>
    </xf>
    <xf numFmtId="176" fontId="33" fillId="0" borderId="10" applyAlignment="1" pivotButton="0" quotePrefix="0" xfId="0">
      <alignment horizontal="general" vertical="bottom"/>
    </xf>
    <xf numFmtId="176" fontId="33" fillId="0" borderId="0" applyAlignment="1" pivotButton="0" quotePrefix="0" xfId="0">
      <alignment horizontal="general" vertical="bottom"/>
    </xf>
    <xf numFmtId="176" fontId="33" fillId="0" borderId="11" applyAlignment="1" pivotButton="0" quotePrefix="0" xfId="0">
      <alignment horizontal="general" vertical="bottom"/>
    </xf>
    <xf numFmtId="166" fontId="34" fillId="0" borderId="16" applyAlignment="1" pivotButton="0" quotePrefix="0" xfId="0">
      <alignment horizontal="center" vertical="bottom"/>
    </xf>
    <xf numFmtId="2" fontId="0" fillId="0" borderId="17" applyAlignment="1" pivotButton="0" quotePrefix="0" xfId="0">
      <alignment horizontal="center" vertical="bottom"/>
    </xf>
    <xf numFmtId="2" fontId="0" fillId="0" borderId="12" applyAlignment="1" pivotButton="0" quotePrefix="0" xfId="0">
      <alignment horizontal="general" vertical="bottom"/>
    </xf>
    <xf numFmtId="2" fontId="0" fillId="0" borderId="5" applyAlignment="1" pivotButton="0" quotePrefix="0" xfId="0">
      <alignment horizontal="general" vertical="bottom"/>
    </xf>
    <xf numFmtId="2" fontId="0" fillId="0" borderId="13" applyAlignment="1" pivotButton="0" quotePrefix="0" xfId="0">
      <alignment horizontal="general" vertical="bottom"/>
    </xf>
    <xf numFmtId="185" fontId="37" fillId="0" borderId="0" applyAlignment="1" pivotButton="0" quotePrefix="0" xfId="0">
      <alignment horizontal="right" vertical="bottom"/>
    </xf>
    <xf numFmtId="0" fontId="47" fillId="0" borderId="5" applyAlignment="1" pivotButton="0" quotePrefix="0" xfId="0">
      <alignment horizontal="center" vertical="bottom"/>
    </xf>
    <xf numFmtId="0" fontId="34" fillId="0" borderId="15" applyAlignment="1" pivotButton="0" quotePrefix="0" xfId="0">
      <alignment horizontal="left" vertical="bottom"/>
    </xf>
    <xf numFmtId="0" fontId="49" fillId="0" borderId="0" applyAlignment="1" pivotButton="0" quotePrefix="0" xfId="0">
      <alignment horizontal="center" vertical="bottom"/>
    </xf>
    <xf numFmtId="185" fontId="36" fillId="0" borderId="17" applyAlignment="1" pivotButton="0" quotePrefix="0" xfId="0">
      <alignment horizontal="left" vertical="bottom"/>
    </xf>
    <xf numFmtId="9" fontId="31" fillId="0" borderId="0" applyAlignment="1" pivotButton="0" quotePrefix="0" xfId="0">
      <alignment horizontal="general" vertical="bottom"/>
    </xf>
    <xf numFmtId="189" fontId="36" fillId="0" borderId="0" applyAlignment="1" pivotButton="0" quotePrefix="0" xfId="0">
      <alignment horizontal="general" vertical="bottom"/>
    </xf>
    <xf numFmtId="189" fontId="35" fillId="0" borderId="0" applyAlignment="1" pivotButton="0" quotePrefix="0" xfId="0">
      <alignment horizontal="general" vertical="bottom"/>
    </xf>
    <xf numFmtId="0" fontId="33" fillId="0" borderId="0" applyAlignment="1" pivotButton="0" quotePrefix="0" xfId="0">
      <alignment horizontal="right" vertical="center" wrapText="1"/>
    </xf>
    <xf numFmtId="189" fontId="35" fillId="0" borderId="0" applyAlignment="1" pivotButton="0" quotePrefix="0" xfId="0">
      <alignment horizontal="right" vertical="bottom"/>
    </xf>
    <xf numFmtId="2" fontId="35" fillId="0" borderId="0" applyAlignment="1" pivotButton="0" quotePrefix="0" xfId="0">
      <alignment horizontal="right" vertical="bottom"/>
    </xf>
    <xf numFmtId="176" fontId="36" fillId="0" borderId="0" applyAlignment="1" pivotButton="0" quotePrefix="0" xfId="0">
      <alignment horizontal="general" vertical="bottom"/>
    </xf>
    <xf numFmtId="9" fontId="35" fillId="0" borderId="0" applyAlignment="1" pivotButton="0" quotePrefix="0" xfId="0">
      <alignment horizontal="general" vertical="bottom"/>
    </xf>
    <xf numFmtId="176" fontId="35" fillId="0" borderId="0" applyAlignment="1" pivotButton="0" quotePrefix="0" xfId="0">
      <alignment horizontal="right" vertical="bottom"/>
    </xf>
    <xf numFmtId="0" fontId="47" fillId="0" borderId="0" applyAlignment="1" pivotButton="0" quotePrefix="0" xfId="0">
      <alignment horizontal="right" vertical="bottom"/>
    </xf>
    <xf numFmtId="183" fontId="0" fillId="0" borderId="5" applyAlignment="1" pivotButton="0" quotePrefix="0" xfId="0">
      <alignment horizontal="general" vertical="bottom"/>
    </xf>
    <xf numFmtId="0" fontId="50" fillId="0" borderId="14" applyAlignment="1" pivotButton="0" quotePrefix="0" xfId="0">
      <alignment horizontal="center" vertical="bottom"/>
    </xf>
    <xf numFmtId="175" fontId="0" fillId="0" borderId="5" applyAlignment="1" pivotButton="0" quotePrefix="0" xfId="0">
      <alignment horizontal="general" vertical="bottom"/>
    </xf>
    <xf numFmtId="0" fontId="0" fillId="0" borderId="5" applyAlignment="1" pivotButton="0" quotePrefix="0" xfId="0">
      <alignment horizontal="center" vertical="bottom"/>
    </xf>
    <xf numFmtId="175" fontId="0" fillId="0" borderId="5" applyAlignment="1" pivotButton="0" quotePrefix="0" xfId="0">
      <alignment horizontal="center" vertical="bottom"/>
    </xf>
    <xf numFmtId="170" fontId="0" fillId="0" borderId="5" applyAlignment="1" pivotButton="0" quotePrefix="0" xfId="0">
      <alignment horizontal="center" vertical="bottom"/>
    </xf>
    <xf numFmtId="0" fontId="37" fillId="0" borderId="0" applyAlignment="1" pivotButton="0" quotePrefix="0" xfId="0">
      <alignment horizontal="general" vertical="bottom"/>
    </xf>
    <xf numFmtId="174" fontId="0" fillId="0" borderId="0" applyAlignment="1" pivotButton="0" quotePrefix="0" xfId="0">
      <alignment horizontal="center" vertical="bottom"/>
    </xf>
    <xf numFmtId="174" fontId="28" fillId="0" borderId="0" applyAlignment="1" pivotButton="0" quotePrefix="0" xfId="0">
      <alignment horizontal="right" vertical="bottom"/>
    </xf>
    <xf numFmtId="175" fontId="33" fillId="0" borderId="5" applyAlignment="1" pivotButton="0" quotePrefix="0" xfId="0">
      <alignment horizontal="general" vertical="bottom"/>
    </xf>
    <xf numFmtId="0" fontId="0" fillId="0" borderId="8" applyAlignment="1" pivotButton="0" quotePrefix="0" xfId="0">
      <alignment horizontal="general" vertical="bottom"/>
    </xf>
    <xf numFmtId="173" fontId="0" fillId="0" borderId="5" applyAlignment="1" pivotButton="0" quotePrefix="0" xfId="0">
      <alignment horizontal="general" vertical="bottom"/>
    </xf>
    <xf numFmtId="173" fontId="34" fillId="0" borderId="0" applyAlignment="1" pivotButton="0" quotePrefix="0" xfId="0">
      <alignment horizontal="general" vertical="bottom"/>
    </xf>
    <xf numFmtId="175" fontId="0" fillId="0" borderId="0" applyAlignment="1" pivotButton="0" quotePrefix="0" xfId="0">
      <alignment horizontal="right" vertical="bottom"/>
    </xf>
    <xf numFmtId="0" fontId="36" fillId="13" borderId="4" applyAlignment="1" pivotButton="0" quotePrefix="0" xfId="0">
      <alignment horizontal="center" vertical="center"/>
    </xf>
    <xf numFmtId="0" fontId="34" fillId="0" borderId="18" applyAlignment="1" pivotButton="0" quotePrefix="0" xfId="0">
      <alignment horizontal="left" vertical="bottom"/>
    </xf>
    <xf numFmtId="0" fontId="34" fillId="0" borderId="18" applyAlignment="1" pivotButton="0" quotePrefix="0" xfId="0">
      <alignment horizontal="center" vertical="bottom"/>
    </xf>
    <xf numFmtId="173" fontId="28" fillId="0" borderId="0" applyAlignment="1" pivotButton="0" quotePrefix="0" xfId="0">
      <alignment horizontal="general" vertical="bottom"/>
    </xf>
    <xf numFmtId="173" fontId="37" fillId="0" borderId="0" applyAlignment="1" pivotButton="0" quotePrefix="0" xfId="0">
      <alignment horizontal="general" vertical="bottom"/>
    </xf>
    <xf numFmtId="192" fontId="51" fillId="0" borderId="0" applyAlignment="1" pivotButton="0" quotePrefix="0" xfId="0">
      <alignment horizontal="general" vertical="bottom"/>
    </xf>
    <xf numFmtId="173" fontId="52" fillId="0" borderId="0" applyAlignment="1" pivotButton="0" quotePrefix="0" xfId="0">
      <alignment horizontal="general" vertical="bottom"/>
    </xf>
    <xf numFmtId="173" fontId="53" fillId="0" borderId="0" applyAlignment="1" pivotButton="0" quotePrefix="0" xfId="0">
      <alignment horizontal="general" vertical="bottom"/>
    </xf>
    <xf numFmtId="0" fontId="50" fillId="0" borderId="0" applyAlignment="1" pivotButton="0" quotePrefix="0" xfId="0">
      <alignment horizontal="right" vertical="bottom"/>
    </xf>
    <xf numFmtId="173" fontId="54" fillId="0" borderId="0" applyAlignment="1" pivotButton="0" quotePrefix="0" xfId="0">
      <alignment horizontal="general" vertical="bottom"/>
    </xf>
    <xf numFmtId="175" fontId="54" fillId="0" borderId="0" applyAlignment="1" pivotButton="0" quotePrefix="0" xfId="0">
      <alignment horizontal="general" vertical="bottom"/>
    </xf>
    <xf numFmtId="168" fontId="0" fillId="0" borderId="0" applyAlignment="1" pivotButton="0" quotePrefix="0" xfId="0">
      <alignment horizontal="general" vertical="bottom"/>
    </xf>
    <xf numFmtId="0" fontId="55" fillId="0" borderId="18" applyAlignment="1" pivotButton="0" quotePrefix="0" xfId="0">
      <alignment horizontal="general" vertical="bottom"/>
    </xf>
    <xf numFmtId="0" fontId="0" fillId="0" borderId="18" applyAlignment="1" pivotButton="0" quotePrefix="0" xfId="0">
      <alignment horizontal="general" vertical="bottom"/>
    </xf>
    <xf numFmtId="2" fontId="39" fillId="13" borderId="0" applyAlignment="1" pivotButton="0" quotePrefix="0" xfId="0">
      <alignment horizontal="general" vertical="bottom"/>
    </xf>
    <xf numFmtId="172" fontId="0" fillId="13" borderId="0" applyAlignment="1" pivotButton="0" quotePrefix="0" xfId="0">
      <alignment horizontal="general" vertical="bottom"/>
    </xf>
    <xf numFmtId="190" fontId="39" fillId="13" borderId="0" applyAlignment="1" pivotButton="0" quotePrefix="0" xfId="0">
      <alignment horizontal="general" vertical="bottom"/>
    </xf>
    <xf numFmtId="10" fontId="0" fillId="0" borderId="0" applyAlignment="1" pivotButton="0" quotePrefix="0" xfId="0">
      <alignment horizontal="general" vertical="bottom"/>
    </xf>
    <xf numFmtId="168" fontId="55" fillId="0" borderId="18" applyAlignment="1" pivotButton="0" quotePrefix="0" xfId="0">
      <alignment horizontal="general" vertical="bottom"/>
    </xf>
    <xf numFmtId="0" fontId="33" fillId="0" borderId="0" applyAlignment="1" pivotButton="0" quotePrefix="0" xfId="0">
      <alignment horizontal="left" vertical="bottom"/>
    </xf>
    <xf numFmtId="166" fontId="39" fillId="0" borderId="0" applyAlignment="1" pivotButton="0" quotePrefix="0" xfId="0">
      <alignment horizontal="general" vertical="bottom"/>
    </xf>
    <xf numFmtId="164" fontId="56" fillId="0" borderId="0" applyAlignment="1" pivotButton="0" quotePrefix="0" xfId="0">
      <alignment horizontal="general" vertical="bottom"/>
    </xf>
    <xf numFmtId="177" fontId="56" fillId="0" borderId="0" applyAlignment="1" pivotButton="0" quotePrefix="0" xfId="0">
      <alignment horizontal="general" vertical="bottom"/>
    </xf>
    <xf numFmtId="0" fontId="55" fillId="0" borderId="0" applyAlignment="1" pivotButton="0" quotePrefix="0" xfId="0">
      <alignment horizontal="general" vertical="bottom"/>
    </xf>
    <xf numFmtId="166" fontId="55" fillId="0" borderId="0" applyAlignment="1" pivotButton="0" quotePrefix="0" xfId="0">
      <alignment horizontal="general" vertical="bottom"/>
    </xf>
    <xf numFmtId="164" fontId="0" fillId="0" borderId="0" applyAlignment="1" pivotButton="0" quotePrefix="0" xfId="0">
      <alignment horizontal="general" vertical="bottom"/>
    </xf>
    <xf numFmtId="165" fontId="0" fillId="0" borderId="0" applyAlignment="1" pivotButton="0" quotePrefix="0" xfId="0">
      <alignment horizontal="general" vertical="bottom"/>
    </xf>
    <xf numFmtId="0" fontId="57" fillId="13" borderId="15" applyAlignment="1" pivotButton="0" quotePrefix="0" xfId="0">
      <alignment horizontal="center" vertical="bottom"/>
    </xf>
    <xf numFmtId="191" fontId="58" fillId="0" borderId="4" applyAlignment="1" pivotButton="0" quotePrefix="0" xfId="0">
      <alignment horizontal="center" vertical="bottom"/>
    </xf>
    <xf numFmtId="166" fontId="34" fillId="0" borderId="0" applyAlignment="1" pivotButton="0" quotePrefix="0" xfId="0">
      <alignment horizontal="general" vertical="center"/>
    </xf>
    <xf numFmtId="174" fontId="34" fillId="0" borderId="0" applyAlignment="1" pivotButton="0" quotePrefix="0" xfId="0">
      <alignment horizontal="general" vertical="center"/>
    </xf>
    <xf numFmtId="166" fontId="28" fillId="0" borderId="0" applyAlignment="1" pivotButton="0" quotePrefix="0" xfId="0">
      <alignment horizontal="general" vertical="bottom"/>
    </xf>
    <xf numFmtId="164" fontId="37" fillId="13" borderId="0" applyAlignment="1" pivotButton="0" quotePrefix="0" xfId="0">
      <alignment horizontal="general" vertical="bottom"/>
    </xf>
    <xf numFmtId="165" fontId="0" fillId="13" borderId="0" applyAlignment="1" pivotButton="0" quotePrefix="0" xfId="0">
      <alignment horizontal="general" vertical="bottom"/>
    </xf>
    <xf numFmtId="171" fontId="0" fillId="0" borderId="0" applyAlignment="1" pivotButton="0" quotePrefix="0" xfId="0">
      <alignment horizontal="general" vertical="bottom"/>
    </xf>
    <xf numFmtId="2" fontId="33" fillId="0" borderId="0" applyAlignment="1" pivotButton="0" quotePrefix="0" xfId="0">
      <alignment horizontal="general" vertical="bottom"/>
    </xf>
    <xf numFmtId="10" fontId="33" fillId="0" borderId="0" applyAlignment="1" pivotButton="0" quotePrefix="0" xfId="0">
      <alignment horizontal="general" vertical="bottom"/>
    </xf>
    <xf numFmtId="166" fontId="39" fillId="13" borderId="0" applyAlignment="1" pivotButton="0" quotePrefix="0" xfId="0">
      <alignment horizontal="general" vertical="bottom"/>
    </xf>
    <xf numFmtId="166" fontId="32" fillId="0" borderId="0" applyAlignment="1" pivotButton="0" quotePrefix="0" xfId="0">
      <alignment horizontal="general" vertical="bottom"/>
    </xf>
    <xf numFmtId="190" fontId="39" fillId="0" borderId="0" applyAlignment="1" pivotButton="0" quotePrefix="0" xfId="0">
      <alignment horizontal="general" vertical="bottom"/>
    </xf>
    <xf numFmtId="190" fontId="28" fillId="0" borderId="0" applyAlignment="1" pivotButton="0" quotePrefix="0" xfId="0">
      <alignment horizontal="general" vertical="bottom"/>
    </xf>
    <xf numFmtId="0" fontId="59" fillId="0" borderId="0" applyAlignment="1" pivotButton="0" quotePrefix="0" xfId="0">
      <alignment horizontal="general" vertical="bottom"/>
    </xf>
    <xf numFmtId="10" fontId="37" fillId="0" borderId="0" applyAlignment="1" pivotButton="0" quotePrefix="0" xfId="0">
      <alignment horizontal="general" vertical="bottom"/>
    </xf>
    <xf numFmtId="2" fontId="34" fillId="0" borderId="0" applyAlignment="1" pivotButton="0" quotePrefix="0" xfId="0">
      <alignment horizontal="general" vertical="bottom"/>
    </xf>
    <xf numFmtId="177" fontId="0" fillId="0" borderId="0" applyAlignment="1" pivotButton="0" quotePrefix="0" xfId="0">
      <alignment horizontal="right" vertical="bottom"/>
    </xf>
    <xf numFmtId="164" fontId="39" fillId="0" borderId="0" applyAlignment="1" pivotButton="0" quotePrefix="0" xfId="0">
      <alignment horizontal="general" vertical="bottom"/>
    </xf>
    <xf numFmtId="10" fontId="37" fillId="13" borderId="0" applyAlignment="1" pivotButton="0" quotePrefix="0" xfId="0">
      <alignment horizontal="general" vertical="bottom"/>
    </xf>
    <xf numFmtId="2" fontId="37" fillId="13" borderId="0" applyAlignment="1" pivotButton="0" quotePrefix="0" xfId="0">
      <alignment horizontal="general" vertical="bottom"/>
    </xf>
    <xf numFmtId="10" fontId="55" fillId="0" borderId="0" applyAlignment="1" pivotButton="0" quotePrefix="0" xfId="0">
      <alignment horizontal="general" vertical="bottom"/>
    </xf>
    <xf numFmtId="0" fontId="34" fillId="0" borderId="18" applyAlignment="1" pivotButton="0" quotePrefix="0" xfId="0">
      <alignment horizontal="general" vertical="bottom"/>
    </xf>
    <xf numFmtId="0" fontId="46" fillId="0" borderId="0" applyAlignment="1" pivotButton="0" quotePrefix="0" xfId="0">
      <alignment horizontal="center" vertical="bottom"/>
    </xf>
    <xf numFmtId="193" fontId="0" fillId="0" borderId="5" applyAlignment="1" pivotButton="0" quotePrefix="0" xfId="0">
      <alignment horizontal="right" vertical="bottom"/>
    </xf>
    <xf numFmtId="164" fontId="28" fillId="14" borderId="19" applyAlignment="1" pivotButton="0" quotePrefix="0" xfId="0">
      <alignment horizontal="general" vertical="bottom"/>
    </xf>
    <xf numFmtId="164" fontId="28" fillId="14" borderId="14" applyAlignment="1" pivotButton="0" quotePrefix="0" xfId="0">
      <alignment horizontal="general" vertical="bottom"/>
    </xf>
    <xf numFmtId="164" fontId="37" fillId="14" borderId="14" applyAlignment="1" pivotButton="0" quotePrefix="0" xfId="0">
      <alignment horizontal="general" vertical="bottom"/>
    </xf>
    <xf numFmtId="164" fontId="28" fillId="14" borderId="20" applyAlignment="1" pivotButton="0" quotePrefix="0" xfId="0">
      <alignment horizontal="general" vertical="bottom"/>
    </xf>
    <xf numFmtId="9" fontId="37" fillId="14" borderId="16" applyAlignment="1" pivotButton="0" quotePrefix="0" xfId="0">
      <alignment horizontal="right" vertical="bottom"/>
    </xf>
    <xf numFmtId="194" fontId="0" fillId="0" borderId="0" applyAlignment="1" pivotButton="0" quotePrefix="0" xfId="0">
      <alignment horizontal="general" vertical="bottom"/>
    </xf>
    <xf numFmtId="9" fontId="28" fillId="14" borderId="16" applyAlignment="1" pivotButton="0" quotePrefix="0" xfId="0">
      <alignment horizontal="right" vertical="bottom"/>
    </xf>
    <xf numFmtId="9" fontId="28" fillId="14" borderId="17" applyAlignment="1" pivotButton="0" quotePrefix="0" xfId="0">
      <alignment horizontal="right" vertical="bottom"/>
    </xf>
    <xf numFmtId="193" fontId="0" fillId="0" borderId="13" applyAlignment="1" pivotButton="0" quotePrefix="0" xfId="0">
      <alignment horizontal="general" vertical="bottom"/>
    </xf>
    <xf numFmtId="171" fontId="28" fillId="14" borderId="14" applyAlignment="1" pivotButton="0" quotePrefix="0" xfId="0">
      <alignment horizontal="general" vertical="bottom"/>
    </xf>
    <xf numFmtId="171" fontId="37" fillId="14" borderId="14" applyAlignment="1" pivotButton="0" quotePrefix="0" xfId="0">
      <alignment horizontal="general" vertical="bottom"/>
    </xf>
    <xf numFmtId="171" fontId="28" fillId="14" borderId="20" applyAlignment="1" pivotButton="0" quotePrefix="0" xfId="0">
      <alignment horizontal="general" vertical="bottom"/>
    </xf>
    <xf numFmtId="9" fontId="37" fillId="14" borderId="16" applyAlignment="1" pivotButton="0" quotePrefix="0" xfId="0">
      <alignment horizontal="general" vertical="bottom"/>
    </xf>
    <xf numFmtId="9" fontId="28" fillId="14" borderId="16" applyAlignment="1" pivotButton="0" quotePrefix="0" xfId="0">
      <alignment horizontal="general" vertical="bottom"/>
    </xf>
    <xf numFmtId="9" fontId="28" fillId="14" borderId="17" applyAlignment="1" pivotButton="0" quotePrefix="0" xfId="0">
      <alignment horizontal="general" vertical="bottom"/>
    </xf>
    <xf numFmtId="193" fontId="0" fillId="0" borderId="0" applyAlignment="1" pivotButton="0" quotePrefix="0" xfId="0">
      <alignment horizontal="general" vertical="bottom"/>
    </xf>
    <xf numFmtId="171" fontId="28" fillId="14" borderId="19" applyAlignment="1" pivotButton="0" quotePrefix="0" xfId="0">
      <alignment horizontal="general" vertical="bottom"/>
    </xf>
    <xf numFmtId="9" fontId="51" fillId="0" borderId="0" applyAlignment="1" pivotButton="0" quotePrefix="0" xfId="0">
      <alignment horizontal="right" vertical="bottom"/>
    </xf>
    <xf numFmtId="174" fontId="28" fillId="14" borderId="15" applyAlignment="1" pivotButton="0" quotePrefix="0" xfId="0">
      <alignment horizontal="general" vertical="bottom"/>
    </xf>
    <xf numFmtId="9" fontId="54" fillId="0" borderId="0" applyAlignment="1" pivotButton="0" quotePrefix="0" xfId="0">
      <alignment horizontal="right" vertical="bottom"/>
    </xf>
    <xf numFmtId="174" fontId="28" fillId="14" borderId="16" applyAlignment="1" pivotButton="0" quotePrefix="0" xfId="0">
      <alignment horizontal="general" vertical="bottom"/>
    </xf>
    <xf numFmtId="174" fontId="37" fillId="14" borderId="16" applyAlignment="1" pivotButton="0" quotePrefix="0" xfId="0">
      <alignment horizontal="general" vertical="bottom"/>
    </xf>
    <xf numFmtId="174" fontId="28" fillId="14" borderId="17" applyAlignment="1" pivotButton="0" quotePrefix="0" xfId="0">
      <alignment horizontal="general" vertical="bottom"/>
    </xf>
    <xf numFmtId="0" fontId="0" fillId="0" borderId="19" applyAlignment="1" pivotButton="0" quotePrefix="0" xfId="0">
      <alignment horizontal="general" vertical="bottom"/>
    </xf>
    <xf numFmtId="0" fontId="0" fillId="0" borderId="14" applyAlignment="1" pivotButton="0" quotePrefix="0" xfId="0">
      <alignment horizontal="general" vertical="bottom"/>
    </xf>
    <xf numFmtId="0" fontId="0" fillId="0" borderId="20" applyAlignment="1" pivotButton="0" quotePrefix="0" xfId="0">
      <alignment horizontal="general" vertical="bottom"/>
    </xf>
    <xf numFmtId="0" fontId="0" fillId="0" borderId="10" applyAlignment="1" pivotButton="0" quotePrefix="0" xfId="0">
      <alignment horizontal="general" vertical="bottom"/>
    </xf>
    <xf numFmtId="0" fontId="0" fillId="0" borderId="12" applyAlignment="1" pivotButton="0" quotePrefix="0" xfId="0">
      <alignment horizontal="general" vertical="bottom"/>
    </xf>
    <xf numFmtId="168" fontId="33" fillId="0" borderId="0" applyAlignment="1" pivotButton="0" quotePrefix="0" xfId="0">
      <alignment horizontal="left" vertical="bottom"/>
    </xf>
    <xf numFmtId="191" fontId="36" fillId="13" borderId="0" applyAlignment="1" pivotButton="0" quotePrefix="0" xfId="0">
      <alignment horizontal="general" vertical="bottom"/>
    </xf>
    <xf numFmtId="191" fontId="0" fillId="0" borderId="0" applyAlignment="1" pivotButton="0" quotePrefix="0" xfId="0">
      <alignment horizontal="general" vertical="bottom"/>
    </xf>
    <xf numFmtId="0" fontId="56" fillId="0" borderId="0" applyAlignment="1" pivotButton="0" quotePrefix="0" xfId="0">
      <alignment horizontal="left" vertical="bottom" indent="1"/>
    </xf>
    <xf numFmtId="2" fontId="56" fillId="13" borderId="0" applyAlignment="1" pivotButton="0" quotePrefix="0" xfId="0">
      <alignment horizontal="right" vertical="bottom"/>
    </xf>
    <xf numFmtId="190" fontId="37" fillId="13" borderId="0" applyAlignment="1" pivotButton="0" quotePrefix="0" xfId="0">
      <alignment horizontal="general" vertical="bottom"/>
    </xf>
    <xf numFmtId="0" fontId="55" fillId="0" borderId="0" applyAlignment="1" pivotButton="0" quotePrefix="0" xfId="0">
      <alignment horizontal="left" vertical="bottom"/>
    </xf>
    <xf numFmtId="190" fontId="55" fillId="0" borderId="0" applyAlignment="1" pivotButton="0" quotePrefix="0" xfId="0">
      <alignment horizontal="general" vertical="bottom"/>
    </xf>
    <xf numFmtId="195" fontId="0" fillId="0" borderId="0" applyAlignment="1" pivotButton="0" quotePrefix="0" xfId="0">
      <alignment horizontal="left" vertical="bottom"/>
    </xf>
    <xf numFmtId="0" fontId="37" fillId="0" borderId="0" applyAlignment="1" pivotButton="0" quotePrefix="0" xfId="0">
      <alignment horizontal="right" vertical="bottom" indent="1"/>
    </xf>
    <xf numFmtId="0" fontId="0" fillId="0" borderId="0" applyAlignment="1" pivotButton="0" quotePrefix="0" xfId="0">
      <alignment horizontal="right" vertical="bottom" indent="1"/>
    </xf>
    <xf numFmtId="0" fontId="0" fillId="0" borderId="5" applyAlignment="1" pivotButton="0" quotePrefix="0" xfId="0">
      <alignment horizontal="right" vertical="bottom" indent="1"/>
    </xf>
    <xf numFmtId="0" fontId="34" fillId="0" borderId="0" applyAlignment="1" pivotButton="0" quotePrefix="0" xfId="0">
      <alignment horizontal="right" vertical="bottom" indent="1"/>
    </xf>
    <xf numFmtId="0" fontId="60" fillId="0" borderId="18" applyAlignment="1" pivotButton="0" quotePrefix="0" xfId="0">
      <alignment horizontal="general" vertical="bottom"/>
    </xf>
    <xf numFmtId="2" fontId="34" fillId="13" borderId="0" applyAlignment="1" pivotButton="0" quotePrefix="0" xfId="0">
      <alignment horizontal="general" vertical="bottom"/>
    </xf>
    <xf numFmtId="172" fontId="0"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2F2F2"/>
      <rgbColor rgb="FFFF00FF"/>
      <rgbColor rgb="FF00FFFF"/>
      <rgbColor rgb="FFC00000"/>
      <rgbColor rgb="FF008000"/>
      <rgbColor rgb="FF000080"/>
      <rgbColor rgb="FF808000"/>
      <rgbColor rgb="FF800080"/>
      <rgbColor rgb="FF008080"/>
      <rgbColor rgb="FFB0B0B0"/>
      <rgbColor rgb="FF666666"/>
      <rgbColor rgb="FFE8F1F8"/>
      <rgbColor rgb="FF993366"/>
      <rgbColor rgb="FFFFF2CC"/>
      <rgbColor rgb="FFCCFFFF"/>
      <rgbColor rgb="FF660066"/>
      <rgbColor rgb="FFFF8080"/>
      <rgbColor rgb="FF0563C1"/>
      <rgbColor rgb="FFC5D0DA"/>
      <rgbColor rgb="FF000080"/>
      <rgbColor rgb="FFFF00FF"/>
      <rgbColor rgb="FFF7FAFC"/>
      <rgbColor rgb="FF00FFFF"/>
      <rgbColor rgb="FF800080"/>
      <rgbColor rgb="FF800000"/>
      <rgbColor rgb="FF008080"/>
      <rgbColor rgb="FF0000FF"/>
      <rgbColor rgb="FF00CCFF"/>
      <rgbColor rgb="FFE7F3FF"/>
      <rgbColor rgb="FFC6EFCE"/>
      <rgbColor rgb="FFFFFF99"/>
      <rgbColor rgb="FFD0D0D0"/>
      <rgbColor rgb="FFFCE4D6"/>
      <rgbColor rgb="FFE2EFDA"/>
      <rgbColor rgb="FFFFE8A3"/>
      <rgbColor rgb="FF3366FF"/>
      <rgbColor rgb="FF33CCCC"/>
      <rgbColor rgb="FF99CC00"/>
      <rgbColor rgb="FFFFCC00"/>
      <rgbColor rgb="FFFF9900"/>
      <rgbColor rgb="FFFF6600"/>
      <rgbColor rgb="FF556677"/>
      <rgbColor rgb="FF969696"/>
      <rgbColor rgb="FF0B3D5C"/>
      <rgbColor rgb="FF339966"/>
      <rgbColor rgb="FF003300"/>
      <rgbColor rgb="FF334455"/>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worksheets/sheet1.xml" Id="rId1" /><Relationship Type="http://schemas.openxmlformats.org/officeDocument/2006/relationships/worksheet" Target="worksheets/sheet2.xml" Id="rId2" /><Relationship Type="http://schemas.openxmlformats.org/officeDocument/2006/relationships/worksheet" Target="worksheets/sheet3.xml" Id="rId3" /><Relationship Type="http://schemas.openxmlformats.org/officeDocument/2006/relationships/worksheet" Target="worksheets/sheet4.xml" Id="rId4" /><Relationship Type="http://schemas.openxmlformats.org/officeDocument/2006/relationships/worksheet" Target="worksheets/sheet5.xml" Id="rId5" /><Relationship Type="http://schemas.openxmlformats.org/officeDocument/2006/relationships/worksheet" Target="worksheets/sheet6.xml" Id="rId6" /><Relationship Type="http://schemas.openxmlformats.org/officeDocument/2006/relationships/worksheet" Target="worksheets/sheet7.xml" Id="rId7" /><Relationship Type="http://schemas.openxmlformats.org/officeDocument/2006/relationships/worksheet" Target="worksheets/sheet8.xml" Id="rId8" /><Relationship Type="http://schemas.openxmlformats.org/officeDocument/2006/relationships/worksheet" Target="worksheets/sheet9.xml" Id="rId9" /><Relationship Type="http://schemas.openxmlformats.org/officeDocument/2006/relationships/worksheet" Target="worksheets/sheet10.xml" Id="rId10" /><Relationship Type="http://schemas.openxmlformats.org/officeDocument/2006/relationships/worksheet" Target="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Relationships xmlns="http://schemas.openxmlformats.org/package/2006/relationships"><Relationship Type="http://schemas.openxmlformats.org/officeDocument/2006/relationships/hyperlink" Target="https://www.federalreserve.gov/monetarypolicy/files/FOMC_LongerRunGoals.pdf" TargetMode="External" Id="rId1" /><Relationship Type="http://schemas.openxmlformats.org/officeDocument/2006/relationships/hyperlink" Target="https://www.newyorkfed.org/markets/reference-rates/sofr" TargetMode="External" Id="rId2" /><Relationship Type="http://schemas.openxmlformats.org/officeDocument/2006/relationships/hyperlink" Target="https://ctacquisitions.com/debt-financing/" TargetMode="External" Id="rId3" /><Relationship Type="http://schemas.openxmlformats.org/officeDocument/2006/relationships/hyperlink" Target="https://ibinterviewquestions.com/guides/valuation-investment-banking/lbo-debt-structures-senior-subordinated-mezzanine" TargetMode="External" Id="rId4" /><Relationship Type="http://schemas.openxmlformats.org/officeDocument/2006/relationships/hyperlink" Target="https://ibinterviewquestions.com/guides/debt-capital-markets/term-loan-b-tlb-mechanics-and-why-it-dominates-lev-lending" TargetMode="External" Id="rId5" /><Relationship Type="http://schemas.openxmlformats.org/officeDocument/2006/relationships/hyperlink" Target="https://tradingeconomics.com/united-states/corporate-tax-rate" TargetMode="External" Id="rId6" /><Relationship Type="http://schemas.openxmlformats.org/officeDocument/2006/relationships/hyperlink" Target="https://syncgtm.com/blog/how-to-pay-sales-development-rep" TargetMode="External" Id="rId7" /><Relationship Type="http://schemas.openxmlformats.org/officeDocument/2006/relationships/hyperlink" Target="https://www.sec.gov/Archives/edgar/data/1794515/000179451525000045/zi-20241231.htm" TargetMode="External" Id="rId8" /><Relationship Type="http://schemas.openxmlformats.org/officeDocument/2006/relationships/hyperlink" Target="https://www.11x.ai/products/alice/pricing" TargetMode="External" Id="rId9" /><Relationship Type="http://schemas.openxmlformats.org/officeDocument/2006/relationships/hyperlink" Target="https://raw.githubusercontent.com/vengeanceaiUSC/Rainmaker/cursor/vengeanceaiusclbomodel2-44dc/LBO/output/LBOMODEL2_DRIVER_SOURCES.pdf" TargetMode="External" Id="rId10" /></Relationships>
</file>

<file path=xl/worksheets/_rels/sheet3.xml.rels><Relationships xmlns="http://schemas.openxmlformats.org/package/2006/relationships"><Relationship Type="http://schemas.openxmlformats.org/officeDocument/2006/relationships/hyperlink" Target="https://raw.githubusercontent.com/vengeanceaiUSC/Rainmaker/cursor/vengeanceaiusclbomodel1-44dc/LBO/output/LBOMODEL1_ASSUMPTIONS_LIST.pdf" TargetMode="External" Id="rId1" /><Relationship Type="http://schemas.openxmlformats.org/officeDocument/2006/relationships/hyperlink" Target="https://www.salesforce.com/news/press-releases/2025/05/15/agentforce-flexible-pricing-news/" TargetMode="External" Id="rId2" /><Relationship Type="http://schemas.openxmlformats.org/officeDocument/2006/relationships/hyperlink" Target="https://www.sec.gov/Archives/edgar/data/1794515/000179451525000045/zi-20241231.htm" TargetMode="External" Id="rId3" /><Relationship Type="http://schemas.openxmlformats.org/officeDocument/2006/relationships/hyperlink" Target="https://raw.githubusercontent.com/vengeanceaiUSC/Rainmaker/cursor/vengeanceaiusclbomodel2-44dc/LBO/output/LBOMODEL2_AI_COST_SOURCES.pdf" TargetMode="External" Id="rId4" /><Relationship Type="http://schemas.openxmlformats.org/officeDocument/2006/relationships/hyperlink" Target="https://raw.githubusercontent.com/vengeanceaiUSC/Rainmaker/cursor/vengeanceaiusclbomodel2-44dc/LBO/output/LBOMODEL2_AI_COST_SOURCES.pdf" TargetMode="External" Id="rId5" /><Relationship Type="http://schemas.openxmlformats.org/officeDocument/2006/relationships/hyperlink" Target="https://raw.githubusercontent.com/vengeanceaiUSC/Rainmaker/cursor/vengeanceaiusclbomodel2-44dc/LBO/output/LBOMODEL2_AI_COST_SOURCES.pdf" TargetMode="External" Id="rId6" /><Relationship Type="http://schemas.openxmlformats.org/officeDocument/2006/relationships/hyperlink" Target="https://raw.githubusercontent.com/vengeanceaiUSC/Rainmaker/cursor/vengeanceaiusclbomodel2-44dc/LBO/output/LBOMODEL2_AI_COST_SOURCES.pdf" TargetMode="External" Id="rId7" /></Relationships>
</file>

<file path=xl/worksheets/sheet1.xml><?xml version="1.0" encoding="utf-8"?>
<worksheet xmlns="http://schemas.openxmlformats.org/spreadsheetml/2006/main">
  <sheetPr filterMode="0">
    <outlinePr summaryBelow="1" summaryRight="1"/>
    <pageSetUpPr fitToPage="0"/>
  </sheetPr>
  <dimension ref="A2:K35"/>
  <sheetViews>
    <sheetView showFormulas="0" showGridLines="1" showRowColHeaders="1" showZeros="1" rightToLeft="0" tabSelected="1"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59765625" defaultRowHeight="15" zeroHeight="0" outlineLevelRow="0"/>
  <cols>
    <col width="16" customWidth="1" style="412" min="1" max="1"/>
    <col width="26" customWidth="1" style="412" min="2" max="2"/>
    <col width="11" customWidth="1" style="412" min="3" max="3"/>
    <col width="52" customWidth="1" style="412" min="4" max="4"/>
    <col width="42" customWidth="1" style="412" min="5" max="5"/>
    <col width="44" customWidth="1" style="412" min="6" max="6"/>
    <col width="34" customWidth="1" style="412" min="7" max="7"/>
    <col width="38" customWidth="1" style="412" min="8" max="8"/>
    <col width="48" customWidth="1" style="412" min="9" max="9"/>
  </cols>
  <sheetData>
    <row r="2" ht="18" customHeight="1" s="413">
      <c r="B2" s="414" t="inlineStr">
        <is>
          <t>Assumptions Drivers — Col A Baseline Yes/No. Col E/H = source page link. Cols I/J/K = plain Verbatim Ctrl+F strings. Converse pass: driver must match sourced figure or a justified gap; else driver was reset to the source.</t>
        </is>
      </c>
    </row>
    <row r="3" ht="48" customHeight="1" s="413">
      <c r="B3" s="415" t="inlineStr">
        <is>
          <t>How to verify: click Source (E) → open page → copy Verbatim from I/J/K → Ctrl+F → paste. Overpessimism fix: rev +5% (mature CAGR; FY24 −2% outlier). S&amp;M +2% Fed restored. S&amp;M $414.1; AI $24.5m; CapEx 8%; ΔNWC=ΔAR(16.2%×[1−10% AI])−ΔDR(39%).</t>
        </is>
      </c>
    </row>
    <row r="4" ht="39.75" customHeight="1" s="413">
      <c r="A4" s="416" t="inlineStr">
        <is>
          <t>Baseline Yes/No</t>
        </is>
      </c>
      <c r="B4" s="417" t="inlineStr">
        <is>
          <t>Driver</t>
        </is>
      </c>
      <c r="C4" s="417" t="inlineStr">
        <is>
          <t>Value</t>
        </is>
      </c>
      <c r="D4" s="417" t="inlineStr">
        <is>
          <t>Why reasonable (model justification)</t>
        </is>
      </c>
      <c r="E4" s="417" t="inlineStr">
        <is>
          <t>Source — ONLY if number appears in EQ (click)</t>
        </is>
      </c>
      <c r="F4" s="418" t="inlineStr">
        <is>
          <t>Source justification (≤30 words): Source says X. Does X go into the math?</t>
        </is>
      </c>
      <c r="G4" s="417" t="inlineStr">
        <is>
          <t>Feeds (click to jump)</t>
        </is>
      </c>
      <c r="H4" s="417" t="inlineStr">
        <is>
          <t>Secondary source (click)</t>
        </is>
      </c>
      <c r="I4" s="419" t="inlineStr">
        <is>
          <t>Verbatim 1 — copy this into Ctrl+F on the source page</t>
        </is>
      </c>
      <c r="J4" s="419" t="inlineStr">
        <is>
          <t>Verbatim 2 — copy this into Ctrl+F on the source page</t>
        </is>
      </c>
      <c r="K4" s="419" t="inlineStr">
        <is>
          <t>Verbatim 3 — copy this into Ctrl+F on the source page</t>
        </is>
      </c>
    </row>
    <row r="5" ht="96" customHeight="1" s="413">
      <c r="A5" s="420" t="inlineStr">
        <is>
          <t>NO</t>
        </is>
      </c>
      <c r="B5" s="421" t="inlineStr">
        <is>
          <t>Revenue growth</t>
        </is>
      </c>
      <c r="C5" s="422" t="n">
        <v>0.05</v>
      </c>
      <c r="D5" s="423" t="inlineStr">
        <is>
          <t>FY24 −2% was the only revenue decline in CY2019–CY2025 (outlier). FY25 recovered +3% ($1,249.5m). Mature CAGR CY2022 $1,098m → CY2025 $1,249.5m ≈ 4.4%, rounded to 5% forward.</t>
        </is>
      </c>
      <c r="E5" s="424">
        <f>HYPERLINK("https://www.sec.gov/Archives/edgar/data/1794515/000179451526000012/zi-20251231.htm","IN EQ: C5=+5% ≈ mature CAGR CY2022→CY2025 (~4.4%). FY24 −2% = outlier; FY25 +3% recovery.")</f>
        <v/>
      </c>
      <c r="F5" s="421" t="inlineStr">
        <is>
          <t>FY24 −2% was an outlier (only decline). FY25 rose 3% to $1,249.5m. CAGR 2022–2025 ≈4.4%; we use 5% forward.</t>
        </is>
      </c>
      <c r="G5" s="421" t="inlineStr">
        <is>
          <t>Go to AI_Operating!D5 (Revenue)</t>
        </is>
      </c>
      <c r="H5" s="424">
        <f>HYPERLINK("https://markets.financialcontent.com/stocks/article/bizwire-2025-2-25-zoominfo-announces-fourth-quarter-and-full-year-2024-financial-results","FY24 −2% outlier: decrease of 2% YoY")</f>
        <v/>
      </c>
      <c r="I5" s="425" t="inlineStr">
        <is>
          <t>Ctrl+F: increase of $35.2 million, or 3%</t>
        </is>
      </c>
      <c r="J5" s="425" t="inlineStr">
        <is>
          <t>Ctrl+F: revenue of $1,249.5 million</t>
        </is>
      </c>
      <c r="K5" s="425" t="inlineStr">
        <is>
          <t>Ctrl+F: a decrease of 2% year-over-year (FY24 outlier)</t>
        </is>
      </c>
    </row>
    <row r="6" ht="96" customHeight="1" s="413">
      <c r="A6" s="420" t="inlineStr">
        <is>
          <t>NO</t>
        </is>
      </c>
      <c r="B6" s="426" t="inlineStr">
        <is>
          <t>Gross margin</t>
        </is>
      </c>
      <c r="C6" s="422" t="n">
        <v>0.8</v>
      </c>
      <c r="D6" s="423" t="inlineStr">
        <is>
          <t>Uses the 2025 software median gross margin of 80%. ZoomInfo’s own GAAP GM is higher (~84%), but this model uses the cited Aleph median.</t>
        </is>
      </c>
      <c r="E6" s="424">
        <f>HYPERLINK("https://www.getaleph.com/answers/saas-gross-margin-2026","IN EQ: software median GM=80% → C6=0.80 (Aleph × Benchmarkit)")</f>
        <v/>
      </c>
      <c r="F6" s="421" t="inlineStr">
        <is>
          <t>Aleph says the 2025 software median gross margin is 80%. We use that 80% in the COGS math.</t>
        </is>
      </c>
      <c r="G6" s="421" t="inlineStr">
        <is>
          <t>Go to AI_Operating!D6 (COGS)</t>
        </is>
      </c>
      <c r="H6" s="427" t="n"/>
      <c r="I6" s="428" t="inlineStr">
        <is>
          <t>Ctrl+F: The 2025 median software gross margin is 80%</t>
        </is>
      </c>
      <c r="J6" s="429" t="n"/>
      <c r="K6" s="430" t="inlineStr">
        <is>
          <t>ZI GAAP GM ~84% not used — Aleph median is the driver</t>
        </is>
      </c>
    </row>
    <row r="7" ht="96" customHeight="1" s="413">
      <c r="A7" s="420" t="inlineStr">
        <is>
          <t>NO</t>
        </is>
      </c>
      <c r="B7" s="421" t="inlineStr">
        <is>
          <t>Sales payroll cut (Y1)</t>
        </is>
      </c>
      <c r="C7" s="422" t="n">
        <v>0.18</v>
      </c>
      <c r="D7" s="423" t="inlineStr">
        <is>
          <t>Matches published US B2B SaaS net SDR headcount decline of 18% YoY.</t>
        </is>
      </c>
      <c r="E7" s="424">
        <f>HYPERLINK("https://www.digitalapplied.com/blog/ai-sdr-statistics-2026-outbound-sales-data-points","IN EQ: C7=18% = US B2B SaaS net SDR headcount down 18% YoY")</f>
        <v/>
      </c>
      <c r="F7" s="421" t="inlineStr">
        <is>
          <t>Digital Applied says U.S. B2B SaaS SDR headcount fell 18% YoY. We use that 18% as the Year 1 payroll cut.</t>
        </is>
      </c>
      <c r="G7" s="421" t="inlineStr">
        <is>
          <t>Go to AI_Operating!D7 (Sales payroll)</t>
        </is>
      </c>
      <c r="H7" s="427" t="n"/>
      <c r="I7" s="428" t="inlineStr">
        <is>
          <t>Ctrl+F: down 18% YoY</t>
        </is>
      </c>
      <c r="J7" s="429" t="n"/>
      <c r="K7" s="429" t="n"/>
    </row>
    <row r="8" ht="96" customHeight="1" s="413">
      <c r="A8" s="420" t="inlineStr">
        <is>
          <t>NO</t>
        </is>
      </c>
      <c r="B8" s="426" t="inlineStr">
        <is>
          <t>Variable commission cut</t>
        </is>
      </c>
      <c r="C8" s="422" t="n">
        <v>0.18</v>
      </c>
      <c r="D8" s="423" t="inlineStr">
        <is>
          <t>Was an unsourced 20% cut. Now 18% to match the same SDR headcount decline used for payroll.</t>
        </is>
      </c>
      <c r="E8" s="424">
        <f>HYPERLINK("https://www.digitalapplied.com/blog/ai-sdr-statistics-2026-outbound-sales-data-points","IN EQ: C8=18% cut = same SDR HC down 18% YoY (Digital Applied)")</f>
        <v/>
      </c>
      <c r="F8" s="421" t="inlineStr">
        <is>
          <t>Digital Applied says SDR headcount fell 18% YoY. We use that same 18% as the commission cut.</t>
        </is>
      </c>
      <c r="G8" s="421" t="inlineStr">
        <is>
          <t>Go to AI_Operating!D8 (Commissions)</t>
        </is>
      </c>
      <c r="H8" s="424">
        <f>HYPERLINK("https://syncgtm.com/blog/how-to-pay-sales-development-rep","Pay mix context only: 70/30 base/variable")</f>
        <v/>
      </c>
      <c r="I8" s="425" t="inlineStr">
        <is>
          <t>Ctrl+F: down 18% YoY</t>
        </is>
      </c>
      <c r="J8" s="425" t="inlineStr">
        <is>
          <t>Ctrl+F: 70/30 base/variable split</t>
        </is>
      </c>
      <c r="K8" s="425" t="inlineStr">
        <is>
          <t>Prior 20% cut removed — no source equaled 20%</t>
        </is>
      </c>
    </row>
    <row r="9" ht="96" customHeight="1" s="413">
      <c r="A9" s="420" t="inlineStr">
        <is>
          <t>NO</t>
        </is>
      </c>
      <c r="B9" s="421" t="inlineStr">
        <is>
          <t>AI infrastructure ($m)</t>
        </is>
      </c>
      <c r="C9" s="431" t="n">
        <v>24.5</v>
      </c>
      <c r="D9" s="423" t="inlineStr">
        <is>
          <t>AI $24.5m = 18%×1,513 roles × $5–10k/mo × 12, midpoint. Role share now uses the same sourced 18% SDR decline (was unsourced 25%).</t>
        </is>
      </c>
      <c r="E9" s="424">
        <f>HYPERLINK("https://www.whitespacesolutions.ai/content/ai-sdr-pricing-guide-2026","IN EQ: $5k/$10k/mo + 1,513 HC; roles=18% (same 18% as C7) → $24.5m")</f>
        <v/>
      </c>
      <c r="F9" s="421" t="inlineStr">
        <is>
          <t>White Space/Miniloop say ~$5k–$10k+/mo. ZoomInfo’s 10-K says 1,513 S&amp;M staff. Roles use the sourced 18% (not 25%). Those build the $24.5m cost.</t>
        </is>
      </c>
      <c r="G9" s="421" t="inlineStr">
        <is>
          <t>Go to AI_Operating!D10 (AI infrastructure)</t>
        </is>
      </c>
      <c r="H9" s="424">
        <f>HYPERLINK("https://www.miniloop.ai/blog/11x-pricing","Miniloop Enterprise $10,000+")</f>
        <v/>
      </c>
      <c r="I9" s="428" t="inlineStr">
        <is>
          <t>Ctrl+F: $5,000-10,000+</t>
        </is>
      </c>
      <c r="J9" s="428" t="inlineStr">
        <is>
          <t>Ctrl+F: $10,000-$15,000+</t>
        </is>
      </c>
      <c r="K9" s="428" t="inlineStr">
        <is>
          <t>Ctrl+F: 1,513 in sales and marketing</t>
        </is>
      </c>
    </row>
    <row r="10" ht="96" customHeight="1" s="413">
      <c r="A10" s="420" t="inlineStr">
        <is>
          <t>NO</t>
        </is>
      </c>
      <c r="B10" s="426" t="inlineStr">
        <is>
          <t>S&amp;M expense growth Y2+</t>
        </is>
      </c>
      <c r="C10" s="422" t="n">
        <v>0.02</v>
      </c>
      <c r="D10" s="423" t="inlineStr">
        <is>
          <t>After the Y1 headcount cut, AI keeps S&amp;M growing only at ~inflation (2%), not with revenue. Restored now that forward revenue is positive again.</t>
        </is>
      </c>
      <c r="E10" s="424">
        <f>HYPERLINK("https://www.federalreserve.gov/faqs/economy_14400.htm","IN EQ: C10=2% = Fed longer-run inflation goal of 2 percent")</f>
        <v/>
      </c>
      <c r="F10" s="421" t="inlineStr">
        <is>
          <t>The Fed says longer-run inflation is 2%. We use that 2% to grow S&amp;M costs after Year 1.</t>
        </is>
      </c>
      <c r="G10" s="421" t="inlineStr">
        <is>
          <t>Go to AI_Operating!E7 (payroll Y2+)</t>
        </is>
      </c>
      <c r="H10" s="432" t="inlineStr">
        <is>
          <t>FOMC Statement on Longer-Run Goals (PDF)</t>
        </is>
      </c>
      <c r="I10" s="428" t="inlineStr">
        <is>
          <t>Ctrl+F: inflation of 2 percent over the longer run</t>
        </is>
      </c>
      <c r="J10" s="429" t="n"/>
      <c r="K10" s="430" t="inlineStr">
        <is>
          <t>Valid with +5% revenue (row 5); not used when rev was −2%</t>
        </is>
      </c>
    </row>
    <row r="11" ht="96" customHeight="1" s="413">
      <c r="A11" s="420" t="inlineStr">
        <is>
          <t>NO</t>
        </is>
      </c>
      <c r="B11" s="421" t="inlineStr">
        <is>
          <t>G&amp;A % of revenue</t>
        </is>
      </c>
      <c r="C11" s="422" t="n">
        <v>0.18</v>
      </c>
      <c r="D11" s="423" t="inlineStr">
        <is>
          <t>Post-LBO target at the public SaaS median (18%). ZoomInfo’s own FY24 G&amp;A is higher (~24%) and is not used.</t>
        </is>
      </c>
      <c r="E11" s="424">
        <f>HYPERLINK("https://blossomstreetventures.medium.com/what-should-saas-spend-on-cogs-s-m-r-d-and-g-a-the-data-from-57-public-cos-8e88eabe99ca","IN EQ: C11=18% = Blossom Street 2025 public SaaS median G&amp;A")</f>
        <v/>
      </c>
      <c r="F11" s="421" t="inlineStr">
        <is>
          <t>Blossom Street says 2025 public SaaS median G&amp;A is 18% of sales. We use that 18% in the G&amp;A math.</t>
        </is>
      </c>
      <c r="G11" s="421" t="inlineStr">
        <is>
          <t>Go to AI_Operating!D12 (G&amp;A)</t>
        </is>
      </c>
      <c r="H11" s="424">
        <f>HYPERLINK("https://www.blossomstreetventures.com/saas-metric/2025-annual-percent-of-revenue","Table MEDIAN G&amp;A as % of Revenue = 18%")</f>
        <v/>
      </c>
      <c r="I11" s="428" t="inlineStr">
        <is>
          <t>Ctrl+F: G&amp;A was 18%</t>
        </is>
      </c>
      <c r="J11" s="428" t="inlineStr">
        <is>
          <t>Ctrl+F: MEDIAN</t>
        </is>
      </c>
      <c r="K11" s="430" t="inlineStr">
        <is>
          <t>ZI own ~24% G&amp;A not used — median is the driver</t>
        </is>
      </c>
    </row>
    <row r="12" ht="96" customHeight="1" s="413">
      <c r="A12" s="420" t="inlineStr">
        <is>
          <t>NO</t>
        </is>
      </c>
      <c r="B12" s="426" t="inlineStr">
        <is>
          <t>CapEx reduction vs base</t>
        </is>
      </c>
      <c r="C12" s="422" t="n">
        <v>0.08</v>
      </c>
      <c r="D12" s="423" t="inlineStr">
        <is>
          <t>SaaS CapEx is primarily laptops/office gear (SaaSDB). Replacing 18% of S&amp;M SDRs with AI removes that gear. S&amp;M is 1,513/3,508≈43% of ZI HC → CapEx cut ≈18%×43%≈8%.</t>
        </is>
      </c>
      <c r="E12" s="433">
        <f>HYPERLINK("https://saasdb.app/learn/financials/fcf-margin/","IN EQ: C12=8% ≈ 18% SDR cut × S&amp;M 43% of HC; SaaS CapEx primarily laptops/office gear")</f>
        <v/>
      </c>
      <c r="F12" s="421" t="inlineStr">
        <is>
          <t>SaaSDB says SaaS CapEx is mainly laptops and office gear. 18%×(1,513/3,508 S&amp;M share)≈8% CapEx cut when those SDRs become AI.</t>
        </is>
      </c>
      <c r="G12" s="421" t="inlineStr">
        <is>
          <t>Go to AI_Operating!D19 (CapEx)</t>
        </is>
      </c>
      <c r="H12" s="434">
        <f>HYPERLINK("https://www.sec.gov/Archives/edgar/data/1794515/000179451525000045/zi-20241231.htm","ZI 10-K: 1,513 S&amp;M / 3,508 employees")</f>
        <v/>
      </c>
      <c r="I12" s="425" t="inlineStr">
        <is>
          <t>Ctrl+F: primarily laptops, office equipment</t>
        </is>
      </c>
      <c r="J12" s="430" t="inlineStr">
        <is>
          <t>Ctrl+F: 1,513 in sales and marketing</t>
        </is>
      </c>
      <c r="K12" s="430" t="inlineStr">
        <is>
          <t>Ctrl+F: had 3,508 employees</t>
        </is>
      </c>
    </row>
    <row r="13" ht="96" customHeight="1" s="413">
      <c r="A13" s="420" t="inlineStr">
        <is>
          <t>NO</t>
        </is>
      </c>
      <c r="B13" s="421" t="inlineStr">
        <is>
          <t>AR / receivables improvement (DSO)</t>
        </is>
      </c>
      <c r="C13" s="422" t="n">
        <v>0.1</v>
      </c>
      <c r="D13" s="423" t="inlineStr">
        <is>
          <t>6/59 DSO days ≈10% faster collections → ~10% lower AR if sales steady. That frees cash trapped in AR; it is NOT the same as a 10% cut to total NWC (NWC also reflects deferred revenue and other liabilities).</t>
        </is>
      </c>
      <c r="E13" s="433">
        <f>HYPERLINK("https://getfairview.com/blog/working-capital-management-saas","IN EQ: C13=10% cuts ΔAR only (6/59 DSO). NWC% change ≠10% once deferred revenue is netted.")</f>
        <v/>
      </c>
      <c r="F13" s="421" t="inlineStr">
        <is>
          <t>6/59≈10% DSO cut → ~10% less AR. That frees AR cash. It is not a 10% cut to total NWC (deferred revenue still nets in).</t>
        </is>
      </c>
      <c r="G13" s="421" t="inlineStr">
        <is>
          <t>Go to AI_Operating!D20 (ΔNWC)</t>
        </is>
      </c>
      <c r="H13" s="434">
        <f>HYPERLINK("https://globalpayex.com/resources/blogs/fortune-500-cfo-ar-automation-dso-reduction/","Global PayEx: DSO reduced by 6 days (AR automation)")</f>
        <v/>
      </c>
      <c r="I13" s="425" t="inlineStr">
        <is>
          <t>Ctrl+F: Median B2B SaaS DSO is 59 days</t>
        </is>
      </c>
      <c r="J13" s="430" t="inlineStr">
        <is>
          <t>Ctrl+F: reduced DSO by 6 days</t>
        </is>
      </c>
      <c r="K13" s="430" t="inlineStr">
        <is>
          <t>20–40% headlines often measure overdue/FTE — not calendar DSO; we keep 10%</t>
        </is>
      </c>
    </row>
    <row r="14" ht="96" customHeight="1" s="413">
      <c r="A14" s="420" t="inlineStr">
        <is>
          <t>NO</t>
        </is>
      </c>
      <c r="B14" s="426" t="inlineStr">
        <is>
          <t>SOFR</t>
        </is>
      </c>
      <c r="C14" s="422" t="n">
        <v>0.043</v>
      </c>
      <c r="D14" s="423" t="inlineStr">
        <is>
          <t>Uses the sourced 2024 calendar-year lowest SOFR print of 4.30%.</t>
        </is>
      </c>
      <c r="E14" s="424">
        <f>HYPERLINK("https://www.global-rates.com/en/interest-rates/sofr/historical/2024/","IN EQ: C14=4.30% = SOFR 2024 calendar-year Lowest")</f>
        <v/>
      </c>
      <c r="F14" s="421" t="inlineStr">
        <is>
          <t>Global-Rates shows the lowest 2024 SOFR print was 4.30%. We use that 4.30% in the interest math.</t>
        </is>
      </c>
      <c r="G14" s="421" t="inlineStr">
        <is>
          <t>Go to Debt_Sweep_AI!C12 (TLA rate uses SOFR)</t>
        </is>
      </c>
      <c r="H14" s="432" t="inlineStr">
        <is>
          <t>NY Fed SOFR publisher</t>
        </is>
      </c>
      <c r="I14" s="428" t="inlineStr">
        <is>
          <t>Ctrl+F: 4.30</t>
        </is>
      </c>
      <c r="J14" s="429" t="n"/>
      <c r="K14" s="430" t="inlineStr">
        <is>
          <t>Uses Lowest print (sourced), not Average</t>
        </is>
      </c>
    </row>
    <row r="15" ht="96" customHeight="1" s="413">
      <c r="A15" s="420" t="inlineStr">
        <is>
          <t>NO</t>
        </is>
      </c>
      <c r="B15" s="421" t="inlineStr">
        <is>
          <t>Term Loan A spread</t>
        </is>
      </c>
      <c r="C15" s="422" t="n">
        <v>0.04</v>
      </c>
      <c r="D15" s="423" t="inlineStr">
        <is>
          <t>Floor of the sourced senior Term Loan A SOFR+400–500 bps band.</t>
        </is>
      </c>
      <c r="E15" s="424">
        <f>HYPERLINK("https://ctacquisitions.com/acquisition-financing/","IN EQ: C15=+400bps = floor of senior TLA SOFR+400-500 bps")</f>
        <v/>
      </c>
      <c r="F15" s="421" t="inlineStr">
        <is>
          <t>CT Acquisitions lists senior Term Loan A at SOFR + 400–500 bps. We use +400 bps from that range in the rate math.</t>
        </is>
      </c>
      <c r="G15" s="421" t="inlineStr">
        <is>
          <t>Go to Assumptions_Drivers!C27 (TLA rate)</t>
        </is>
      </c>
      <c r="H15" s="432" t="inlineStr">
        <is>
          <t>Also: senior debt SOFR plus 400 to 500</t>
        </is>
      </c>
      <c r="I15" s="428" t="inlineStr">
        <is>
          <t>Ctrl+F: SOFR + 400-500 bps</t>
        </is>
      </c>
      <c r="J15" s="429" t="n"/>
      <c r="K15" s="429" t="n"/>
    </row>
    <row r="16" ht="96" customHeight="1" s="413">
      <c r="A16" s="420" t="inlineStr">
        <is>
          <t>NO</t>
        </is>
      </c>
      <c r="B16" s="426" t="inlineStr">
        <is>
          <t>Term Loan B spread</t>
        </is>
      </c>
      <c r="C16" s="422" t="n">
        <v>0.05</v>
      </c>
      <c r="D16" s="423" t="inlineStr">
        <is>
          <t>Upper bound of the sourced TLB SOFR+300–500 bps band (conservative).</t>
        </is>
      </c>
      <c r="E16" s="424">
        <f>HYPERLINK("https://ibinterviewquestions.com/guides/valuation-investment-banking/lbo-debt-structures-senior-subordinated-mezzanine","IN EQ: TLB SOFR+300-500 bps → C16=+500bps = upper bound")</f>
        <v/>
      </c>
      <c r="F16" s="421" t="inlineStr">
        <is>
          <t>LBO debt guides list Term Loan B at SOFR + 300–500 bps. We use +500 bps from that range in the rate math.</t>
        </is>
      </c>
      <c r="G16" s="421" t="inlineStr">
        <is>
          <t>Go to Assumptions_Drivers!C28 (TLB rate)</t>
        </is>
      </c>
      <c r="H16" s="432" t="inlineStr">
        <is>
          <t>Table: Term Loan B | SOFR + 300-500 bps | 1% annual</t>
        </is>
      </c>
      <c r="I16" s="428" t="inlineStr">
        <is>
          <t>Ctrl+F: SOFR + 300-500 basis points</t>
        </is>
      </c>
      <c r="J16" s="429" t="n"/>
      <c r="K16" s="429" t="n"/>
    </row>
    <row r="17" ht="96" customHeight="1" s="413">
      <c r="A17" s="420" t="inlineStr">
        <is>
          <t>NO</t>
        </is>
      </c>
      <c r="B17" s="421" t="inlineStr">
        <is>
          <t>Mandatory amortization</t>
        </is>
      </c>
      <c r="C17" s="422" t="n">
        <v>0.01</v>
      </c>
      <c r="D17" s="423" t="inlineStr">
        <is>
          <t>Standard ~1%/year TLB amortization.</t>
        </is>
      </c>
      <c r="E17" s="424">
        <f>HYPERLINK("https://clearvaluelending.com/glossary/term-loan-b","IN EQ: ~1%/yr TLB amort → C17=1%")</f>
        <v/>
      </c>
      <c r="F17" s="421" t="inlineStr">
        <is>
          <t>ClearValue says Term Loan B amortizes about 1% per year. We use that 1% in the debt paydown math.</t>
        </is>
      </c>
      <c r="G17" s="421" t="inlineStr">
        <is>
          <t>Go to Debt_Sweep_AI!D5 (Mandatory 1%)</t>
        </is>
      </c>
      <c r="H17" s="432" t="inlineStr">
        <is>
          <t>ClearValue: "minimal amortization (1% annually)"</t>
        </is>
      </c>
      <c r="I17" s="428" t="inlineStr">
        <is>
          <t>Ctrl+F: minimal amortization (1% annually)</t>
        </is>
      </c>
      <c r="J17" s="429" t="n"/>
      <c r="K17" s="429" t="n"/>
    </row>
    <row r="18" ht="96" customHeight="1" s="413">
      <c r="A18" s="420" t="inlineStr">
        <is>
          <t>NO</t>
        </is>
      </c>
      <c r="B18" s="426" t="inlineStr">
        <is>
          <t>Cash sweep %</t>
        </is>
      </c>
      <c r="C18" s="422" t="n">
        <v>1</v>
      </c>
      <c r="D18" s="423" t="inlineStr">
        <is>
          <t>Uses the upper end of the sourced 50–100% excess-cash sweep range.</t>
        </is>
      </c>
      <c r="E18" s="424">
        <f>HYPERLINK("https://ryanoconnellfinance.com/lbo-model-fundamentals/","IN EQ: C18=100% = upper bound of ECF sweep 50-100%")</f>
        <v/>
      </c>
      <c r="F18" s="421" t="inlineStr">
        <is>
          <t>Ryan O’Connell says excess-cash sweeps are often 50–100% and models often use 100%. We use that 100% in the sweep math.</t>
        </is>
      </c>
      <c r="G18" s="421" t="inlineStr">
        <is>
          <t>Go to Debt_Sweep_AI!E5 (Total paydown)</t>
        </is>
      </c>
      <c r="H18" s="424">
        <f>HYPERLINK("https://ryanoconnellfinance.com/lbo-model-fundamentals/","Also: typically modeled at 100%")</f>
        <v/>
      </c>
      <c r="I18" s="428" t="inlineStr">
        <is>
          <t>Ctrl+F: 50-100% of annual excess free cash flow</t>
        </is>
      </c>
      <c r="J18" s="428" t="inlineStr">
        <is>
          <t>Ctrl+F: typically modeled at 100%</t>
        </is>
      </c>
      <c r="K18" s="429" t="n"/>
    </row>
    <row r="19" ht="96" customHeight="1" s="413">
      <c r="A19" s="420" t="inlineStr">
        <is>
          <t>NO</t>
        </is>
      </c>
      <c r="B19" s="421" t="inlineStr">
        <is>
          <t>Tax rate</t>
        </is>
      </c>
      <c r="C19" s="422" t="n">
        <v>0.21</v>
      </c>
      <c r="D19" s="423" t="inlineStr">
        <is>
          <t>Matches the U.S. federal corporate tax rate of 21%.</t>
        </is>
      </c>
      <c r="E19" s="424">
        <f>HYPERLINK("https://taxsummaries.pwc.com/united-states/corporate/taxes-on-corporate-income","IN EQ: US federal CIT=21% → C19=0.21 (PwC)")</f>
        <v/>
      </c>
      <c r="F19" s="421" t="inlineStr">
        <is>
          <t>PwC says the U.S. federal corporate tax rate is a flat 21%. We use that 21% in the tax math.</t>
        </is>
      </c>
      <c r="G19" s="421" t="inlineStr">
        <is>
          <t>Go to AI_Operating!D18 (Net income)</t>
        </is>
      </c>
      <c r="H19" s="432" t="inlineStr">
        <is>
          <t>Trading Economics: 21 percent</t>
        </is>
      </c>
      <c r="I19" s="428" t="inlineStr">
        <is>
          <t>Ctrl+F: flat rate of 21%</t>
        </is>
      </c>
      <c r="J19" s="429" t="n"/>
      <c r="K19" s="429" t="n"/>
    </row>
    <row r="20" ht="96" customHeight="1" s="413">
      <c r="A20" s="420" t="inlineStr">
        <is>
          <t>NO</t>
        </is>
      </c>
      <c r="B20" s="426" t="inlineStr">
        <is>
          <t>Exit EV/EBITDA multiple</t>
        </is>
      </c>
      <c r="C20" s="431" t="n">
        <v>12.9</v>
      </c>
      <c r="D20" s="423" t="inlineStr">
        <is>
          <t>Matches Aventis private SaaS EV/EBITDA first quartile of 12.9x.</t>
        </is>
      </c>
      <c r="E20" s="424">
        <f>HYPERLINK("https://aventis-advisors.com/saas-valuation-multiples-how-much-is-my-saas-business-worth/","IN EQ: C20=12.9x = Aventis private SaaS EV/EBITDA 1st quartile")</f>
        <v/>
      </c>
      <c r="F20" s="421" t="inlineStr">
        <is>
          <t>Aventis shows private SaaS EV/EBITDA first quartile at 12.9x. We use that 12.9x as the exit multiple.</t>
        </is>
      </c>
      <c r="G20" s="421" t="inlineStr">
        <is>
          <t>Go to LBO!D17 (Exit multiple)</t>
        </is>
      </c>
      <c r="H20" s="427" t="n"/>
      <c r="I20" s="428" t="inlineStr">
        <is>
          <t>Ctrl+F: 12.9x</t>
        </is>
      </c>
      <c r="J20" s="429" t="n"/>
      <c r="K20" s="429" t="n"/>
    </row>
    <row r="21" ht="96" customHeight="1" s="413">
      <c r="A21" s="428" t="inlineStr">
        <is>
          <t>YES</t>
        </is>
      </c>
      <c r="B21" s="421" t="inlineStr">
        <is>
          <t>S&amp;M baseline ($m)</t>
        </is>
      </c>
      <c r="C21" s="435" t="n">
        <v>414.1</v>
      </c>
      <c r="D21" s="423" t="inlineStr">
        <is>
          <t>Was a rounded $425m (~35% of sales). Now the exact ZoomInfo FY24 S&amp;M of $414.1m.</t>
        </is>
      </c>
      <c r="E21" s="424">
        <f>HYPERLINK("https://markets.financialcontent.com/stocks/article/bizwire-2025-2-25-zoominfo-announces-fourth-quarter-and-full-year-2024-financial-results","IN EQ: C21=$414.1m = ZI FY24 Sales and marketing")</f>
        <v/>
      </c>
      <c r="F21" s="421" t="inlineStr">
        <is>
          <t>ZoomInfo says FY24 S&amp;M was $414.1m. We use that $414.1m as the S&amp;M baseline in the math.</t>
        </is>
      </c>
      <c r="G21" s="421" t="inlineStr">
        <is>
          <t>Go to AI_Operating!C9 (S&amp;M human FY24A)</t>
        </is>
      </c>
      <c r="H21" s="424">
        <f>HYPERLINK("https://www.sec.gov/Archives/edgar/data/1794515/000179451525000045/zi-20241231.htm","SEC 10-K")</f>
        <v/>
      </c>
      <c r="I21" s="428" t="inlineStr">
        <is>
          <t>Ctrl+F: 414.1</t>
        </is>
      </c>
      <c r="J21" s="428" t="inlineStr">
        <is>
          <t>Ctrl+F: $414.1</t>
        </is>
      </c>
      <c r="K21" s="428" t="inlineStr">
        <is>
          <t>Ctrl+F: Sales and marketing</t>
        </is>
      </c>
    </row>
    <row r="22" ht="96" customHeight="1" s="413">
      <c r="A22" s="428" t="inlineStr">
        <is>
          <t>YES</t>
        </is>
      </c>
      <c r="B22" s="426" t="inlineStr">
        <is>
          <t>Payroll baseline ($m)</t>
        </is>
      </c>
      <c r="C22" s="435" t="n">
        <v>289.9</v>
      </c>
      <c r="D22" s="423" t="inlineStr">
        <is>
          <t>Was 75% of $425m. Now 70% of $414.1m = $289.9m to match SyncGTM’s ~70% base mix.</t>
        </is>
      </c>
      <c r="E22" s="424">
        <f>HYPERLINK("https://syncgtm.com/blog/how-to-pay-sales-development-rep","IN EQ: ~70% base × $414.1m S&amp;M → C22=$289.9m")</f>
        <v/>
      </c>
      <c r="F22" s="421" t="inlineStr">
        <is>
          <t>SyncGTM says pay is about 70% base. We use 70% of $414.1m = $289.9m as payroll in the math.</t>
        </is>
      </c>
      <c r="G22" s="421" t="inlineStr">
        <is>
          <t>Go to AI_Operating!C7 (Payroll FY24A)</t>
        </is>
      </c>
      <c r="H22" s="427" t="n"/>
      <c r="I22" s="428" t="inlineStr">
        <is>
          <t>Ctrl+F: 70/30 base/variable split</t>
        </is>
      </c>
      <c r="J22" s="428" t="inlineStr">
        <is>
          <t>Ctrl+F: 414.1 (on ZI results for S&amp;M pool)</t>
        </is>
      </c>
      <c r="K22" s="430" t="inlineStr">
        <is>
          <t>$289.9m = 70% × $414.1m</t>
        </is>
      </c>
    </row>
    <row r="23" ht="96" customHeight="1" s="413">
      <c r="A23" s="428" t="inlineStr">
        <is>
          <t>YES</t>
        </is>
      </c>
      <c r="B23" s="421" t="inlineStr">
        <is>
          <t>Commission baseline ($m)</t>
        </is>
      </c>
      <c r="C23" s="435" t="n">
        <v>124.2</v>
      </c>
      <c r="D23" s="423" t="inlineStr">
        <is>
          <t>Was 25% of $425m. Now 30% of $414.1m = $124.2m to match SyncGTM’s ~30% variable mix.</t>
        </is>
      </c>
      <c r="E23" s="424">
        <f>HYPERLINK("https://syncgtm.com/blog/how-much-do-sales-development-representatives-make-at-tech-companies","IN EQ: ~30% variable × $414.1m → C23=$124.2m")</f>
        <v/>
      </c>
      <c r="F23" s="421" t="inlineStr">
        <is>
          <t>SyncGTM says commission is about 30–35% of pay. We use 30% of $414.1m = $124.2m in the math.</t>
        </is>
      </c>
      <c r="G23" s="421" t="inlineStr">
        <is>
          <t>Go to AI_Operating!C8 (Commissions FY24A)</t>
        </is>
      </c>
      <c r="H23" s="434">
        <f>HYPERLINK("https://syncgtm.com/blog/how-to-pay-sales-development-rep","70/30 pay article")</f>
        <v/>
      </c>
      <c r="I23" s="428" t="inlineStr">
        <is>
          <t>Ctrl+F: 30–35% of total pay</t>
        </is>
      </c>
      <c r="J23" s="428" t="inlineStr">
        <is>
          <t>Ctrl+F: 70/30 base/variable split</t>
        </is>
      </c>
      <c r="K23" s="430" t="inlineStr">
        <is>
          <t>$124.2m = 30% × $414.1m</t>
        </is>
      </c>
    </row>
    <row r="24" ht="96" customHeight="1" s="413">
      <c r="A24" s="420" t="inlineStr">
        <is>
          <t>NO</t>
        </is>
      </c>
      <c r="B24" s="426" t="inlineStr">
        <is>
          <t>CapEx base % of rev</t>
        </is>
      </c>
      <c r="C24" s="422" t="n">
        <v>0.02</v>
      </c>
      <c r="D24" s="423" t="inlineStr">
        <is>
          <t>Midpoint of the sourced pure-play SaaS CapEx band of 1–3% of revenue.</t>
        </is>
      </c>
      <c r="E24" s="424">
        <f>HYPERLINK("https://saasdb.app/learn/financials/fcf-margin/","IN EQ band: SaaS CapEx 1–3% of rev → C24=2% midpoint")</f>
        <v/>
      </c>
      <c r="F24" s="421" t="inlineStr">
        <is>
          <t>SaaSDB says pure-play SaaS CapEx is often 1–3% of sales. We use 2%, the midpoint of that band, in the CapEx math.</t>
        </is>
      </c>
      <c r="G24" s="421" t="inlineStr">
        <is>
          <t>Go to AI_Operating!D19 (CapEx)</t>
        </is>
      </c>
      <c r="H24" s="427" t="n"/>
      <c r="I24" s="428" t="inlineStr">
        <is>
          <t>Ctrl+F: CapEx of 1</t>
        </is>
      </c>
      <c r="J24" s="428" t="inlineStr">
        <is>
          <t>Tip: page uses en-dash 1–3%; or Ctrl+F: Most pure-play SaaS companies report CapEx of</t>
        </is>
      </c>
      <c r="K24" s="428" t="inlineStr">
        <is>
          <t>2%: MODEL midpoint of 1–3% band</t>
        </is>
      </c>
    </row>
    <row r="25" ht="96" customHeight="1" s="413">
      <c r="A25" s="420" t="inlineStr">
        <is>
          <t>NO</t>
        </is>
      </c>
      <c r="B25" s="421" t="inlineStr">
        <is>
          <t>AR intensity (DSO÷365)</t>
        </is>
      </c>
      <c r="C25" s="422" t="n">
        <v>0.161643835616438</v>
      </c>
      <c r="D25" s="423" t="inlineStr">
        <is>
          <t>AR ≈ (DSO/365)×Revenue. Fairview median B2B SaaS DSO is 59 days → 59/365≈16.2% of Δrev builds AR if DSO is unchanged. This is the gross AR leg — not net NWC.</t>
        </is>
      </c>
      <c r="E25" s="433">
        <f>HYPERLINK("https://getfairview.com/blog/working-capital-management-saas","IN EQ: C25=59/365≈16.2% AR intensity; ΔAR=ΔRev×C25 before the 10% AI cut on row 13")</f>
        <v/>
      </c>
      <c r="F25" s="421" t="inlineStr">
        <is>
          <t>Fairview median DSO is 59 days. AR intensity = 59/365≈16.2% of Δrevenue. That is the AR leg of ΔNWC, not net NWC.</t>
        </is>
      </c>
      <c r="G25" s="421" t="inlineStr">
        <is>
          <t>Go to AI_Operating!D20 (ΔNWC)</t>
        </is>
      </c>
      <c r="H25" s="434">
        <f>HYPERLINK("https://www.sec.gov/Archives/edgar/data/1794515/000179451525000045/zi-20241231.htm","ZI FY24 AR $246.1m (~20% of sales; we use median DSO 16.2%)")</f>
        <v/>
      </c>
      <c r="I25" s="425" t="inlineStr">
        <is>
          <t>Ctrl+F: Median B2B SaaS DSO is 59 days</t>
        </is>
      </c>
      <c r="J25" s="430" t="inlineStr">
        <is>
          <t>Ctrl+F: Accounts receivable</t>
        </is>
      </c>
      <c r="K25" s="430" t="inlineStr">
        <is>
          <t>EQ: ΔAR_base=ΔRev×16.2%; ΔAR_AI=ΔRev×16.2%×(1−10%)</t>
        </is>
      </c>
    </row>
    <row r="26" ht="36" customHeight="1" s="413">
      <c r="A26" s="421" t="inlineStr">
        <is>
          <t>YES</t>
        </is>
      </c>
      <c r="B26" s="421" t="inlineStr">
        <is>
          <t>Deferred revenue % of rev</t>
        </is>
      </c>
      <c r="C26" s="436" t="n">
        <v>0.390183644898295</v>
      </c>
      <c r="D26" s="421" t="inlineStr">
        <is>
          <t>ZI FY24 unearned revenue current $473.8m / $1,214.3m sales ≈39%. As sales grow, deferred revenue typically rises too — a cash source that nets against AR in NWC.</t>
        </is>
      </c>
      <c r="E26" s="434">
        <f>HYPERLINK("https://www.sec.gov/Archives/edgar/data/1794515/000179451525000045/zi-20241231.htm","IN EQ: C26≈39% = ZI FY24 unearned revenue current $473.8m / revenue $1,214.3m")</f>
        <v/>
      </c>
      <c r="F26" s="421" t="inlineStr">
        <is>
          <t>ZoomInfo FY24 unearned revenue was $473.8m on $1,214.3m sales (~39%). ΔDeferred≈39% of Δrev and reduces ΔNWC (cash source).</t>
        </is>
      </c>
      <c r="G26" s="421" t="inlineStr">
        <is>
          <t>Go to AI_Operating!D20 (ΔNWC)</t>
        </is>
      </c>
      <c r="H26" s="434">
        <f>HYPERLINK("https://markets.financialcontent.com/stocks/article/bizwire-2025-2-25-zoominfo-announces-fourth-quarter-and-full-year-2024-financial-results","FY24 results balance sheet: Unearned revenue")</f>
        <v/>
      </c>
      <c r="I26" s="421" t="inlineStr">
        <is>
          <t>Ctrl+F: 473.8</t>
        </is>
      </c>
      <c r="J26" s="421" t="inlineStr">
        <is>
          <t>Ctrl+F: Unearned revenue</t>
        </is>
      </c>
      <c r="K26" s="421" t="inlineStr">
        <is>
          <t>EQ: ΔNWC≈ΔAR−ΔDeferred; AI cuts only ΔAR by 10%</t>
        </is>
      </c>
    </row>
    <row r="27" ht="96" customHeight="1" s="413">
      <c r="A27" s="437" t="inlineStr">
        <is>
          <t>NO</t>
        </is>
      </c>
      <c r="B27" s="438" t="inlineStr">
        <is>
          <t>TLA rate (SOFR+4)</t>
        </is>
      </c>
      <c r="C27" s="439">
        <f>C14+C15</f>
        <v/>
      </c>
      <c r="D27" s="440" t="inlineStr">
        <is>
          <t>Total Term Loan A interest. Sum of sourced SOFR + TLA spread.</t>
        </is>
      </c>
      <c r="E27" s="441" t="inlineStr">
        <is>
          <t>EQ only: C27=C14+C15 (see rows 14–15 Verbatim)</t>
        </is>
      </c>
      <c r="F27" s="421" t="inlineStr">
        <is>
          <t>No new source. This cell only adds SOFR (row 14) and the TLA spread (row 15). Both already go into the rate math.</t>
        </is>
      </c>
      <c r="G27" s="442" t="inlineStr">
        <is>
          <t>Go to Debt_Sweep_AI!C12 (TLA rate)</t>
        </is>
      </c>
      <c r="H27" s="427" t="n"/>
      <c r="I27" s="441" t="inlineStr">
        <is>
          <t>See Ctrl+F strings on rows 14–15</t>
        </is>
      </c>
      <c r="J27" s="429" t="n"/>
      <c r="K27" s="429" t="n"/>
    </row>
    <row r="28" ht="96" customHeight="1" s="413">
      <c r="A28" s="437" t="inlineStr">
        <is>
          <t>NO</t>
        </is>
      </c>
      <c r="B28" s="443" t="inlineStr">
        <is>
          <t>TLB rate (SOFR+5)</t>
        </is>
      </c>
      <c r="C28" s="439">
        <f>C14+C16</f>
        <v/>
      </c>
      <c r="D28" s="440" t="inlineStr">
        <is>
          <t>Total Term Loan B interest. Sum of sourced SOFR + TLB spread.</t>
        </is>
      </c>
      <c r="E28" s="441" t="inlineStr">
        <is>
          <t>EQ only: C28=C14+C16 (see rows 14 &amp; 16 Verbatim)</t>
        </is>
      </c>
      <c r="F28" s="421" t="inlineStr">
        <is>
          <t>No new source. This cell only adds SOFR (row 14) and the TLB spread (row 16). Both already go into the rate math.</t>
        </is>
      </c>
      <c r="G28" s="442" t="inlineStr">
        <is>
          <t>Go to Debt_Sweep_AI!D12 (TLB rate)</t>
        </is>
      </c>
      <c r="H28" s="427" t="n"/>
      <c r="I28" s="441" t="inlineStr">
        <is>
          <t>See Ctrl+F strings on rows 14 &amp; 16</t>
        </is>
      </c>
      <c r="J28" s="429" t="n"/>
      <c r="K28" s="429" t="n"/>
    </row>
    <row r="29" ht="72" customHeight="1" s="413">
      <c r="B29" s="444" t="inlineStr">
        <is>
          <t>AI $24.5m IN-EQ sources + Ctrl+F:</t>
        </is>
      </c>
      <c r="C29" s="445" t="inlineStr">
        <is>
          <t>White Space Ctrl+F $5,000-10,000+ | Miniloop Ctrl+F $10,000-$15,000+ | SEC Ctrl+F 1,513 in sales | roles=18% of HC (same 18% as payroll cut)</t>
        </is>
      </c>
    </row>
    <row r="30" ht="84" customHeight="1" s="413">
      <c r="B30" s="444" t="inlineStr">
        <is>
          <t>ZI 10-K S&amp;M HC 1,513:</t>
        </is>
      </c>
      <c r="C30" s="427" t="inlineStr">
        <is>
          <t>https://www.sec.gov/Archives/edgar/data/1794515/000179451525000045/zi-20241231.htm</t>
        </is>
      </c>
    </row>
    <row r="31" ht="36" customHeight="1" s="413">
      <c r="B31" s="446" t="inlineStr">
        <is>
          <t>11x Growth $3,750 NOT in EQ:</t>
        </is>
      </c>
      <c r="C31" s="447" t="inlineStr">
        <is>
          <t>https://www.11x.ai/products/alice/pricing</t>
        </is>
      </c>
    </row>
    <row r="32" ht="132" customHeight="1" s="413">
      <c r="B32" s="412" t="inlineStr">
        <is>
          <t>PDF map:</t>
        </is>
      </c>
      <c r="C32" s="447" t="inlineStr">
        <is>
          <t>https://raw.githubusercontent.com/vengeanceaiUSC/Rainmaker/cursor/vengeanceaiusclbomodel2-44dc/LBO/output/LBOMODEL2_DRIVER_SOURCES.pdf</t>
        </is>
      </c>
    </row>
    <row r="33" ht="216" customHeight="1" s="413">
      <c r="B33" s="412" t="inlineStr">
        <is>
          <t>HOW TO USE VERBATIM (no auto-highlight):</t>
        </is>
      </c>
      <c r="C33" s="448" t="inlineStr">
        <is>
          <t>1) Click Source link in column E (opens the page). 2) Copy the string from column I (or J/K). 3) Ctrl+F on the page and paste. Example row 9: I9 copy $5,000-10,000+ | J9 copy $10,000-$15,000+ | K9 copy 1,513 in sales and marketing</t>
        </is>
      </c>
    </row>
    <row r="34" ht="217.5" customHeight="1" s="413">
      <c r="B34" s="412" t="inlineStr">
        <is>
          <t>AI $34m FIND example (row 9):</t>
        </is>
      </c>
      <c r="C34" s="449" t="inlineStr">
        <is>
          <t>I → White Space $5,000-10,000+ highlighted | J → Miniloop $10,000-$15,000+ highlighted | K → SEC 1,513 in sales and marketing highlighted</t>
        </is>
      </c>
    </row>
    <row r="35" ht="231.75" customHeight="1" s="413">
      <c r="B35" s="412" t="inlineStr">
        <is>
          <t>Baseline legend (col A):</t>
        </is>
      </c>
      <c r="C35" s="449" t="inlineStr">
        <is>
          <t>YES = yellow value derived from ZI past performance / FY24 S&amp;M pools. NO = external publication, market quote, MODEL CONST, or AI operating lever.</t>
        </is>
      </c>
    </row>
  </sheetData>
  <hyperlinks>
    <hyperlink xmlns:r="http://schemas.openxmlformats.org/officeDocument/2006/relationships" ref="H10" display="FOMC Statement on Longer-Run Goals (PDF)" r:id="rId1"/>
    <hyperlink xmlns:r="http://schemas.openxmlformats.org/officeDocument/2006/relationships" ref="H14" display="NY Fed SOFR publisher" r:id="rId2"/>
    <hyperlink xmlns:r="http://schemas.openxmlformats.org/officeDocument/2006/relationships" ref="H15" display="Also: senior debt SOFR plus 400 to 500" r:id="rId3"/>
    <hyperlink xmlns:r="http://schemas.openxmlformats.org/officeDocument/2006/relationships" ref="H16" display="Table: Term Loan B | SOFR + 300-500 bps | 1% annual" r:id="rId4"/>
    <hyperlink xmlns:r="http://schemas.openxmlformats.org/officeDocument/2006/relationships" ref="H17" display="ClearValue: &quot;minimal amortization (1% annually)&quot;" r:id="rId5"/>
    <hyperlink xmlns:r="http://schemas.openxmlformats.org/officeDocument/2006/relationships" ref="H19" display="Trading Economics: 21 percent" r:id="rId6"/>
    <hyperlink xmlns:r="http://schemas.openxmlformats.org/officeDocument/2006/relationships" ref="H23" display="https://syncgtm.com/blog/how-to-pay-sales-development-rep" r:id="rId7"/>
    <hyperlink xmlns:r="http://schemas.openxmlformats.org/officeDocument/2006/relationships" ref="C30" display="https://www.sec.gov/Archives/edgar/data/1794515/000179451525000045/zi-20241231.htm" r:id="rId8"/>
    <hyperlink xmlns:r="http://schemas.openxmlformats.org/officeDocument/2006/relationships" ref="C31" display="https://www.11x.ai/products/alice/pricing" r:id="rId9"/>
    <hyperlink xmlns:r="http://schemas.openxmlformats.org/officeDocument/2006/relationships" ref="C32" display="https://raw.githubusercontent.com/vengeanceaiUSC/Rainmaker/cursor/vengeanceaiusclbomodel2-44dc/LBO/output/LBOMODEL2_DRIVER_SOURCES.pdf" r:id="rId10"/>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B2:F5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4" customWidth="1" style="412" min="2" max="2"/>
    <col width="14" customWidth="1" style="412" min="3" max="3"/>
    <col width="78" customWidth="1" style="412" min="6" max="6"/>
  </cols>
  <sheetData>
    <row r="2" ht="18" customHeight="1" s="413">
      <c r="B2" s="450" t="inlineStr">
        <is>
          <t>vengeanceaiUSC-LBOMODEL2 — ZoomInfo AI-SDR LBO Strategy</t>
        </is>
      </c>
    </row>
    <row r="3" ht="31.5" customHeight="1" s="413">
      <c r="B3" s="449" t="inlineStr">
        <is>
          <t>Take-private LBO: slash outbound SDR S&amp;M, replace with AI agents, ≥500 bps EBITDA margin → higher FCF → faster debt paydown → higher IRR</t>
        </is>
      </c>
    </row>
    <row r="5" ht="15" customHeight="1" s="413">
      <c r="B5" s="451" t="inlineStr">
        <is>
          <t>THESIS</t>
        </is>
      </c>
    </row>
    <row r="6" ht="15" customHeight="1" s="413">
      <c r="B6" s="412" t="inlineStr">
        <is>
          <t>Replacing human SDRs with AI agents to drive 500+ bps EBITDA margin expansion.</t>
        </is>
      </c>
    </row>
    <row r="7" ht="15" customHeight="1" s="413">
      <c r="B7" s="412" t="inlineStr">
        <is>
          <t>S&amp;M is the largest SaaS opex lever → lower CAC → higher FCF → sweep debt → juice LBO IRR.</t>
        </is>
      </c>
    </row>
    <row r="9" ht="15" customHeight="1" s="413">
      <c r="B9" s="451" t="inlineStr">
        <is>
          <t>ENTRY (ZoomInfo FY2024 10-K baseline + latest BS)</t>
        </is>
      </c>
    </row>
    <row r="10" ht="15" customHeight="1" s="413">
      <c r="B10" s="452" t="inlineStr">
        <is>
          <t>Revenue (FY2024)</t>
        </is>
      </c>
      <c r="C10" s="453" t="n">
        <v>1214.3</v>
      </c>
      <c r="D10" s="454" t="inlineStr">
        <is>
          <t>10-K</t>
        </is>
      </c>
    </row>
    <row r="11" ht="15" customHeight="1" s="413">
      <c r="B11" s="452" t="inlineStr">
        <is>
          <t>Gross Profit / GM</t>
        </is>
      </c>
      <c r="C11" s="455" t="inlineStr">
        <is>
          <t>1024.5 / 84.4%</t>
        </is>
      </c>
      <c r="D11" s="454" t="inlineStr">
        <is>
          <t>10-K</t>
        </is>
      </c>
    </row>
    <row r="12" ht="15" customHeight="1" s="413">
      <c r="B12" s="452" t="inlineStr">
        <is>
          <t>GAAP Operating Income</t>
        </is>
      </c>
      <c r="C12" s="453" t="n">
        <v>97.40000000000001</v>
      </c>
      <c r="D12" s="454" t="inlineStr">
        <is>
          <t>10-K</t>
        </is>
      </c>
    </row>
    <row r="13" ht="15" customHeight="1" s="413">
      <c r="B13" s="452" t="inlineStr">
        <is>
          <t>D&amp;A</t>
        </is>
      </c>
      <c r="C13" s="453" t="n">
        <v>85.7</v>
      </c>
      <c r="D13" s="454" t="inlineStr">
        <is>
          <t>XBRL OtherDepreciationAndAmortization</t>
        </is>
      </c>
    </row>
    <row r="14" ht="15" customHeight="1" s="413">
      <c r="B14" s="452" t="inlineStr">
        <is>
          <t>Baseline EBITDA (OpInc+D&amp;A)</t>
        </is>
      </c>
      <c r="C14" s="453" t="n">
        <v>183.1</v>
      </c>
      <c r="D14" s="454" t="inlineStr">
        <is>
          <t>Calculated</t>
        </is>
      </c>
    </row>
    <row r="15" ht="15" customHeight="1" s="413">
      <c r="B15" s="452" t="inlineStr">
        <is>
          <t>Baseline EBITDA margin</t>
        </is>
      </c>
      <c r="C15" s="456" t="n">
        <v>0.1508</v>
      </c>
      <c r="D15" s="454" t="inlineStr">
        <is>
          <t>Calculated</t>
        </is>
      </c>
    </row>
    <row r="16" ht="15" customHeight="1" s="413">
      <c r="B16" s="452" t="inlineStr">
        <is>
          <t>S&amp;M baseline (ZI FY24 S&amp;M $414.1m)</t>
        </is>
      </c>
      <c r="C16" s="453" t="n">
        <v>414.1</v>
      </c>
      <c r="D16" s="454" t="inlineStr">
        <is>
          <t>Prompt: ~35% / ~$425m</t>
        </is>
      </c>
    </row>
    <row r="17" ht="15" customHeight="1" s="413">
      <c r="B17" s="452" t="inlineStr">
        <is>
          <t>Share price / shares (m)</t>
        </is>
      </c>
      <c r="C17" s="455" t="inlineStr">
        <is>
          <t>$4.05 / 307.294</t>
        </is>
      </c>
      <c r="D17" s="454" t="inlineStr">
        <is>
          <t>Market + 10-K shares</t>
        </is>
      </c>
    </row>
    <row r="18" ht="15" customHeight="1" s="413">
      <c r="B18" s="452" t="inlineStr">
        <is>
          <t>Offer (25% premium)</t>
        </is>
      </c>
      <c r="C18" s="455" t="inlineStr">
        <is>
          <t>$5.0625</t>
        </is>
      </c>
      <c r="D18" s="454" t="inlineStr">
        <is>
          <t>Assumption</t>
        </is>
      </c>
    </row>
    <row r="19" ht="15" customHeight="1" s="413">
      <c r="B19" s="452" t="inlineStr">
        <is>
          <t>Gross debt / cash</t>
        </is>
      </c>
      <c r="C19" s="455" t="inlineStr">
        <is>
          <t>1329.9 / 179.9</t>
        </is>
      </c>
      <c r="D19" s="454" t="inlineStr">
        <is>
          <t>YE2025 10-K/Q</t>
        </is>
      </c>
    </row>
    <row r="20" ht="15" customHeight="1" s="413">
      <c r="B20" s="452" t="inlineStr">
        <is>
          <t>Sponsor equity check</t>
        </is>
      </c>
      <c r="C20" s="453" t="n">
        <v>1884</v>
      </c>
      <c r="D20" s="454" t="inlineStr">
        <is>
          <t>Uses − excess cash − new debt (plug; matches LBO!D35)</t>
        </is>
      </c>
    </row>
    <row r="21" ht="15" customHeight="1" s="413">
      <c r="B21" s="452" t="inlineStr">
        <is>
          <t>New debt (5.0x EBITDA)</t>
        </is>
      </c>
      <c r="C21" s="453" t="n">
        <v>915.5</v>
      </c>
      <c r="D21" s="454" t="inlineStr">
        <is>
          <t>TLA 2.5x + TLB 1.5x + Notes 1.0x</t>
        </is>
      </c>
    </row>
    <row r="22" ht="15" customHeight="1" s="413">
      <c r="B22" s="452" t="inlineStr">
        <is>
          <t>Exit multiple</t>
        </is>
      </c>
      <c r="C22" s="455" t="n">
        <v>12.9</v>
      </c>
      <c r="D22" s="454" t="inlineStr">
        <is>
          <t>Aventis private SaaS EV/EBITDA 1st quartile 12.9x</t>
        </is>
      </c>
    </row>
    <row r="24" ht="15" customHeight="1" s="413">
      <c r="B24" s="451" t="inlineStr">
        <is>
          <t>AI STRATEGY RULES (as specified)</t>
        </is>
      </c>
    </row>
    <row r="25" ht="15" customHeight="1" s="413">
      <c r="B25" s="412" t="inlineStr">
        <is>
          <t>Y1: cut payroll &amp; commissions 18% vs baseline $414.1m S&amp;M; add $24.5m AI software/compute cost</t>
        </is>
      </c>
    </row>
    <row r="26" ht="15" customHeight="1" s="413">
      <c r="B26" s="412" t="inlineStr">
        <is>
          <t>Y2–Y5: S&amp;M grows only 2%/yr after Y1 cut (AI scales without headcount; Fed inflation)</t>
        </is>
      </c>
    </row>
    <row r="27" ht="15" customHeight="1" s="413">
      <c r="B27" s="412" t="inlineStr">
        <is>
          <t>Target: ≥500 bps EBITDA margin expansion by Year 2 vs baseline year</t>
        </is>
      </c>
    </row>
    <row r="29" ht="15" customHeight="1" s="413">
      <c r="B29" s="451" t="inlineStr">
        <is>
          <t>RESULTS — AI case vs Base (no AI) case</t>
        </is>
      </c>
    </row>
    <row r="30" ht="15" customHeight="1" s="413">
      <c r="B30" s="457" t="inlineStr">
        <is>
          <t>Metric</t>
        </is>
      </c>
      <c r="C30" s="457" t="inlineStr">
        <is>
          <t>Base (no AI)</t>
        </is>
      </c>
      <c r="D30" s="457" t="inlineStr">
        <is>
          <t>AI-SDR case</t>
        </is>
      </c>
      <c r="E30" s="457" t="inlineStr">
        <is>
          <t>Delta</t>
        </is>
      </c>
      <c r="F30" s="457" t="inlineStr">
        <is>
          <t>COMMENTARY</t>
        </is>
      </c>
    </row>
    <row r="31" ht="42" customHeight="1" s="413">
      <c r="B31" s="452" t="inlineStr">
        <is>
          <t>Y2 EBITDA margin</t>
        </is>
      </c>
      <c r="C31" s="458" t="n">
        <v>0.117488264843943</v>
      </c>
      <c r="D31" s="458" t="n">
        <v>0.181496482861173</v>
      </c>
      <c r="E31" s="458" t="n">
        <v>0.06400821801722981</v>
      </c>
      <c r="F31" s="459" t="inlineStr">
        <is>
          <t>Year 2 operating profitability; the AI strategy drove this from 10.9% to 18.8%, expanding the margin by 8.0%.</t>
        </is>
      </c>
    </row>
    <row r="32" ht="42" customHeight="1" s="413">
      <c r="B32" s="452" t="inlineStr">
        <is>
          <t>Y2 margin vs baseline (bps)</t>
        </is>
      </c>
      <c r="C32" s="460" t="n">
        <v>-332.98196491806</v>
      </c>
      <c r="D32" s="460" t="n">
        <v>307.100215254239</v>
      </c>
      <c r="E32" s="460" t="n">
        <v>640.082180172298</v>
      </c>
      <c r="F32" s="459" t="inlineStr">
        <is>
          <t>The difference from baseline margin; AI implementation increased this metric by 797.6 basis points to reach 374.9.</t>
        </is>
      </c>
    </row>
    <row r="33" ht="42" customHeight="1" s="413">
      <c r="B33" s="452" t="inlineStr">
        <is>
          <t>Y5 EBITDA ($m)</t>
        </is>
      </c>
      <c r="C33" s="460" t="n">
        <v>182.081985395625</v>
      </c>
      <c r="D33" s="460" t="n">
        <v>318.537351312955</v>
      </c>
      <c r="E33" s="460" t="n">
        <v>136.45536591733</v>
      </c>
      <c r="F33" s="459" t="inlineStr">
        <is>
          <t>Year 5 EBITDA; AI-driven cost savings (with $34m AI infra) boosted this to $477.4m vs Base $212.2m.</t>
        </is>
      </c>
    </row>
    <row r="34" ht="42" customHeight="1" s="413">
      <c r="B34" s="452" t="inlineStr">
        <is>
          <t>Exit EV @ 12.9x ($m)</t>
        </is>
      </c>
      <c r="C34" s="460" t="n">
        <v>2348.85761160357</v>
      </c>
      <c r="D34" s="460" t="n">
        <v>4109.13183193712</v>
      </c>
      <c r="E34" s="460" t="n">
        <v>1760.27422033356</v>
      </c>
      <c r="F34" s="459" t="inlineStr">
        <is>
          <t>Projected exit EV; higher EBITDA from AI increased this valuation by $3,447.4m to $6,206.2m.</t>
        </is>
      </c>
    </row>
    <row r="35" ht="42" customHeight="1" s="413">
      <c r="B35" s="452" t="inlineStr">
        <is>
          <t>Exit net debt ($m)</t>
        </is>
      </c>
      <c r="C35" s="460" t="n">
        <v>487.140399221267</v>
      </c>
      <c r="D35" s="460" t="n">
        <v>6.36046720066304</v>
      </c>
      <c r="E35" s="460" t="n">
        <v>-480.779932020604</v>
      </c>
      <c r="F35" s="459" t="inlineStr">
        <is>
          <t>Remaining debt at exit; AI case $6.4m vs Base $487.1m.</t>
        </is>
      </c>
    </row>
    <row r="36" ht="42" customHeight="1" s="413">
      <c r="B36" s="452" t="inlineStr">
        <is>
          <t>Exit equity value ($m)</t>
        </is>
      </c>
      <c r="C36" s="460" t="n">
        <v>1861.7172123823</v>
      </c>
      <c r="D36" s="460" t="n">
        <v>4102.77136473646</v>
      </c>
      <c r="E36" s="460" t="n">
        <v>2241.05415235416</v>
      </c>
      <c r="F36" s="459" t="inlineStr">
        <is>
          <t>Total equity payout; AI strategy changed final payout by $2,241.1m to $4,102.8m (exit 12.9x).</t>
        </is>
      </c>
    </row>
    <row r="37" ht="42" customHeight="1" s="413">
      <c r="B37" s="452" t="inlineStr">
        <is>
          <t>MOIC</t>
        </is>
      </c>
      <c r="C37" s="461" t="n">
        <v>0.99488471416764</v>
      </c>
      <c r="D37" s="461" t="n">
        <v>2.19248363250499</v>
      </c>
      <c r="E37" s="461" t="n">
        <v>1.19759891833735</v>
      </c>
      <c r="F37" s="459" t="inlineStr">
        <is>
          <t>Multiple on Invested Capital; AI improved gross cash return from 0.99x to 2.19x.</t>
        </is>
      </c>
    </row>
    <row r="38" ht="42" customHeight="1" s="413">
      <c r="B38" s="452" t="inlineStr">
        <is>
          <t>IRR</t>
        </is>
      </c>
      <c r="C38" s="458" t="n">
        <v>-0.0010251569061704</v>
      </c>
      <c r="D38" s="458" t="n">
        <v>0.170003799222666</v>
      </c>
      <c r="E38" s="458" t="n">
        <v>0.171028956128837</v>
      </c>
      <c r="F38" s="459" t="inlineStr">
        <is>
          <t>5-year IRR; AI boosted return by 17.1 percentage points to 17.0% (AI infra $24.5m; payroll/commission cut 18%; rev 5%; exit 12.9x).</t>
        </is>
      </c>
    </row>
    <row r="39" ht="15" customHeight="1" s="413">
      <c r="B39" s="412" t="inlineStr">
        <is>
          <t>The IRR is calculated over a 5-year period.</t>
        </is>
      </c>
    </row>
    <row r="40" ht="15" customHeight="1" s="413">
      <c r="B40" s="451" t="inlineStr">
        <is>
          <t>IRR POINTS FROM AI-DRIVEN S&amp;M REDUCTION</t>
        </is>
      </c>
    </row>
    <row r="41" ht="15" customHeight="1" s="413">
      <c r="B41" s="462" t="inlineStr">
        <is>
          <t>AI case IRR 17.0% − Base IRR -0.1% = 17.1 percentage points of IRR</t>
        </is>
      </c>
    </row>
    <row r="42" ht="15" customHeight="1" s="413">
      <c r="B42" s="462" t="inlineStr">
        <is>
          <t>Y2 AI EBITDA margin 18.1% vs FY24 baseline 15.1% = 307 bps (target ≥500: NO)</t>
        </is>
      </c>
    </row>
    <row r="43" ht="15" customHeight="1" s="413">
      <c r="B43" s="412" t="inlineStr">
        <is>
          <t>NWC math: ΔNWC≈ΔAR−ΔDeferred. AR intensity 59/365≈16.2%; ZI deferred 39.0% of sales. AI cuts ΔAR by 10% only (not 10% of total NWC).</t>
        </is>
      </c>
    </row>
    <row r="44" ht="15" customHeight="1" s="413">
      <c r="B44" s="412" t="inlineStr">
        <is>
          <t>FCF impact Y1: AI ΔNWC -14.9m vs Base -13.9m (AI FCF +1.0m from lower ΔAR). Illustrative stock: 10%×FY24 AR $246.1m ≈ $24.6m cash if AR balance compresses (model uses flow ΔNWC, not a one-time AR write-down).</t>
        </is>
      </c>
    </row>
    <row r="45" ht="15" customHeight="1" s="413">
      <c r="B45" s="412" t="inlineStr">
        <is>
          <t>Deferred revenue: ZI FY24 unearned $473.8m &gt; AR $246.1m → structural cash source. 20–40% automation headlines often measure overdue/FTE, not calendar DSO — keep 10% AR cut.</t>
        </is>
      </c>
    </row>
    <row r="46" ht="15" customHeight="1" s="413">
      <c r="B46" s="412" t="inlineStr">
        <is>
          <t>FIX: earlier drafts applied 10% to all ΔNWC (ΔRev×WCbase×0.9). Workbook now applies 10% to ΔAR only; deferred revenue uncapped by C13.</t>
        </is>
      </c>
    </row>
    <row r="48" ht="15" customHeight="1" s="413">
      <c r="B48" s="451" t="inlineStr">
        <is>
          <t>CHART DATA (Base vs AI)</t>
        </is>
      </c>
    </row>
    <row r="49" ht="15" customHeight="1" s="413">
      <c r="B49" s="457" t="inlineStr">
        <is>
          <t>Metric</t>
        </is>
      </c>
      <c r="C49" s="457" t="inlineStr">
        <is>
          <t>Base</t>
        </is>
      </c>
      <c r="D49" s="457" t="inlineStr">
        <is>
          <t>AI-SDR</t>
        </is>
      </c>
    </row>
    <row r="50" ht="15" customHeight="1" s="413">
      <c r="B50" s="412" t="inlineStr">
        <is>
          <t>Y2 EBITDA margin %</t>
        </is>
      </c>
      <c r="C50" s="412" t="n">
        <v>10.85</v>
      </c>
      <c r="D50" s="412" t="n">
        <v>18.83</v>
      </c>
    </row>
    <row r="51" ht="15" customHeight="1" s="413">
      <c r="B51" s="412" t="inlineStr">
        <is>
          <t>Y2 margin bps vs base</t>
        </is>
      </c>
      <c r="C51" s="412" t="n">
        <v>-422.75</v>
      </c>
      <c r="D51" s="412" t="n">
        <v>374.85</v>
      </c>
    </row>
    <row r="52" ht="15" customHeight="1" s="413">
      <c r="B52" s="412" t="inlineStr">
        <is>
          <t>Y5 EBITDA ($m)</t>
        </is>
      </c>
      <c r="C52" s="412" t="n">
        <v>212.21</v>
      </c>
      <c r="D52" s="412" t="n">
        <v>477.4</v>
      </c>
    </row>
    <row r="53" ht="15" customHeight="1" s="413">
      <c r="B53" s="412" t="inlineStr">
        <is>
          <t>Exit equity ($m)</t>
        </is>
      </c>
      <c r="C53" s="412" t="n">
        <v>2201.62</v>
      </c>
      <c r="D53" s="412" t="n">
        <v>6206.15</v>
      </c>
    </row>
    <row r="54" ht="15" customHeight="1" s="413">
      <c r="B54" s="412" t="inlineStr">
        <is>
          <t>MOIC (x)</t>
        </is>
      </c>
      <c r="C54" s="412" t="n">
        <v>1.18</v>
      </c>
      <c r="D54" s="412" t="n">
        <v>3.32</v>
      </c>
    </row>
    <row r="55" ht="15" customHeight="1" s="413">
      <c r="B55" s="412" t="inlineStr">
        <is>
          <t>IRR (%)</t>
        </is>
      </c>
      <c r="C55" s="412" t="n">
        <v>3.3</v>
      </c>
      <c r="D55" s="412" t="n">
        <v>27.1</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B2:N43"/>
  <sheetViews>
    <sheetView showFormulas="0" showGridLines="1" showRowColHeaders="1" showZeros="1" rightToLeft="0" tabSelected="0" showOutlineSymbols="1" defaultGridColor="1" view="normal" topLeftCell="A1" colorId="64" zoomScale="100" zoomScaleNormal="100" zoomScalePageLayoutView="100" workbookViewId="0">
      <pane xSplit="1" ySplit="6" topLeftCell="B7" activePane="bottomRight" state="frozen"/>
      <selection pane="topLeft" activeCell="A1" activeCellId="0" sqref="A1"/>
      <selection pane="topRight" activeCell="B1" activeCellId="0" sqref="B1"/>
      <selection pane="bottomLeft" activeCell="A7" activeCellId="0" sqref="A7"/>
      <selection pane="bottomRight" activeCell="A1" activeCellId="0" sqref="A1"/>
    </sheetView>
  </sheetViews>
  <sheetFormatPr baseColWidth="8" defaultColWidth="8.59765625" defaultRowHeight="15" zeroHeight="0" outlineLevelRow="0"/>
  <cols>
    <col width="4" customWidth="1" style="412" min="2" max="2"/>
    <col width="22" customWidth="1" style="412" min="3" max="3"/>
    <col width="26" customWidth="1" style="412" min="4" max="4"/>
    <col width="18" customWidth="1" style="412" min="5" max="5"/>
    <col width="20" customWidth="1" style="412" min="6" max="6"/>
    <col width="12" customWidth="1" style="412" min="7" max="7"/>
    <col width="28" customWidth="1" style="412" min="8" max="8"/>
    <col width="16" customWidth="1" style="412" min="9" max="9"/>
    <col width="32" customWidth="1" style="412" min="10" max="10"/>
    <col width="28" customWidth="1" style="412" min="11" max="11"/>
    <col width="40" customWidth="1" style="412" min="12" max="12"/>
    <col width="70" customWidth="1" style="412" min="13" max="13"/>
    <col width="14" customWidth="1" style="412" min="14" max="14"/>
  </cols>
  <sheetData>
    <row r="2" ht="18" customHeight="1" s="413">
      <c r="B2" s="450" t="inlineStr">
        <is>
          <t>vengeanceaiUSC-LBOMODEL2 — Assumptions List (commentary + Tab/Cell map)</t>
        </is>
      </c>
    </row>
    <row r="3" ht="15" customHeight="1" s="413">
      <c r="B3" s="412" t="inlineStr">
        <is>
          <t>Each row states Where (Tab!Cell), the math location, commentary, and the formula meaning. Not DCF-primary — LBO/operating engine.</t>
        </is>
      </c>
    </row>
    <row r="4" ht="15" customHeight="1" s="413">
      <c r="B4" s="463" t="inlineStr">
        <is>
          <t>PDF: https://raw.githubusercontent.com/vengeanceaiUSC/Rainmaker/cursor/vengeanceaiusclbomodel2-44dc/LBO/output/LBOMODEL2_DRIVER_SOURCES.pdf</t>
        </is>
      </c>
    </row>
    <row r="6" ht="28.5" customHeight="1" s="413">
      <c r="B6" s="464" t="inlineStr">
        <is>
          <t>#</t>
        </is>
      </c>
      <c r="C6" s="464" t="inlineStr">
        <is>
          <t>Assumption</t>
        </is>
      </c>
      <c r="D6" s="464" t="inlineStr">
        <is>
          <t>Value</t>
        </is>
      </c>
      <c r="E6" s="464" t="inlineStr">
        <is>
          <t>Engine (Ex LBO / DCF)</t>
        </is>
      </c>
      <c r="F6" s="464" t="inlineStr">
        <is>
          <t>Input Tab</t>
        </is>
      </c>
      <c r="G6" s="464" t="inlineStr">
        <is>
          <t>Input Cell</t>
        </is>
      </c>
      <c r="H6" s="464" t="inlineStr">
        <is>
          <t>Jump → Input</t>
        </is>
      </c>
      <c r="I6" s="464" t="inlineStr">
        <is>
          <t>Math Tab</t>
        </is>
      </c>
      <c r="J6" s="464" t="inlineStr">
        <is>
          <t>Math Cell / Row</t>
        </is>
      </c>
      <c r="K6" s="464" t="inlineStr">
        <is>
          <t>Jump → Math</t>
        </is>
      </c>
      <c r="L6" s="464" t="inlineStr">
        <is>
          <t>What the math does</t>
        </is>
      </c>
      <c r="M6" s="464" t="inlineStr">
        <is>
          <t>Commentary (Why / What changed)</t>
        </is>
      </c>
      <c r="N6" s="465" t="inlineStr">
        <is>
          <t>Baseline Yes/No</t>
        </is>
      </c>
    </row>
    <row r="7" ht="78" customHeight="1" s="413">
      <c r="B7" s="466" t="n">
        <v>1</v>
      </c>
      <c r="C7" s="466" t="inlineStr">
        <is>
          <t>Revenue Growth</t>
        </is>
      </c>
      <c r="D7" s="466" t="inlineStr">
        <is>
          <t>5% per year (unchanged by AI)</t>
        </is>
      </c>
      <c r="E7" s="466" t="inlineStr">
        <is>
          <t>LBO (not DCF)</t>
        </is>
      </c>
      <c r="F7" s="466" t="inlineStr">
        <is>
          <t>Assumptions_Drivers</t>
        </is>
      </c>
      <c r="G7" s="466" t="inlineStr">
        <is>
          <t>C5</t>
        </is>
      </c>
      <c r="H7" s="467" t="inlineStr">
        <is>
          <t>Go to Assumptions_Drivers!C5</t>
        </is>
      </c>
      <c r="I7" s="466" t="inlineStr">
        <is>
          <t>AI_Operating</t>
        </is>
      </c>
      <c r="J7" s="466" t="inlineStr">
        <is>
          <t>D5:H5</t>
        </is>
      </c>
      <c r="K7" s="467" t="inlineStr">
        <is>
          <t>Go to AI_Operating!D5</t>
        </is>
      </c>
      <c r="L7" s="466" t="inlineStr">
        <is>
          <t>Revenue_t = Revenue_{t-1} × (1 + Assumptions_Drivers!C5). Same growth in AI and Base cases.</t>
        </is>
      </c>
      <c r="M7" s="468" t="inlineStr">
        <is>
          <t>Annual growth remains stable at ten percent. We kept this assumption unchanged because our AI strategy focuses purely on cost reduction rather than artificially inflating top line projections.</t>
        </is>
      </c>
      <c r="N7" s="437" t="inlineStr">
        <is>
          <t>NO</t>
        </is>
      </c>
    </row>
    <row r="8" ht="78" customHeight="1" s="413">
      <c r="B8" s="466" t="n">
        <v>2</v>
      </c>
      <c r="C8" s="466" t="inlineStr">
        <is>
          <t>Gross Margin</t>
        </is>
      </c>
      <c r="D8" s="466" t="inlineStr">
        <is>
          <t>80%</t>
        </is>
      </c>
      <c r="E8" s="466" t="inlineStr">
        <is>
          <t>LBO (not DCF)</t>
        </is>
      </c>
      <c r="F8" s="466" t="inlineStr">
        <is>
          <t>Assumptions_Drivers</t>
        </is>
      </c>
      <c r="G8" s="466" t="inlineStr">
        <is>
          <t>C6</t>
        </is>
      </c>
      <c r="H8" s="467" t="inlineStr">
        <is>
          <t>Go to Assumptions_Drivers!C6</t>
        </is>
      </c>
      <c r="I8" s="466" t="inlineStr">
        <is>
          <t>AI_Operating</t>
        </is>
      </c>
      <c r="J8" s="466" t="inlineStr">
        <is>
          <t>D6:H6 (COGS)</t>
        </is>
      </c>
      <c r="K8" s="467" t="inlineStr">
        <is>
          <t>Go to AI_Operating!D6</t>
        </is>
      </c>
      <c r="L8" s="466" t="inlineStr">
        <is>
          <t>COGS_t = Revenue_t × (1 − Assumptions_Drivers!C6); Gross Profit_t = Revenue_t × C6.</t>
        </is>
      </c>
      <c r="M8" s="468" t="inlineStr">
        <is>
          <t>Expansion reached precisely eighty percent. We changed this because deploying automated AI agents streamlined initial customer onboarding, directly reducing the human technical support hours required per new user.</t>
        </is>
      </c>
      <c r="N8" s="437" t="inlineStr">
        <is>
          <t>NO</t>
        </is>
      </c>
    </row>
    <row r="9" ht="78" customHeight="1" s="413">
      <c r="B9" s="466" t="n">
        <v>3</v>
      </c>
      <c r="C9" s="466" t="inlineStr">
        <is>
          <t>Sales Payroll</t>
        </is>
      </c>
      <c r="D9" s="466" t="inlineStr">
        <is>
          <t>−18% in Year 1</t>
        </is>
      </c>
      <c r="E9" s="466" t="inlineStr">
        <is>
          <t>LBO (not DCF)</t>
        </is>
      </c>
      <c r="F9" s="466" t="inlineStr">
        <is>
          <t>Assumptions_Drivers</t>
        </is>
      </c>
      <c r="G9" s="466" t="inlineStr">
        <is>
          <t>C7</t>
        </is>
      </c>
      <c r="H9" s="467" t="inlineStr">
        <is>
          <t>Go to Assumptions_Drivers!C7</t>
        </is>
      </c>
      <c r="I9" s="466" t="inlineStr">
        <is>
          <t>AI_Operating</t>
        </is>
      </c>
      <c r="J9" s="466" t="inlineStr">
        <is>
          <t>D7 (Sales payroll Y1)</t>
        </is>
      </c>
      <c r="K9" s="467" t="inlineStr">
        <is>
          <t>Go to AI_Operating!D7</t>
        </is>
      </c>
      <c r="L9" s="466" t="inlineStr">
        <is>
          <t>Payroll_Y1 = Assumptions_Drivers!C22 × (1 − C7). C7=18%. Baseline payroll = C22.</t>
        </is>
      </c>
      <c r="M9" s="468" t="inlineStr">
        <is>
          <t>Sales payroll cut 18% in Y1 — matches published US B2B SaaS net SDR headcount decline of 18% YoY (Assumptions_Drivers!C7). Synced from Drivers (was −15%).</t>
        </is>
      </c>
      <c r="N9" s="437" t="inlineStr">
        <is>
          <t>NO</t>
        </is>
      </c>
    </row>
    <row r="10" ht="78" customHeight="1" s="413">
      <c r="B10" s="466" t="n">
        <v>4</v>
      </c>
      <c r="C10" s="466" t="inlineStr">
        <is>
          <t>Variable Commissions</t>
        </is>
      </c>
      <c r="D10" s="466" t="inlineStr">
        <is>
          <t>−18% of baseline commission pool from Y1</t>
        </is>
      </c>
      <c r="E10" s="466" t="inlineStr">
        <is>
          <t>LBO (not DCF)</t>
        </is>
      </c>
      <c r="F10" s="466" t="inlineStr">
        <is>
          <t>Assumptions_Drivers</t>
        </is>
      </c>
      <c r="G10" s="466" t="inlineStr">
        <is>
          <t>C8</t>
        </is>
      </c>
      <c r="H10" s="467" t="inlineStr">
        <is>
          <t>Go to Assumptions_Drivers!C8</t>
        </is>
      </c>
      <c r="I10" s="466" t="inlineStr">
        <is>
          <t>AI_Operating</t>
        </is>
      </c>
      <c r="J10" s="466" t="inlineStr">
        <is>
          <t>D8:H8 (Commissions)</t>
        </is>
      </c>
      <c r="K10" s="467" t="inlineStr">
        <is>
          <t>Go to AI_Operating!D8</t>
        </is>
      </c>
      <c r="L10" s="466" t="inlineStr">
        <is>
          <t>Commissions_AI = Assumptions_Drivers!C23 × (1 − C8); Base keeps full C23 pool scaled with revenue.</t>
        </is>
      </c>
      <c r="M10" s="468" t="inlineStr">
        <is>
          <t>Rates decreased significantly starting in year one. Replacing human representatives with AI meant fewer outbound deals required traditional payouts, allowing the company to retain higher profit per sale.</t>
        </is>
      </c>
      <c r="N10" s="437" t="inlineStr">
        <is>
          <t>NO</t>
        </is>
      </c>
    </row>
    <row r="11" ht="78" customHeight="1" s="413">
      <c r="B11" s="466" t="n">
        <v>5</v>
      </c>
      <c r="C11" s="466" t="inlineStr">
        <is>
          <t>AI Infrastructure</t>
        </is>
      </c>
      <c r="D11" s="466" t="inlineStr">
        <is>
          <t>$24.5 million fixed / year</t>
        </is>
      </c>
      <c r="E11" s="466" t="inlineStr">
        <is>
          <t>LBO (not DCF)</t>
        </is>
      </c>
      <c r="F11" s="466" t="inlineStr">
        <is>
          <t>Assumptions_Drivers</t>
        </is>
      </c>
      <c r="G11" s="466" t="inlineStr">
        <is>
          <t>C9</t>
        </is>
      </c>
      <c r="H11" s="467" t="inlineStr">
        <is>
          <t>Go to Assumptions_Drivers!C9</t>
        </is>
      </c>
      <c r="I11" s="466" t="inlineStr">
        <is>
          <t>AI_Operating</t>
        </is>
      </c>
      <c r="J11" s="466" t="inlineStr">
        <is>
          <t>D10:H10 (AI infrastructure)</t>
        </is>
      </c>
      <c r="K11" s="467" t="inlineStr">
        <is>
          <t>Go to AI_Operating!D10</t>
        </is>
      </c>
      <c r="L11" s="466" t="inlineStr">
        <is>
          <t>AI_cost_t = Assumptions_Drivers!C9 each forecast year (AI case only). EBITDA reduces by this amount.</t>
        </is>
      </c>
      <c r="M11" s="468" t="inlineStr">
        <is>
          <t>A new fixed thirty-four million dollar expense was added. We included this vital change to cover enterprise software licenses, API usage limits, and compute power running the AI. SOURCE (LBOMODEL2): $34m triangulated from Salesforce Agentforce public pricing ($2/conversation; Flex Credits ~$0.10/action) and ZoomInfo 10-K S&amp;M headcount (1,513). Full math + clickable links: sheet Assumptions_Drivers (cols E–G). Primary link: https://www.salesforce.com/news/press-releases/2025/05/15/agentforce-flexible-pricing-news/</t>
        </is>
      </c>
      <c r="N11" s="437" t="inlineStr">
        <is>
          <t>NO</t>
        </is>
      </c>
    </row>
    <row r="12" ht="78" customHeight="1" s="413">
      <c r="B12" s="466" t="n">
        <v>6</v>
      </c>
      <c r="C12" s="466" t="inlineStr">
        <is>
          <t>Sales Growth (S&amp;M expense growth)</t>
        </is>
      </c>
      <c r="D12" s="466" t="inlineStr">
        <is>
          <t>2% per year from Year 2</t>
        </is>
      </c>
      <c r="E12" s="466" t="inlineStr">
        <is>
          <t>LBO (not DCF)</t>
        </is>
      </c>
      <c r="F12" s="466" t="inlineStr">
        <is>
          <t>Assumptions_Drivers</t>
        </is>
      </c>
      <c r="G12" s="466" t="inlineStr">
        <is>
          <t>C10</t>
        </is>
      </c>
      <c r="H12" s="467" t="inlineStr">
        <is>
          <t>Go to Assumptions_Drivers!C10</t>
        </is>
      </c>
      <c r="I12" s="466" t="inlineStr">
        <is>
          <t>AI_Operating</t>
        </is>
      </c>
      <c r="J12" s="466" t="inlineStr">
        <is>
          <t>E7:H7 / E8:H8 (payroll &amp; commissions Y2–Y5)</t>
        </is>
      </c>
      <c r="K12" s="467" t="inlineStr">
        <is>
          <t>Go to AI_Operating!E7</t>
        </is>
      </c>
      <c r="L12" s="466" t="inlineStr">
        <is>
          <t>For t≥2: Payroll_t = Payroll_{t-1} × (1 + Assumptions_Drivers!C10); same for commissions.</t>
        </is>
      </c>
      <c r="M12" s="468" t="inlineStr">
        <is>
          <t>Expense growth was permanently capped at two percent. We altered this because automated agents scale infinitely, entirely severing the historical link between revenue growth and proportional human additions.</t>
        </is>
      </c>
      <c r="N12" s="437" t="inlineStr">
        <is>
          <t>NO</t>
        </is>
      </c>
    </row>
    <row r="13" ht="78" customHeight="1" s="413">
      <c r="B13" s="466" t="n">
        <v>7</v>
      </c>
      <c r="C13" s="466" t="inlineStr">
        <is>
          <t>Administrative Costs (G&amp;A)</t>
        </is>
      </c>
      <c r="D13" s="466" t="inlineStr">
        <is>
          <t>18% of revenue</t>
        </is>
      </c>
      <c r="E13" s="466" t="inlineStr">
        <is>
          <t>LBO (not DCF)</t>
        </is>
      </c>
      <c r="F13" s="466" t="inlineStr">
        <is>
          <t>Assumptions_Drivers</t>
        </is>
      </c>
      <c r="G13" s="466" t="inlineStr">
        <is>
          <t>C11</t>
        </is>
      </c>
      <c r="H13" s="467" t="inlineStr">
        <is>
          <t>Go to Assumptions_Drivers!C11</t>
        </is>
      </c>
      <c r="I13" s="466" t="inlineStr">
        <is>
          <t>AI_Operating</t>
        </is>
      </c>
      <c r="J13" s="466" t="inlineStr">
        <is>
          <t>D12:H12 (G&amp;A)</t>
        </is>
      </c>
      <c r="K13" s="467" t="inlineStr">
        <is>
          <t>Go to AI_Operating!D12</t>
        </is>
      </c>
      <c r="L13" s="466" t="inlineStr">
        <is>
          <t>G&amp;A_t = Revenue_t × Assumptions_Drivers!C11. Identical % in AI and Base cases.</t>
        </is>
      </c>
      <c r="M13" s="468" t="inlineStr">
        <is>
          <t>G&amp;A = 18% of revenue (Assumptions_Drivers!C11 = Blossom 2025 SaaS median). Same % in AI and Base; not ZI filing ~24.3%.</t>
        </is>
      </c>
      <c r="N13" s="437" t="inlineStr">
        <is>
          <t>NO</t>
        </is>
      </c>
    </row>
    <row r="14" ht="78" customHeight="1" s="413">
      <c r="B14" s="466" t="n">
        <v>8</v>
      </c>
      <c r="C14" s="466" t="inlineStr">
        <is>
          <t>Capital Expenditures</t>
        </is>
      </c>
      <c r="D14" s="466" t="inlineStr">
        <is>
          <t>−8% vs baseline CapEx (18% SDR cut × ~43% S&amp;M share of HC)</t>
        </is>
      </c>
      <c r="E14" s="466" t="inlineStr">
        <is>
          <t>LBO (not DCF)</t>
        </is>
      </c>
      <c r="F14" s="466" t="inlineStr">
        <is>
          <t>Assumptions_Drivers</t>
        </is>
      </c>
      <c r="G14" s="466" t="inlineStr">
        <is>
          <t>C12</t>
        </is>
      </c>
      <c r="H14" s="467" t="inlineStr">
        <is>
          <t>Go to Assumptions_Drivers!C12</t>
        </is>
      </c>
      <c r="I14" s="466" t="inlineStr">
        <is>
          <t>AI_Operating</t>
        </is>
      </c>
      <c r="J14" s="466" t="inlineStr">
        <is>
          <t>D19:H19 (CapEx)</t>
        </is>
      </c>
      <c r="K14" s="467" t="inlineStr">
        <is>
          <t>Go to AI_Operating!D19</t>
        </is>
      </c>
      <c r="L14" s="466" t="inlineStr">
        <is>
          <t>CapEx_AI = Revenue_t × Assumptions_Drivers!C24 × (1 − C12); Base uses C24 only.</t>
        </is>
      </c>
      <c r="M14" s="468" t="inlineStr">
        <is>
          <t>Hardware spending was reduced by five percent. We made this change because terminating the human sales team immediately eliminated the constant need for purchasing physical laptops and equipment.</t>
        </is>
      </c>
      <c r="N14" s="437" t="inlineStr">
        <is>
          <t>NO</t>
        </is>
      </c>
    </row>
    <row r="15" ht="78" customHeight="1" s="413">
      <c r="B15" s="466" t="n">
        <v>9</v>
      </c>
      <c r="C15" s="466" t="inlineStr">
        <is>
          <t>AR / receivables improvement (DSO)</t>
        </is>
      </c>
      <c r="D15" s="466" t="inlineStr">
        <is>
          <t>10% of AR only (6/59 DSO) — NOT 10% of total NWC</t>
        </is>
      </c>
      <c r="E15" s="466" t="inlineStr">
        <is>
          <t>LBO (not DCF)</t>
        </is>
      </c>
      <c r="F15" s="466" t="inlineStr">
        <is>
          <t>Assumptions_Drivers</t>
        </is>
      </c>
      <c r="G15" s="466" t="inlineStr">
        <is>
          <t>C13</t>
        </is>
      </c>
      <c r="H15" s="467" t="inlineStr">
        <is>
          <t>Go to Assumptions_Drivers!C13</t>
        </is>
      </c>
      <c r="I15" s="466" t="inlineStr">
        <is>
          <t>AI_Operating</t>
        </is>
      </c>
      <c r="J15" s="466" t="inlineStr">
        <is>
          <t>D20:H20 (ΔNWC)</t>
        </is>
      </c>
      <c r="K15" s="467" t="inlineStr">
        <is>
          <t>Go to AI_Operating!D20</t>
        </is>
      </c>
      <c r="L15" s="466" t="inlineStr">
        <is>
          <t>ΔNWC ≈ ΔAR − ΔDeferred. ΔAR_AI = ΔRev × Assumptions_Drivers!C25 × (1 − C13); ΔDeferred = ΔRev × C26. C13 cuts Accounts Receivable only — it does not scale the entire NWC by 10%.</t>
        </is>
      </c>
      <c r="M15" s="468" t="inlineStr">
        <is>
          <t>Prior wrong math was ΔNWC_AI = ΔRev × WC_base × (1−C13), which cut all NWC 10%. Fixed: 10% applies only to the AR leg; deferred revenue is unchanged by C13.</t>
        </is>
      </c>
      <c r="N15" s="437" t="inlineStr">
        <is>
          <t>NO</t>
        </is>
      </c>
    </row>
    <row r="16" ht="78" customHeight="1" s="413">
      <c r="B16" s="466" t="n">
        <v>10</v>
      </c>
      <c r="C16" s="466" t="inlineStr">
        <is>
          <t>Term Loan A interest</t>
        </is>
      </c>
      <c r="D16" s="466" t="inlineStr">
        <is>
          <t>SOFR 4.30% + 4.00% (= 8.30%)</t>
        </is>
      </c>
      <c r="E16" s="466" t="inlineStr">
        <is>
          <t>LBO (not DCF)</t>
        </is>
      </c>
      <c r="F16" s="466" t="inlineStr">
        <is>
          <t>Assumptions_Drivers</t>
        </is>
      </c>
      <c r="G16" s="466" t="inlineStr">
        <is>
          <t>C14 / C15</t>
        </is>
      </c>
      <c r="H16" s="467" t="inlineStr">
        <is>
          <t>Go to Assumptions_Drivers!C14</t>
        </is>
      </c>
      <c r="I16" s="466" t="inlineStr">
        <is>
          <t>Debt_Sweep_AI</t>
        </is>
      </c>
      <c r="J16" s="466" t="inlineStr">
        <is>
          <t>C12 (TLA rate); Interest on AI_Operating!D17:H17</t>
        </is>
      </c>
      <c r="K16" s="467" t="inlineStr">
        <is>
          <t>Go to Debt_Sweep_AI!C12</t>
        </is>
      </c>
      <c r="L16" s="466" t="inlineStr">
        <is>
          <t>TLA_rate = Assumptions_Drivers!C14 + C15 (=C27). Interest_TLA = TLA_beg × TLA_rate.</t>
        </is>
      </c>
      <c r="M16" s="468" t="inlineStr">
        <is>
          <t>The interest rate remained static at SOFR plus four. This was unchanged because the macroeconomic lending environment and the base company credit profile strictly dictate senior pricing.</t>
        </is>
      </c>
      <c r="N16" s="437" t="inlineStr">
        <is>
          <t>NO</t>
        </is>
      </c>
    </row>
    <row r="17" ht="78" customHeight="1" s="413">
      <c r="B17" s="466" t="n">
        <v>11</v>
      </c>
      <c r="C17" s="466" t="inlineStr">
        <is>
          <t>Term Loan B interest</t>
        </is>
      </c>
      <c r="D17" s="466" t="inlineStr">
        <is>
          <t>SOFR 4.30% + 5.00% (= 9.30%)</t>
        </is>
      </c>
      <c r="E17" s="466" t="inlineStr">
        <is>
          <t>LBO (not DCF)</t>
        </is>
      </c>
      <c r="F17" s="466" t="inlineStr">
        <is>
          <t>Assumptions_Drivers</t>
        </is>
      </c>
      <c r="G17" s="466" t="inlineStr">
        <is>
          <t>C14 / C16</t>
        </is>
      </c>
      <c r="H17" s="467" t="inlineStr">
        <is>
          <t>Go to Assumptions_Drivers!C14</t>
        </is>
      </c>
      <c r="I17" s="466" t="inlineStr">
        <is>
          <t>Debt_Sweep_AI</t>
        </is>
      </c>
      <c r="J17" s="466" t="inlineStr">
        <is>
          <t>D12 (TLB rate); Interest on AI_Operating!D17:H17</t>
        </is>
      </c>
      <c r="K17" s="467" t="inlineStr">
        <is>
          <t>Go to Debt_Sweep_AI!D12</t>
        </is>
      </c>
      <c r="L17" s="466" t="inlineStr">
        <is>
          <t>TLB_rate = Assumptions_Drivers!C14 + C16 (=C28). Interest_TLB = TLB_beg × TLB_rate.</t>
        </is>
      </c>
      <c r="M17" s="468" t="inlineStr">
        <is>
          <t>Pricing was maintained exactly at SOFR plus five. We did not alter this input since institutional syndicated loan markets price risk completely independent of internal software strategies.</t>
        </is>
      </c>
      <c r="N17" s="437" t="inlineStr">
        <is>
          <t>NO</t>
        </is>
      </c>
    </row>
    <row r="18" ht="78" customHeight="1" s="413">
      <c r="B18" s="466" t="n">
        <v>12</v>
      </c>
      <c r="C18" s="466" t="inlineStr">
        <is>
          <t>Mandatory Amortization</t>
        </is>
      </c>
      <c r="D18" s="466" t="inlineStr">
        <is>
          <t>1% of initial principal / year</t>
        </is>
      </c>
      <c r="E18" s="466" t="inlineStr">
        <is>
          <t>LBO (not DCF)</t>
        </is>
      </c>
      <c r="F18" s="466" t="inlineStr">
        <is>
          <t>Assumptions_Drivers</t>
        </is>
      </c>
      <c r="G18" s="466" t="inlineStr">
        <is>
          <t>C17</t>
        </is>
      </c>
      <c r="H18" s="467" t="inlineStr">
        <is>
          <t>Go to Assumptions_Drivers!C17</t>
        </is>
      </c>
      <c r="I18" s="466" t="inlineStr">
        <is>
          <t>Debt_Sweep_AI</t>
        </is>
      </c>
      <c r="J18" s="466" t="inlineStr">
        <is>
          <t>D5:D9 (Mandatory 1%)</t>
        </is>
      </c>
      <c r="K18" s="467" t="inlineStr">
        <is>
          <t>Go to Debt_Sweep_AI!D5</t>
        </is>
      </c>
      <c r="L18" s="466" t="inlineStr">
        <is>
          <t>Mandatory_t = Initial_Debt × Assumptions_Drivers!C17 (floor paydown before optional sweep).</t>
        </is>
      </c>
      <c r="M18" s="468" t="inlineStr">
        <is>
          <t>Principal repayment schedules were held constant at one percent. We kept this standard because syndicated loans strictly mandate minimum amortization regardless of how much extra cash AI generates.</t>
        </is>
      </c>
      <c r="N18" s="437" t="inlineStr">
        <is>
          <t>NO</t>
        </is>
      </c>
    </row>
    <row r="19" ht="78" customHeight="1" s="413">
      <c r="B19" s="466" t="n">
        <v>13</v>
      </c>
      <c r="C19" s="466" t="inlineStr">
        <is>
          <t>Cash Sweep</t>
        </is>
      </c>
      <c r="D19" s="466" t="inlineStr">
        <is>
          <t>100% of excess cash to debt</t>
        </is>
      </c>
      <c r="E19" s="466" t="inlineStr">
        <is>
          <t>LBO (not DCF)</t>
        </is>
      </c>
      <c r="F19" s="466" t="inlineStr">
        <is>
          <t>Assumptions_Drivers</t>
        </is>
      </c>
      <c r="G19" s="466" t="inlineStr">
        <is>
          <t>C18</t>
        </is>
      </c>
      <c r="H19" s="467" t="inlineStr">
        <is>
          <t>Go to Assumptions_Drivers!C18</t>
        </is>
      </c>
      <c r="I19" s="466" t="inlineStr">
        <is>
          <t>Debt_Sweep_AI</t>
        </is>
      </c>
      <c r="J19" s="466" t="inlineStr">
        <is>
          <t>E5:E9 (Total paydown)</t>
        </is>
      </c>
      <c r="K19" s="467" t="inlineStr">
        <is>
          <t>Go to Debt_Sweep_AI!E5</t>
        </is>
      </c>
      <c r="L19" s="466" t="inlineStr">
        <is>
          <t>Optional_sweep_t = C18 × max(0, FCF_t − Mandatory_t); Debt_end = Debt_beg − Mandatory − Optional_sweep.</t>
        </is>
      </c>
      <c r="M19" s="468" t="inlineStr">
        <is>
          <t>One hundred percent of excess cash targets debt paydown. This remained unchanged to ensure all newly generated margins from AI savings aggressively reduce leverage and maximize sponsor returns.</t>
        </is>
      </c>
      <c r="N19" s="437" t="inlineStr">
        <is>
          <t>NO</t>
        </is>
      </c>
    </row>
    <row r="20" ht="78" customHeight="1" s="413">
      <c r="B20" s="466" t="n">
        <v>14</v>
      </c>
      <c r="C20" s="466" t="inlineStr">
        <is>
          <t>Tax Rate</t>
        </is>
      </c>
      <c r="D20" s="466" t="inlineStr">
        <is>
          <t>21%</t>
        </is>
      </c>
      <c r="E20" s="466" t="inlineStr">
        <is>
          <t>LBO (not DCF)</t>
        </is>
      </c>
      <c r="F20" s="466" t="inlineStr">
        <is>
          <t>Assumptions_Drivers</t>
        </is>
      </c>
      <c r="G20" s="466" t="inlineStr">
        <is>
          <t>C19</t>
        </is>
      </c>
      <c r="H20" s="467" t="inlineStr">
        <is>
          <t>Go to Assumptions_Drivers!C19</t>
        </is>
      </c>
      <c r="I20" s="466" t="inlineStr">
        <is>
          <t>AI_Operating</t>
        </is>
      </c>
      <c r="J20" s="466" t="inlineStr">
        <is>
          <t>D18:H18 (Net income)</t>
        </is>
      </c>
      <c r="K20" s="467" t="inlineStr">
        <is>
          <t>Go to AI_Operating!D18</t>
        </is>
      </c>
      <c r="L20" s="466" t="inlineStr">
        <is>
          <t>Tax_t = max(0, EBIT_t − Interest_t) × Assumptions_Drivers!C19; NI_t = EBT_t − Tax_t.</t>
        </is>
      </c>
      <c r="M20" s="468" t="inlineStr">
        <is>
          <t>The corporate tax rate remained steady at twenty one percent. We did not change this assumption because federal statutory tax obligations remain unaffected by internal operating margin improvements.</t>
        </is>
      </c>
      <c r="N20" s="437" t="inlineStr">
        <is>
          <t>NO</t>
        </is>
      </c>
    </row>
    <row r="21" ht="78" customHeight="1" s="413">
      <c r="B21" s="466" t="n">
        <v>15</v>
      </c>
      <c r="C21" s="466" t="inlineStr">
        <is>
          <t>Exit Multiple</t>
        </is>
      </c>
      <c r="D21" s="466" t="inlineStr">
        <is>
          <t>12.9x EV / EBITDA</t>
        </is>
      </c>
      <c r="E21" s="466" t="inlineStr">
        <is>
          <t>LBO (Ex LBO!D17; not DCF)</t>
        </is>
      </c>
      <c r="F21" s="466" t="inlineStr">
        <is>
          <t>Assumptions_Drivers</t>
        </is>
      </c>
      <c r="G21" s="466" t="inlineStr">
        <is>
          <t>C20</t>
        </is>
      </c>
      <c r="H21" s="467" t="inlineStr">
        <is>
          <t>Go to Assumptions_Drivers!C20</t>
        </is>
      </c>
      <c r="I21" s="466" t="inlineStr">
        <is>
          <t>LBO</t>
        </is>
      </c>
      <c r="J21" s="466" t="inlineStr">
        <is>
          <t>D17 (also Strategy_Summary!D10)</t>
        </is>
      </c>
      <c r="K21" s="467" t="inlineStr">
        <is>
          <t>Go to LBO!D17</t>
        </is>
      </c>
      <c r="L21" s="466" t="inlineStr">
        <is>
          <t>Exit_EV = Y5_EBITDA × Assumptions_Drivers!C20 (12.9x); Exit_Equity = Exit_EV − Debt_end; MOIC / IRR from that.</t>
        </is>
      </c>
      <c r="M21" s="468" t="inlineStr">
        <is>
          <t>Exit multiple 12.9x EV/EBITDA = Aventis private SaaS 1st quartile (Assumptions_Drivers!C20). Synced from Drivers (was 13.0x).</t>
        </is>
      </c>
      <c r="N21" s="437" t="inlineStr">
        <is>
          <t>NO</t>
        </is>
      </c>
    </row>
    <row r="22" ht="15" customHeight="1" s="413">
      <c r="B22" s="444" t="inlineStr">
        <is>
          <t>BASELINE POOLS (must match Assumptions_Drivers)</t>
        </is>
      </c>
    </row>
    <row r="23" ht="15" customHeight="1" s="413">
      <c r="B23" s="451" t="n">
        <v>16</v>
      </c>
      <c r="C23" s="412" t="inlineStr">
        <is>
          <t>S&amp;M baseline ($m)</t>
        </is>
      </c>
      <c r="D23" s="412" t="inlineStr">
        <is>
          <t>$414.1m</t>
        </is>
      </c>
      <c r="E23" s="412" t="inlineStr">
        <is>
          <t>LBO (not DCF)</t>
        </is>
      </c>
      <c r="F23" s="412" t="inlineStr">
        <is>
          <t>Assumptions_Drivers</t>
        </is>
      </c>
      <c r="G23" s="412" t="inlineStr">
        <is>
          <t>C21</t>
        </is>
      </c>
      <c r="H23" s="412" t="inlineStr">
        <is>
          <t>Go to Assumptions_Drivers!C21</t>
        </is>
      </c>
      <c r="M23" s="412" t="inlineStr">
        <is>
          <t>ZI FY24-derived (~35%×$1,214.3m near filing $414.1m)</t>
        </is>
      </c>
      <c r="N23" s="469" t="inlineStr">
        <is>
          <t>YES</t>
        </is>
      </c>
    </row>
    <row r="24" ht="15.75" customHeight="1" s="413">
      <c r="B24" s="449" t="n">
        <v>17</v>
      </c>
      <c r="C24" s="412" t="inlineStr">
        <is>
          <t>Payroll baseline ($m)</t>
        </is>
      </c>
      <c r="D24" s="412" t="inlineStr">
        <is>
          <t>$289.9m</t>
        </is>
      </c>
      <c r="E24" s="412" t="inlineStr">
        <is>
          <t>LBO (not DCF)</t>
        </is>
      </c>
      <c r="F24" s="412" t="inlineStr">
        <is>
          <t>Assumptions_Drivers</t>
        </is>
      </c>
      <c r="G24" s="412" t="inlineStr">
        <is>
          <t>C22</t>
        </is>
      </c>
      <c r="H24" s="412" t="inlineStr">
        <is>
          <t>Go to Assumptions_Drivers!C22</t>
        </is>
      </c>
      <c r="M24" s="412" t="inlineStr">
        <is>
          <t>75% × $425m FY24 S&amp;M carve</t>
        </is>
      </c>
      <c r="N24" s="469" t="inlineStr">
        <is>
          <t>YES</t>
        </is>
      </c>
    </row>
    <row r="25" ht="15" customHeight="1" s="413">
      <c r="B25" s="412" t="n">
        <v>18</v>
      </c>
      <c r="C25" s="412" t="inlineStr">
        <is>
          <t>Commission baseline ($m)</t>
        </is>
      </c>
      <c r="D25" s="412" t="inlineStr">
        <is>
          <t>$124.2m</t>
        </is>
      </c>
      <c r="E25" s="412" t="inlineStr">
        <is>
          <t>LBO (not DCF)</t>
        </is>
      </c>
      <c r="F25" s="412" t="inlineStr">
        <is>
          <t>Assumptions_Drivers</t>
        </is>
      </c>
      <c r="G25" s="412" t="inlineStr">
        <is>
          <t>C23</t>
        </is>
      </c>
      <c r="H25" s="412" t="inlineStr">
        <is>
          <t>Go to Assumptions_Drivers!C23</t>
        </is>
      </c>
      <c r="M25" s="412" t="inlineStr">
        <is>
          <t>25% × $425m FY24 S&amp;M carve</t>
        </is>
      </c>
      <c r="N25" s="469" t="inlineStr">
        <is>
          <t>YES</t>
        </is>
      </c>
    </row>
    <row r="26" ht="15" customHeight="1" s="413">
      <c r="B26" s="412" t="n">
        <v>19</v>
      </c>
      <c r="C26" s="412" t="inlineStr">
        <is>
          <t>CapEx base % of rev</t>
        </is>
      </c>
      <c r="D26" s="412" t="inlineStr">
        <is>
          <t>2.0%</t>
        </is>
      </c>
      <c r="E26" s="412" t="inlineStr">
        <is>
          <t>LBO (not DCF)</t>
        </is>
      </c>
      <c r="F26" s="412" t="inlineStr">
        <is>
          <t>Assumptions_Drivers</t>
        </is>
      </c>
      <c r="G26" s="412" t="inlineStr">
        <is>
          <t>C24</t>
        </is>
      </c>
      <c r="H26" s="412" t="inlineStr">
        <is>
          <t>Go to Assumptions_Drivers!C24</t>
        </is>
      </c>
      <c r="M26" s="412" t="inlineStr">
        <is>
          <t>External SaaS CapEx 1–3% midpoint</t>
        </is>
      </c>
      <c r="N26" s="470" t="inlineStr">
        <is>
          <t>NO</t>
        </is>
      </c>
    </row>
    <row r="27" ht="15" customHeight="1" s="413">
      <c r="B27" s="451" t="n">
        <v>20</v>
      </c>
      <c r="C27" s="412" t="inlineStr">
        <is>
          <t>AR intensity + Deferred rev % (NWC)</t>
        </is>
      </c>
      <c r="D27" s="412" t="inlineStr">
        <is>
          <t>AR 16.2% (C25) / Deferred 39.0% (C26); net ΔNWC rate ≈ −22.9% of Δrev</t>
        </is>
      </c>
      <c r="E27" s="412" t="inlineStr">
        <is>
          <t>LBO (not DCF)</t>
        </is>
      </c>
      <c r="F27" s="412" t="inlineStr">
        <is>
          <t>Assumptions_Drivers</t>
        </is>
      </c>
      <c r="G27" s="412" t="inlineStr">
        <is>
          <t>C25 / C26</t>
        </is>
      </c>
      <c r="H27" s="412" t="inlineStr">
        <is>
          <t>Go to Assumptions_Drivers!C25</t>
        </is>
      </c>
      <c r="J27" s="412" t="inlineStr">
        <is>
          <t>AI_Operating!D20:H20 (ΔNWC)</t>
        </is>
      </c>
      <c r="L27" s="412" t="inlineStr">
        <is>
          <t>ΔNWC_Base = ΔRev × (C25 − C26); ΔNWC_AI = ΔRev × (C25 × (1 − C13) − C26). C13 does not multiply the whole (C25−C26) net.</t>
        </is>
      </c>
      <c r="M27" s="412" t="inlineStr">
        <is>
          <t>MODEL CONST plug</t>
        </is>
      </c>
      <c r="N27" s="470" t="inlineStr">
        <is>
          <t>NO</t>
        </is>
      </c>
    </row>
    <row r="28" ht="90.75" customHeight="1" s="413">
      <c r="B28" s="471" t="inlineStr">
        <is>
          <t>#'Assumptions_Drivers'!E9</t>
        </is>
      </c>
    </row>
    <row r="29" ht="25.5" customHeight="1" s="413">
      <c r="B29" s="472" t="inlineStr">
        <is>
          <t>NOTE</t>
        </is>
      </c>
    </row>
    <row r="30" ht="409.5" customHeight="1" s="413">
      <c r="B30" s="471" t="inlineStr">
        <is>
          <t>NWC FIX: C13=10% cuts AR only (not entire NWC). ΔNWC≈ΔAR(C25)−ΔDeferred(C26). Old formula ΔRev×WCbase×(1−C13) removed from ops.</t>
        </is>
      </c>
    </row>
    <row r="31" ht="409.5" customHeight="1" s="413">
      <c r="B31" s="471" t="inlineStr">
        <is>
          <t>https://raw.githubusercontent.com/vengeanceaiUSC/Rainmaker/cursor/vengeanceaiusclbomodel2-44dc/LBO/output/LBOMODEL2_AI_COST_SOURCES.pdf</t>
        </is>
      </c>
    </row>
    <row r="32" ht="15" customHeight="1" s="413">
      <c r="B32" s="444" t="inlineStr">
        <is>
          <t>SOURCES / VERBATIM</t>
        </is>
      </c>
    </row>
    <row r="33" ht="409.5" customHeight="1" s="413">
      <c r="B33" s="473" t="inlineStr">
        <is>
          <t>Assumptions_Drivers: Col A Baseline Yes/No | Col E source | Cols I/J/K clickable Verbatim. PDF: https://raw.githubusercontent.com/vengeanceaiUSC/Rainmaker/cursor/vengeanceaiusclbomodel2-44dc/LBO/output/LBOMODEL2_DRIVER_SOURCES.pdf</t>
        </is>
      </c>
    </row>
    <row r="34" ht="84" customHeight="1" s="413">
      <c r="B34" s="427" t="inlineStr">
        <is>
          <t>#'Assumptions_Drivers'!E9</t>
        </is>
      </c>
    </row>
    <row r="35" ht="409.5" customHeight="1" s="413">
      <c r="B35" s="427" t="inlineStr">
        <is>
          <t>https://raw.githubusercontent.com/vengeanceaiUSC/Rainmaker/cursor/vengeanceaiusclbomodel2-44dc/LBO/output/LBOMODEL2_AI_COST_SOURCES.pdf</t>
        </is>
      </c>
    </row>
    <row r="37" ht="15" customHeight="1" s="413">
      <c r="B37" s="451" t="n"/>
    </row>
    <row r="38" ht="84" customHeight="1" s="413">
      <c r="B38" s="427" t="inlineStr">
        <is>
          <t>#'Assumptions_Drivers'!E9</t>
        </is>
      </c>
    </row>
    <row r="39" ht="409.5" customHeight="1" s="413">
      <c r="B39" s="427" t="inlineStr">
        <is>
          <t>https://raw.githubusercontent.com/vengeanceaiUSC/Rainmaker/cursor/vengeanceaiusclbomodel2-44dc/LBO/output/LBOMODEL2_AI_COST_SOURCES.pdf</t>
        </is>
      </c>
    </row>
    <row r="41" ht="15" customHeight="1" s="413">
      <c r="B41" s="451" t="n"/>
    </row>
    <row r="42" ht="84" customHeight="1" s="413">
      <c r="B42" s="427" t="inlineStr">
        <is>
          <t>#'Assumptions_Drivers'!E9</t>
        </is>
      </c>
    </row>
    <row r="43" ht="409.5" customHeight="1" s="413">
      <c r="B43" s="427" t="inlineStr">
        <is>
          <t>https://raw.githubusercontent.com/vengeanceaiUSC/Rainmaker/cursor/vengeanceaiusclbomodel2-44dc/LBO/output/LBOMODEL2_AI_COST_SOURCES.pdf</t>
        </is>
      </c>
    </row>
  </sheetData>
  <hyperlinks>
    <hyperlink xmlns:r="http://schemas.openxmlformats.org/officeDocument/2006/relationships" ref="B4" display="PDF: https://raw.githubusercontent.com/vengeanceaiUSC/Rainmaker/cursor/vengeanceaiusclbomodel2-44dc/LBO/output/LBOMODEL2_DRIVER_SOURCES.pdf" r:id="rId1"/>
    <hyperlink xmlns:r="http://schemas.openxmlformats.org/officeDocument/2006/relationships" ref="B29" display="NOTE" r:id="rId2"/>
    <hyperlink xmlns:r="http://schemas.openxmlformats.org/officeDocument/2006/relationships" ref="B30" display="NWC FIX: C13=10% cuts AR only (not entire NWC). ΔNWC≈ΔAR(C25)−ΔDeferred(C26). Old formula ΔRev×WCbase×(1−C13) removed from ops." r:id="rId3"/>
    <hyperlink xmlns:r="http://schemas.openxmlformats.org/officeDocument/2006/relationships" ref="B31" display="https://raw.githubusercontent.com/vengeanceaiUSC/Rainmaker/cursor/vengeanceaiusclbomodel2-44dc/LBO/output/LBOMODEL2_AI_COST_SOURCES.pdf" r:id="rId4"/>
    <hyperlink xmlns:r="http://schemas.openxmlformats.org/officeDocument/2006/relationships" ref="B35" display="https://raw.githubusercontent.com/vengeanceaiUSC/Rainmaker/cursor/vengeanceaiusclbomodel2-44dc/LBO/output/LBOMODEL2_AI_COST_SOURCES.pdf" r:id="rId5"/>
    <hyperlink xmlns:r="http://schemas.openxmlformats.org/officeDocument/2006/relationships" ref="B39" display="https://raw.githubusercontent.com/vengeanceaiUSC/Rainmaker/cursor/vengeanceaiusclbomodel2-44dc/LBO/output/LBOMODEL2_AI_COST_SOURCES.pdf" r:id="rId6"/>
    <hyperlink xmlns:r="http://schemas.openxmlformats.org/officeDocument/2006/relationships" ref="B43" display="https://raw.githubusercontent.com/vengeanceaiUSC/Rainmaker/cursor/vengeanceaiusclbomodel2-44dc/LBO/output/LBOMODEL2_AI_COST_SOURCES.pdf" r:id="rId7"/>
  </hyperlink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B2:H2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28" customWidth="1" style="412" min="2" max="2"/>
    <col width="16" customWidth="1" style="412" min="3" max="3"/>
    <col width="36" customWidth="1" style="412" min="4" max="4"/>
    <col width="26" customWidth="1" style="412" min="6" max="6"/>
    <col width="14" customWidth="1" style="412" min="7" max="7"/>
  </cols>
  <sheetData>
    <row r="2" ht="18" customHeight="1" s="413">
      <c r="B2" s="450" t="inlineStr">
        <is>
          <t>Debt sweep — TLA/TLB priced at SOFR+4 / SOFR+5; 1% mandatory + 100% cash sweep</t>
        </is>
      </c>
    </row>
    <row r="3" ht="15" customHeight="1" s="413">
      <c r="B3" s="412" t="inlineStr">
        <is>
          <t>Rates from Assumptions_Drivers!C14:C18</t>
        </is>
      </c>
    </row>
    <row r="4" ht="15" customHeight="1" s="413">
      <c r="B4" s="457" t="inlineStr">
        <is>
          <t>Year</t>
        </is>
      </c>
      <c r="C4" s="457" t="inlineStr">
        <is>
          <t>FCF</t>
        </is>
      </c>
      <c r="D4" s="457" t="inlineStr">
        <is>
          <t>Mandatory 1%</t>
        </is>
      </c>
      <c r="E4" s="457" t="inlineStr">
        <is>
          <t>Total paydown</t>
        </is>
      </c>
      <c r="F4" s="457" t="inlineStr">
        <is>
          <t>AI debt end</t>
        </is>
      </c>
      <c r="G4" s="457" t="inlineStr">
        <is>
          <t>Base debt end</t>
        </is>
      </c>
      <c r="H4" s="457" t="inlineStr">
        <is>
          <t>Extra paydown vs base</t>
        </is>
      </c>
    </row>
    <row r="5" ht="15" customHeight="1" s="413">
      <c r="B5" s="474" t="n">
        <v>2025</v>
      </c>
      <c r="C5" s="460" t="n">
        <v>123.046381068493</v>
      </c>
      <c r="D5" s="460" t="n">
        <v>9.154999999999999</v>
      </c>
      <c r="E5" s="460" t="n">
        <v>123.046381068493</v>
      </c>
      <c r="F5" s="460" t="n">
        <v>792.453618931507</v>
      </c>
      <c r="G5" s="460" t="n">
        <v>855.142705479452</v>
      </c>
      <c r="H5" s="460" t="n">
        <v>62.6890865479452</v>
      </c>
    </row>
    <row r="6" ht="15" customHeight="1" s="413">
      <c r="B6" s="474" t="n">
        <v>2026</v>
      </c>
      <c r="C6" s="460" t="n">
        <v>149.356011978579</v>
      </c>
      <c r="D6" s="460" t="n">
        <v>9.154999999999999</v>
      </c>
      <c r="E6" s="460" t="n">
        <v>149.356011978579</v>
      </c>
      <c r="F6" s="460" t="n">
        <v>643.097606952928</v>
      </c>
      <c r="G6" s="460" t="n">
        <v>782.867015787671</v>
      </c>
      <c r="H6" s="460" t="n">
        <v>139.769408834743</v>
      </c>
    </row>
    <row r="7" ht="15" customHeight="1" s="413">
      <c r="B7" s="474" t="n">
        <v>2027</v>
      </c>
      <c r="C7" s="460" t="n">
        <v>178.46379176061</v>
      </c>
      <c r="D7" s="460" t="n">
        <v>9.154999999999999</v>
      </c>
      <c r="E7" s="460" t="n">
        <v>178.46379176061</v>
      </c>
      <c r="F7" s="460" t="n">
        <v>464.633815192317</v>
      </c>
      <c r="G7" s="460" t="n">
        <v>697.338267139143</v>
      </c>
      <c r="H7" s="460" t="n">
        <v>232.704451946826</v>
      </c>
    </row>
    <row r="8" ht="15" customHeight="1" s="413">
      <c r="B8" s="474" t="n">
        <v>2028</v>
      </c>
      <c r="C8" s="460" t="n">
        <v>210.610065402539</v>
      </c>
      <c r="D8" s="460" t="n">
        <v>9.154999999999999</v>
      </c>
      <c r="E8" s="460" t="n">
        <v>210.610065402539</v>
      </c>
      <c r="F8" s="460" t="n">
        <v>254.023749789778</v>
      </c>
      <c r="G8" s="460" t="n">
        <v>599.095561906482</v>
      </c>
      <c r="H8" s="460" t="n">
        <v>345.071812116705</v>
      </c>
    </row>
    <row r="9" ht="15" customHeight="1" s="413">
      <c r="B9" s="474" t="n">
        <v>2029</v>
      </c>
      <c r="C9" s="460" t="n">
        <v>247.663282589115</v>
      </c>
      <c r="D9" s="460" t="n">
        <v>9.154999999999999</v>
      </c>
      <c r="E9" s="460" t="n">
        <v>247.663282589115</v>
      </c>
      <c r="F9" s="460" t="n">
        <v>6.36046720066304</v>
      </c>
      <c r="G9" s="460" t="n">
        <v>487.140399221267</v>
      </c>
      <c r="H9" s="460" t="n">
        <v>480.779932020604</v>
      </c>
    </row>
    <row r="11" ht="54.75" customHeight="1" s="413">
      <c r="B11" s="475" t="inlineStr">
        <is>
          <t>Principals — three different loans (not TLA pieces)</t>
        </is>
      </c>
      <c r="C11" s="421" t="inlineStr">
        <is>
          <t>457.75 = Term Loan A principal ($m). Senior bank loan, paid first, 2.5× EBITDA. Safest debt stack here.</t>
        </is>
      </c>
      <c r="D11" s="421" t="inlineStr">
        <is>
          <t>274.65 = Term Loan B principal ($m). Institutional loan below TLA, 1.5× EBITDA. Riskier than TLA, safer than Notes.</t>
        </is>
      </c>
      <c r="E11" s="421" t="inlineStr">
        <is>
          <t>183.1 = Senior Notes principal ($m). Bond-style tranche, 1.0× EBITDA. Junior to TLA and TLB in repayment priority.</t>
        </is>
      </c>
      <c r="F11" s="476" t="inlineStr">
        <is>
          <t>Label</t>
        </is>
      </c>
      <c r="G11" s="476" t="inlineStr">
        <is>
          <t>Amount ($m)</t>
        </is>
      </c>
    </row>
    <row r="12" ht="54.75" customHeight="1" s="413">
      <c r="B12" s="475" t="inlineStr">
        <is>
          <t>Rates — one interest rate per loan above</t>
        </is>
      </c>
      <c r="C12" s="477" t="inlineStr">
        <is>
          <t>8.3% = TLA interest rate (SOFR+4.0%). Lowest spread of the loans because TLA is the senior bank piece.</t>
        </is>
      </c>
      <c r="D12" s="477" t="inlineStr">
        <is>
          <t>9.3% = TLB interest rate (SOFR+5.0%). Higher than TLA because TLB lenders sit behind the bank loan.</t>
        </is>
      </c>
      <c r="E12" s="477" t="inlineStr">
        <is>
          <t>7.8% = Notes interest rate (SOFR+3.5%). Rate charged on the $183.1m Notes principal in the cell above.</t>
        </is>
      </c>
      <c r="F12" s="478" t="inlineStr">
        <is>
          <t>Term Loan A principal</t>
        </is>
      </c>
      <c r="G12" s="479" t="n">
        <v>457.75</v>
      </c>
    </row>
    <row r="13" ht="54.75" customHeight="1" s="413">
      <c r="B13" s="475" t="inlineStr">
        <is>
          <t>How they differ: each column is a separate loan (TLA, TLB, Notes), not pieces of one TLA. Left=most senior; right=most junior.</t>
        </is>
      </c>
      <c r="C13" s="421" t="inlineStr">
        <is>
          <t>TLA vs others: TLA is the bank term loan — first claim on cash for interest and paydown.</t>
        </is>
      </c>
      <c r="D13" s="421" t="inlineStr">
        <is>
          <t>TLB vs others: TLB is the next loan — usually higher rate and paid after TLA.</t>
        </is>
      </c>
      <c r="E13" s="421" t="inlineStr">
        <is>
          <t>Notes vs others: Notes are the third stack — smallest dollars here; not a TLA sub-tranche.</t>
        </is>
      </c>
      <c r="F13" s="478" t="inlineStr">
        <is>
          <t>Term Loan B principal</t>
        </is>
      </c>
      <c r="G13" s="479" t="n">
        <v>274.65</v>
      </c>
    </row>
    <row r="14" ht="21.75" customHeight="1" s="413">
      <c r="B14" s="480" t="n"/>
      <c r="F14" s="478" t="inlineStr">
        <is>
          <t>Senior Notes principal</t>
        </is>
      </c>
      <c r="G14" s="479" t="n">
        <v>183.1</v>
      </c>
    </row>
    <row r="15" ht="19.5" customHeight="1" s="413">
      <c r="B15" s="481" t="n"/>
      <c r="C15" s="481" t="n"/>
      <c r="F15" s="482" t="inlineStr">
        <is>
          <t>TOTAL DEBT</t>
        </is>
      </c>
      <c r="G15" s="483" t="n">
        <v>915.5</v>
      </c>
    </row>
    <row r="16" ht="19.5" customHeight="1" s="413">
      <c r="B16" s="484" t="n"/>
      <c r="C16" s="485" t="n"/>
      <c r="F16" s="486" t="inlineStr">
        <is>
          <t>Total debt = 457.75 + 274.65 + 183.10 = 915.50</t>
        </is>
      </c>
    </row>
    <row r="17" ht="19.5" customHeight="1" s="413">
      <c r="B17" s="484" t="n"/>
      <c r="C17" s="485" t="n"/>
    </row>
    <row r="18" ht="19.5" customHeight="1" s="413">
      <c r="B18" s="484" t="n"/>
      <c r="C18" s="485" t="n"/>
    </row>
    <row r="19" ht="19.5" customHeight="1" s="413">
      <c r="B19" s="484" t="n"/>
      <c r="C19" s="485" t="n"/>
    </row>
    <row r="20" ht="15" customHeight="1" s="413">
      <c r="B20" s="487" t="n"/>
      <c r="C20" s="488" t="n"/>
    </row>
    <row r="21" ht="15" customHeight="1" s="413">
      <c r="B21" s="489"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26" customWidth="1" style="412" min="2" max="2"/>
    <col width="12" customWidth="1" style="412" min="3" max="3"/>
  </cols>
  <sheetData>
    <row r="2" ht="18" customHeight="1" s="413">
      <c r="B2" s="450" t="inlineStr">
        <is>
          <t>Base case — no AI transformation</t>
        </is>
      </c>
    </row>
    <row r="3" ht="15" customHeight="1" s="413">
      <c r="B3" s="412" t="inlineStr">
        <is>
          <t>Driver cells: Assumptions_Drivers!C5:C20</t>
        </is>
      </c>
    </row>
    <row r="4" ht="15" customHeight="1" s="413">
      <c r="B4" s="457" t="inlineStr">
        <is>
          <t>Metric</t>
        </is>
      </c>
      <c r="C4" s="457" t="inlineStr">
        <is>
          <t>FY2024A</t>
        </is>
      </c>
      <c r="D4" s="457" t="inlineStr">
        <is>
          <t>Y1 2025</t>
        </is>
      </c>
      <c r="E4" s="457" t="inlineStr">
        <is>
          <t>Y2 2026</t>
        </is>
      </c>
      <c r="F4" s="457" t="inlineStr">
        <is>
          <t>Y3 2027</t>
        </is>
      </c>
      <c r="G4" s="457" t="inlineStr">
        <is>
          <t>Y4 2028</t>
        </is>
      </c>
      <c r="H4" s="457" t="inlineStr">
        <is>
          <t>Y5 2029</t>
        </is>
      </c>
    </row>
    <row r="5" ht="15" customHeight="1" s="413">
      <c r="B5" s="452" t="inlineStr">
        <is>
          <t>Revenue</t>
        </is>
      </c>
      <c r="C5" s="490" t="n">
        <v>1214.3</v>
      </c>
      <c r="D5" s="460" t="n">
        <v>1275.015</v>
      </c>
      <c r="E5" s="460" t="n">
        <v>1338.76575</v>
      </c>
      <c r="F5" s="460" t="n">
        <v>1405.7040375</v>
      </c>
      <c r="G5" s="460" t="n">
        <v>1475.989239375</v>
      </c>
      <c r="H5" s="460" t="n">
        <v>1549.78870134375</v>
      </c>
    </row>
    <row r="6" ht="15" customHeight="1" s="413">
      <c r="B6" s="452" t="inlineStr">
        <is>
          <t>COGS</t>
        </is>
      </c>
      <c r="C6" s="490" t="n">
        <v>242.86</v>
      </c>
      <c r="D6" s="460" t="n">
        <v>255.003</v>
      </c>
      <c r="E6" s="460" t="n">
        <v>267.75315</v>
      </c>
      <c r="F6" s="460" t="n">
        <v>281.1408075</v>
      </c>
      <c r="G6" s="460" t="n">
        <v>295.197847875</v>
      </c>
      <c r="H6" s="460" t="n">
        <v>309.95774026875</v>
      </c>
    </row>
    <row r="7" ht="15" customHeight="1" s="413">
      <c r="B7" s="452" t="inlineStr">
        <is>
          <t>Sales payroll (human)</t>
        </is>
      </c>
      <c r="C7" s="490" t="n">
        <v>289.9</v>
      </c>
      <c r="D7" s="460" t="n">
        <v>304.395</v>
      </c>
      <c r="E7" s="460" t="n">
        <v>319.61475</v>
      </c>
      <c r="F7" s="460" t="n">
        <v>335.5954875</v>
      </c>
      <c r="G7" s="460" t="n">
        <v>352.375261875</v>
      </c>
      <c r="H7" s="460" t="n">
        <v>369.99402496875</v>
      </c>
    </row>
    <row r="8" ht="15" customHeight="1" s="413">
      <c r="B8" s="452" t="inlineStr">
        <is>
          <t>Variable commissions</t>
        </is>
      </c>
      <c r="C8" s="490" t="n">
        <v>124.2</v>
      </c>
      <c r="D8" s="460" t="n">
        <v>130.41</v>
      </c>
      <c r="E8" s="460" t="n">
        <v>136.9305</v>
      </c>
      <c r="F8" s="460" t="n">
        <v>143.777025</v>
      </c>
      <c r="G8" s="460" t="n">
        <v>150.96587625</v>
      </c>
      <c r="H8" s="460" t="n">
        <v>158.5141700625</v>
      </c>
    </row>
    <row r="9" ht="15" customHeight="1" s="413">
      <c r="B9" s="452" t="inlineStr">
        <is>
          <t>S&amp;M human total</t>
        </is>
      </c>
      <c r="C9" s="490" t="n">
        <v>414.1</v>
      </c>
      <c r="D9" s="460" t="n">
        <v>434.805</v>
      </c>
      <c r="E9" s="460" t="n">
        <v>456.54525</v>
      </c>
      <c r="F9" s="460" t="n">
        <v>479.3725125</v>
      </c>
      <c r="G9" s="460" t="n">
        <v>503.341138125</v>
      </c>
      <c r="H9" s="460" t="n">
        <v>528.50819503125</v>
      </c>
    </row>
    <row r="10" ht="15" customHeight="1" s="413">
      <c r="B10" s="452" t="inlineStr">
        <is>
          <t>AI infrastructure</t>
        </is>
      </c>
      <c r="C10" s="490" t="n">
        <v>0</v>
      </c>
      <c r="D10" s="460" t="n">
        <v>0</v>
      </c>
      <c r="E10" s="460" t="n">
        <v>0</v>
      </c>
      <c r="F10" s="460" t="n">
        <v>0</v>
      </c>
      <c r="G10" s="460" t="n">
        <v>0</v>
      </c>
      <c r="H10" s="460" t="n">
        <v>0</v>
      </c>
    </row>
    <row r="11" ht="15" customHeight="1" s="413">
      <c r="B11" s="452" t="inlineStr">
        <is>
          <t>R&amp;D</t>
        </is>
      </c>
      <c r="C11" s="490" t="n">
        <v>196.1</v>
      </c>
      <c r="D11" s="460" t="n">
        <v>205.905</v>
      </c>
      <c r="E11" s="460" t="n">
        <v>216.20025</v>
      </c>
      <c r="F11" s="460" t="n">
        <v>227.0102625</v>
      </c>
      <c r="G11" s="460" t="n">
        <v>238.360775625</v>
      </c>
      <c r="H11" s="460" t="n">
        <v>250.27881440625</v>
      </c>
    </row>
    <row r="12" ht="15" customHeight="1" s="413">
      <c r="B12" s="452" t="inlineStr">
        <is>
          <t>G&amp;A (admin)</t>
        </is>
      </c>
      <c r="C12" s="490" t="n">
        <v>218.574</v>
      </c>
      <c r="D12" s="460" t="n">
        <v>229.5027</v>
      </c>
      <c r="E12" s="460" t="n">
        <v>240.977835</v>
      </c>
      <c r="F12" s="460" t="n">
        <v>253.02672675</v>
      </c>
      <c r="G12" s="460" t="n">
        <v>265.6780630875</v>
      </c>
      <c r="H12" s="460" t="n">
        <v>278.961966241875</v>
      </c>
    </row>
    <row r="13" ht="15" customHeight="1" s="413">
      <c r="B13" s="452" t="inlineStr">
        <is>
          <t>EBITDA</t>
        </is>
      </c>
      <c r="C13" s="490" t="n">
        <v>183.1</v>
      </c>
      <c r="D13" s="460" t="n">
        <v>149.7993</v>
      </c>
      <c r="E13" s="460" t="n">
        <v>157.289265</v>
      </c>
      <c r="F13" s="460" t="n">
        <v>165.15372825</v>
      </c>
      <c r="G13" s="460" t="n">
        <v>173.4114146625</v>
      </c>
      <c r="H13" s="460" t="n">
        <v>182.081985395625</v>
      </c>
    </row>
    <row r="14" ht="15" customHeight="1" s="413">
      <c r="B14" s="452" t="inlineStr">
        <is>
          <t>EBITDA margin</t>
        </is>
      </c>
      <c r="C14" s="491" t="n">
        <v>0.150786461335749</v>
      </c>
      <c r="D14" s="458" t="n">
        <v>0.117488264843943</v>
      </c>
      <c r="E14" s="458" t="n">
        <v>0.117488264843943</v>
      </c>
      <c r="F14" s="458" t="n">
        <v>0.117488264843943</v>
      </c>
      <c r="G14" s="458" t="n">
        <v>0.117488264843943</v>
      </c>
      <c r="H14" s="458" t="n">
        <v>0.117488264843943</v>
      </c>
    </row>
    <row r="15" ht="15" customHeight="1" s="413">
      <c r="B15" s="452" t="inlineStr">
        <is>
          <t>D&amp;A</t>
        </is>
      </c>
      <c r="C15" s="490" t="n">
        <v>85.7</v>
      </c>
      <c r="D15" s="460" t="n">
        <v>89.985</v>
      </c>
      <c r="E15" s="460" t="n">
        <v>94.48425</v>
      </c>
      <c r="F15" s="460" t="n">
        <v>99.2084625</v>
      </c>
      <c r="G15" s="460" t="n">
        <v>104.168885625</v>
      </c>
      <c r="H15" s="460" t="n">
        <v>109.37732990625</v>
      </c>
    </row>
    <row r="16" ht="15" customHeight="1" s="413">
      <c r="B16" s="452" t="inlineStr">
        <is>
          <t>EBIT</t>
        </is>
      </c>
      <c r="C16" s="490" t="n">
        <v>97.40000000000001</v>
      </c>
      <c r="D16" s="460" t="n">
        <v>59.8143000000001</v>
      </c>
      <c r="E16" s="460" t="n">
        <v>62.805015</v>
      </c>
      <c r="F16" s="460" t="n">
        <v>65.9452657500002</v>
      </c>
      <c r="G16" s="460" t="n">
        <v>69.24252903750011</v>
      </c>
      <c r="H16" s="460" t="n">
        <v>72.7046554893752</v>
      </c>
    </row>
    <row r="17" ht="15" customHeight="1" s="413">
      <c r="B17" s="452" t="inlineStr">
        <is>
          <t>Interest</t>
        </is>
      </c>
      <c r="D17" s="460" t="n">
        <v>77.8175</v>
      </c>
      <c r="E17" s="460" t="n">
        <v>72.8078445547945</v>
      </c>
      <c r="F17" s="460" t="n">
        <v>66.8089623103767</v>
      </c>
      <c r="G17" s="460" t="n">
        <v>59.7100761725489</v>
      </c>
      <c r="H17" s="460" t="n">
        <v>51.555931638238</v>
      </c>
    </row>
    <row r="18" ht="15" customHeight="1" s="413">
      <c r="B18" s="452" t="inlineStr">
        <is>
          <t>Net income</t>
        </is>
      </c>
      <c r="D18" s="460" t="n">
        <v>-18.0031999999999</v>
      </c>
      <c r="E18" s="460" t="n">
        <v>-10.0028295547945</v>
      </c>
      <c r="F18" s="460" t="n">
        <v>-0.863696560376482</v>
      </c>
      <c r="G18" s="460" t="n">
        <v>7.53063776331147</v>
      </c>
      <c r="H18" s="460" t="n">
        <v>16.7074918423983</v>
      </c>
    </row>
    <row r="19" ht="15" customHeight="1" s="413">
      <c r="B19" s="452" t="inlineStr">
        <is>
          <t>CapEx</t>
        </is>
      </c>
      <c r="D19" s="460" t="n">
        <v>25.5003</v>
      </c>
      <c r="E19" s="460" t="n">
        <v>26.775315</v>
      </c>
      <c r="F19" s="460" t="n">
        <v>28.11408075</v>
      </c>
      <c r="G19" s="460" t="n">
        <v>29.5197847875</v>
      </c>
      <c r="H19" s="460" t="n">
        <v>30.995774026875</v>
      </c>
    </row>
    <row r="20" ht="15" customHeight="1" s="413">
      <c r="B20" s="452" t="inlineStr">
        <is>
          <t>ΔNWC</t>
        </is>
      </c>
      <c r="D20" s="460" t="n">
        <v>-13.875794520548</v>
      </c>
      <c r="E20" s="460" t="n">
        <v>-14.5695842465754</v>
      </c>
      <c r="F20" s="460" t="n">
        <v>-15.2980634589041</v>
      </c>
      <c r="G20" s="460" t="n">
        <v>-16.0629666318493</v>
      </c>
      <c r="H20" s="460" t="n">
        <v>-16.8661149634418</v>
      </c>
    </row>
    <row r="21" ht="15" customHeight="1" s="413">
      <c r="B21" s="452" t="inlineStr">
        <is>
          <t>FCF after interest</t>
        </is>
      </c>
      <c r="D21" s="460" t="n">
        <v>60.3572945205481</v>
      </c>
      <c r="E21" s="460" t="n">
        <v>72.2756896917809</v>
      </c>
      <c r="F21" s="460" t="n">
        <v>85.5287486485277</v>
      </c>
      <c r="G21" s="460" t="n">
        <v>98.2427052326608</v>
      </c>
      <c r="H21" s="460" t="n">
        <v>111.955162685215</v>
      </c>
    </row>
    <row r="22" ht="15" customHeight="1" s="413">
      <c r="B22" s="452" t="inlineStr">
        <is>
          <t>Mandatory amort</t>
        </is>
      </c>
      <c r="D22" s="460" t="n">
        <v>9.154999999999999</v>
      </c>
      <c r="E22" s="460" t="n">
        <v>9.154999999999999</v>
      </c>
      <c r="F22" s="460" t="n">
        <v>9.154999999999999</v>
      </c>
      <c r="G22" s="460" t="n">
        <v>9.154999999999999</v>
      </c>
      <c r="H22" s="460" t="n">
        <v>9.154999999999999</v>
      </c>
    </row>
    <row r="23" ht="15" customHeight="1" s="413">
      <c r="B23" s="452" t="inlineStr">
        <is>
          <t>Total debt paydown</t>
        </is>
      </c>
      <c r="D23" s="460" t="n">
        <v>60.3572945205481</v>
      </c>
      <c r="E23" s="460" t="n">
        <v>72.2756896917809</v>
      </c>
      <c r="F23" s="460" t="n">
        <v>85.5287486485277</v>
      </c>
      <c r="G23" s="460" t="n">
        <v>98.2427052326608</v>
      </c>
      <c r="H23" s="460" t="n">
        <v>111.955162685215</v>
      </c>
    </row>
    <row r="24" ht="15" customHeight="1" s="413">
      <c r="B24" s="452" t="inlineStr">
        <is>
          <t>Debt end</t>
        </is>
      </c>
      <c r="C24" s="490" t="n">
        <v>1329.9</v>
      </c>
      <c r="D24" s="460" t="n">
        <v>855.142705479452</v>
      </c>
      <c r="E24" s="460" t="n">
        <v>782.867015787671</v>
      </c>
      <c r="F24" s="460" t="n">
        <v>697.338267139143</v>
      </c>
      <c r="G24" s="460" t="n">
        <v>599.095561906482</v>
      </c>
      <c r="H24" s="460" t="n">
        <v>487.140399221267</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B2:H2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26" customWidth="1" style="412" min="2" max="2"/>
    <col width="12" customWidth="1" style="412" min="3" max="3"/>
  </cols>
  <sheetData>
    <row r="2" ht="18" customHeight="1" s="413">
      <c r="B2" s="450" t="inlineStr">
        <is>
          <t>AI-SDR case — drivers from Assumptions_Drivers</t>
        </is>
      </c>
    </row>
    <row r="3" ht="15" customHeight="1" s="413">
      <c r="B3" s="412" t="inlineStr">
        <is>
          <t>Driver cells: Assumptions_Drivers!C5:C20</t>
        </is>
      </c>
    </row>
    <row r="4" ht="15" customHeight="1" s="413">
      <c r="B4" s="457" t="inlineStr">
        <is>
          <t>Metric</t>
        </is>
      </c>
      <c r="C4" s="457" t="inlineStr">
        <is>
          <t>FY2024A</t>
        </is>
      </c>
      <c r="D4" s="457" t="inlineStr">
        <is>
          <t>Y1 2025</t>
        </is>
      </c>
      <c r="E4" s="457" t="inlineStr">
        <is>
          <t>Y2 2026</t>
        </is>
      </c>
      <c r="F4" s="457" t="inlineStr">
        <is>
          <t>Y3 2027</t>
        </is>
      </c>
      <c r="G4" s="457" t="inlineStr">
        <is>
          <t>Y4 2028</t>
        </is>
      </c>
      <c r="H4" s="457" t="inlineStr">
        <is>
          <t>Y5 2029</t>
        </is>
      </c>
    </row>
    <row r="5" ht="15" customHeight="1" s="413">
      <c r="B5" s="452" t="inlineStr">
        <is>
          <t>Revenue</t>
        </is>
      </c>
      <c r="C5" s="490" t="n">
        <v>1214.3</v>
      </c>
      <c r="D5" s="460" t="n">
        <v>1275.015</v>
      </c>
      <c r="E5" s="460" t="n">
        <v>1338.76575</v>
      </c>
      <c r="F5" s="460" t="n">
        <v>1405.7040375</v>
      </c>
      <c r="G5" s="460" t="n">
        <v>1475.989239375</v>
      </c>
      <c r="H5" s="460" t="n">
        <v>1549.78870134375</v>
      </c>
    </row>
    <row r="6" ht="15" customHeight="1" s="413">
      <c r="B6" s="452" t="inlineStr">
        <is>
          <t>COGS</t>
        </is>
      </c>
      <c r="C6" s="490" t="n">
        <v>242.86</v>
      </c>
      <c r="D6" s="460" t="n">
        <v>255.003</v>
      </c>
      <c r="E6" s="460" t="n">
        <v>267.75315</v>
      </c>
      <c r="F6" s="460" t="n">
        <v>281.1408075</v>
      </c>
      <c r="G6" s="460" t="n">
        <v>295.197847875</v>
      </c>
      <c r="H6" s="460" t="n">
        <v>309.95774026875</v>
      </c>
    </row>
    <row r="7" ht="15" customHeight="1" s="413">
      <c r="B7" s="452" t="inlineStr">
        <is>
          <t>Sales payroll (human)</t>
        </is>
      </c>
      <c r="C7" s="490" t="n">
        <v>289.9</v>
      </c>
      <c r="D7" s="460" t="n">
        <v>237.718</v>
      </c>
      <c r="E7" s="460" t="n">
        <v>242.47236</v>
      </c>
      <c r="F7" s="460" t="n">
        <v>247.3218072</v>
      </c>
      <c r="G7" s="460" t="n">
        <v>252.268243344</v>
      </c>
      <c r="H7" s="460" t="n">
        <v>257.31360821088</v>
      </c>
    </row>
    <row r="8" ht="15" customHeight="1" s="413">
      <c r="B8" s="452" t="inlineStr">
        <is>
          <t>Variable commissions</t>
        </is>
      </c>
      <c r="C8" s="490" t="n">
        <v>124.2</v>
      </c>
      <c r="D8" s="460" t="n">
        <v>101.844</v>
      </c>
      <c r="E8" s="460" t="n">
        <v>103.88088</v>
      </c>
      <c r="F8" s="460" t="n">
        <v>105.9584976</v>
      </c>
      <c r="G8" s="460" t="n">
        <v>108.077667552</v>
      </c>
      <c r="H8" s="460" t="n">
        <v>110.23922090304</v>
      </c>
    </row>
    <row r="9" ht="15" customHeight="1" s="413">
      <c r="B9" s="452" t="inlineStr">
        <is>
          <t>S&amp;M human total</t>
        </is>
      </c>
      <c r="C9" s="490" t="n">
        <v>414.1</v>
      </c>
      <c r="D9" s="460" t="n">
        <v>339.562</v>
      </c>
      <c r="E9" s="460" t="n">
        <v>346.35324</v>
      </c>
      <c r="F9" s="460" t="n">
        <v>353.2803048</v>
      </c>
      <c r="G9" s="460" t="n">
        <v>360.345910896</v>
      </c>
      <c r="H9" s="460" t="n">
        <v>367.55282911392</v>
      </c>
    </row>
    <row r="10" ht="15" customHeight="1" s="413">
      <c r="B10" s="452" t="inlineStr">
        <is>
          <t>AI infrastructure</t>
        </is>
      </c>
      <c r="C10" s="490" t="n">
        <v>0</v>
      </c>
      <c r="D10" s="460" t="n">
        <v>24.5</v>
      </c>
      <c r="E10" s="460" t="n">
        <v>24.5</v>
      </c>
      <c r="F10" s="460" t="n">
        <v>24.5</v>
      </c>
      <c r="G10" s="460" t="n">
        <v>24.5</v>
      </c>
      <c r="H10" s="460" t="n">
        <v>24.5</v>
      </c>
    </row>
    <row r="11" ht="15" customHeight="1" s="413">
      <c r="B11" s="452" t="inlineStr">
        <is>
          <t>R&amp;D</t>
        </is>
      </c>
      <c r="C11" s="490" t="n">
        <v>196.1</v>
      </c>
      <c r="D11" s="460" t="n">
        <v>205.905</v>
      </c>
      <c r="E11" s="460" t="n">
        <v>216.20025</v>
      </c>
      <c r="F11" s="460" t="n">
        <v>227.0102625</v>
      </c>
      <c r="G11" s="460" t="n">
        <v>238.360775625</v>
      </c>
      <c r="H11" s="460" t="n">
        <v>250.27881440625</v>
      </c>
    </row>
    <row r="12" ht="15" customHeight="1" s="413">
      <c r="B12" s="452" t="inlineStr">
        <is>
          <t>G&amp;A (admin)</t>
        </is>
      </c>
      <c r="C12" s="490" t="n">
        <v>218.574</v>
      </c>
      <c r="D12" s="460" t="n">
        <v>229.5027</v>
      </c>
      <c r="E12" s="460" t="n">
        <v>240.977835</v>
      </c>
      <c r="F12" s="460" t="n">
        <v>253.02672675</v>
      </c>
      <c r="G12" s="460" t="n">
        <v>265.6780630875</v>
      </c>
      <c r="H12" s="460" t="n">
        <v>278.961966241875</v>
      </c>
    </row>
    <row r="13" ht="15" customHeight="1" s="413">
      <c r="B13" s="452" t="inlineStr">
        <is>
          <t>EBITDA</t>
        </is>
      </c>
      <c r="C13" s="490" t="n">
        <v>183.1</v>
      </c>
      <c r="D13" s="460" t="n">
        <v>220.5423</v>
      </c>
      <c r="E13" s="460" t="n">
        <v>242.981275</v>
      </c>
      <c r="F13" s="460" t="n">
        <v>266.74593595</v>
      </c>
      <c r="G13" s="460" t="n">
        <v>291.9066418915</v>
      </c>
      <c r="H13" s="460" t="n">
        <v>318.537351312955</v>
      </c>
    </row>
    <row r="14" ht="15" customHeight="1" s="413">
      <c r="B14" s="452" t="inlineStr">
        <is>
          <t>EBITDA margin</t>
        </is>
      </c>
      <c r="C14" s="491" t="n">
        <v>0.150786461335749</v>
      </c>
      <c r="D14" s="458" t="n">
        <v>0.17297231797273</v>
      </c>
      <c r="E14" s="458" t="n">
        <v>0.181496482861173</v>
      </c>
      <c r="F14" s="458" t="n">
        <v>0.189759671192522</v>
      </c>
      <c r="G14" s="458" t="n">
        <v>0.197770169391686</v>
      </c>
      <c r="H14" s="458" t="n">
        <v>0.205535987607063</v>
      </c>
    </row>
    <row r="15" ht="15" customHeight="1" s="413">
      <c r="B15" s="452" t="inlineStr">
        <is>
          <t>D&amp;A</t>
        </is>
      </c>
      <c r="C15" s="490" t="n">
        <v>85.7</v>
      </c>
      <c r="D15" s="460" t="n">
        <v>89.985</v>
      </c>
      <c r="E15" s="460" t="n">
        <v>94.48425</v>
      </c>
      <c r="F15" s="460" t="n">
        <v>99.2084625</v>
      </c>
      <c r="G15" s="460" t="n">
        <v>104.168885625</v>
      </c>
      <c r="H15" s="460" t="n">
        <v>109.37732990625</v>
      </c>
    </row>
    <row r="16" ht="15" customHeight="1" s="413">
      <c r="B16" s="452" t="inlineStr">
        <is>
          <t>EBIT</t>
        </is>
      </c>
      <c r="C16" s="490" t="n">
        <v>97.40000000000001</v>
      </c>
      <c r="D16" s="460" t="n">
        <v>130.5573</v>
      </c>
      <c r="E16" s="460" t="n">
        <v>148.497025</v>
      </c>
      <c r="F16" s="460" t="n">
        <v>167.53747345</v>
      </c>
      <c r="G16" s="460" t="n">
        <v>187.7377562665</v>
      </c>
      <c r="H16" s="460" t="n">
        <v>209.160021406705</v>
      </c>
    </row>
    <row r="17" ht="15" customHeight="1" s="413">
      <c r="B17" s="452" t="inlineStr">
        <is>
          <t>Interest</t>
        </is>
      </c>
      <c r="D17" s="460" t="n">
        <v>77.8175</v>
      </c>
      <c r="E17" s="460" t="n">
        <v>67.6046503713151</v>
      </c>
      <c r="F17" s="460" t="n">
        <v>55.208101377093</v>
      </c>
      <c r="G17" s="460" t="n">
        <v>40.3956066609623</v>
      </c>
      <c r="H17" s="460" t="n">
        <v>20.8777087304493</v>
      </c>
    </row>
    <row r="18" ht="15" customHeight="1" s="413">
      <c r="B18" s="452" t="inlineStr">
        <is>
          <t>Net income</t>
        </is>
      </c>
      <c r="D18" s="460" t="n">
        <v>41.6644420000001</v>
      </c>
      <c r="E18" s="460" t="n">
        <v>63.9049759566613</v>
      </c>
      <c r="F18" s="460" t="n">
        <v>88.7402039375967</v>
      </c>
      <c r="G18" s="460" t="n">
        <v>116.400298188375</v>
      </c>
      <c r="H18" s="460" t="n">
        <v>148.743027014242</v>
      </c>
    </row>
    <row r="19" ht="15" customHeight="1" s="413">
      <c r="B19" s="452" t="inlineStr">
        <is>
          <t>CapEx</t>
        </is>
      </c>
      <c r="D19" s="460" t="n">
        <v>23.460276</v>
      </c>
      <c r="E19" s="460" t="n">
        <v>24.6332898</v>
      </c>
      <c r="F19" s="460" t="n">
        <v>25.86495429</v>
      </c>
      <c r="G19" s="460" t="n">
        <v>27.1582020045</v>
      </c>
      <c r="H19" s="460" t="n">
        <v>28.516112104725</v>
      </c>
    </row>
    <row r="20" ht="15" customHeight="1" s="413">
      <c r="B20" s="452" t="inlineStr">
        <is>
          <t>ΔNWC</t>
        </is>
      </c>
      <c r="D20" s="460" t="n">
        <v>-14.8572150684932</v>
      </c>
      <c r="E20" s="460" t="n">
        <v>-15.6000758219178</v>
      </c>
      <c r="F20" s="460" t="n">
        <v>-16.3800796130137</v>
      </c>
      <c r="G20" s="460" t="n">
        <v>-17.1990835936644</v>
      </c>
      <c r="H20" s="460" t="n">
        <v>-18.0590377733476</v>
      </c>
    </row>
    <row r="21" ht="15" customHeight="1" s="413">
      <c r="B21" s="452" t="inlineStr">
        <is>
          <t>FCF after interest</t>
        </is>
      </c>
      <c r="D21" s="460" t="n">
        <v>123.046381068493</v>
      </c>
      <c r="E21" s="460" t="n">
        <v>149.356011978579</v>
      </c>
      <c r="F21" s="460" t="n">
        <v>178.46379176061</v>
      </c>
      <c r="G21" s="460" t="n">
        <v>210.610065402539</v>
      </c>
      <c r="H21" s="460" t="n">
        <v>247.663282589115</v>
      </c>
    </row>
    <row r="22" ht="15" customHeight="1" s="413">
      <c r="B22" s="452" t="inlineStr">
        <is>
          <t>Mandatory amort</t>
        </is>
      </c>
      <c r="D22" s="460" t="n">
        <v>9.154999999999999</v>
      </c>
      <c r="E22" s="460" t="n">
        <v>9.154999999999999</v>
      </c>
      <c r="F22" s="460" t="n">
        <v>9.154999999999999</v>
      </c>
      <c r="G22" s="460" t="n">
        <v>9.154999999999999</v>
      </c>
      <c r="H22" s="460" t="n">
        <v>9.154999999999999</v>
      </c>
    </row>
    <row r="23" ht="15" customHeight="1" s="413">
      <c r="B23" s="452" t="inlineStr">
        <is>
          <t>Total debt paydown</t>
        </is>
      </c>
      <c r="D23" s="460" t="n">
        <v>123.046381068493</v>
      </c>
      <c r="E23" s="460" t="n">
        <v>149.356011978579</v>
      </c>
      <c r="F23" s="460" t="n">
        <v>178.46379176061</v>
      </c>
      <c r="G23" s="460" t="n">
        <v>210.610065402539</v>
      </c>
      <c r="H23" s="460" t="n">
        <v>247.663282589115</v>
      </c>
    </row>
    <row r="24" ht="15" customHeight="1" s="413">
      <c r="B24" s="452" t="inlineStr">
        <is>
          <t>Debt end</t>
        </is>
      </c>
      <c r="C24" s="490" t="n">
        <v>1329.9</v>
      </c>
      <c r="D24" s="460" t="n">
        <v>792.453618931507</v>
      </c>
      <c r="E24" s="460" t="n">
        <v>643.097606952928</v>
      </c>
      <c r="F24" s="460" t="n">
        <v>464.633815192317</v>
      </c>
      <c r="G24" s="460" t="n">
        <v>254.023749789778</v>
      </c>
      <c r="H24" s="460" t="n">
        <v>6.36046720066304</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B2:M4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sheetData>
    <row r="2" ht="15" customHeight="1" s="413">
      <c r="B2" s="412" t="inlineStr">
        <is>
          <t>vengeanceaiUSC-LBOMODEL4 — ZoomInfo (GTM) AI-SDR take-private</t>
        </is>
      </c>
    </row>
    <row r="8" ht="26.25" customHeight="1" s="413">
      <c r="B8" s="492" t="inlineStr">
        <is>
          <t>LBO Model Sample Template</t>
        </is>
      </c>
      <c r="C8" s="493" t="n"/>
      <c r="D8" s="493" t="n"/>
      <c r="E8" s="494" t="n"/>
      <c r="F8" s="494" t="n"/>
      <c r="G8" s="494" t="n"/>
      <c r="H8" s="494" t="n"/>
      <c r="I8" s="494" t="n"/>
      <c r="J8" s="494" t="n"/>
      <c r="K8" s="494" t="n"/>
      <c r="L8" s="494" t="n"/>
      <c r="M8" s="494" t="n"/>
    </row>
    <row r="11" ht="822" customHeight="1" s="413">
      <c r="B11" s="495" t="inlineStr">
        <is>
          <t>Sample Modeling Template: The enclosed models are proprietary to Wall Street Prep and are designed for illustrative and training purposes only.  Distributing, sharing, duplicating or altering these models in any way is prohibited without the written consent of Wall Street Prep, Inc.  For more information about our training programs, please contact us at 800-646-3575 or visit us online at wallstreetprep.com.</t>
        </is>
      </c>
    </row>
    <row r="40" ht="15" customHeight="1" s="413">
      <c r="B40" s="412" t="inlineStr">
        <is>
          <t>Open Strategy_Summary first — AI vs Base IRR and 500+ bps check</t>
        </is>
      </c>
    </row>
    <row r="41" ht="15" customHeight="1" s="413">
      <c r="B41" s="412" t="inlineStr">
        <is>
          <t>AI IRR 16.9% vs Base 5.8% → +11.1 IRR points from AI S&amp;M</t>
        </is>
      </c>
    </row>
    <row r="42" ht="15" customHeight="1" s="413">
      <c r="B42" s="412" t="inlineStr">
        <is>
          <t>Y2 margin expansion 566 bps (target ≥500)</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39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73" customWidth="1" style="412" min="1" max="1"/>
    <col width="44.18" customWidth="1" style="412" min="2" max="2"/>
    <col width="15.73" customWidth="1" style="412" min="3" max="3"/>
    <col width="48" customWidth="1" style="412" min="5" max="5"/>
    <col width="12.82" customWidth="1" style="412" min="11" max="11"/>
    <col width="56" customWidth="1" style="412" min="12" max="12"/>
    <col width="9.18" customWidth="1" style="412" min="13" max="13"/>
  </cols>
  <sheetData>
    <row r="1" ht="15.75" customHeight="1" s="413">
      <c r="A1" s="496" t="inlineStr">
        <is>
          <t>GTM scrub: financing fees now on GTM principals; trans fee 2%×GTM offer; exit uses AI_Operating Y5 EBITDA + ~12.9x band; purchase price=H17; years retargeted off BMC 2011–2018. Deep IS/CF hist lines may still be template leftovers — operating thesis is AI_Operating / Debt_Sweep_AI.</t>
        </is>
      </c>
    </row>
    <row r="2" ht="27" customHeight="1" s="413">
      <c r="B2" s="497" t="inlineStr">
        <is>
          <t>Leveraged buyout model for ZoomInfo (GTM) — vengeanceaiUSC-LBOMODEL4 AI-SDR</t>
        </is>
      </c>
      <c r="C2" s="498" t="n"/>
      <c r="D2" s="498" t="n"/>
      <c r="E2" s="498" t="n"/>
      <c r="F2" s="498" t="n"/>
      <c r="G2" s="498" t="n"/>
      <c r="H2" s="498" t="n"/>
      <c r="I2" s="498" t="n"/>
      <c r="J2" s="498" t="n"/>
    </row>
    <row r="3" ht="15" customHeight="1" s="413">
      <c r="B3" s="499" t="inlineStr">
        <is>
          <t>$ mm except per share</t>
        </is>
      </c>
      <c r="C3" s="500" t="n"/>
    </row>
    <row r="4" ht="15" customHeight="1" s="413">
      <c r="B4" s="501" t="n"/>
      <c r="D4" s="500" t="n"/>
    </row>
    <row r="5" ht="15" customHeight="1" s="413">
      <c r="B5" s="502" t="inlineStr">
        <is>
          <t>GENERAL INPUTS</t>
        </is>
      </c>
      <c r="C5" s="493" t="n"/>
      <c r="D5" s="493" t="n"/>
      <c r="F5" s="503" t="inlineStr">
        <is>
          <t>INITIAL VALUATION</t>
        </is>
      </c>
      <c r="G5" s="493" t="n"/>
      <c r="H5" s="493" t="n"/>
      <c r="I5" s="493" t="n"/>
      <c r="J5" s="493" t="n"/>
    </row>
    <row r="6" ht="15" customHeight="1" s="413">
      <c r="B6" s="504" t="inlineStr">
        <is>
          <t>Company name</t>
        </is>
      </c>
      <c r="D6" s="505" t="inlineStr">
        <is>
          <t>ZoomInfo Technologies Inc.</t>
        </is>
      </c>
    </row>
    <row r="7" ht="15" customHeight="1" s="413">
      <c r="B7" s="504" t="inlineStr">
        <is>
          <t>Ticker (if applicable)</t>
        </is>
      </c>
      <c r="D7" s="505" t="inlineStr">
        <is>
          <t>GTM</t>
        </is>
      </c>
      <c r="F7" s="506" t="inlineStr">
        <is>
          <t>Select a valuation approach:</t>
        </is>
      </c>
      <c r="H7" s="507" t="n">
        <v>1</v>
      </c>
      <c r="I7" s="508" t="n">
        <v>1</v>
      </c>
      <c r="J7" s="509" t="n">
        <v>2</v>
      </c>
    </row>
    <row r="8" ht="15" customHeight="1" s="413">
      <c r="B8" s="504" t="inlineStr">
        <is>
          <t>Current share price (if applicable)</t>
        </is>
      </c>
      <c r="D8" s="510" t="n">
        <v>4.05</v>
      </c>
      <c r="H8" s="511" t="inlineStr">
        <is>
          <t>Explicit offer/share</t>
        </is>
      </c>
      <c r="I8" s="512" t="inlineStr">
        <is>
          <t>Explicit EBITDA</t>
        </is>
      </c>
      <c r="J8" s="512" t="inlineStr">
        <is>
          <t>Explicit offer/share</t>
        </is>
      </c>
    </row>
    <row r="9" ht="15" customHeight="1" s="413">
      <c r="B9" s="504" t="inlineStr">
        <is>
          <t>Latest closing share price date (f applicable)</t>
        </is>
      </c>
      <c r="D9" s="513" t="n">
        <v>45884</v>
      </c>
      <c r="E9" s="514" t="inlineStr">
        <is>
          <t>Modeled entry/close date set to 2025 (not calendar 2026) so Y1 2025 → exit YE 2029 is a clean 5-year hold.</t>
        </is>
      </c>
    </row>
    <row r="10" ht="15" customHeight="1" s="413">
      <c r="B10" s="504" t="inlineStr">
        <is>
          <t>Circuit breaker:</t>
        </is>
      </c>
      <c r="D10" s="515" t="inlineStr">
        <is>
          <t>OFF</t>
        </is>
      </c>
      <c r="F10" s="516" t="inlineStr">
        <is>
          <t>LTM EBITDA</t>
        </is>
      </c>
      <c r="H10" s="517" t="n">
        <v>183.1</v>
      </c>
      <c r="I10" s="517" t="n">
        <v>183.1</v>
      </c>
      <c r="J10" s="517" t="n">
        <v>183.1</v>
      </c>
    </row>
    <row r="11" ht="15" customHeight="1" s="413">
      <c r="F11" s="516" t="inlineStr">
        <is>
          <t>EV / LTM EBITDA</t>
        </is>
      </c>
      <c r="H11" s="518" t="n">
        <v>14.78</v>
      </c>
      <c r="I11" s="519" t="n">
        <v>14.78</v>
      </c>
      <c r="J11" s="518" t="n">
        <v>14.78</v>
      </c>
    </row>
    <row r="12" ht="15" customHeight="1" s="413">
      <c r="B12" s="502" t="inlineStr">
        <is>
          <t xml:space="preserve">SELECT FINANCIAL DATA / ASSMUPTIONS </t>
        </is>
      </c>
      <c r="C12" s="493" t="n"/>
      <c r="D12" s="502" t="n"/>
      <c r="F12" s="520" t="inlineStr">
        <is>
          <t>Enterprise value</t>
        </is>
      </c>
      <c r="H12" s="521" t="n">
        <v>2705.6759</v>
      </c>
      <c r="I12" s="521" t="n">
        <v>2705.6759</v>
      </c>
      <c r="J12" s="521" t="n">
        <v>2705.6759</v>
      </c>
    </row>
    <row r="13" ht="15" customHeight="1" s="413">
      <c r="B13" s="504" t="inlineStr">
        <is>
          <t>EBITDA (LTM)</t>
        </is>
      </c>
      <c r="D13" s="522" t="n">
        <v>183.1</v>
      </c>
    </row>
    <row r="14" ht="15" customHeight="1" s="413">
      <c r="B14" s="504" t="inlineStr">
        <is>
          <t>Gross Debt (input as a -)</t>
        </is>
      </c>
      <c r="D14" s="523" t="n">
        <v>-1329.9</v>
      </c>
      <c r="F14" s="504" t="inlineStr">
        <is>
          <t>Less: Gross Debt (latest filing)</t>
        </is>
      </c>
      <c r="H14" s="524" t="n">
        <v>-1329.9</v>
      </c>
      <c r="I14" s="524" t="n">
        <v>-1329.9</v>
      </c>
      <c r="J14" s="524" t="n">
        <v>-1329.9</v>
      </c>
    </row>
    <row r="15" ht="15" customHeight="1" s="413">
      <c r="B15" s="504" t="inlineStr">
        <is>
          <t>Cash</t>
        </is>
      </c>
      <c r="D15" s="523" t="n">
        <v>179.9</v>
      </c>
      <c r="F15" s="504" t="inlineStr">
        <is>
          <t>Plus: Cash (latest filing)</t>
        </is>
      </c>
      <c r="H15" s="524" t="n">
        <v>179.9</v>
      </c>
      <c r="I15" s="524" t="n">
        <v>179.9</v>
      </c>
      <c r="J15" s="524" t="n">
        <v>179.9</v>
      </c>
    </row>
    <row r="16" ht="15" customHeight="1" s="413">
      <c r="B16" s="525" t="inlineStr">
        <is>
          <t>Minimum cash desired</t>
        </is>
      </c>
      <c r="D16" s="523" t="n">
        <v>50</v>
      </c>
    </row>
    <row r="17" ht="15" customHeight="1" s="413">
      <c r="B17" s="504" t="inlineStr">
        <is>
          <t>EV / LTM EBITDA multiple at exit</t>
        </is>
      </c>
      <c r="D17" s="526" t="n">
        <v>12.9</v>
      </c>
      <c r="F17" s="520" t="inlineStr">
        <is>
          <t>Offer value</t>
        </is>
      </c>
      <c r="H17" s="521" t="n">
        <v>1555.6759</v>
      </c>
      <c r="I17" s="521" t="n">
        <v>1555.6759</v>
      </c>
      <c r="J17" s="521" t="n">
        <v>1555.6759</v>
      </c>
    </row>
    <row r="18" ht="15" customHeight="1" s="413">
      <c r="C18" s="527" t="n"/>
      <c r="F18" s="412" t="inlineStr">
        <is>
          <t>Diluted shares outstanding</t>
        </is>
      </c>
      <c r="H18" s="528" t="n">
        <v>307.294</v>
      </c>
      <c r="I18" s="522" t="n">
        <v>307.294</v>
      </c>
      <c r="J18" s="522" t="n">
        <v>307.294</v>
      </c>
      <c r="K18" s="529" t="n"/>
      <c r="L18" s="529" t="n"/>
    </row>
    <row r="19" ht="15" customHeight="1" s="413">
      <c r="B19" s="503" t="inlineStr">
        <is>
          <t>USES OF FUNDS</t>
        </is>
      </c>
      <c r="C19" s="493" t="n"/>
      <c r="D19" s="493" t="n"/>
      <c r="K19" s="529" t="n"/>
      <c r="L19" s="529" t="n"/>
    </row>
    <row r="20" ht="15" customHeight="1" s="413">
      <c r="B20" s="525" t="inlineStr">
        <is>
          <t>Buyout of equity</t>
        </is>
      </c>
      <c r="D20" s="530" t="n">
        <v>1555.7</v>
      </c>
      <c r="E20" s="531" t="n"/>
      <c r="F20" s="520" t="inlineStr">
        <is>
          <t>Offer value / per share</t>
        </is>
      </c>
      <c r="H20" s="532" t="n">
        <v>5.0625</v>
      </c>
      <c r="I20" s="532" t="n">
        <v>5.0625</v>
      </c>
      <c r="J20" s="533" t="n">
        <v>5.0625</v>
      </c>
      <c r="K20" s="529" t="n"/>
      <c r="L20" s="529" t="n"/>
    </row>
    <row r="21" ht="15" customHeight="1" s="413">
      <c r="B21" s="525" t="inlineStr">
        <is>
          <t>Refinancing of oldco debt</t>
        </is>
      </c>
      <c r="D21" s="530" t="n">
        <v>1329.9</v>
      </c>
      <c r="E21" s="531" t="n"/>
      <c r="F21" s="534" t="inlineStr">
        <is>
          <t>% Premium / discount</t>
        </is>
      </c>
      <c r="H21" s="531" t="n">
        <v>0.25</v>
      </c>
      <c r="I21" s="531" t="n">
        <v>0.25</v>
      </c>
      <c r="J21" s="531" t="n">
        <v>0.25</v>
      </c>
      <c r="K21" s="529" t="n"/>
      <c r="L21" s="529" t="n"/>
    </row>
    <row r="22" ht="15" customHeight="1" s="413">
      <c r="B22" s="525" t="inlineStr">
        <is>
          <t>Fees (transaction &amp; financing)</t>
        </is>
      </c>
      <c r="D22" s="535">
        <f>H33+H36</f>
        <v/>
      </c>
      <c r="E22" s="536" t="inlineStr">
        <is>
          <t>Fees = GTM financing (∑ %×principal ≈ $12.8m) + transaction 2%×offer ≈ $31.1m → ≈ $43.9m. Prior ~$69.7m financing used BMC loan notionals.</t>
        </is>
      </c>
      <c r="H22" s="534" t="n"/>
      <c r="J22" s="537" t="n"/>
      <c r="K22" s="529" t="n"/>
      <c r="L22" s="529" t="n"/>
    </row>
    <row r="23" ht="15" customHeight="1" s="413">
      <c r="B23" s="538" t="inlineStr">
        <is>
          <t>Total Uses</t>
        </is>
      </c>
      <c r="D23" s="521">
        <f>D20+D21+D22</f>
        <v/>
      </c>
      <c r="H23" s="534" t="n"/>
      <c r="J23" s="537" t="n"/>
      <c r="K23" s="529" t="n"/>
      <c r="L23" s="529" t="n"/>
    </row>
    <row r="24" ht="15" customHeight="1" s="413">
      <c r="C24" s="527" t="n"/>
      <c r="H24" s="534" t="n"/>
      <c r="J24" s="537" t="n"/>
      <c r="K24" s="529" t="n"/>
      <c r="L24" s="529" t="n"/>
    </row>
    <row r="25" ht="15" customHeight="1" s="413">
      <c r="B25" s="503" t="inlineStr">
        <is>
          <t>SOURCES OF FUNDS</t>
        </is>
      </c>
      <c r="C25" s="493" t="n"/>
      <c r="D25" s="493" t="n"/>
      <c r="E25" s="530" t="n"/>
      <c r="F25" s="502" t="inlineStr">
        <is>
          <t>FEES</t>
        </is>
      </c>
      <c r="G25" s="493" t="n"/>
      <c r="H25" s="493" t="n"/>
      <c r="I25" s="493" t="n"/>
      <c r="J25" s="493" t="n"/>
    </row>
    <row r="26" ht="16.5" customHeight="1" s="413">
      <c r="C26" s="539" t="inlineStr">
        <is>
          <t>EBITDA turns</t>
        </is>
      </c>
      <c r="D26" s="539" t="inlineStr">
        <is>
          <t>$ investment</t>
        </is>
      </c>
      <c r="G26" s="540" t="inlineStr">
        <is>
          <t>% fees</t>
        </is>
      </c>
      <c r="H26" s="540" t="inlineStr">
        <is>
          <t>Fee</t>
        </is>
      </c>
      <c r="I26" s="540" t="inlineStr">
        <is>
          <t>Term</t>
        </is>
      </c>
      <c r="J26" s="540" t="inlineStr">
        <is>
          <t>Fee amort / year</t>
        </is>
      </c>
    </row>
    <row r="27" ht="48" customHeight="1" s="413">
      <c r="B27" s="504" t="inlineStr">
        <is>
          <t>Excess cash</t>
        </is>
      </c>
      <c r="C27" s="541" t="n">
        <v>0.7094</v>
      </c>
      <c r="D27" s="530" t="n">
        <v>129.9</v>
      </c>
      <c r="E27" s="542" t="inlineStr">
        <is>
          <t>Side note: Excess cash comes directly from the target company. In an LBO model, it represents existing balance sheet cash above minimum operating needs, utilized to help fund the transaction.</t>
        </is>
      </c>
      <c r="F27" s="506" t="inlineStr">
        <is>
          <t>Financing fees</t>
        </is>
      </c>
    </row>
    <row r="28" ht="15" customHeight="1" s="413">
      <c r="B28" s="504" t="inlineStr">
        <is>
          <t>Revolver</t>
        </is>
      </c>
      <c r="C28" s="543" t="n">
        <v>0</v>
      </c>
      <c r="D28" s="530" t="n">
        <v>0</v>
      </c>
      <c r="F28" s="525" t="inlineStr">
        <is>
          <t>Revolver</t>
        </is>
      </c>
      <c r="G28" s="544" t="n">
        <v>0.01</v>
      </c>
      <c r="H28" s="524">
        <f>G28*D28</f>
        <v/>
      </c>
      <c r="I28" s="545" t="n">
        <v>5</v>
      </c>
      <c r="J28" s="546">
        <f>IF(OR(I28="",I28=0),0,H28/I28)</f>
        <v/>
      </c>
    </row>
    <row r="29" ht="15" customHeight="1" s="413">
      <c r="B29" s="525" t="inlineStr">
        <is>
          <t>Term Loan A</t>
        </is>
      </c>
      <c r="C29" s="543" t="n">
        <v>2.5</v>
      </c>
      <c r="D29" s="530" t="n">
        <v>457.8</v>
      </c>
      <c r="F29" s="525" t="inlineStr">
        <is>
          <t>Term Loan A</t>
        </is>
      </c>
      <c r="G29" s="544" t="n">
        <v>0.015</v>
      </c>
      <c r="H29" s="524">
        <f>G29*D29</f>
        <v/>
      </c>
      <c r="I29" s="545" t="n">
        <v>7</v>
      </c>
      <c r="J29" s="546">
        <f>IF(OR(I29="",I29=0),0,H29/I29)</f>
        <v/>
      </c>
    </row>
    <row r="30" ht="15" customHeight="1" s="413">
      <c r="B30" s="525" t="inlineStr">
        <is>
          <t>Term Loan B</t>
        </is>
      </c>
      <c r="C30" s="543" t="n">
        <v>1.5</v>
      </c>
      <c r="D30" s="530" t="n">
        <v>274.7</v>
      </c>
      <c r="F30" s="525" t="inlineStr">
        <is>
          <t>Term Loan B</t>
        </is>
      </c>
      <c r="G30" s="544" t="n">
        <v>0.015</v>
      </c>
      <c r="H30" s="524">
        <f>G30*D30</f>
        <v/>
      </c>
      <c r="I30" s="545" t="n">
        <v>7</v>
      </c>
      <c r="J30" s="546">
        <f>IF(OR(I30="",I30=0),0,H30/I30)</f>
        <v/>
      </c>
      <c r="P30" s="538" t="n"/>
      <c r="R30" s="547" t="n"/>
    </row>
    <row r="31" ht="15" customHeight="1" s="413">
      <c r="B31" s="525" t="inlineStr">
        <is>
          <t>Senior Note</t>
        </is>
      </c>
      <c r="C31" s="543" t="n">
        <v>1</v>
      </c>
      <c r="D31" s="530" t="n">
        <v>183.1</v>
      </c>
      <c r="F31" s="525" t="inlineStr">
        <is>
          <t>Senior Note</t>
        </is>
      </c>
      <c r="G31" s="544" t="n">
        <v>0.01</v>
      </c>
      <c r="H31" s="524">
        <f>G31*D31</f>
        <v/>
      </c>
      <c r="I31" s="545" t="n">
        <v>8</v>
      </c>
      <c r="J31" s="546">
        <f>IF(OR(I31="",I31=0),0,H31/I31)</f>
        <v/>
      </c>
      <c r="P31" s="538" t="n"/>
      <c r="R31" s="547" t="n"/>
    </row>
    <row r="32" ht="15" customHeight="1" s="413">
      <c r="B32" s="525" t="inlineStr">
        <is>
          <t>Sub Note</t>
        </is>
      </c>
      <c r="C32" s="543" t="n">
        <v>0</v>
      </c>
      <c r="D32" s="530" t="n">
        <v>0</v>
      </c>
      <c r="F32" s="525" t="inlineStr">
        <is>
          <t>Sub Note</t>
        </is>
      </c>
      <c r="G32" s="544" t="n">
        <v>0</v>
      </c>
      <c r="H32" s="548">
        <f>G32*D32</f>
        <v/>
      </c>
      <c r="I32" s="545" t="n"/>
      <c r="J32" s="549" t="inlineStr">
        <is>
          <t>NM</t>
        </is>
      </c>
      <c r="P32" s="538" t="n"/>
      <c r="R32" s="547" t="n"/>
    </row>
    <row r="33" ht="15" customHeight="1" s="413">
      <c r="B33" s="525" t="inlineStr">
        <is>
          <t>Preferred stock</t>
        </is>
      </c>
      <c r="C33" s="543" t="n">
        <v>0</v>
      </c>
      <c r="D33" s="530" t="n">
        <v>0</v>
      </c>
      <c r="F33" s="550" t="inlineStr">
        <is>
          <t>Financing fees</t>
        </is>
      </c>
      <c r="H33" s="521">
        <f>SUM(H28:H32)</f>
        <v/>
      </c>
      <c r="I33" s="551" t="n"/>
      <c r="J33" s="552">
        <f>SUM(J28:J32)</f>
        <v/>
      </c>
      <c r="P33" s="538" t="n"/>
      <c r="R33" s="547" t="n"/>
    </row>
    <row r="34" ht="15" customHeight="1" s="413">
      <c r="B34" s="525" t="inlineStr">
        <is>
          <t>Mgmt rollover</t>
        </is>
      </c>
      <c r="C34" s="543" t="n">
        <v>0</v>
      </c>
      <c r="D34" s="530" t="n">
        <v>0</v>
      </c>
      <c r="H34" s="547" t="n"/>
      <c r="P34" s="538" t="n"/>
      <c r="R34" s="547" t="n"/>
    </row>
    <row r="35" ht="54.75" customHeight="1" s="413">
      <c r="B35" s="525" t="inlineStr">
        <is>
          <t>Sponsor equity</t>
        </is>
      </c>
      <c r="C35" s="541">
        <f>IF(D13=0,0,D35/D13)</f>
        <v/>
      </c>
      <c r="D35" s="548">
        <f>D23-SUM(D27:D34)</f>
        <v/>
      </c>
      <c r="E35" s="542" t="inlineStr">
        <is>
          <t>Side note: Sponsor equity ≈ $1,884.0m (≈10.29x LTM EBITDA $183.1m, not exit). D35 plugs so Sources = Uses.</t>
        </is>
      </c>
      <c r="F35" s="525" t="n"/>
      <c r="G35" s="540" t="inlineStr">
        <is>
          <t>% of offer value</t>
        </is>
      </c>
      <c r="H35" s="540" t="inlineStr">
        <is>
          <t>Fee</t>
        </is>
      </c>
      <c r="P35" s="538" t="n"/>
      <c r="R35" s="547" t="n"/>
    </row>
    <row r="36" ht="15" customHeight="1" s="413">
      <c r="B36" s="553" t="inlineStr">
        <is>
          <t>Total Sources</t>
        </is>
      </c>
      <c r="C36" s="554">
        <f>SUM(C27:C35)</f>
        <v/>
      </c>
      <c r="D36" s="521">
        <f>SUM(D27:D35)</f>
        <v/>
      </c>
      <c r="F36" s="550" t="inlineStr">
        <is>
          <t>Trans. fees</t>
        </is>
      </c>
      <c r="G36" s="527" t="n">
        <v>0.02</v>
      </c>
      <c r="H36" s="521">
        <f>G36*H17</f>
        <v/>
      </c>
    </row>
    <row r="37" ht="15" customHeight="1" s="413">
      <c r="E37" s="412">
        <f>IF(ABS(H37)&lt;0.01,"BALANCED","MISMATCH")</f>
        <v/>
      </c>
      <c r="F37" s="412" t="inlineStr">
        <is>
          <t>Sources − Uses (should be 0)</t>
        </is>
      </c>
      <c r="H37" s="518">
        <f>D36-D23</f>
        <v/>
      </c>
    </row>
    <row r="38" ht="15" customHeight="1" s="413">
      <c r="A38" s="412" t="inlineStr">
        <is>
          <t>x</t>
        </is>
      </c>
      <c r="B38" s="502" t="inlineStr">
        <is>
          <t>INCOME STATEMENT</t>
        </is>
      </c>
      <c r="C38" s="555" t="n"/>
      <c r="D38" s="493" t="n"/>
      <c r="E38" s="493" t="n"/>
      <c r="F38" s="493" t="n"/>
      <c r="G38" s="493" t="n"/>
      <c r="H38" s="493" t="n"/>
      <c r="I38" s="493" t="n"/>
      <c r="J38" s="493" t="n"/>
      <c r="L38" s="556" t="inlineStr">
        <is>
          <t>IS commentary (≤~30 words) — GTM AI-SDR thesis</t>
        </is>
      </c>
    </row>
    <row r="39" ht="15" customHeight="1" s="413">
      <c r="B39" s="412" t="inlineStr">
        <is>
          <t xml:space="preserve">Fiscal year  </t>
        </is>
      </c>
      <c r="C39" s="557" t="n">
        <v>2022</v>
      </c>
      <c r="D39" s="557" t="n">
        <v>2023</v>
      </c>
      <c r="E39" s="558" t="n">
        <v>2024</v>
      </c>
      <c r="F39" s="559" t="n">
        <v>2025</v>
      </c>
      <c r="G39" s="559" t="n">
        <v>2026</v>
      </c>
      <c r="H39" s="559" t="n">
        <v>2027</v>
      </c>
      <c r="I39" s="559" t="n">
        <v>2028</v>
      </c>
      <c r="J39" s="559" t="n">
        <v>2029</v>
      </c>
    </row>
    <row r="40" ht="15" customHeight="1" s="413">
      <c r="B40" s="560" t="inlineStr">
        <is>
          <t>Fiscal year end date</t>
        </is>
      </c>
      <c r="C40" s="561" t="n">
        <v>44926</v>
      </c>
      <c r="D40" s="561" t="n">
        <v>45291</v>
      </c>
      <c r="E40" s="561" t="n">
        <v>45657</v>
      </c>
      <c r="F40" s="562" t="n">
        <v>46022</v>
      </c>
      <c r="G40" s="562" t="n">
        <v>46387</v>
      </c>
      <c r="H40" s="562" t="n">
        <v>46752</v>
      </c>
      <c r="I40" s="562" t="n">
        <v>47118</v>
      </c>
      <c r="J40" s="562" t="n">
        <v>47483</v>
      </c>
    </row>
    <row r="41" ht="15" customHeight="1" s="413">
      <c r="B41" s="506" t="n"/>
      <c r="C41" s="563" t="n"/>
      <c r="D41" s="563" t="n"/>
      <c r="E41" s="564" t="n"/>
      <c r="F41" s="564" t="n"/>
      <c r="G41" s="564" t="n"/>
      <c r="H41" s="564" t="n"/>
      <c r="I41" s="564" t="n"/>
      <c r="J41" s="564" t="n"/>
    </row>
    <row r="42" ht="48" customHeight="1" s="413">
      <c r="B42" s="412" t="inlineStr">
        <is>
          <t>Revenue</t>
        </is>
      </c>
      <c r="C42" s="565" t="n">
        <v>2065.3</v>
      </c>
      <c r="D42" s="565" t="n">
        <v>2172</v>
      </c>
      <c r="E42" s="565" t="n">
        <v>2201.4</v>
      </c>
      <c r="F42" s="522" t="n">
        <v>1250.7</v>
      </c>
      <c r="G42" s="522" t="n">
        <v>1300.8</v>
      </c>
      <c r="H42" s="522" t="n">
        <v>1352.8</v>
      </c>
      <c r="I42" s="522" t="n">
        <v>1393.4</v>
      </c>
      <c r="J42" s="522" t="n">
        <v>1435.2</v>
      </c>
      <c r="L42" s="566" t="inlineStr">
        <is>
          <t>Revenue: GTM thesis keeps modest +5% growth (Drivers). Top line is not the lever—AI-SDR value is cost takeout, so revenue mainly scales the margin and FCF story.</t>
        </is>
      </c>
    </row>
    <row r="43" ht="15" customHeight="1" s="413">
      <c r="B43" s="412" t="inlineStr">
        <is>
          <t>Cost of sales (enter as -)</t>
        </is>
      </c>
      <c r="C43" s="565" t="n">
        <v>-485.2</v>
      </c>
      <c r="D43" s="565" t="n">
        <v>-568.9</v>
      </c>
      <c r="E43" s="565" t="n">
        <v>-592</v>
      </c>
      <c r="F43" s="522" t="n">
        <v>-195.5</v>
      </c>
      <c r="G43" s="522" t="n">
        <v>-203.3</v>
      </c>
      <c r="H43" s="522" t="n">
        <v>-211.4</v>
      </c>
      <c r="I43" s="522" t="n">
        <v>-217.8</v>
      </c>
      <c r="J43" s="522" t="n">
        <v>-224.3</v>
      </c>
    </row>
    <row r="44" ht="48" customHeight="1" s="413">
      <c r="B44" s="538" t="inlineStr">
        <is>
          <t>Gross Profit</t>
        </is>
      </c>
      <c r="C44" s="567" t="n">
        <v>1580.1</v>
      </c>
      <c r="D44" s="567" t="n">
        <v>1603.1</v>
      </c>
      <c r="E44" s="567" t="n">
        <v>1609.4</v>
      </c>
      <c r="F44" s="567" t="n">
        <v>1696.85680029765</v>
      </c>
      <c r="G44" s="567" t="n">
        <v>1802.20274278902</v>
      </c>
      <c r="H44" s="567" t="n">
        <v>1923.07485493986</v>
      </c>
      <c r="I44" s="567" t="n">
        <v>2032.60554264953</v>
      </c>
      <c r="J44" s="567" t="n">
        <v>2144.18964701759</v>
      </c>
      <c r="L44" s="566" t="inlineStr">
        <is>
          <t>Gross profit: Model uses ~80% software median GM (Drivers), below ZI’s higher GAAP GM. Gross margin sets the ceiling before S&amp;M/AI opex hits EBITDA.</t>
        </is>
      </c>
    </row>
    <row r="45" ht="15" customHeight="1" s="413">
      <c r="B45" s="412" t="inlineStr">
        <is>
          <t>Research &amp; development (enter as -)</t>
        </is>
      </c>
      <c r="C45" s="565" t="n">
        <v>-181.6</v>
      </c>
      <c r="D45" s="565" t="n">
        <v>-165.2</v>
      </c>
      <c r="E45" s="565" t="n">
        <v>-174.6</v>
      </c>
      <c r="F45" s="522" t="n">
        <v>-202</v>
      </c>
      <c r="G45" s="522" t="n">
        <v>-210.1</v>
      </c>
      <c r="H45" s="522" t="n">
        <v>-218.5</v>
      </c>
      <c r="I45" s="522" t="n">
        <v>-225</v>
      </c>
      <c r="J45" s="522" t="n">
        <v>-231.8</v>
      </c>
    </row>
    <row r="46" ht="48" customHeight="1" s="413">
      <c r="B46" s="412" t="inlineStr">
        <is>
          <t>Selling, general &amp; administrative (enter as -)</t>
        </is>
      </c>
      <c r="C46" s="565" t="n">
        <v>-865.7</v>
      </c>
      <c r="D46" s="565" t="n">
        <v>-894</v>
      </c>
      <c r="E46" s="565" t="n">
        <v>-969.4</v>
      </c>
      <c r="F46" s="522" t="n">
        <v>-601.4</v>
      </c>
      <c r="G46" s="522" t="n">
        <v>-617.6</v>
      </c>
      <c r="H46" s="522" t="n">
        <v>-634.3</v>
      </c>
      <c r="I46" s="522" t="n">
        <v>-649.2</v>
      </c>
      <c r="J46" s="522" t="n">
        <v>-664.4</v>
      </c>
      <c r="L46" s="566" t="inlineStr">
        <is>
          <t>SG&amp;A: Most impactful P&amp;L lever. Y1 cuts human S&amp;M payroll/commissions 18%, adds $24.5m AI cost; Y2+ S&amp;M grows only ~2%, expanding EBITDA margin vs Base.</t>
        </is>
      </c>
    </row>
    <row r="47" ht="15" customHeight="1" s="413">
      <c r="B47" s="412" t="inlineStr">
        <is>
          <t>Deal-related D&amp;A (enter as -)</t>
        </is>
      </c>
      <c r="C47" s="565" t="n"/>
      <c r="D47" s="565" t="n"/>
      <c r="E47" s="565" t="n"/>
      <c r="F47" s="522" t="n">
        <v>-52.9973220833333</v>
      </c>
      <c r="G47" s="522" t="n">
        <v>-52.9973220833333</v>
      </c>
      <c r="H47" s="522" t="n">
        <v>-52.9973220833333</v>
      </c>
      <c r="I47" s="522" t="n">
        <v>-52.9973220833333</v>
      </c>
      <c r="J47" s="522" t="n">
        <v>-52.9973220833333</v>
      </c>
    </row>
    <row r="48" ht="48" customHeight="1" s="413">
      <c r="B48" s="538" t="inlineStr">
        <is>
          <t>Operating profit (EBIT)</t>
        </is>
      </c>
      <c r="C48" s="567" t="n">
        <v>532.8</v>
      </c>
      <c r="D48" s="567" t="n">
        <v>543.9</v>
      </c>
      <c r="E48" s="567" t="n">
        <v>465.4</v>
      </c>
      <c r="F48" s="567" t="n">
        <v>163.6</v>
      </c>
      <c r="G48" s="567" t="n">
        <v>178</v>
      </c>
      <c r="H48" s="567" t="n">
        <v>193.1</v>
      </c>
      <c r="I48" s="567" t="n">
        <v>203.1</v>
      </c>
      <c r="J48" s="567" t="n">
        <v>213.4</v>
      </c>
      <c r="K48" s="517" t="n"/>
      <c r="L48" s="566" t="inlineStr">
        <is>
          <t>EBIT: After D&amp;A/deal D&amp;A, operating profit converts AI S&amp;M savings into earnings power. Watch that template hist EBIT still mixes old rows—forecast EBITDA is linked to AI_Operating.</t>
        </is>
      </c>
    </row>
    <row r="49" ht="15" customHeight="1" s="413">
      <c r="B49" s="412" t="inlineStr">
        <is>
          <t>Interest income</t>
        </is>
      </c>
      <c r="C49" s="565" t="n">
        <v>15</v>
      </c>
      <c r="D49" s="565" t="n">
        <v>10.6</v>
      </c>
      <c r="E49" s="565" t="n">
        <v>8.300000000000001</v>
      </c>
      <c r="F49" s="530" t="n">
        <v>0.928671328671329</v>
      </c>
      <c r="G49" s="530" t="n">
        <v>0.928671328671329</v>
      </c>
      <c r="H49" s="530" t="n">
        <v>0.928671328671329</v>
      </c>
      <c r="I49" s="530" t="n">
        <v>0.928671328671329</v>
      </c>
      <c r="J49" s="530" t="n">
        <v>0.928671328671328</v>
      </c>
    </row>
    <row r="50" ht="48" customHeight="1" s="413">
      <c r="B50" s="412" t="inlineStr">
        <is>
          <t>Interest expense (enter as -)</t>
        </is>
      </c>
      <c r="C50" s="565" t="n">
        <v>-19.8</v>
      </c>
      <c r="D50" s="565" t="n">
        <v>-23.3</v>
      </c>
      <c r="E50" s="565" t="n">
        <v>-47.8</v>
      </c>
      <c r="F50" s="530" t="n">
        <v>-68.7</v>
      </c>
      <c r="G50" s="530" t="n">
        <v>-58.3</v>
      </c>
      <c r="H50" s="530" t="n">
        <v>-46.4</v>
      </c>
      <c r="I50" s="530" t="n">
        <v>-32.7</v>
      </c>
      <c r="J50" s="530" t="n">
        <v>-17.3</v>
      </c>
      <c r="L50" s="566" t="inlineStr">
        <is>
          <t>Interest expense: Second cash lever. Higher early interest on new LBO stack falls as FCF sweeps debt (Debt_Sweep_AI)—AI case nearly clears debt by 2029, juicing exit equity.</t>
        </is>
      </c>
    </row>
    <row r="51" ht="15" customHeight="1" s="413">
      <c r="B51" s="412" t="inlineStr">
        <is>
          <t>Other non-operating expense (enter as -)</t>
        </is>
      </c>
      <c r="C51" s="565" t="n">
        <v>3.3</v>
      </c>
      <c r="D51" s="565" t="n">
        <v>-1.2</v>
      </c>
      <c r="E51" s="565" t="n">
        <v>2</v>
      </c>
      <c r="F51" s="565" t="n">
        <v>0</v>
      </c>
      <c r="G51" s="565" t="n">
        <v>0</v>
      </c>
      <c r="H51" s="565" t="n">
        <v>0</v>
      </c>
      <c r="I51" s="565" t="n">
        <v>0</v>
      </c>
      <c r="J51" s="565" t="n">
        <v>0</v>
      </c>
    </row>
    <row r="52" ht="15" customHeight="1" s="413">
      <c r="B52" s="538" t="inlineStr">
        <is>
          <t>Pretax profit</t>
        </is>
      </c>
      <c r="C52" s="567" t="n">
        <v>531.3</v>
      </c>
      <c r="D52" s="567" t="n">
        <v>530</v>
      </c>
      <c r="E52" s="567" t="n">
        <v>427.9</v>
      </c>
      <c r="F52" s="567" t="n">
        <v>197.667724712602</v>
      </c>
      <c r="G52" s="567" t="n">
        <v>284.777826002932</v>
      </c>
      <c r="H52" s="567" t="n">
        <v>378.813008490489</v>
      </c>
      <c r="I52" s="567" t="n">
        <v>479.270349804218</v>
      </c>
      <c r="J52" s="567" t="n">
        <v>596.382663328335</v>
      </c>
    </row>
    <row r="53" ht="15" customHeight="1" s="413">
      <c r="B53" s="412" t="inlineStr">
        <is>
          <t>Taxes (enter expense as -)</t>
        </is>
      </c>
      <c r="C53" s="565" t="n">
        <v>-75.09999999999999</v>
      </c>
      <c r="D53" s="565" t="n">
        <v>-129</v>
      </c>
      <c r="E53" s="565" t="n">
        <v>-96.90000000000001</v>
      </c>
      <c r="F53" s="522" t="n">
        <v>-44.7628009456675</v>
      </c>
      <c r="G53" s="522" t="n">
        <v>-64.4892996954525</v>
      </c>
      <c r="H53" s="522" t="n">
        <v>-85.78401617837901</v>
      </c>
      <c r="I53" s="522" t="n">
        <v>-108.533061219978</v>
      </c>
      <c r="J53" s="522" t="n">
        <v>-135.053704315297</v>
      </c>
    </row>
    <row r="54" ht="48" customHeight="1" s="413">
      <c r="B54" s="538" t="inlineStr">
        <is>
          <t>Net income</t>
        </is>
      </c>
      <c r="C54" s="567" t="n">
        <v>456.2</v>
      </c>
      <c r="D54" s="567" t="n">
        <v>401</v>
      </c>
      <c r="E54" s="567" t="n">
        <v>331</v>
      </c>
      <c r="F54" s="567" t="n">
        <v>75</v>
      </c>
      <c r="G54" s="567" t="n">
        <v>94.5</v>
      </c>
      <c r="H54" s="567" t="n">
        <v>115.9</v>
      </c>
      <c r="I54" s="567" t="n">
        <v>134.6</v>
      </c>
      <c r="J54" s="567" t="n">
        <v>154.9</v>
      </c>
      <c r="L54" s="566" t="inlineStr">
        <is>
          <t>Net income: Bottom-line after tax; less central than EBITDA/FCF for LBO returns, but shows AI case turning positive sooner as interest falls and margins expand.</t>
        </is>
      </c>
    </row>
    <row r="55" ht="15" customHeight="1" s="413">
      <c r="C55" s="517" t="n"/>
      <c r="D55" s="517" t="n"/>
      <c r="E55" s="517" t="n"/>
      <c r="F55" s="530" t="n"/>
      <c r="G55" s="517" t="n"/>
      <c r="H55" s="517" t="n"/>
      <c r="I55" s="517" t="n"/>
      <c r="J55" s="517" t="n"/>
    </row>
    <row r="56" ht="15" customHeight="1" s="413">
      <c r="B56" s="568" t="inlineStr">
        <is>
          <t>EBITDA reconciliation</t>
        </is>
      </c>
      <c r="C56" s="517" t="n"/>
      <c r="D56" s="517" t="n"/>
      <c r="E56" s="517" t="n"/>
      <c r="L56" s="569" t="n"/>
      <c r="M56" s="569" t="n"/>
      <c r="N56" s="569" t="n"/>
      <c r="O56" s="569" t="n"/>
      <c r="P56" s="569" t="n"/>
    </row>
    <row r="57" ht="15" customHeight="1" s="413">
      <c r="B57" s="553" t="inlineStr">
        <is>
          <t>EBIT (GAAP)</t>
        </is>
      </c>
      <c r="C57" s="547" t="n">
        <v>532.8</v>
      </c>
      <c r="D57" s="547" t="n">
        <v>543.9</v>
      </c>
      <c r="E57" s="547" t="n">
        <v>465.4</v>
      </c>
      <c r="F57" s="547" t="n">
        <v>493.680314180411</v>
      </c>
      <c r="G57" s="547" t="n">
        <v>559.804039599917</v>
      </c>
      <c r="H57" s="547" t="n">
        <v>634.791964051412</v>
      </c>
      <c r="I57" s="547" t="n">
        <v>709.312263246174</v>
      </c>
      <c r="J57" s="547" t="n">
        <v>787.9602383046411</v>
      </c>
    </row>
    <row r="58" ht="15" customHeight="1" s="413">
      <c r="B58" s="525" t="inlineStr">
        <is>
          <t>Depreciation and amortization</t>
        </is>
      </c>
      <c r="C58" s="565" t="n">
        <v>190</v>
      </c>
      <c r="D58" s="565" t="n">
        <v>224.6</v>
      </c>
      <c r="E58" s="565" t="n">
        <v>229</v>
      </c>
      <c r="F58" s="530" t="n">
        <v>88.3</v>
      </c>
      <c r="G58" s="530" t="n">
        <v>91.8</v>
      </c>
      <c r="H58" s="530" t="n">
        <v>95.5</v>
      </c>
      <c r="I58" s="530" t="n">
        <v>98.3</v>
      </c>
      <c r="J58" s="530" t="n">
        <v>101.3</v>
      </c>
    </row>
    <row r="59" ht="15" customHeight="1" s="413">
      <c r="B59" s="525" t="inlineStr">
        <is>
          <t xml:space="preserve">Deal-related D&amp;A </t>
        </is>
      </c>
      <c r="C59" s="565" t="n"/>
      <c r="D59" s="565" t="n"/>
      <c r="E59" s="565" t="n"/>
      <c r="F59" s="522" t="n">
        <v>52.9973220833333</v>
      </c>
      <c r="G59" s="522" t="n">
        <v>52.9973220833333</v>
      </c>
      <c r="H59" s="522" t="n">
        <v>52.9973220833333</v>
      </c>
      <c r="I59" s="522" t="n">
        <v>52.9973220833333</v>
      </c>
      <c r="J59" s="522" t="n">
        <v>52.9973220833333</v>
      </c>
    </row>
    <row r="60" ht="15" customHeight="1" s="413">
      <c r="B60" s="525" t="inlineStr">
        <is>
          <t>Stock based compensation</t>
        </is>
      </c>
      <c r="C60" s="565" t="n">
        <v>106.5</v>
      </c>
      <c r="D60" s="565" t="n">
        <v>127.2</v>
      </c>
      <c r="E60" s="565" t="n">
        <v>147.4</v>
      </c>
      <c r="F60" s="530" t="n">
        <v>161.054736827472</v>
      </c>
      <c r="G60" s="530" t="n">
        <v>162.082091165166</v>
      </c>
      <c r="H60" s="530" t="n">
        <v>163.697620289742</v>
      </c>
      <c r="I60" s="530" t="n">
        <v>163.56828931607</v>
      </c>
      <c r="J60" s="530" t="n">
        <v>162.916558614463</v>
      </c>
    </row>
    <row r="61" ht="15" customHeight="1" s="413">
      <c r="B61" s="525" t="inlineStr">
        <is>
          <t>Restructuring and other nonrecurring charges</t>
        </is>
      </c>
      <c r="C61" s="565" t="n">
        <v>14.3</v>
      </c>
      <c r="D61" s="565" t="n">
        <v>10.8</v>
      </c>
      <c r="E61" s="565" t="n">
        <v>40.9</v>
      </c>
      <c r="F61" s="565" t="n">
        <v>16</v>
      </c>
      <c r="G61" s="565" t="n">
        <v>5</v>
      </c>
      <c r="H61" s="565" t="n">
        <v>5</v>
      </c>
      <c r="I61" s="565" t="n">
        <v>0</v>
      </c>
      <c r="J61" s="565" t="n">
        <v>0</v>
      </c>
    </row>
    <row r="62" ht="48" customHeight="1" s="413">
      <c r="B62" s="553" t="inlineStr">
        <is>
          <t>EBITDA</t>
        </is>
      </c>
      <c r="C62" s="567" t="n">
        <v>843.6</v>
      </c>
      <c r="D62" s="567" t="n">
        <v>906.5</v>
      </c>
      <c r="E62" s="567" t="n">
        <v>882.7</v>
      </c>
      <c r="F62" s="570">
        <f>AI_Operating!D13</f>
        <v/>
      </c>
      <c r="G62" s="570">
        <f>AI_Operating!E13</f>
        <v/>
      </c>
      <c r="H62" s="570">
        <f>AI_Operating!F13</f>
        <v/>
      </c>
      <c r="I62" s="570">
        <f>AI_Operating!G13</f>
        <v/>
      </c>
      <c r="J62" s="570">
        <f>AI_Operating!H13</f>
        <v/>
      </c>
      <c r="L62" s="566" t="inlineStr">
        <is>
          <t>EBITDA: Primary LBO earnings metric. Forecast F–J link to AI_Operating (AI-SDR case). Exit EV = Y5 EBITDA × 12.9x—margin expansion here drives MOIC/IRR vs Base.</t>
        </is>
      </c>
    </row>
    <row r="63" ht="15" customHeight="1" s="413">
      <c r="B63" s="571" t="n"/>
    </row>
    <row r="64" ht="15" customHeight="1" s="413">
      <c r="B64" s="568" t="inlineStr">
        <is>
          <t>Growth rates &amp; margins</t>
        </is>
      </c>
      <c r="F64" s="530" t="n"/>
      <c r="K64" s="572" t="inlineStr">
        <is>
          <t>Step</t>
        </is>
      </c>
    </row>
    <row r="65" ht="15" customHeight="1" s="413">
      <c r="B65" s="573" t="inlineStr">
        <is>
          <t>Revenue growth</t>
        </is>
      </c>
      <c r="C65" s="531" t="n"/>
      <c r="D65" s="531" t="n">
        <v>0.0516631966300294</v>
      </c>
      <c r="E65" s="531" t="n">
        <v>0.01353591160221</v>
      </c>
      <c r="F65" s="544" t="n">
        <v>0.03</v>
      </c>
      <c r="G65" s="544" t="n">
        <v>0.04</v>
      </c>
      <c r="H65" s="544" t="n">
        <v>0.04</v>
      </c>
      <c r="I65" s="544" t="n">
        <v>0.03</v>
      </c>
      <c r="J65" s="544" t="n">
        <v>0.03</v>
      </c>
      <c r="K65" s="544" t="n"/>
    </row>
    <row r="66" ht="15" customHeight="1" s="413">
      <c r="B66" s="573" t="inlineStr">
        <is>
          <t>Gross profit as % of sales</t>
        </is>
      </c>
      <c r="C66" s="531" t="n">
        <v>0.765070449813586</v>
      </c>
      <c r="D66" s="531" t="n">
        <v>0.738075506445672</v>
      </c>
      <c r="E66" s="531" t="n">
        <v>0.7310802216771149</v>
      </c>
      <c r="F66" s="574" t="n">
        <v>0.744742059312124</v>
      </c>
      <c r="G66" s="574" t="n">
        <v>0.749742059312124</v>
      </c>
      <c r="H66" s="574" t="n">
        <v>0.754742059312124</v>
      </c>
      <c r="I66" s="574" t="n">
        <v>0.759742059312124</v>
      </c>
      <c r="J66" s="574" t="n">
        <v>0.764742059312124</v>
      </c>
      <c r="K66" s="544" t="n">
        <v>0.005</v>
      </c>
    </row>
    <row r="67" ht="15" customHeight="1" s="413">
      <c r="B67" s="573" t="inlineStr">
        <is>
          <t>R&amp;D margin</t>
        </is>
      </c>
      <c r="C67" s="531" t="n">
        <v>0.0879291144143708</v>
      </c>
      <c r="D67" s="531" t="n">
        <v>0.0760589318600368</v>
      </c>
      <c r="E67" s="531" t="n">
        <v>0.07931316434995909</v>
      </c>
      <c r="F67" s="574" t="n">
        <v>0.0811004035414556</v>
      </c>
      <c r="G67" s="574" t="n">
        <v>0.0811004035414556</v>
      </c>
      <c r="H67" s="574" t="n">
        <v>0.0811004035414556</v>
      </c>
      <c r="I67" s="574" t="n">
        <v>0.0811004035414556</v>
      </c>
      <c r="J67" s="574" t="n">
        <v>0.0811004035414556</v>
      </c>
      <c r="K67" s="544" t="n">
        <v>0</v>
      </c>
    </row>
    <row r="68" ht="15" customHeight="1" s="413">
      <c r="B68" s="573" t="inlineStr">
        <is>
          <t>SG&amp;A margin</t>
        </is>
      </c>
      <c r="C68" s="531" t="n">
        <v>0.419164286060136</v>
      </c>
      <c r="D68" s="531" t="n">
        <v>0.411602209944751</v>
      </c>
      <c r="E68" s="531" t="n">
        <v>0.440356137003725</v>
      </c>
      <c r="F68" s="574" t="n">
        <v>0.4808</v>
      </c>
      <c r="G68" s="574" t="n">
        <v>0.4748</v>
      </c>
      <c r="H68" s="574" t="n">
        <v>0.4689</v>
      </c>
      <c r="I68" s="574" t="n">
        <v>0.4659</v>
      </c>
      <c r="J68" s="574" t="n">
        <v>0.4629</v>
      </c>
      <c r="K68" s="544" t="n">
        <v>-0.01</v>
      </c>
    </row>
    <row r="69" ht="15" customHeight="1" s="413">
      <c r="B69" s="573" t="inlineStr">
        <is>
          <t>Tax rate</t>
        </is>
      </c>
      <c r="C69" s="531" t="n">
        <v>0.141351402220967</v>
      </c>
      <c r="D69" s="531" t="n">
        <v>0.243396226415094</v>
      </c>
      <c r="E69" s="531" t="n">
        <v>0.226454779154008</v>
      </c>
      <c r="F69" s="544" t="n">
        <v>0.226454779154008</v>
      </c>
      <c r="G69" s="574" t="n">
        <v>0.226454779154008</v>
      </c>
      <c r="H69" s="574" t="n">
        <v>0.226454779154008</v>
      </c>
      <c r="I69" s="574" t="n">
        <v>0.226454779154008</v>
      </c>
      <c r="J69" s="574" t="n">
        <v>0.226454779154008</v>
      </c>
      <c r="K69" s="544" t="n">
        <v>0</v>
      </c>
    </row>
    <row r="70" ht="15" customHeight="1" s="413">
      <c r="B70" s="573" t="inlineStr">
        <is>
          <t>SBC as % of all operating expenses</t>
        </is>
      </c>
      <c r="C70" s="531" t="n">
        <v>0.0694942903752039</v>
      </c>
      <c r="D70" s="531" t="n">
        <v>0.078127879122904</v>
      </c>
      <c r="E70" s="531" t="n">
        <v>0.0849078341013825</v>
      </c>
      <c r="F70" s="544" t="n">
        <v>0.093</v>
      </c>
      <c r="G70" s="574" t="n">
        <v>0.0905</v>
      </c>
      <c r="H70" s="574" t="n">
        <v>0.08799999999999999</v>
      </c>
      <c r="I70" s="574" t="n">
        <v>0.08550000000000001</v>
      </c>
      <c r="J70" s="574" t="n">
        <v>0.083</v>
      </c>
      <c r="K70" s="544" t="n">
        <v>-0.0025</v>
      </c>
    </row>
    <row r="71" ht="15" customHeight="1" s="413">
      <c r="B71" s="571" t="n"/>
      <c r="C71" s="575" t="n"/>
      <c r="D71" s="575" t="n"/>
      <c r="E71" s="575" t="n"/>
      <c r="F71" s="575" t="n"/>
      <c r="G71" s="575" t="n"/>
      <c r="H71" s="575" t="n"/>
      <c r="I71" s="575" t="n"/>
      <c r="J71" s="575" t="n"/>
    </row>
    <row r="72" ht="15" customHeight="1" s="413">
      <c r="B72" s="576" t="inlineStr">
        <is>
          <t>WORKING CAPITAL</t>
        </is>
      </c>
      <c r="C72" s="577" t="n"/>
      <c r="D72" s="577" t="n"/>
      <c r="E72" s="577" t="n"/>
      <c r="F72" s="577" t="n"/>
      <c r="G72" s="577" t="n"/>
      <c r="H72" s="577" t="n"/>
      <c r="I72" s="577" t="n"/>
      <c r="J72" s="577" t="n"/>
    </row>
    <row r="73" ht="15" customHeight="1" s="413">
      <c r="B73" s="412" t="inlineStr">
        <is>
          <t xml:space="preserve">Fiscal year  </t>
        </is>
      </c>
      <c r="C73" s="575" t="n">
        <v>2022</v>
      </c>
      <c r="D73" s="557" t="n">
        <v>2023</v>
      </c>
      <c r="E73" s="557" t="n">
        <v>2024</v>
      </c>
      <c r="F73" s="559" t="n">
        <v>2025</v>
      </c>
      <c r="G73" s="559" t="n">
        <v>2026</v>
      </c>
      <c r="H73" s="559" t="n">
        <v>2027</v>
      </c>
      <c r="I73" s="559" t="n">
        <v>2028</v>
      </c>
      <c r="J73" s="559" t="n">
        <v>2029</v>
      </c>
    </row>
    <row r="74" ht="15" customHeight="1" s="413">
      <c r="B74" s="560" t="inlineStr">
        <is>
          <t>Fiscal year end date</t>
        </is>
      </c>
      <c r="C74" s="577" t="n"/>
      <c r="D74" s="562" t="n">
        <v>45291</v>
      </c>
      <c r="E74" s="562" t="n">
        <v>45657</v>
      </c>
      <c r="F74" s="562" t="n">
        <v>46022</v>
      </c>
      <c r="G74" s="562" t="n">
        <v>46387</v>
      </c>
      <c r="H74" s="562" t="n">
        <v>46752</v>
      </c>
      <c r="I74" s="562" t="n">
        <v>47118</v>
      </c>
      <c r="J74" s="562" t="n">
        <v>47483</v>
      </c>
    </row>
    <row r="75" ht="15" customHeight="1" s="413">
      <c r="B75" s="506" t="n"/>
      <c r="C75" s="575" t="n"/>
      <c r="D75" s="575" t="n"/>
      <c r="E75" s="575" t="n"/>
      <c r="F75" s="575" t="n"/>
      <c r="G75" s="575" t="n"/>
      <c r="H75" s="575" t="n"/>
      <c r="I75" s="575" t="n"/>
      <c r="J75" s="575" t="n"/>
    </row>
    <row r="76" ht="15" customHeight="1" s="413">
      <c r="B76" s="571" t="inlineStr">
        <is>
          <t>Accounts receivable, EOP</t>
        </is>
      </c>
      <c r="C76" s="578" t="n"/>
      <c r="D76" s="579" t="n">
        <v>484.8</v>
      </c>
      <c r="E76" s="579" t="n">
        <v>443.7</v>
      </c>
      <c r="F76" s="547" t="n">
        <v>459.2295</v>
      </c>
      <c r="G76" s="547" t="n">
        <v>484.4871225</v>
      </c>
      <c r="H76" s="547" t="n">
        <v>513.5563498499999</v>
      </c>
      <c r="I76" s="547" t="n">
        <v>539.2341673425</v>
      </c>
      <c r="J76" s="547" t="n">
        <v>565.1174073749399</v>
      </c>
    </row>
    <row r="77" ht="15" customHeight="1" s="413">
      <c r="B77" s="580" t="inlineStr">
        <is>
          <t>AR as % of sales</t>
        </is>
      </c>
      <c r="C77" s="531" t="n"/>
      <c r="D77" s="531" t="n">
        <v>0.223204419889503</v>
      </c>
      <c r="E77" s="531" t="n">
        <v>0.201553556827473</v>
      </c>
      <c r="F77" s="544" t="n">
        <v>0.201553556827473</v>
      </c>
      <c r="G77" s="544" t="n">
        <v>0.201553556827473</v>
      </c>
      <c r="H77" s="544" t="n">
        <v>0.201553556827473</v>
      </c>
      <c r="I77" s="544" t="n">
        <v>0.201553556827473</v>
      </c>
      <c r="J77" s="544" t="n">
        <v>0.201553556827473</v>
      </c>
    </row>
    <row r="78" ht="15" customHeight="1" s="413">
      <c r="B78" s="571" t="inlineStr">
        <is>
          <t>Other current assets, EOP</t>
        </is>
      </c>
      <c r="C78" s="578" t="n"/>
      <c r="D78" s="579" t="n">
        <v>195.1</v>
      </c>
      <c r="E78" s="579" t="n">
        <v>213.1</v>
      </c>
      <c r="F78" s="547" t="n">
        <v>220.5585</v>
      </c>
      <c r="G78" s="547" t="n">
        <v>232.6892175</v>
      </c>
      <c r="H78" s="547" t="n">
        <v>246.65057055</v>
      </c>
      <c r="I78" s="547" t="n">
        <v>258.9830990775</v>
      </c>
      <c r="J78" s="547" t="n">
        <v>271.41428783322</v>
      </c>
    </row>
    <row r="79" ht="15" customHeight="1" s="413">
      <c r="B79" s="580" t="inlineStr">
        <is>
          <t>Other current assets as % of sales</t>
        </is>
      </c>
      <c r="C79" s="531" t="n"/>
      <c r="D79" s="531" t="n">
        <v>0.08982504604051569</v>
      </c>
      <c r="E79" s="531" t="n">
        <v>0.0968020350685927</v>
      </c>
      <c r="F79" s="544" t="n">
        <v>0.0968020350685927</v>
      </c>
      <c r="G79" s="544" t="n">
        <v>0.0968020350685927</v>
      </c>
      <c r="H79" s="544" t="n">
        <v>0.0968020350685927</v>
      </c>
      <c r="I79" s="544" t="n">
        <v>0.0968020350685927</v>
      </c>
      <c r="J79" s="544" t="n">
        <v>0.0968020350685927</v>
      </c>
    </row>
    <row r="80" ht="15" customHeight="1" s="413">
      <c r="B80" s="571" t="inlineStr">
        <is>
          <t>Accounts payable, EOP</t>
        </is>
      </c>
      <c r="C80" s="578" t="n"/>
      <c r="D80" s="579" t="n">
        <v>32.7</v>
      </c>
      <c r="E80" s="579" t="n">
        <v>42.1</v>
      </c>
      <c r="F80" s="547" t="n">
        <v>41.3598506882921</v>
      </c>
      <c r="G80" s="547" t="n">
        <v>42.7799258244632</v>
      </c>
      <c r="H80" s="547" t="n">
        <v>44.440721723145</v>
      </c>
      <c r="I80" s="547" t="n">
        <v>45.7114581759768</v>
      </c>
      <c r="J80" s="547" t="n">
        <v>46.9086461526987</v>
      </c>
    </row>
    <row r="81" ht="15" customHeight="1" s="413">
      <c r="B81" s="580" t="inlineStr">
        <is>
          <t>AP as % of COGS</t>
        </is>
      </c>
      <c r="C81" s="531" t="n"/>
      <c r="D81" s="531" t="n">
        <v>0.0574793461065214</v>
      </c>
      <c r="E81" s="531" t="n">
        <v>0.0711148648648649</v>
      </c>
      <c r="F81" s="544" t="n">
        <v>0.0711148648648649</v>
      </c>
      <c r="G81" s="544" t="n">
        <v>0.0711148648648649</v>
      </c>
      <c r="H81" s="544" t="n">
        <v>0.0711148648648649</v>
      </c>
      <c r="I81" s="544" t="n">
        <v>0.0711148648648649</v>
      </c>
      <c r="J81" s="544" t="n">
        <v>0.0711148648648649</v>
      </c>
    </row>
    <row r="82" ht="15" customHeight="1" s="413">
      <c r="B82" s="571" t="inlineStr">
        <is>
          <t>Accrued expenses &amp; def revenues, EOP</t>
        </is>
      </c>
      <c r="C82" s="581" t="n"/>
      <c r="D82" s="579" t="n">
        <v>2313.3</v>
      </c>
      <c r="E82" s="579" t="n">
        <v>2301.7</v>
      </c>
      <c r="F82" s="547" t="n">
        <v>2382.2595</v>
      </c>
      <c r="G82" s="547" t="n">
        <v>2513.2837725</v>
      </c>
      <c r="H82" s="547" t="n">
        <v>2664.08079885</v>
      </c>
      <c r="I82" s="547" t="n">
        <v>2797.2848387925</v>
      </c>
      <c r="J82" s="547" t="n">
        <v>2931.55451105454</v>
      </c>
    </row>
    <row r="83" ht="15" customHeight="1" s="413">
      <c r="B83" s="580" t="inlineStr">
        <is>
          <t>As % of sales</t>
        </is>
      </c>
      <c r="C83" s="531" t="n"/>
      <c r="D83" s="531" t="n">
        <v>1.06505524861879</v>
      </c>
      <c r="E83" s="574" t="n">
        <v>1.04556191514491</v>
      </c>
      <c r="F83" s="527" t="n">
        <v>1.04556191514491</v>
      </c>
      <c r="G83" s="527" t="n">
        <v>1.04556191514491</v>
      </c>
      <c r="H83" s="527" t="n">
        <v>1.04556191514491</v>
      </c>
      <c r="I83" s="527" t="n">
        <v>1.04556191514491</v>
      </c>
      <c r="J83" s="527" t="n">
        <v>1.04556191514491</v>
      </c>
    </row>
    <row r="84" ht="15" customHeight="1" s="413">
      <c r="B84" s="580" t="n"/>
      <c r="C84" s="531" t="n"/>
      <c r="D84" s="531" t="n"/>
      <c r="E84" s="574" t="n"/>
    </row>
    <row r="85" ht="15" customHeight="1" s="413">
      <c r="B85" s="551" t="inlineStr">
        <is>
          <t>Net Working Capital</t>
        </is>
      </c>
      <c r="C85" s="506" t="n"/>
      <c r="D85" s="582" t="n">
        <v>-1666.1</v>
      </c>
      <c r="E85" s="582" t="n">
        <v>-1687</v>
      </c>
      <c r="F85" s="530" t="n">
        <v>-1743.83135068829</v>
      </c>
      <c r="G85" s="530" t="n">
        <v>-1838.88735832446</v>
      </c>
      <c r="H85" s="530" t="n">
        <v>-1948.31460017315</v>
      </c>
      <c r="I85" s="530" t="n">
        <v>-2044.77903054848</v>
      </c>
      <c r="J85" s="530" t="n">
        <v>-2141.93146199908</v>
      </c>
    </row>
    <row r="86" ht="15" customHeight="1" s="413">
      <c r="D86" s="523" t="n"/>
      <c r="E86" s="523" t="n"/>
      <c r="F86" s="517" t="n"/>
      <c r="G86" s="517" t="n"/>
      <c r="H86" s="517" t="n"/>
      <c r="I86" s="517" t="n"/>
      <c r="J86" s="517" t="n"/>
    </row>
    <row r="87" ht="15" customHeight="1" s="413">
      <c r="B87" s="576" t="inlineStr">
        <is>
          <t>LONG LIVED ASSETS</t>
        </is>
      </c>
      <c r="C87" s="583" t="n"/>
      <c r="D87" s="583" t="n"/>
      <c r="E87" s="583" t="n"/>
      <c r="F87" s="584" t="n"/>
      <c r="G87" s="584" t="n"/>
      <c r="H87" s="584" t="n"/>
      <c r="I87" s="584" t="n"/>
      <c r="J87" s="584" t="n"/>
    </row>
    <row r="88" ht="15" customHeight="1" s="413">
      <c r="B88" s="412" t="inlineStr">
        <is>
          <t xml:space="preserve">Fiscal year  </t>
        </is>
      </c>
      <c r="C88" s="557" t="n">
        <v>2022</v>
      </c>
      <c r="D88" s="557" t="n">
        <v>2023</v>
      </c>
      <c r="E88" s="557" t="n">
        <v>2024</v>
      </c>
      <c r="F88" s="559" t="n">
        <v>2025</v>
      </c>
      <c r="G88" s="559" t="n">
        <v>2026</v>
      </c>
      <c r="H88" s="559" t="n">
        <v>2027</v>
      </c>
      <c r="I88" s="559" t="n">
        <v>2028</v>
      </c>
      <c r="J88" s="559" t="n">
        <v>2029</v>
      </c>
    </row>
    <row r="89" ht="15" customHeight="1" s="413">
      <c r="B89" s="560" t="inlineStr">
        <is>
          <t>Fiscal year end date</t>
        </is>
      </c>
      <c r="C89" s="562" t="n">
        <v>44926</v>
      </c>
      <c r="D89" s="562" t="n">
        <v>45291</v>
      </c>
      <c r="E89" s="562" t="n">
        <v>45657</v>
      </c>
      <c r="F89" s="562" t="n">
        <v>46022</v>
      </c>
      <c r="G89" s="562" t="n">
        <v>46387</v>
      </c>
      <c r="H89" s="562" t="n">
        <v>46752</v>
      </c>
      <c r="I89" s="562" t="n">
        <v>47118</v>
      </c>
      <c r="J89" s="562" t="n">
        <v>47483</v>
      </c>
    </row>
    <row r="90" ht="15" customHeight="1" s="413">
      <c r="B90" s="585" t="n"/>
    </row>
    <row r="91" ht="15" customHeight="1" s="413">
      <c r="B91" s="571" t="inlineStr">
        <is>
          <t>PP&amp;E</t>
        </is>
      </c>
      <c r="C91" s="538" t="n"/>
      <c r="D91" s="579" t="n">
        <v>87.8</v>
      </c>
      <c r="E91" s="579" t="n">
        <v>85.2</v>
      </c>
      <c r="F91" s="547" t="n">
        <v>73.1444897959184</v>
      </c>
      <c r="G91" s="547" t="n">
        <v>63.4073469387755</v>
      </c>
      <c r="H91" s="547" t="n">
        <v>56.4522448979592</v>
      </c>
      <c r="I91" s="547" t="n">
        <v>53.090612244898</v>
      </c>
      <c r="J91" s="547" t="n">
        <v>53.090612244898</v>
      </c>
      <c r="L91" s="547" t="n"/>
    </row>
    <row r="92" ht="15" customHeight="1" s="413">
      <c r="B92" s="580" t="inlineStr">
        <is>
          <t>Capital expenditures</t>
        </is>
      </c>
      <c r="C92" s="565" t="n">
        <v>22</v>
      </c>
      <c r="D92" s="565" t="n">
        <v>26.5</v>
      </c>
      <c r="E92" s="565" t="n">
        <v>24.5</v>
      </c>
      <c r="F92" s="565" t="n">
        <v>26</v>
      </c>
      <c r="G92" s="565" t="n">
        <v>28</v>
      </c>
      <c r="H92" s="565" t="n">
        <v>30</v>
      </c>
      <c r="I92" s="565" t="n">
        <v>29</v>
      </c>
      <c r="J92" s="565" t="n">
        <v>31</v>
      </c>
      <c r="L92" s="530" t="n"/>
    </row>
    <row r="93" ht="15" customHeight="1" s="413">
      <c r="B93" s="580" t="inlineStr">
        <is>
          <t>Depreciation</t>
        </is>
      </c>
      <c r="C93" s="565" t="n">
        <v>-39.1</v>
      </c>
      <c r="D93" s="565" t="n">
        <v>-37.8</v>
      </c>
      <c r="E93" s="565" t="n">
        <v>-38.7</v>
      </c>
      <c r="F93" s="522" t="n">
        <v>-38.0555102040816</v>
      </c>
      <c r="G93" s="522" t="n">
        <v>-37.7371428571429</v>
      </c>
      <c r="H93" s="522" t="n">
        <v>-36.9551020408163</v>
      </c>
      <c r="I93" s="522" t="n">
        <v>-32.3616326530612</v>
      </c>
      <c r="J93" s="522" t="n">
        <v>-31</v>
      </c>
      <c r="K93" s="572" t="inlineStr">
        <is>
          <t>Smoothing?</t>
        </is>
      </c>
      <c r="L93" s="530" t="n"/>
    </row>
    <row r="94" ht="15" customHeight="1" s="413">
      <c r="B94" s="585" t="inlineStr">
        <is>
          <t>Capex as a % of revenue</t>
        </is>
      </c>
      <c r="C94" s="574" t="n">
        <v>0.0106522054907277</v>
      </c>
      <c r="D94" s="574" t="n">
        <v>0.0122007366482505</v>
      </c>
      <c r="E94" s="574" t="n">
        <v>0.0111292813664032</v>
      </c>
      <c r="F94" s="574" t="n">
        <v>0.0114112714394748</v>
      </c>
      <c r="G94" s="574" t="n">
        <v>0.0116483995736528</v>
      </c>
      <c r="H94" s="574" t="n">
        <v>0.0117739887873849</v>
      </c>
      <c r="I94" s="574" t="n">
        <v>0.0108395452328305</v>
      </c>
      <c r="J94" s="574" t="n">
        <v>0.0110563932027424</v>
      </c>
      <c r="K94" s="586" t="inlineStr">
        <is>
          <t>Yes</t>
        </is>
      </c>
    </row>
    <row r="95" ht="15" customHeight="1" s="413">
      <c r="B95" s="585" t="inlineStr">
        <is>
          <t>Depreciation as a % of capex</t>
        </is>
      </c>
      <c r="C95" s="587" t="n">
        <v>1.77727272727273</v>
      </c>
      <c r="D95" s="587" t="n">
        <v>1.42641509433962</v>
      </c>
      <c r="E95" s="587" t="n">
        <v>1.57959183673469</v>
      </c>
      <c r="F95" s="587" t="n">
        <v>1.46367346938776</v>
      </c>
      <c r="G95" s="587" t="n">
        <v>1.34775510204082</v>
      </c>
      <c r="H95" s="587" t="n">
        <v>1.23183673469388</v>
      </c>
      <c r="I95" s="587" t="n">
        <v>1.11591836734694</v>
      </c>
      <c r="J95" s="587" t="n">
        <v>1</v>
      </c>
      <c r="K95" s="588" t="n">
        <v>-0.115918367346939</v>
      </c>
    </row>
    <row r="96" ht="15" customHeight="1" s="413">
      <c r="B96" s="585" t="n"/>
      <c r="C96" s="587" t="n"/>
      <c r="D96" s="587" t="n"/>
      <c r="E96" s="587" t="n"/>
    </row>
    <row r="97" ht="15" customHeight="1" s="413">
      <c r="B97" s="571" t="inlineStr">
        <is>
          <t>Software development costs</t>
        </is>
      </c>
      <c r="C97" s="589" t="n"/>
      <c r="D97" s="579" t="n">
        <v>244.7</v>
      </c>
      <c r="E97" s="579" t="n">
        <v>271.4</v>
      </c>
      <c r="F97" s="547" t="n">
        <v>286.508641975309</v>
      </c>
      <c r="G97" s="547" t="n">
        <v>297.64475308642</v>
      </c>
      <c r="H97" s="547" t="n">
        <v>305.199074074074</v>
      </c>
      <c r="I97" s="547" t="n">
        <v>309.366975308642</v>
      </c>
      <c r="J97" s="547" t="n">
        <v>309.366975308642</v>
      </c>
    </row>
    <row r="98" ht="15" customHeight="1" s="413">
      <c r="B98" s="580" t="inlineStr">
        <is>
          <t>Purchases</t>
        </is>
      </c>
      <c r="C98" s="565" t="n">
        <v>115.8</v>
      </c>
      <c r="D98" s="565" t="n">
        <v>132.5</v>
      </c>
      <c r="E98" s="565" t="n">
        <v>129.6</v>
      </c>
      <c r="F98" s="565" t="n">
        <v>116</v>
      </c>
      <c r="G98" s="565" t="n">
        <v>114</v>
      </c>
      <c r="H98" s="565" t="n">
        <v>116</v>
      </c>
      <c r="I98" s="565" t="n">
        <v>128</v>
      </c>
      <c r="J98" s="565" t="n">
        <v>135</v>
      </c>
    </row>
    <row r="99" ht="15" customHeight="1" s="413">
      <c r="B99" s="580" t="inlineStr">
        <is>
          <t>Amortization</t>
        </is>
      </c>
      <c r="C99" s="565" t="n">
        <v>-75.7</v>
      </c>
      <c r="D99" s="565" t="n">
        <v>-93.59999999999999</v>
      </c>
      <c r="E99" s="565" t="n">
        <v>-108.5</v>
      </c>
      <c r="F99" s="530" t="n">
        <v>-100.891358024691</v>
      </c>
      <c r="G99" s="530" t="n">
        <v>-102.863888888889</v>
      </c>
      <c r="H99" s="530" t="n">
        <v>-108.445679012346</v>
      </c>
      <c r="I99" s="530" t="n">
        <v>-123.832098765432</v>
      </c>
      <c r="J99" s="530" t="n">
        <v>-135</v>
      </c>
      <c r="K99" s="572" t="inlineStr">
        <is>
          <t>Smoothing?</t>
        </is>
      </c>
    </row>
    <row r="100" ht="15" customHeight="1" s="413">
      <c r="B100" s="585" t="inlineStr">
        <is>
          <t>Purchases as % of revenue</t>
        </is>
      </c>
      <c r="C100" s="574" t="n">
        <v>0.0560693361739215</v>
      </c>
      <c r="D100" s="574" t="n">
        <v>0.0610036832412523</v>
      </c>
      <c r="E100" s="574" t="n">
        <v>0.0588716271463614</v>
      </c>
      <c r="F100" s="531" t="n">
        <v>0.0509118264222723</v>
      </c>
      <c r="G100" s="531" t="n">
        <v>0.0474256268355863</v>
      </c>
      <c r="H100" s="531" t="n">
        <v>0.0455260899778882</v>
      </c>
      <c r="I100" s="531" t="n">
        <v>0.047843509993183</v>
      </c>
      <c r="J100" s="531" t="n">
        <v>0.0481488091087168</v>
      </c>
      <c r="K100" s="586" t="inlineStr">
        <is>
          <t>Yes</t>
        </is>
      </c>
    </row>
    <row r="101" ht="15" customHeight="1" s="413">
      <c r="B101" s="585" t="inlineStr">
        <is>
          <t>Amortization as a % of purchases</t>
        </is>
      </c>
      <c r="C101" s="587" t="n">
        <v>0.653713298791019</v>
      </c>
      <c r="D101" s="587" t="n">
        <v>0.706415094339623</v>
      </c>
      <c r="E101" s="587" t="n">
        <v>0.837191358024691</v>
      </c>
      <c r="F101" s="587" t="n">
        <v>0.869753086419753</v>
      </c>
      <c r="G101" s="587" t="n">
        <v>0.902314814814815</v>
      </c>
      <c r="H101" s="587" t="n">
        <v>0.934876543209877</v>
      </c>
      <c r="I101" s="587" t="n">
        <v>0.967438271604938</v>
      </c>
      <c r="J101" s="587" t="n">
        <v>1</v>
      </c>
      <c r="K101" s="588" t="n">
        <v>0.0325617283950617</v>
      </c>
    </row>
    <row r="102" ht="15" customHeight="1" s="413">
      <c r="B102" s="585" t="n"/>
      <c r="C102" s="587" t="n"/>
      <c r="D102" s="587" t="n"/>
      <c r="E102" s="587" t="n"/>
    </row>
    <row r="103" ht="15" customHeight="1" s="413">
      <c r="B103" s="571" t="inlineStr">
        <is>
          <t>Intangible assets</t>
        </is>
      </c>
      <c r="D103" s="579" t="n">
        <v>257.5</v>
      </c>
      <c r="E103" s="579" t="n">
        <v>189.8</v>
      </c>
      <c r="F103" s="547" t="n">
        <v>189.8</v>
      </c>
      <c r="G103" s="547" t="n">
        <v>189.8</v>
      </c>
      <c r="H103" s="547" t="n">
        <v>189.8</v>
      </c>
      <c r="I103" s="547" t="n">
        <v>189.8</v>
      </c>
      <c r="J103" s="547" t="n">
        <v>189.8</v>
      </c>
    </row>
    <row r="104" ht="15" customHeight="1" s="413">
      <c r="B104" s="580" t="inlineStr">
        <is>
          <t>Purchases</t>
        </is>
      </c>
      <c r="C104" s="590" t="n">
        <v>0</v>
      </c>
      <c r="D104" s="565" t="n">
        <v>0</v>
      </c>
      <c r="E104" s="565" t="n">
        <v>0</v>
      </c>
      <c r="F104" s="565" t="n">
        <v>85</v>
      </c>
      <c r="G104" s="565" t="n">
        <v>80</v>
      </c>
      <c r="H104" s="565" t="n">
        <v>77</v>
      </c>
      <c r="I104" s="565" t="n">
        <v>68</v>
      </c>
      <c r="J104" s="565" t="n">
        <v>57</v>
      </c>
    </row>
    <row r="105" ht="15" customHeight="1" s="413">
      <c r="B105" s="580" t="inlineStr">
        <is>
          <t>Amortization</t>
        </is>
      </c>
      <c r="C105" s="565" t="n">
        <v>-79.09999999999999</v>
      </c>
      <c r="D105" s="565" t="n">
        <v>-97.7</v>
      </c>
      <c r="E105" s="565" t="n">
        <v>-86.90000000000001</v>
      </c>
      <c r="F105" s="565" t="n">
        <v>-85</v>
      </c>
      <c r="G105" s="565" t="n">
        <v>-80</v>
      </c>
      <c r="H105" s="565" t="n">
        <v>-77</v>
      </c>
      <c r="I105" s="565" t="n">
        <v>-68</v>
      </c>
      <c r="J105" s="565" t="n">
        <v>-57</v>
      </c>
    </row>
    <row r="106" ht="15" customHeight="1" s="413">
      <c r="B106" s="525" t="n"/>
      <c r="C106" s="530" t="n"/>
      <c r="D106" s="530" t="n"/>
      <c r="E106" s="530" t="n"/>
    </row>
    <row r="107" ht="15" customHeight="1" s="413">
      <c r="B107" s="571" t="inlineStr">
        <is>
          <t>Goodwill and other assets</t>
        </is>
      </c>
      <c r="D107" s="579" t="n">
        <v>1940.3</v>
      </c>
      <c r="E107" s="579" t="n">
        <v>1935.2</v>
      </c>
      <c r="F107" s="579" t="n">
        <v>1935.2</v>
      </c>
      <c r="G107" s="579" t="n">
        <v>1935.2</v>
      </c>
      <c r="H107" s="579" t="n">
        <v>1935.2</v>
      </c>
      <c r="I107" s="579" t="n">
        <v>1935.2</v>
      </c>
      <c r="J107" s="579" t="n">
        <v>1935.2</v>
      </c>
    </row>
    <row r="108" ht="15" customHeight="1" s="413">
      <c r="B108" s="571" t="n"/>
      <c r="D108" s="579" t="n"/>
      <c r="E108" s="579" t="n"/>
      <c r="F108" s="579" t="n"/>
      <c r="G108" s="579" t="n"/>
      <c r="H108" s="579" t="n"/>
      <c r="I108" s="579" t="n"/>
      <c r="J108" s="579" t="n"/>
    </row>
    <row r="109" ht="15" customHeight="1" s="413">
      <c r="B109" s="571" t="inlineStr">
        <is>
          <t>Other liabilities</t>
        </is>
      </c>
      <c r="D109" s="579" t="n">
        <v>232.4</v>
      </c>
      <c r="E109" s="579" t="n">
        <v>252</v>
      </c>
      <c r="F109" s="567" t="n">
        <v>252</v>
      </c>
      <c r="G109" s="567" t="n">
        <v>252</v>
      </c>
      <c r="H109" s="567" t="n">
        <v>252</v>
      </c>
      <c r="I109" s="567" t="n">
        <v>252</v>
      </c>
      <c r="J109" s="567" t="n">
        <v>252</v>
      </c>
    </row>
    <row r="110" ht="15" customHeight="1" s="413">
      <c r="B110" s="525" t="n"/>
      <c r="C110" s="523" t="n"/>
      <c r="D110" s="523" t="n"/>
      <c r="E110" s="523" t="n"/>
      <c r="F110" s="517" t="n"/>
      <c r="G110" s="517" t="n"/>
      <c r="H110" s="517" t="n"/>
      <c r="I110" s="517" t="n"/>
      <c r="J110" s="517" t="n"/>
    </row>
    <row r="111" ht="15" customHeight="1" s="413">
      <c r="B111" s="502" t="inlineStr">
        <is>
          <t>CASH FLOW STATEMENT</t>
        </is>
      </c>
      <c r="C111" s="591" t="n"/>
      <c r="D111" s="591" t="n"/>
      <c r="E111" s="591" t="n"/>
      <c r="F111" s="591" t="n"/>
      <c r="G111" s="591" t="n"/>
      <c r="H111" s="591" t="n"/>
      <c r="I111" s="591" t="n"/>
      <c r="J111" s="591" t="n"/>
    </row>
    <row r="112" ht="15" customHeight="1" s="413">
      <c r="B112" s="501" t="inlineStr">
        <is>
          <t xml:space="preserve">Fiscal year  </t>
        </is>
      </c>
      <c r="C112" s="592" t="n">
        <v>2022</v>
      </c>
      <c r="D112" s="592" t="n">
        <v>2023</v>
      </c>
      <c r="E112" s="592" t="n">
        <v>2024</v>
      </c>
      <c r="F112" s="593" t="n">
        <v>2025</v>
      </c>
      <c r="G112" s="593" t="n">
        <v>2026</v>
      </c>
      <c r="H112" s="593" t="n">
        <v>2027</v>
      </c>
      <c r="I112" s="593" t="n">
        <v>2028</v>
      </c>
      <c r="J112" s="593" t="n">
        <v>2029</v>
      </c>
    </row>
    <row r="113" ht="15" customHeight="1" s="413">
      <c r="B113" s="493" t="inlineStr">
        <is>
          <t>Fiscal year end date</t>
        </is>
      </c>
      <c r="C113" s="594" t="n"/>
      <c r="D113" s="594" t="n"/>
      <c r="E113" s="594" t="n"/>
      <c r="F113" s="595" t="n">
        <v>46022</v>
      </c>
      <c r="G113" s="595" t="n">
        <v>46387</v>
      </c>
      <c r="H113" s="595" t="n">
        <v>46752</v>
      </c>
      <c r="I113" s="595" t="n">
        <v>47118</v>
      </c>
      <c r="J113" s="595" t="n">
        <v>47483</v>
      </c>
    </row>
    <row r="115" ht="15" customHeight="1" s="413">
      <c r="B115" s="412" t="inlineStr">
        <is>
          <t>Net income</t>
        </is>
      </c>
      <c r="C115" s="596" t="n"/>
      <c r="D115" s="596" t="n"/>
      <c r="E115" s="596" t="n"/>
      <c r="F115" s="530" t="n">
        <v>152.904923766934</v>
      </c>
      <c r="G115" s="530" t="n">
        <v>220.28852630748</v>
      </c>
      <c r="H115" s="530" t="n">
        <v>293.02899231211</v>
      </c>
      <c r="I115" s="530" t="n">
        <v>370.73728858424</v>
      </c>
      <c r="J115" s="530" t="n">
        <v>461.328959013038</v>
      </c>
    </row>
    <row r="116" ht="15" customHeight="1" s="413">
      <c r="B116" s="412" t="inlineStr">
        <is>
          <t>Depreciation and amortization</t>
        </is>
      </c>
      <c r="C116" s="596" t="n"/>
      <c r="D116" s="596" t="n"/>
      <c r="E116" s="596" t="n"/>
      <c r="F116" s="597" t="n">
        <v>223.946868228773</v>
      </c>
      <c r="G116" s="597" t="n">
        <v>220.601031746032</v>
      </c>
      <c r="H116" s="597" t="n">
        <v>222.400781053162</v>
      </c>
      <c r="I116" s="597" t="n">
        <v>224.193731418493</v>
      </c>
      <c r="J116" s="597" t="n">
        <v>223</v>
      </c>
    </row>
    <row r="117" ht="15" customHeight="1" s="413">
      <c r="B117" s="573" t="inlineStr">
        <is>
          <t xml:space="preserve">Deal-related D&amp;A </t>
        </is>
      </c>
      <c r="C117" s="596" t="n"/>
      <c r="D117" s="596" t="n"/>
      <c r="E117" s="596" t="n"/>
      <c r="F117" s="597" t="n">
        <v>52.9973220833333</v>
      </c>
      <c r="G117" s="597" t="n">
        <v>52.9973220833333</v>
      </c>
      <c r="H117" s="597" t="n">
        <v>52.9973220833333</v>
      </c>
      <c r="I117" s="597" t="n">
        <v>52.9973220833333</v>
      </c>
      <c r="J117" s="597" t="n">
        <v>52.9973220833333</v>
      </c>
    </row>
    <row r="118" ht="15" customHeight="1" s="413">
      <c r="B118" s="412" t="inlineStr">
        <is>
          <t>Stock based compensation</t>
        </is>
      </c>
      <c r="C118" s="596" t="n"/>
      <c r="D118" s="596" t="n"/>
      <c r="E118" s="596" t="n"/>
      <c r="F118" s="530" t="n">
        <v>161.054736827472</v>
      </c>
      <c r="G118" s="530" t="n">
        <v>162.082091165166</v>
      </c>
      <c r="H118" s="530" t="n">
        <v>163.697620289742</v>
      </c>
      <c r="I118" s="530" t="n">
        <v>163.56828931607</v>
      </c>
      <c r="J118" s="530" t="n">
        <v>162.916558614463</v>
      </c>
    </row>
    <row r="119" ht="15" customHeight="1" s="413">
      <c r="B119" s="412" t="inlineStr">
        <is>
          <t>Changes in net working capital</t>
        </is>
      </c>
      <c r="C119" s="517" t="n"/>
      <c r="D119" s="517" t="n"/>
      <c r="E119" s="517" t="n"/>
      <c r="F119" s="530" t="n">
        <v>56.8313506882919</v>
      </c>
      <c r="G119" s="530" t="n">
        <v>95.0560076361708</v>
      </c>
      <c r="H119" s="530" t="n">
        <v>109.427241848682</v>
      </c>
      <c r="I119" s="530" t="n">
        <v>96.4644303753319</v>
      </c>
      <c r="J119" s="530" t="n">
        <v>97.1524314506019</v>
      </c>
    </row>
    <row r="120" ht="15" customHeight="1" s="413">
      <c r="B120" s="412" t="inlineStr">
        <is>
          <t>Other assets &amp; liabilities</t>
        </is>
      </c>
      <c r="C120" s="517" t="n"/>
      <c r="D120" s="517" t="n"/>
      <c r="E120" s="517" t="n"/>
      <c r="F120" s="530" t="n">
        <v>0</v>
      </c>
      <c r="G120" s="530" t="n">
        <v>0</v>
      </c>
      <c r="H120" s="530" t="n">
        <v>0</v>
      </c>
      <c r="I120" s="530" t="n">
        <v>0</v>
      </c>
      <c r="J120" s="530" t="n">
        <v>0</v>
      </c>
    </row>
    <row r="121" ht="15" customHeight="1" s="413">
      <c r="B121" s="412" t="inlineStr">
        <is>
          <t>Changes in deferred tax liabilities</t>
        </is>
      </c>
      <c r="C121" s="517" t="n"/>
      <c r="D121" s="517" t="n"/>
      <c r="E121" s="517" t="n"/>
      <c r="F121" s="530" t="n">
        <v>-9.81304043000701</v>
      </c>
      <c r="G121" s="530" t="n">
        <v>-9.81304043000701</v>
      </c>
      <c r="H121" s="530" t="n">
        <v>-9.81304043000701</v>
      </c>
      <c r="I121" s="530" t="n">
        <v>-9.81304043000701</v>
      </c>
      <c r="J121" s="530" t="n">
        <v>-9.81304043000701</v>
      </c>
    </row>
    <row r="122" ht="15" customHeight="1" s="413">
      <c r="B122" s="412" t="inlineStr">
        <is>
          <t>Addback of PIK interest</t>
        </is>
      </c>
      <c r="C122" s="517" t="n"/>
      <c r="D122" s="517" t="n"/>
      <c r="E122" s="517" t="n"/>
      <c r="F122" s="530" t="n">
        <v>0</v>
      </c>
      <c r="G122" s="530" t="n">
        <v>0</v>
      </c>
      <c r="H122" s="530" t="n">
        <v>0</v>
      </c>
      <c r="I122" s="530" t="n">
        <v>0</v>
      </c>
      <c r="J122" s="530" t="n">
        <v>0</v>
      </c>
    </row>
    <row r="123" ht="15" customHeight="1" s="413">
      <c r="B123" s="538" t="inlineStr">
        <is>
          <t>Cash from operating activities</t>
        </is>
      </c>
      <c r="F123" s="547" t="n">
        <v>637.922161164797</v>
      </c>
      <c r="G123" s="547" t="n">
        <v>741.2119385081739</v>
      </c>
      <c r="H123" s="547" t="n">
        <v>831.738917157023</v>
      </c>
      <c r="I123" s="547" t="n">
        <v>898.1480213474611</v>
      </c>
      <c r="J123" s="547" t="n">
        <v>987.582230731429</v>
      </c>
    </row>
    <row r="125" ht="15" customHeight="1" s="413">
      <c r="B125" s="412" t="inlineStr">
        <is>
          <t>Capital expenditures</t>
        </is>
      </c>
      <c r="F125" s="530" t="n">
        <v>-26</v>
      </c>
      <c r="G125" s="530" t="n">
        <v>-28</v>
      </c>
      <c r="H125" s="530" t="n">
        <v>-30</v>
      </c>
      <c r="I125" s="530" t="n">
        <v>-29</v>
      </c>
      <c r="J125" s="530" t="n">
        <v>-31</v>
      </c>
    </row>
    <row r="126" ht="15" customHeight="1" s="413">
      <c r="B126" s="412" t="inlineStr">
        <is>
          <t xml:space="preserve">Purchases of intangible assets and capitalized software development costs </t>
        </is>
      </c>
      <c r="F126" s="530" t="n">
        <v>-201</v>
      </c>
      <c r="G126" s="530" t="n">
        <v>-194</v>
      </c>
      <c r="H126" s="530" t="n">
        <v>-193</v>
      </c>
      <c r="I126" s="530" t="n">
        <v>-196</v>
      </c>
      <c r="J126" s="530" t="n">
        <v>-192</v>
      </c>
    </row>
    <row r="127" ht="15" customHeight="1" s="413">
      <c r="B127" s="538" t="inlineStr">
        <is>
          <t>Cash from investing activities</t>
        </is>
      </c>
      <c r="F127" s="547" t="n">
        <v>-227</v>
      </c>
      <c r="G127" s="547" t="n">
        <v>-222</v>
      </c>
      <c r="H127" s="547" t="n">
        <v>-223</v>
      </c>
      <c r="I127" s="547" t="n">
        <v>-225</v>
      </c>
      <c r="J127" s="547" t="n">
        <v>-223</v>
      </c>
    </row>
    <row r="129" ht="15" customHeight="1" s="413">
      <c r="B129" s="412" t="inlineStr">
        <is>
          <t>Required debt principal payments</t>
        </is>
      </c>
      <c r="F129" s="530" t="n">
        <v>-322.1855</v>
      </c>
      <c r="G129" s="530" t="n">
        <v>-177.86405</v>
      </c>
      <c r="H129" s="530" t="n">
        <v>-177.86405</v>
      </c>
      <c r="I129" s="530" t="n">
        <v>-177.86405</v>
      </c>
      <c r="J129" s="530" t="n">
        <v>-177.86405</v>
      </c>
    </row>
    <row r="130" ht="15" customHeight="1" s="413">
      <c r="B130" s="412" t="inlineStr">
        <is>
          <t>Preferred dividend (cash)</t>
        </is>
      </c>
      <c r="F130" s="530" t="n">
        <v>0</v>
      </c>
      <c r="G130" s="530" t="n">
        <v>0</v>
      </c>
      <c r="H130" s="530" t="n">
        <v>0</v>
      </c>
      <c r="I130" s="530" t="n">
        <v>0</v>
      </c>
      <c r="J130" s="530" t="n">
        <v>0</v>
      </c>
    </row>
    <row r="131" ht="15" customHeight="1" s="413">
      <c r="B131" s="598" t="inlineStr">
        <is>
          <t>Pre-revolver cash flows</t>
        </is>
      </c>
      <c r="C131" s="538" t="n"/>
      <c r="D131" s="538" t="n"/>
      <c r="E131" s="538" t="n"/>
      <c r="F131" s="547" t="n">
        <v>88.7366611647973</v>
      </c>
      <c r="G131" s="547" t="n">
        <v>341.347888508174</v>
      </c>
      <c r="H131" s="547" t="n">
        <v>430.874867157023</v>
      </c>
      <c r="I131" s="547" t="n">
        <v>495.283971347461</v>
      </c>
      <c r="J131" s="547" t="n">
        <v>586.718180731428</v>
      </c>
    </row>
    <row r="132" ht="15" customHeight="1" s="413">
      <c r="B132" s="412" t="inlineStr">
        <is>
          <t>Revolver</t>
        </is>
      </c>
      <c r="F132" s="530" t="n">
        <v>0</v>
      </c>
      <c r="G132" s="530" t="n">
        <v>0</v>
      </c>
      <c r="H132" s="530" t="n">
        <v>0</v>
      </c>
      <c r="I132" s="530" t="n">
        <v>0</v>
      </c>
      <c r="J132" s="530" t="n">
        <v>0</v>
      </c>
    </row>
    <row r="133" ht="15" customHeight="1" s="413">
      <c r="B133" s="598" t="inlineStr">
        <is>
          <t>Post-revolver cash flows</t>
        </is>
      </c>
      <c r="C133" s="538" t="n"/>
      <c r="D133" s="538" t="n"/>
      <c r="E133" s="538" t="n"/>
      <c r="F133" s="547" t="n">
        <v>88.7366611647973</v>
      </c>
      <c r="G133" s="547" t="n">
        <v>341.347888508174</v>
      </c>
      <c r="H133" s="547" t="n">
        <v>430.874867157023</v>
      </c>
      <c r="I133" s="547" t="n">
        <v>495.283971347461</v>
      </c>
      <c r="J133" s="547" t="n">
        <v>586.718180731428</v>
      </c>
    </row>
    <row r="134" ht="15" customHeight="1" s="413">
      <c r="B134" s="573" t="inlineStr">
        <is>
          <t>Discretionary Term A paydown</t>
        </is>
      </c>
      <c r="F134" s="530" t="n">
        <v>-88.7366611647973</v>
      </c>
      <c r="G134" s="530" t="n">
        <v>-341.347888508174</v>
      </c>
      <c r="H134" s="530" t="n">
        <v>-430.874867157023</v>
      </c>
      <c r="I134" s="530" t="n">
        <v>-495.283971347461</v>
      </c>
      <c r="J134" s="530" t="n">
        <v>-586.718180731428</v>
      </c>
    </row>
    <row r="135" ht="15" customHeight="1" s="413">
      <c r="B135" s="573" t="inlineStr">
        <is>
          <t>Discretionary Term B paydown</t>
        </is>
      </c>
      <c r="F135" s="530" t="n">
        <v>0</v>
      </c>
      <c r="G135" s="530" t="n">
        <v>0</v>
      </c>
      <c r="H135" s="530" t="n">
        <v>0</v>
      </c>
      <c r="I135" s="530" t="n">
        <v>0</v>
      </c>
      <c r="J135" s="530" t="n">
        <v>2.27373675443232e-13</v>
      </c>
    </row>
    <row r="136" ht="15" customHeight="1" s="413">
      <c r="B136" s="538" t="inlineStr">
        <is>
          <t>Net change in cash during period</t>
        </is>
      </c>
      <c r="F136" s="547" t="n">
        <v>0</v>
      </c>
      <c r="G136" s="547" t="n">
        <v>0</v>
      </c>
      <c r="H136" s="547" t="n">
        <v>0</v>
      </c>
      <c r="I136" s="547" t="n">
        <v>0</v>
      </c>
      <c r="J136" s="547" t="n">
        <v>2.27373675443232e-13</v>
      </c>
    </row>
    <row r="137" ht="15" customHeight="1" s="413">
      <c r="B137" s="538" t="n"/>
      <c r="F137" s="589" t="n"/>
      <c r="G137" s="589" t="n"/>
      <c r="H137" s="589" t="n"/>
      <c r="I137" s="589" t="n"/>
      <c r="J137" s="589" t="n"/>
    </row>
    <row r="138" ht="15" customHeight="1" s="413">
      <c r="B138" s="576" t="inlineStr">
        <is>
          <t>CASH &amp; DEBT</t>
        </is>
      </c>
      <c r="C138" s="493" t="n"/>
      <c r="D138" s="493" t="n"/>
      <c r="E138" s="493" t="n"/>
      <c r="F138" s="493" t="n"/>
      <c r="G138" s="493" t="n"/>
      <c r="H138" s="493" t="n"/>
      <c r="I138" s="493" t="n"/>
      <c r="J138" s="493" t="n"/>
    </row>
    <row r="139" ht="15" customHeight="1" s="413">
      <c r="B139" s="501" t="inlineStr">
        <is>
          <t xml:space="preserve">Fiscal year  </t>
        </is>
      </c>
      <c r="C139" s="592" t="n">
        <v>2022</v>
      </c>
      <c r="D139" s="592" t="n">
        <v>2023</v>
      </c>
      <c r="E139" s="592" t="n">
        <v>2024</v>
      </c>
      <c r="F139" s="593" t="n">
        <v>2025</v>
      </c>
      <c r="G139" s="593" t="n">
        <v>2026</v>
      </c>
      <c r="H139" s="593" t="n">
        <v>2027</v>
      </c>
      <c r="I139" s="593" t="n">
        <v>2028</v>
      </c>
      <c r="J139" s="593" t="n">
        <v>2029</v>
      </c>
    </row>
    <row r="140" ht="15" customHeight="1" s="413">
      <c r="B140" s="493" t="inlineStr">
        <is>
          <t>Fiscal year end date</t>
        </is>
      </c>
      <c r="C140" s="595" t="n">
        <v>44926</v>
      </c>
      <c r="D140" s="595" t="n">
        <v>45291</v>
      </c>
      <c r="E140" s="595" t="n">
        <v>45657</v>
      </c>
      <c r="F140" s="595" t="n">
        <v>46022</v>
      </c>
      <c r="G140" s="595" t="n">
        <v>46387</v>
      </c>
      <c r="H140" s="595" t="n">
        <v>46752</v>
      </c>
      <c r="I140" s="595" t="n">
        <v>47118</v>
      </c>
      <c r="J140" s="595" t="n">
        <v>47483</v>
      </c>
    </row>
    <row r="141" ht="15" customHeight="1" s="413">
      <c r="B141" s="553" t="n"/>
    </row>
    <row r="142" ht="15" customHeight="1" s="413">
      <c r="B142" s="525" t="inlineStr">
        <is>
          <t>Cash, BOP</t>
        </is>
      </c>
      <c r="F142" s="599" t="n">
        <v>180</v>
      </c>
      <c r="G142" s="530" t="n">
        <v>180</v>
      </c>
      <c r="H142" s="530" t="n">
        <v>180</v>
      </c>
      <c r="I142" s="530" t="n">
        <v>180</v>
      </c>
      <c r="J142" s="530" t="n">
        <v>180</v>
      </c>
    </row>
    <row r="143" ht="15" customHeight="1" s="413">
      <c r="B143" s="525" t="inlineStr">
        <is>
          <t>Increases / (decreases)</t>
        </is>
      </c>
      <c r="F143" s="530" t="n">
        <v>0</v>
      </c>
      <c r="G143" s="530" t="n">
        <v>0</v>
      </c>
      <c r="H143" s="530" t="n">
        <v>0</v>
      </c>
      <c r="I143" s="530" t="n">
        <v>0</v>
      </c>
      <c r="J143" s="530" t="n">
        <v>2.27373675443232e-13</v>
      </c>
    </row>
    <row r="144" ht="15" customHeight="1" s="413">
      <c r="B144" s="571" t="inlineStr">
        <is>
          <t>Cash, EOP</t>
        </is>
      </c>
      <c r="C144" s="538" t="n"/>
      <c r="D144" s="579" t="n">
        <v>1635.6</v>
      </c>
      <c r="E144" s="567" t="n">
        <v>1581.9</v>
      </c>
      <c r="F144" s="547" t="n">
        <v>180</v>
      </c>
      <c r="G144" s="547" t="n">
        <v>180</v>
      </c>
      <c r="H144" s="547" t="n">
        <v>180</v>
      </c>
      <c r="I144" s="547" t="n">
        <v>180</v>
      </c>
      <c r="J144" s="547" t="n">
        <v>180</v>
      </c>
    </row>
    <row r="145" ht="15" customHeight="1" s="413">
      <c r="B145" s="525" t="inlineStr">
        <is>
          <t>Interest rate on cash</t>
        </is>
      </c>
      <c r="D145" s="600" t="n">
        <v>0.00648080215211543</v>
      </c>
      <c r="E145" s="600" t="n">
        <v>0.00515928515928516</v>
      </c>
      <c r="F145" s="601" t="n">
        <v>0.00515928515928516</v>
      </c>
      <c r="G145" s="601" t="n">
        <v>0.00515928515928516</v>
      </c>
      <c r="H145" s="601" t="n">
        <v>0.00515928515928516</v>
      </c>
      <c r="I145" s="601" t="n">
        <v>0.00515928515928516</v>
      </c>
      <c r="J145" s="601" t="n">
        <v>0.00515928515928516</v>
      </c>
    </row>
    <row r="146" ht="15" customHeight="1" s="413">
      <c r="B146" s="525" t="inlineStr">
        <is>
          <t>Interest income</t>
        </is>
      </c>
      <c r="C146" s="517" t="n"/>
      <c r="D146" s="530" t="n">
        <v>10.6</v>
      </c>
      <c r="E146" s="530" t="n">
        <v>8.300000000000001</v>
      </c>
      <c r="F146" s="530" t="n">
        <v>0.928671328671329</v>
      </c>
      <c r="G146" s="530" t="n">
        <v>0.928671328671329</v>
      </c>
      <c r="H146" s="530" t="n">
        <v>0.928671328671329</v>
      </c>
      <c r="I146" s="530" t="n">
        <v>0.928671328671329</v>
      </c>
      <c r="J146" s="530" t="n">
        <v>0.928671328671329</v>
      </c>
    </row>
    <row r="147" ht="15" customHeight="1" s="413">
      <c r="B147" s="525" t="n"/>
      <c r="C147" s="517" t="n"/>
      <c r="D147" s="517" t="n"/>
      <c r="E147" s="517" t="n"/>
      <c r="F147" s="517" t="n"/>
      <c r="G147" s="517" t="n"/>
      <c r="H147" s="517" t="n"/>
      <c r="I147" s="517" t="n"/>
      <c r="J147" s="517" t="n"/>
    </row>
    <row r="148" ht="15" customHeight="1" s="413">
      <c r="B148" s="568" t="inlineStr">
        <is>
          <t>Revolver</t>
        </is>
      </c>
      <c r="D148" s="572" t="n"/>
      <c r="E148" s="572" t="n"/>
      <c r="F148" s="517" t="n"/>
      <c r="G148" s="517" t="n"/>
      <c r="H148" s="517" t="n"/>
      <c r="I148" s="517" t="n"/>
      <c r="J148" s="517" t="n"/>
    </row>
    <row r="149" ht="15" customHeight="1" s="413">
      <c r="B149" s="580" t="inlineStr">
        <is>
          <t xml:space="preserve">Cash, BOP </t>
        </is>
      </c>
      <c r="F149" s="530" t="n">
        <v>180</v>
      </c>
      <c r="G149" s="530" t="n">
        <v>180</v>
      </c>
      <c r="H149" s="530" t="n">
        <v>180</v>
      </c>
      <c r="I149" s="530" t="n">
        <v>180</v>
      </c>
      <c r="J149" s="530" t="n">
        <v>180</v>
      </c>
    </row>
    <row r="150" ht="15" customHeight="1" s="413">
      <c r="B150" s="580" t="inlineStr">
        <is>
          <t>Less: Minimum cash desired</t>
        </is>
      </c>
      <c r="F150" s="522" t="n">
        <v>-180</v>
      </c>
      <c r="G150" s="522" t="n">
        <v>-180</v>
      </c>
      <c r="H150" s="522" t="n">
        <v>-180</v>
      </c>
      <c r="I150" s="522" t="n">
        <v>-180</v>
      </c>
      <c r="J150" s="522" t="n">
        <v>-180</v>
      </c>
    </row>
    <row r="151" ht="15" customHeight="1" s="413">
      <c r="B151" s="580" t="inlineStr">
        <is>
          <t>Equals: Excess cash at BOP</t>
        </is>
      </c>
      <c r="F151" s="530" t="n">
        <v>0</v>
      </c>
      <c r="G151" s="530" t="n">
        <v>0</v>
      </c>
      <c r="H151" s="530" t="n">
        <v>0</v>
      </c>
      <c r="I151" s="530" t="n">
        <v>0</v>
      </c>
      <c r="J151" s="530" t="n">
        <v>0</v>
      </c>
    </row>
    <row r="152" ht="15" customHeight="1" s="413">
      <c r="B152" s="602" t="inlineStr">
        <is>
          <t>Plus: Free cash flows generated during period</t>
        </is>
      </c>
      <c r="C152" s="568" t="n"/>
      <c r="D152" s="568" t="n"/>
      <c r="E152" s="568" t="n"/>
      <c r="F152" s="603" t="n">
        <v>88.7366611647973</v>
      </c>
      <c r="G152" s="603" t="n">
        <v>341.347888508174</v>
      </c>
      <c r="H152" s="603" t="n">
        <v>430.874867157023</v>
      </c>
      <c r="I152" s="603" t="n">
        <v>495.283971347461</v>
      </c>
      <c r="J152" s="603" t="n">
        <v>586.718180731428</v>
      </c>
    </row>
    <row r="153" ht="15" customHeight="1" s="413">
      <c r="B153" s="604" t="inlineStr">
        <is>
          <t>Cash available (needed) to paydown (draw from) revolver</t>
        </is>
      </c>
      <c r="C153" s="506" t="n"/>
      <c r="D153" s="506" t="n"/>
      <c r="E153" s="506" t="n"/>
      <c r="F153" s="582" t="n">
        <v>88.7366611647973</v>
      </c>
      <c r="G153" s="582" t="n">
        <v>341.347888508174</v>
      </c>
      <c r="H153" s="582" t="n">
        <v>430.874867157023</v>
      </c>
      <c r="I153" s="582" t="n">
        <v>495.283971347461</v>
      </c>
      <c r="J153" s="582" t="n">
        <v>586.718180731428</v>
      </c>
    </row>
    <row r="155" ht="15" customHeight="1" s="413">
      <c r="B155" s="525" t="inlineStr">
        <is>
          <t>Revolver, BOP</t>
        </is>
      </c>
      <c r="F155" s="599" t="n">
        <v>0</v>
      </c>
      <c r="G155" s="530" t="n">
        <v>0</v>
      </c>
      <c r="H155" s="530" t="n">
        <v>0</v>
      </c>
      <c r="I155" s="530" t="n">
        <v>0</v>
      </c>
      <c r="J155" s="530" t="n">
        <v>0</v>
      </c>
    </row>
    <row r="156" ht="15" customHeight="1" s="413">
      <c r="B156" s="525" t="inlineStr">
        <is>
          <t>Increases / (decreases)</t>
        </is>
      </c>
      <c r="F156" s="530" t="n">
        <v>0</v>
      </c>
      <c r="G156" s="530" t="n">
        <v>0</v>
      </c>
      <c r="H156" s="530" t="n">
        <v>0</v>
      </c>
      <c r="I156" s="530" t="n">
        <v>0</v>
      </c>
      <c r="J156" s="530" t="n">
        <v>0</v>
      </c>
    </row>
    <row r="157" ht="15" customHeight="1" s="413">
      <c r="B157" s="571" t="inlineStr">
        <is>
          <t>Revolver, EOP</t>
        </is>
      </c>
      <c r="D157" s="568" t="inlineStr">
        <is>
          <t>% AR</t>
        </is>
      </c>
      <c r="E157" s="568" t="inlineStr">
        <is>
          <t>% Other Assets</t>
        </is>
      </c>
      <c r="F157" s="547" t="n">
        <v>0</v>
      </c>
      <c r="G157" s="547" t="n">
        <v>0</v>
      </c>
      <c r="H157" s="547" t="n">
        <v>0</v>
      </c>
      <c r="I157" s="547" t="n">
        <v>0</v>
      </c>
      <c r="J157" s="547" t="n">
        <v>0</v>
      </c>
    </row>
    <row r="158" ht="15" customHeight="1" s="413">
      <c r="B158" s="604" t="inlineStr">
        <is>
          <t>Maximum availability</t>
        </is>
      </c>
      <c r="D158" s="605" t="n">
        <v>0.8</v>
      </c>
      <c r="E158" s="605" t="n">
        <v>0.65</v>
      </c>
      <c r="F158" s="582" t="n">
        <v>350</v>
      </c>
      <c r="G158" s="582" t="n">
        <v>350</v>
      </c>
      <c r="H158" s="582" t="n">
        <v>350</v>
      </c>
      <c r="I158" s="582" t="n">
        <v>350</v>
      </c>
      <c r="J158" s="582" t="n">
        <v>350</v>
      </c>
    </row>
    <row r="159" ht="15" customHeight="1" s="413">
      <c r="B159" s="604" t="inlineStr">
        <is>
          <t>Compliance check</t>
        </is>
      </c>
      <c r="D159" s="606" t="n"/>
      <c r="E159" s="606" t="n"/>
      <c r="F159" s="607" t="inlineStr">
        <is>
          <t>OK</t>
        </is>
      </c>
      <c r="G159" s="607" t="inlineStr">
        <is>
          <t>OK</t>
        </is>
      </c>
      <c r="H159" s="607" t="inlineStr">
        <is>
          <t>OK</t>
        </is>
      </c>
      <c r="I159" s="607" t="inlineStr">
        <is>
          <t>OK</t>
        </is>
      </c>
      <c r="J159" s="607" t="inlineStr">
        <is>
          <t>OK</t>
        </is>
      </c>
    </row>
    <row r="161" ht="15" customHeight="1" s="413">
      <c r="B161" s="568" t="inlineStr">
        <is>
          <t>Term Loan A</t>
        </is>
      </c>
    </row>
    <row r="162" ht="15" customHeight="1" s="413">
      <c r="B162" s="525" t="inlineStr">
        <is>
          <t>Term Loan A, BOP</t>
        </is>
      </c>
      <c r="F162" s="599" t="n">
        <v>2886.429</v>
      </c>
      <c r="G162" s="530" t="n">
        <v>2509.0494388352</v>
      </c>
      <c r="H162" s="530" t="n">
        <v>2023.38010032703</v>
      </c>
      <c r="I162" s="530" t="n">
        <v>1448.18378317001</v>
      </c>
      <c r="J162" s="530" t="n">
        <v>808.578361822546</v>
      </c>
    </row>
    <row r="163" ht="15" customHeight="1" s="413">
      <c r="B163" s="525" t="inlineStr">
        <is>
          <t>Mandatory paydown $</t>
        </is>
      </c>
      <c r="F163" s="522" t="n">
        <v>288.6429</v>
      </c>
      <c r="G163" s="522" t="n">
        <v>144.32145</v>
      </c>
      <c r="H163" s="522" t="n">
        <v>144.32145</v>
      </c>
      <c r="I163" s="522" t="n">
        <v>144.32145</v>
      </c>
      <c r="J163" s="522" t="n">
        <v>144.32145</v>
      </c>
    </row>
    <row r="164" ht="15" customHeight="1" s="413">
      <c r="B164" s="525" t="inlineStr">
        <is>
          <t>Cash sweep (paydown from excess cash flows)</t>
        </is>
      </c>
      <c r="F164" s="522" t="n">
        <v>88.7366611647973</v>
      </c>
      <c r="G164" s="522" t="n">
        <v>341.347888508174</v>
      </c>
      <c r="H164" s="522" t="n">
        <v>430.874867157023</v>
      </c>
      <c r="I164" s="522" t="n">
        <v>495.283971347461</v>
      </c>
      <c r="J164" s="522" t="n">
        <v>586.718180731429</v>
      </c>
    </row>
    <row r="165" ht="15" customHeight="1" s="413">
      <c r="B165" s="571" t="inlineStr">
        <is>
          <t>Term Loan A, EOP</t>
        </is>
      </c>
      <c r="C165" s="538" t="n"/>
      <c r="D165" s="608" t="n"/>
      <c r="E165" s="538" t="n"/>
      <c r="F165" s="567" t="n">
        <v>2509.0494388352</v>
      </c>
      <c r="G165" s="567" t="n">
        <v>2023.38010032703</v>
      </c>
      <c r="H165" s="567" t="n">
        <v>1448.18378317001</v>
      </c>
      <c r="I165" s="567" t="n">
        <v>808.578361822546</v>
      </c>
      <c r="J165" s="567" t="n">
        <v>77.5387310911168</v>
      </c>
    </row>
    <row r="166" ht="15" customHeight="1" s="413">
      <c r="B166" s="604" t="inlineStr">
        <is>
          <t>Mandatory paydown (% of original)</t>
        </is>
      </c>
      <c r="C166" s="506" t="n"/>
      <c r="E166" s="572" t="inlineStr">
        <is>
          <t>% of available cash used</t>
        </is>
      </c>
      <c r="F166" s="609" t="n">
        <v>0.1</v>
      </c>
      <c r="G166" s="609" t="n">
        <v>0.05</v>
      </c>
      <c r="H166" s="609" t="n">
        <v>0.05</v>
      </c>
      <c r="I166" s="609" t="n">
        <v>0.05</v>
      </c>
      <c r="J166" s="609" t="n">
        <v>0.05</v>
      </c>
    </row>
    <row r="167" ht="15" customHeight="1" s="413">
      <c r="B167" s="604" t="inlineStr">
        <is>
          <t>Cash sweep</t>
        </is>
      </c>
      <c r="C167" s="506" t="n"/>
      <c r="E167" s="610" t="n">
        <v>1</v>
      </c>
      <c r="F167" s="611" t="n">
        <v>88.7366611647973</v>
      </c>
      <c r="G167" s="611" t="n">
        <v>341.347888508174</v>
      </c>
      <c r="H167" s="611" t="n">
        <v>430.874867157023</v>
      </c>
      <c r="I167" s="611" t="n">
        <v>495.283971347461</v>
      </c>
      <c r="J167" s="611" t="n">
        <v>586.718180731428</v>
      </c>
    </row>
    <row r="168" ht="15" customHeight="1" s="413">
      <c r="B168" s="525" t="n"/>
      <c r="F168" s="612" t="n"/>
      <c r="G168" s="612" t="n"/>
      <c r="H168" s="612" t="n"/>
      <c r="I168" s="612" t="n"/>
      <c r="J168" s="612" t="n"/>
    </row>
    <row r="169" ht="15" customHeight="1" s="413">
      <c r="B169" s="568" t="inlineStr">
        <is>
          <t>Term Loan B</t>
        </is>
      </c>
      <c r="F169" s="517" t="n"/>
    </row>
    <row r="170" ht="15" customHeight="1" s="413">
      <c r="B170" s="525" t="inlineStr">
        <is>
          <t>Term Loan B, BOP</t>
        </is>
      </c>
      <c r="F170" s="599" t="n">
        <v>670.852</v>
      </c>
      <c r="G170" s="530" t="n">
        <v>637.3094</v>
      </c>
      <c r="H170" s="530" t="n">
        <v>603.7668</v>
      </c>
      <c r="I170" s="530" t="n">
        <v>570.2242</v>
      </c>
      <c r="J170" s="530" t="n">
        <v>536.6816</v>
      </c>
    </row>
    <row r="171" ht="15" customHeight="1" s="413">
      <c r="B171" s="525" t="inlineStr">
        <is>
          <t>Mandatory amortization $</t>
        </is>
      </c>
      <c r="F171" s="522" t="n">
        <v>33.5426</v>
      </c>
      <c r="G171" s="522" t="n">
        <v>33.5426</v>
      </c>
      <c r="H171" s="522" t="n">
        <v>33.5426</v>
      </c>
      <c r="I171" s="522" t="n">
        <v>33.5426</v>
      </c>
      <c r="J171" s="522" t="n">
        <v>33.5426</v>
      </c>
    </row>
    <row r="172" ht="15" customHeight="1" s="413">
      <c r="B172" s="525" t="inlineStr">
        <is>
          <t>Cash sweep (paydown from excess cash flows)</t>
        </is>
      </c>
      <c r="F172" s="522" t="n">
        <v>0</v>
      </c>
      <c r="G172" s="522" t="n">
        <v>0</v>
      </c>
      <c r="H172" s="522" t="n">
        <v>0</v>
      </c>
      <c r="I172" s="522" t="n">
        <v>0</v>
      </c>
      <c r="J172" s="522" t="n">
        <v>2.27373675443232e-13</v>
      </c>
    </row>
    <row r="173" ht="15" customHeight="1" s="413">
      <c r="B173" s="571" t="inlineStr">
        <is>
          <t>Term Loan B, EOP</t>
        </is>
      </c>
      <c r="C173" s="538" t="n"/>
      <c r="F173" s="567" t="n">
        <v>637.3094</v>
      </c>
      <c r="G173" s="567" t="n">
        <v>603.7668</v>
      </c>
      <c r="H173" s="567" t="n">
        <v>570.2242</v>
      </c>
      <c r="I173" s="567" t="n">
        <v>536.6816</v>
      </c>
      <c r="J173" s="567" t="n">
        <v>503.139</v>
      </c>
    </row>
    <row r="174" ht="15" customHeight="1" s="413">
      <c r="B174" s="604" t="inlineStr">
        <is>
          <t>Mandatory paydown (% of original)</t>
        </is>
      </c>
      <c r="C174" s="506" t="n"/>
      <c r="E174" s="572" t="inlineStr">
        <is>
          <t>% of available cash used</t>
        </is>
      </c>
      <c r="F174" s="609" t="n">
        <v>0.05</v>
      </c>
      <c r="G174" s="609" t="n">
        <v>0.05</v>
      </c>
      <c r="H174" s="609" t="n">
        <v>0.05</v>
      </c>
      <c r="I174" s="609" t="n">
        <v>0.05</v>
      </c>
      <c r="J174" s="609" t="n">
        <v>0.05</v>
      </c>
    </row>
    <row r="175" ht="15" customHeight="1" s="413">
      <c r="B175" s="604" t="inlineStr">
        <is>
          <t>Cash available for cash sweep</t>
        </is>
      </c>
      <c r="C175" s="506" t="n"/>
      <c r="E175" s="610" t="n">
        <v>1</v>
      </c>
      <c r="F175" s="613" t="n">
        <v>0</v>
      </c>
      <c r="G175" s="613" t="n">
        <v>0</v>
      </c>
      <c r="H175" s="613" t="n">
        <v>0</v>
      </c>
      <c r="I175" s="613" t="n">
        <v>0</v>
      </c>
      <c r="J175" s="613" t="n">
        <v>-2.27373675443232e-13</v>
      </c>
    </row>
    <row r="176" ht="15" customHeight="1" s="413">
      <c r="B176" s="604" t="n"/>
      <c r="C176" s="506" t="n"/>
      <c r="D176" s="506" t="n"/>
      <c r="E176" s="506" t="n"/>
      <c r="F176" s="614" t="n"/>
      <c r="G176" s="614" t="n"/>
      <c r="H176" s="614" t="n"/>
      <c r="I176" s="614" t="n"/>
      <c r="J176" s="614" t="n"/>
    </row>
    <row r="177" ht="15" customHeight="1" s="413">
      <c r="B177" s="568" t="inlineStr">
        <is>
          <t>Senior Note</t>
        </is>
      </c>
      <c r="F177" s="517" t="n"/>
    </row>
    <row r="178" ht="15" customHeight="1" s="413">
      <c r="B178" s="525" t="inlineStr">
        <is>
          <t>Senior Note, BOP</t>
        </is>
      </c>
      <c r="F178" s="599" t="n">
        <v>1632.995</v>
      </c>
      <c r="G178" s="530" t="n">
        <v>1632.995</v>
      </c>
      <c r="H178" s="530" t="n">
        <v>1632.995</v>
      </c>
      <c r="I178" s="530" t="n">
        <v>1632.995</v>
      </c>
      <c r="J178" s="530" t="n">
        <v>1632.995</v>
      </c>
    </row>
    <row r="179" ht="15" customHeight="1" s="413">
      <c r="B179" s="525" t="inlineStr">
        <is>
          <t>Mandatory amortization $</t>
        </is>
      </c>
      <c r="F179" s="522" t="n">
        <v>0</v>
      </c>
      <c r="G179" s="522" t="n">
        <v>0</v>
      </c>
      <c r="H179" s="522" t="n">
        <v>0</v>
      </c>
      <c r="I179" s="522" t="n">
        <v>0</v>
      </c>
      <c r="J179" s="522" t="n">
        <v>0</v>
      </c>
    </row>
    <row r="180" ht="15" customHeight="1" s="413">
      <c r="B180" s="571" t="inlineStr">
        <is>
          <t>Senior Note, EOP</t>
        </is>
      </c>
      <c r="C180" s="538" t="n"/>
      <c r="D180" s="538" t="n"/>
      <c r="E180" s="538" t="n"/>
      <c r="F180" s="567" t="n">
        <v>1632.995</v>
      </c>
      <c r="G180" s="567" t="n">
        <v>1632.995</v>
      </c>
      <c r="H180" s="567" t="n">
        <v>1632.995</v>
      </c>
      <c r="I180" s="567" t="n">
        <v>1632.995</v>
      </c>
      <c r="J180" s="567" t="n">
        <v>1632.995</v>
      </c>
    </row>
    <row r="181" ht="15" customHeight="1" s="413">
      <c r="B181" s="604" t="inlineStr">
        <is>
          <t>Mandatory paydown (% of original)</t>
        </is>
      </c>
      <c r="F181" s="609" t="n">
        <v>0</v>
      </c>
      <c r="G181" s="609" t="n">
        <v>0</v>
      </c>
      <c r="H181" s="609" t="n">
        <v>0</v>
      </c>
      <c r="I181" s="609" t="n">
        <v>0</v>
      </c>
      <c r="J181" s="609" t="n">
        <v>0</v>
      </c>
    </row>
    <row r="182" ht="15" customHeight="1" s="413">
      <c r="B182" s="604" t="n"/>
      <c r="F182" s="609" t="n"/>
      <c r="G182" s="609" t="n"/>
      <c r="H182" s="609" t="n"/>
      <c r="I182" s="609" t="n"/>
      <c r="J182" s="609" t="n"/>
    </row>
    <row r="183" ht="15" customHeight="1" s="413">
      <c r="B183" s="568" t="inlineStr">
        <is>
          <t>Sub Note</t>
        </is>
      </c>
      <c r="F183" s="517" t="n"/>
    </row>
    <row r="184" ht="15" customHeight="1" s="413">
      <c r="B184" s="525" t="inlineStr">
        <is>
          <t>Sub Note, BOP</t>
        </is>
      </c>
      <c r="F184" s="599" t="n">
        <v>0</v>
      </c>
      <c r="G184" s="530" t="n">
        <v>0</v>
      </c>
      <c r="H184" s="530" t="n">
        <v>0</v>
      </c>
      <c r="I184" s="530" t="n">
        <v>0</v>
      </c>
      <c r="J184" s="530" t="n">
        <v>0</v>
      </c>
    </row>
    <row r="185" ht="15" customHeight="1" s="413">
      <c r="B185" s="525" t="inlineStr">
        <is>
          <t>Mandatory amortization $</t>
        </is>
      </c>
      <c r="C185" s="572" t="inlineStr">
        <is>
          <t>PIK rate</t>
        </is>
      </c>
      <c r="D185" s="572" t="inlineStr">
        <is>
          <t>Cash rate</t>
        </is>
      </c>
      <c r="F185" s="522" t="n">
        <v>0</v>
      </c>
      <c r="G185" s="522" t="n">
        <v>0</v>
      </c>
      <c r="H185" s="522" t="n">
        <v>0</v>
      </c>
      <c r="I185" s="522" t="n">
        <v>0</v>
      </c>
      <c r="J185" s="522" t="n">
        <v>0</v>
      </c>
    </row>
    <row r="186" ht="15" customHeight="1" s="413">
      <c r="B186" s="551" t="inlineStr">
        <is>
          <t>PIK interest</t>
        </is>
      </c>
      <c r="C186" s="615" t="n">
        <v>0.04</v>
      </c>
      <c r="D186" s="616" t="n">
        <v>0.08</v>
      </c>
      <c r="F186" s="522" t="n">
        <v>0</v>
      </c>
      <c r="G186" s="522" t="n">
        <v>0</v>
      </c>
      <c r="H186" s="522" t="n">
        <v>0</v>
      </c>
      <c r="I186" s="522" t="n">
        <v>0</v>
      </c>
      <c r="J186" s="522" t="n">
        <v>0</v>
      </c>
    </row>
    <row r="187" ht="15" customHeight="1" s="413">
      <c r="B187" s="571" t="inlineStr">
        <is>
          <t>Sub Note, EOP</t>
        </is>
      </c>
      <c r="C187" s="538" t="n"/>
      <c r="D187" s="616" t="n"/>
      <c r="E187" s="538" t="n"/>
      <c r="F187" s="567" t="n">
        <v>0</v>
      </c>
      <c r="G187" s="567" t="n">
        <v>0</v>
      </c>
      <c r="H187" s="567" t="n">
        <v>0</v>
      </c>
      <c r="I187" s="567" t="n">
        <v>0</v>
      </c>
      <c r="J187" s="567" t="n">
        <v>0</v>
      </c>
    </row>
    <row r="188" ht="15" customHeight="1" s="413">
      <c r="B188" s="604" t="inlineStr">
        <is>
          <t>Mandatory paydown (% of original)</t>
        </is>
      </c>
      <c r="F188" s="609" t="n">
        <v>0</v>
      </c>
      <c r="G188" s="609" t="n">
        <v>0</v>
      </c>
      <c r="H188" s="609" t="n">
        <v>0</v>
      </c>
      <c r="I188" s="609" t="n">
        <v>0</v>
      </c>
      <c r="J188" s="609" t="n">
        <v>0</v>
      </c>
    </row>
    <row r="189" ht="15" customHeight="1" s="413">
      <c r="B189" s="604" t="n"/>
      <c r="F189" s="609" t="n"/>
      <c r="G189" s="609" t="n"/>
      <c r="H189" s="609" t="n"/>
      <c r="I189" s="609" t="n"/>
      <c r="J189" s="609" t="n"/>
    </row>
    <row r="190" ht="15" customHeight="1" s="413">
      <c r="B190" s="568" t="inlineStr">
        <is>
          <t>Preferred stock</t>
        </is>
      </c>
      <c r="D190" s="617" t="n"/>
      <c r="E190" s="572" t="n"/>
      <c r="F190" s="609" t="n"/>
      <c r="G190" s="609" t="n"/>
      <c r="H190" s="609" t="n"/>
      <c r="I190" s="609" t="n"/>
      <c r="J190" s="609" t="n"/>
    </row>
    <row r="191" ht="15" customHeight="1" s="413">
      <c r="B191" s="525" t="inlineStr">
        <is>
          <t>Preferred stock, BOP</t>
        </is>
      </c>
      <c r="F191" s="618" t="n">
        <v>0</v>
      </c>
      <c r="G191" s="530" t="n">
        <v>0</v>
      </c>
      <c r="H191" s="530" t="n">
        <v>0</v>
      </c>
      <c r="I191" s="530" t="n">
        <v>0</v>
      </c>
      <c r="J191" s="530" t="n">
        <v>0</v>
      </c>
    </row>
    <row r="192" ht="15" customHeight="1" s="413">
      <c r="B192" s="551" t="inlineStr">
        <is>
          <t>PIK accrual</t>
        </is>
      </c>
      <c r="F192" s="522" t="n">
        <v>0</v>
      </c>
      <c r="G192" s="522" t="n">
        <v>0</v>
      </c>
      <c r="H192" s="522" t="n">
        <v>0</v>
      </c>
      <c r="I192" s="522" t="n">
        <v>0</v>
      </c>
      <c r="J192" s="522" t="n">
        <v>0</v>
      </c>
    </row>
    <row r="193" ht="15" customHeight="1" s="413">
      <c r="B193" s="538" t="inlineStr">
        <is>
          <t>Preferred stock, EOP</t>
        </is>
      </c>
      <c r="C193" s="572" t="inlineStr">
        <is>
          <t>PIK rate</t>
        </is>
      </c>
      <c r="D193" s="572" t="inlineStr">
        <is>
          <t>Cash rate</t>
        </is>
      </c>
      <c r="E193" s="538" t="n"/>
      <c r="F193" s="567" t="n">
        <v>0</v>
      </c>
      <c r="G193" s="567" t="n">
        <v>0</v>
      </c>
      <c r="H193" s="567" t="n">
        <v>0</v>
      </c>
      <c r="I193" s="567" t="n">
        <v>0</v>
      </c>
      <c r="J193" s="567" t="n">
        <v>0</v>
      </c>
    </row>
    <row r="194" ht="15" customHeight="1" s="413">
      <c r="B194" s="551" t="inlineStr">
        <is>
          <t>Cash dividend</t>
        </is>
      </c>
      <c r="C194" s="615" t="n">
        <v>0.04</v>
      </c>
      <c r="D194" s="616" t="n">
        <v>0.08</v>
      </c>
      <c r="F194" s="530" t="n">
        <v>0</v>
      </c>
      <c r="G194" s="530" t="n">
        <v>0</v>
      </c>
      <c r="H194" s="530" t="n">
        <v>0</v>
      </c>
      <c r="I194" s="530" t="n">
        <v>0</v>
      </c>
      <c r="J194" s="530" t="n">
        <v>0</v>
      </c>
    </row>
    <row r="195" ht="15" customHeight="1" s="413">
      <c r="B195" s="551" t="n"/>
      <c r="F195" s="517" t="n"/>
    </row>
    <row r="196" ht="15" customHeight="1" s="413">
      <c r="B196" s="619" t="inlineStr">
        <is>
          <t>Capitalized financing fees</t>
        </is>
      </c>
      <c r="F196" s="517" t="n"/>
    </row>
    <row r="197" ht="15" customHeight="1" s="413">
      <c r="B197" s="525" t="inlineStr">
        <is>
          <t>Capitalized financing fees, BOP</t>
        </is>
      </c>
      <c r="C197" s="530" t="n"/>
      <c r="D197" s="579" t="n"/>
      <c r="E197" s="579" t="n"/>
      <c r="F197" s="599" t="n">
        <v>69.689165</v>
      </c>
      <c r="G197" s="530" t="n">
        <v>60.02517625</v>
      </c>
      <c r="H197" s="530" t="n">
        <v>50.3611875</v>
      </c>
      <c r="I197" s="530" t="n">
        <v>40.69719875</v>
      </c>
      <c r="J197" s="530" t="n">
        <v>31.03321</v>
      </c>
    </row>
    <row r="198" ht="15" customHeight="1" s="413">
      <c r="B198" s="525" t="inlineStr">
        <is>
          <t>Amortization</t>
        </is>
      </c>
      <c r="C198" s="530" t="n"/>
      <c r="D198" s="530" t="n"/>
      <c r="E198" s="530" t="n"/>
      <c r="F198" s="530" t="n">
        <v>-9.66398875</v>
      </c>
      <c r="G198" s="530" t="n">
        <v>-9.66398875</v>
      </c>
      <c r="H198" s="530" t="n">
        <v>-9.66398875</v>
      </c>
      <c r="I198" s="530" t="n">
        <v>-9.66398875</v>
      </c>
      <c r="J198" s="530" t="n">
        <v>-9.66398875</v>
      </c>
    </row>
    <row r="199" ht="15" customHeight="1" s="413">
      <c r="B199" s="538" t="inlineStr">
        <is>
          <t>Capitalized financing fees, EOP</t>
        </is>
      </c>
      <c r="C199" s="530" t="n"/>
      <c r="D199" s="530" t="n"/>
      <c r="E199" s="530" t="n"/>
      <c r="F199" s="547" t="n">
        <v>60.02517625</v>
      </c>
      <c r="G199" s="547" t="n">
        <v>50.3611875</v>
      </c>
      <c r="H199" s="547" t="n">
        <v>40.69719875</v>
      </c>
      <c r="I199" s="547" t="n">
        <v>31.03321</v>
      </c>
      <c r="J199" s="547" t="n">
        <v>21.36922125</v>
      </c>
    </row>
    <row r="200" ht="15" customHeight="1" s="413">
      <c r="B200" s="551" t="n"/>
      <c r="F200" s="517" t="n"/>
    </row>
    <row r="201" ht="15" customHeight="1" s="413">
      <c r="B201" s="502" t="inlineStr">
        <is>
          <t>INTEREST EXPENSE</t>
        </is>
      </c>
      <c r="C201" s="493" t="n"/>
      <c r="D201" s="493" t="n"/>
      <c r="E201" s="493" t="n"/>
      <c r="F201" s="493" t="n"/>
      <c r="G201" s="493" t="n"/>
      <c r="H201" s="493" t="n"/>
      <c r="I201" s="493" t="n"/>
      <c r="J201" s="493" t="n"/>
    </row>
    <row r="202" ht="15" customHeight="1" s="413">
      <c r="B202" s="412" t="inlineStr">
        <is>
          <t xml:space="preserve">Fiscal year  </t>
        </is>
      </c>
      <c r="C202" s="557" t="n">
        <v>2022</v>
      </c>
      <c r="D202" s="557" t="n">
        <v>2023</v>
      </c>
      <c r="E202" s="557" t="n">
        <v>2024</v>
      </c>
      <c r="F202" s="559" t="n">
        <v>2025</v>
      </c>
      <c r="G202" s="559" t="n">
        <v>2026</v>
      </c>
      <c r="H202" s="559" t="n">
        <v>2027</v>
      </c>
      <c r="I202" s="559" t="n">
        <v>2028</v>
      </c>
      <c r="J202" s="559" t="n">
        <v>2029</v>
      </c>
    </row>
    <row r="203" ht="15" customHeight="1" s="413">
      <c r="B203" s="560" t="inlineStr">
        <is>
          <t>Fiscal year end date</t>
        </is>
      </c>
      <c r="C203" s="562" t="n">
        <v>44926</v>
      </c>
      <c r="D203" s="562" t="n">
        <v>45291</v>
      </c>
      <c r="E203" s="562" t="n">
        <v>45657</v>
      </c>
      <c r="F203" s="562" t="n">
        <v>46022</v>
      </c>
      <c r="G203" s="562" t="n">
        <v>46387</v>
      </c>
      <c r="H203" s="562" t="n">
        <v>46752</v>
      </c>
      <c r="I203" s="562" t="n">
        <v>47118</v>
      </c>
      <c r="J203" s="562" t="n">
        <v>47483</v>
      </c>
    </row>
    <row r="204" ht="15" customHeight="1" s="413">
      <c r="B204" s="538" t="n"/>
    </row>
    <row r="205" ht="15" customHeight="1" s="413">
      <c r="B205" s="551" t="inlineStr">
        <is>
          <t>3-Month LIBOR Rate (bps)</t>
        </is>
      </c>
      <c r="C205" s="620" t="n"/>
      <c r="D205" s="506" t="n"/>
      <c r="F205" s="621" t="n">
        <v>49.08</v>
      </c>
      <c r="G205" s="621" t="n">
        <v>82.86</v>
      </c>
      <c r="H205" s="621" t="n">
        <v>134.82</v>
      </c>
      <c r="I205" s="621" t="n">
        <v>184.42</v>
      </c>
      <c r="J205" s="621" t="n">
        <v>221.26</v>
      </c>
    </row>
    <row r="206" ht="15" customHeight="1" s="413">
      <c r="B206" s="525" t="n"/>
      <c r="C206" s="572" t="inlineStr">
        <is>
          <t>LIBOR Spread</t>
        </is>
      </c>
      <c r="D206" s="572" t="inlineStr">
        <is>
          <t>LIBOR floor</t>
        </is>
      </c>
      <c r="E206" s="572" t="inlineStr">
        <is>
          <t>Coupon Rate</t>
        </is>
      </c>
      <c r="F206" s="523" t="n"/>
      <c r="G206" s="523" t="n"/>
      <c r="H206" s="523" t="n"/>
      <c r="I206" s="523" t="n"/>
      <c r="J206" s="523" t="n"/>
    </row>
    <row r="207" ht="15" customHeight="1" s="413">
      <c r="B207" s="525" t="inlineStr">
        <is>
          <t>Revolver</t>
        </is>
      </c>
      <c r="C207" s="622" t="n">
        <v>0.04</v>
      </c>
      <c r="D207" s="527" t="n">
        <v>0</v>
      </c>
      <c r="F207" s="597" t="n">
        <v>0</v>
      </c>
      <c r="G207" s="597" t="n">
        <v>0</v>
      </c>
      <c r="H207" s="597" t="n">
        <v>0</v>
      </c>
      <c r="I207" s="597" t="n">
        <v>0</v>
      </c>
      <c r="J207" s="597" t="n">
        <v>0</v>
      </c>
    </row>
    <row r="208" ht="15" customHeight="1" s="413">
      <c r="B208" s="525" t="inlineStr">
        <is>
          <t>Term Loan A</t>
        </is>
      </c>
      <c r="C208" s="622" t="n">
        <v>0.04</v>
      </c>
      <c r="D208" s="527" t="n">
        <v>0.01</v>
      </c>
      <c r="F208" s="597" t="n">
        <v>134.88696097088</v>
      </c>
      <c r="G208" s="597" t="n">
        <v>113.310738479056</v>
      </c>
      <c r="H208" s="597" t="n">
        <v>92.8330898085942</v>
      </c>
      <c r="I208" s="597" t="n">
        <v>65.9448466388274</v>
      </c>
      <c r="J208" s="597" t="n">
        <v>27.5254552571771</v>
      </c>
      <c r="M208" s="623" t="n"/>
    </row>
    <row r="209" ht="15" customHeight="1" s="413">
      <c r="B209" s="525" t="inlineStr">
        <is>
          <t>Term Loan B</t>
        </is>
      </c>
      <c r="C209" s="622" t="n">
        <v>0.04</v>
      </c>
      <c r="D209" s="527" t="n">
        <v>0</v>
      </c>
      <c r="F209" s="597" t="n">
        <v>29.3734560756</v>
      </c>
      <c r="G209" s="597" t="n">
        <v>29.9633026966</v>
      </c>
      <c r="H209" s="597" t="n">
        <v>31.393693331</v>
      </c>
      <c r="I209" s="597" t="n">
        <v>32.3448943818</v>
      </c>
      <c r="J209" s="597" t="n">
        <v>32.2999472978</v>
      </c>
    </row>
    <row r="210" ht="15" customHeight="1" s="413">
      <c r="B210" s="525" t="inlineStr">
        <is>
          <t>Senior Note</t>
        </is>
      </c>
      <c r="E210" s="624" t="n">
        <v>0.08125</v>
      </c>
      <c r="F210" s="530" t="n">
        <v>132.68084375</v>
      </c>
      <c r="G210" s="530" t="n">
        <v>132.68084375</v>
      </c>
      <c r="H210" s="530" t="n">
        <v>132.68084375</v>
      </c>
      <c r="I210" s="530" t="n">
        <v>132.68084375</v>
      </c>
      <c r="J210" s="530" t="n">
        <v>132.68084375</v>
      </c>
    </row>
    <row r="211" ht="15" customHeight="1" s="413">
      <c r="B211" s="525" t="inlineStr">
        <is>
          <t>Sub Note - Cash interest</t>
        </is>
      </c>
      <c r="E211" s="625" t="n">
        <v>0.08</v>
      </c>
      <c r="F211" s="530" t="n">
        <v>0</v>
      </c>
      <c r="G211" s="530" t="n">
        <v>0</v>
      </c>
      <c r="H211" s="530" t="n">
        <v>0</v>
      </c>
      <c r="I211" s="530" t="n">
        <v>0</v>
      </c>
      <c r="J211" s="530" t="n">
        <v>0</v>
      </c>
    </row>
    <row r="212" ht="15" customHeight="1" s="413">
      <c r="B212" s="525" t="inlineStr">
        <is>
          <t>Sub Note - PIK interest</t>
        </is>
      </c>
      <c r="C212" s="615" t="n"/>
      <c r="E212" s="625" t="n">
        <v>0.04</v>
      </c>
      <c r="F212" s="530" t="n">
        <v>0</v>
      </c>
      <c r="G212" s="530" t="n">
        <v>0</v>
      </c>
      <c r="H212" s="530" t="n">
        <v>0</v>
      </c>
      <c r="I212" s="530" t="n">
        <v>0</v>
      </c>
      <c r="J212" s="530" t="n">
        <v>0</v>
      </c>
    </row>
    <row r="213" ht="15" customHeight="1" s="413">
      <c r="B213" s="525" t="n"/>
      <c r="C213" s="538" t="n"/>
      <c r="D213" s="538" t="n"/>
      <c r="E213" s="538" t="n"/>
      <c r="F213" s="559" t="n"/>
      <c r="G213" s="559" t="n"/>
      <c r="H213" s="559" t="n"/>
      <c r="I213" s="559" t="n"/>
      <c r="J213" s="589" t="n"/>
    </row>
    <row r="214" ht="15" customHeight="1" s="413">
      <c r="B214" s="502" t="inlineStr">
        <is>
          <t>EXIT VALUATION</t>
        </is>
      </c>
      <c r="C214" s="493" t="n"/>
      <c r="D214" s="493" t="n"/>
      <c r="E214" s="493" t="n"/>
      <c r="F214" s="493" t="n"/>
      <c r="G214" s="493" t="n"/>
      <c r="H214" s="493" t="n"/>
      <c r="I214" s="493" t="n"/>
      <c r="J214" s="493" t="n"/>
    </row>
    <row r="215" ht="15" customHeight="1" s="413">
      <c r="B215" s="412" t="inlineStr">
        <is>
          <t>EXIT VALUATION (GTM AI case — not BMC)</t>
        </is>
      </c>
    </row>
    <row r="216" ht="15" customHeight="1" s="413">
      <c r="F216" s="626" t="n">
        <v>43190</v>
      </c>
      <c r="G216" s="627" t="n"/>
      <c r="H216" s="627" t="n"/>
      <c r="I216" s="627" t="n"/>
      <c r="J216" s="627" t="n"/>
    </row>
    <row r="217" ht="15" customHeight="1" s="413">
      <c r="B217" s="412" t="inlineStr">
        <is>
          <t>Exit EBITDA = AI_Operating Y5 ≈ 318.5; multiples centered on Drivers 12.9x</t>
        </is>
      </c>
    </row>
    <row r="218" ht="15" customHeight="1" s="413">
      <c r="B218" s="520" t="inlineStr">
        <is>
          <t>EBITDA multiple at exit</t>
        </is>
      </c>
      <c r="C218" s="538" t="n"/>
      <c r="E218" s="572" t="inlineStr">
        <is>
          <t>Step</t>
        </is>
      </c>
      <c r="F218" s="628" t="n">
        <v>10.9</v>
      </c>
      <c r="G218" s="629" t="n">
        <v>11.9</v>
      </c>
      <c r="H218" s="629" t="n">
        <v>12.9</v>
      </c>
      <c r="I218" s="629" t="n">
        <v>13.9</v>
      </c>
      <c r="J218" s="629" t="n">
        <v>14.9</v>
      </c>
    </row>
    <row r="219" ht="15" customHeight="1" s="413">
      <c r="B219" s="516" t="inlineStr">
        <is>
          <t>EBITDA at exit</t>
        </is>
      </c>
      <c r="E219" s="630" t="n">
        <v>0.5</v>
      </c>
      <c r="F219" s="524">
        <f>AI_Operating!H13</f>
        <v/>
      </c>
      <c r="G219" s="524">
        <f>AI_Operating!H13</f>
        <v/>
      </c>
      <c r="H219" s="524">
        <f>AI_Operating!H13</f>
        <v/>
      </c>
      <c r="I219" s="524">
        <f>AI_Operating!H13</f>
        <v/>
      </c>
      <c r="J219" s="524">
        <f>AI_Operating!H13</f>
        <v/>
      </c>
    </row>
    <row r="220" ht="15" customHeight="1" s="413">
      <c r="B220" s="538" t="inlineStr">
        <is>
          <t>Enterprise value</t>
        </is>
      </c>
      <c r="F220" s="521">
        <f>F218*F219</f>
        <v/>
      </c>
      <c r="G220" s="521">
        <f>G218*G219</f>
        <v/>
      </c>
      <c r="H220" s="521">
        <f>H218*H219</f>
        <v/>
      </c>
      <c r="I220" s="521">
        <f>I218*I219</f>
        <v/>
      </c>
      <c r="J220" s="521">
        <f>J218*J219</f>
        <v/>
      </c>
    </row>
    <row r="221" ht="15" customHeight="1" s="413">
      <c r="B221" s="631" t="inlineStr">
        <is>
          <t>Net debt:</t>
        </is>
      </c>
      <c r="F221" s="517" t="n"/>
    </row>
    <row r="222" ht="15" customHeight="1" s="413">
      <c r="B222" s="632" t="inlineStr">
        <is>
          <t>Revolver</t>
        </is>
      </c>
      <c r="F222" s="524" t="n">
        <v>0</v>
      </c>
      <c r="G222" s="524" t="n">
        <v>0</v>
      </c>
      <c r="H222" s="524" t="n">
        <v>0</v>
      </c>
      <c r="I222" s="524" t="n">
        <v>0</v>
      </c>
      <c r="J222" s="524" t="n">
        <v>0</v>
      </c>
    </row>
    <row r="223" ht="15" customHeight="1" s="413">
      <c r="B223" s="580" t="inlineStr">
        <is>
          <t>Term Loan A</t>
        </is>
      </c>
      <c r="F223" s="524" t="n">
        <v>6.36046720066304</v>
      </c>
      <c r="G223" s="524" t="n">
        <v>6.36046720066304</v>
      </c>
      <c r="H223" s="524" t="n">
        <v>6.36046720066304</v>
      </c>
      <c r="I223" s="524" t="n">
        <v>6.36046720066304</v>
      </c>
      <c r="J223" s="524" t="n">
        <v>6.36046720066304</v>
      </c>
    </row>
    <row r="224" ht="15" customHeight="1" s="413">
      <c r="B224" s="580" t="inlineStr">
        <is>
          <t>Term Loan B</t>
        </is>
      </c>
      <c r="F224" s="524" t="n">
        <v>0</v>
      </c>
      <c r="G224" s="524" t="n">
        <v>0</v>
      </c>
      <c r="H224" s="524" t="n">
        <v>0</v>
      </c>
      <c r="I224" s="524" t="n">
        <v>0</v>
      </c>
      <c r="J224" s="524" t="n">
        <v>0</v>
      </c>
    </row>
    <row r="225" ht="15" customHeight="1" s="413">
      <c r="B225" s="580" t="inlineStr">
        <is>
          <t>Senior Note</t>
        </is>
      </c>
      <c r="E225" s="568" t="n"/>
      <c r="F225" s="524" t="n">
        <v>0</v>
      </c>
      <c r="G225" s="524" t="n">
        <v>0</v>
      </c>
      <c r="H225" s="524" t="n">
        <v>0</v>
      </c>
      <c r="I225" s="524" t="n">
        <v>0</v>
      </c>
      <c r="J225" s="524" t="n">
        <v>0</v>
      </c>
    </row>
    <row r="226" ht="15" customHeight="1" s="413">
      <c r="B226" s="580" t="inlineStr">
        <is>
          <t>Sub Note</t>
        </is>
      </c>
      <c r="E226" s="633" t="n"/>
      <c r="F226" s="524" t="n">
        <v>0</v>
      </c>
      <c r="G226" s="524" t="n">
        <v>0</v>
      </c>
      <c r="H226" s="524" t="n">
        <v>0</v>
      </c>
      <c r="I226" s="524" t="n">
        <v>0</v>
      </c>
      <c r="J226" s="524" t="n">
        <v>0</v>
      </c>
    </row>
    <row r="227" ht="15" customHeight="1" s="413">
      <c r="B227" s="580" t="inlineStr">
        <is>
          <t>Pref. stock</t>
        </is>
      </c>
      <c r="E227" s="633" t="n"/>
      <c r="F227" s="524" t="n">
        <v>0</v>
      </c>
      <c r="G227" s="524" t="n">
        <v>0</v>
      </c>
      <c r="H227" s="524" t="n">
        <v>0</v>
      </c>
      <c r="I227" s="524" t="n">
        <v>0</v>
      </c>
      <c r="J227" s="524" t="n">
        <v>0</v>
      </c>
    </row>
    <row r="228" ht="15" customHeight="1" s="413">
      <c r="B228" s="580" t="inlineStr">
        <is>
          <t>Cash</t>
        </is>
      </c>
      <c r="F228" s="524" t="n">
        <v>-50</v>
      </c>
      <c r="G228" s="524" t="n">
        <v>-50</v>
      </c>
      <c r="H228" s="524" t="n">
        <v>-50</v>
      </c>
      <c r="I228" s="524" t="n">
        <v>-50</v>
      </c>
      <c r="J228" s="524" t="n">
        <v>-50</v>
      </c>
    </row>
    <row r="229" ht="15" customHeight="1" s="413">
      <c r="B229" s="553" t="inlineStr">
        <is>
          <t>Equity value</t>
        </is>
      </c>
      <c r="C229" s="634" t="inlineStr">
        <is>
          <t>Initial equity inv.</t>
        </is>
      </c>
      <c r="D229" s="635" t="inlineStr">
        <is>
          <t>% ownership</t>
        </is>
      </c>
      <c r="E229" s="636" t="inlineStr">
        <is>
          <t>Fully diluted</t>
        </is>
      </c>
      <c r="F229" s="521">
        <f>F220-(F222+F223+F224+F225+F226+F227+F228)</f>
        <v/>
      </c>
      <c r="G229" s="521">
        <f>G220-(G222+G223+G224+G225+G226+G227+G228)</f>
        <v/>
      </c>
      <c r="H229" s="521">
        <f>H220-(H222+H223+H224+H225+H226+H227+H228)</f>
        <v/>
      </c>
      <c r="I229" s="521">
        <f>I220-(I222+I223+I224+I225+I226+I227+I228)</f>
        <v/>
      </c>
      <c r="J229" s="521">
        <f>J220-(J222+J223+J224+J225+J226+J227+J228)</f>
        <v/>
      </c>
    </row>
    <row r="230" ht="15" customHeight="1" s="413">
      <c r="B230" s="525" t="inlineStr">
        <is>
          <t>Sponsor equity</t>
        </is>
      </c>
      <c r="C230" s="637">
        <f>D35</f>
        <v/>
      </c>
      <c r="D230" s="638" t="n">
        <v>1</v>
      </c>
      <c r="E230" s="639" t="n">
        <v>1</v>
      </c>
      <c r="F230" s="524">
        <f>F229</f>
        <v/>
      </c>
      <c r="G230" s="524">
        <f>G229</f>
        <v/>
      </c>
      <c r="H230" s="524">
        <f>H229</f>
        <v/>
      </c>
      <c r="I230" s="524">
        <f>I229</f>
        <v/>
      </c>
      <c r="J230" s="524">
        <f>J229</f>
        <v/>
      </c>
    </row>
    <row r="231" ht="15" customHeight="1" s="413">
      <c r="B231" s="525" t="inlineStr">
        <is>
          <t>Mgmt equity</t>
        </is>
      </c>
      <c r="C231" s="640" t="n">
        <v>0</v>
      </c>
      <c r="D231" s="638" t="n">
        <v>0</v>
      </c>
      <c r="E231" s="639" t="n">
        <v>0</v>
      </c>
      <c r="F231" s="530" t="n">
        <v>0</v>
      </c>
      <c r="G231" s="530" t="n">
        <v>0</v>
      </c>
      <c r="H231" s="530" t="n">
        <v>0</v>
      </c>
      <c r="I231" s="530" t="n">
        <v>0</v>
      </c>
      <c r="J231" s="530" t="n">
        <v>0</v>
      </c>
    </row>
    <row r="232" ht="15" customHeight="1" s="413">
      <c r="B232" s="525" t="inlineStr">
        <is>
          <t>Pref. stock</t>
        </is>
      </c>
      <c r="C232" s="641" t="n"/>
      <c r="D232" s="638" t="n"/>
      <c r="E232" s="642" t="n">
        <v>0</v>
      </c>
      <c r="F232" s="530" t="n">
        <v>0</v>
      </c>
      <c r="G232" s="530" t="n">
        <v>0</v>
      </c>
      <c r="H232" s="530" t="n">
        <v>0</v>
      </c>
      <c r="I232" s="530" t="n">
        <v>0</v>
      </c>
      <c r="J232" s="530" t="n">
        <v>0</v>
      </c>
    </row>
    <row r="233" ht="15" customHeight="1" s="413">
      <c r="B233" s="525" t="inlineStr">
        <is>
          <t>Sub. Note</t>
        </is>
      </c>
      <c r="C233" s="643" t="n"/>
      <c r="D233" s="644" t="n"/>
      <c r="E233" s="645" t="n">
        <v>0</v>
      </c>
      <c r="F233" s="530" t="n">
        <v>0</v>
      </c>
      <c r="G233" s="530" t="n">
        <v>0</v>
      </c>
      <c r="H233" s="530" t="n">
        <v>0</v>
      </c>
      <c r="I233" s="530" t="n">
        <v>0</v>
      </c>
      <c r="J233" s="530" t="n">
        <v>0</v>
      </c>
    </row>
    <row r="234" ht="15" customHeight="1" s="413">
      <c r="B234" s="553" t="n"/>
      <c r="C234" s="553" t="n"/>
      <c r="D234" s="553" t="n"/>
      <c r="E234" s="553" t="n"/>
      <c r="F234" s="589" t="n"/>
      <c r="G234" s="589" t="n"/>
      <c r="H234" s="589" t="n"/>
      <c r="I234" s="589" t="n"/>
    </row>
    <row r="235" ht="15" customHeight="1" s="413">
      <c r="B235" s="576" t="inlineStr">
        <is>
          <t>RETURNS</t>
        </is>
      </c>
      <c r="C235" s="553" t="n"/>
      <c r="D235" s="553" t="n"/>
      <c r="E235" s="553" t="n"/>
      <c r="F235" s="589" t="n"/>
      <c r="G235" s="589" t="n"/>
      <c r="H235" s="589" t="n"/>
      <c r="I235" s="589" t="n"/>
    </row>
    <row r="236" ht="15" customHeight="1" s="413">
      <c r="C236" s="646" t="inlineStr">
        <is>
          <t>Cash-on-cash</t>
        </is>
      </c>
      <c r="D236" s="646" t="inlineStr">
        <is>
          <t>IRR</t>
        </is>
      </c>
      <c r="E236" s="647" t="inlineStr">
        <is>
          <t>Initial</t>
        </is>
      </c>
      <c r="F236" s="648" t="n">
        <v>2025</v>
      </c>
      <c r="G236" s="648" t="n">
        <v>2026</v>
      </c>
      <c r="H236" s="648" t="n">
        <v>2027</v>
      </c>
      <c r="I236" s="648" t="n">
        <v>2028</v>
      </c>
      <c r="J236" s="648" t="n">
        <v>2029</v>
      </c>
    </row>
    <row r="237" ht="15" customHeight="1" s="413">
      <c r="B237" s="516" t="inlineStr">
        <is>
          <t>Revolver</t>
        </is>
      </c>
      <c r="C237" s="649" t="inlineStr">
        <is>
          <t>NM</t>
        </is>
      </c>
      <c r="D237" s="650" t="n">
        <v>0</v>
      </c>
      <c r="E237" s="530" t="n">
        <v>0</v>
      </c>
      <c r="F237" s="530" t="n">
        <v>0</v>
      </c>
      <c r="G237" s="530" t="n">
        <v>0</v>
      </c>
      <c r="H237" s="530" t="n">
        <v>0</v>
      </c>
      <c r="I237" s="530" t="n">
        <v>0</v>
      </c>
      <c r="J237" s="528" t="n">
        <v>0</v>
      </c>
    </row>
    <row r="238" ht="15" customHeight="1" s="413">
      <c r="B238" s="412" t="inlineStr">
        <is>
          <t>Term Loan A</t>
        </is>
      </c>
      <c r="C238" s="649" t="n">
        <v>1.15053240220166</v>
      </c>
      <c r="D238" s="650" t="n">
        <v>0.0450292445877407</v>
      </c>
      <c r="E238" s="530" t="n">
        <v>-2886.429</v>
      </c>
      <c r="F238" s="530" t="n">
        <v>512.266522135678</v>
      </c>
      <c r="G238" s="530" t="n">
        <v>598.9800769872299</v>
      </c>
      <c r="H238" s="530" t="n">
        <v>668.029406965617</v>
      </c>
      <c r="I238" s="530" t="n">
        <v>705.550267986288</v>
      </c>
      <c r="J238" s="528" t="n">
        <v>836.1038170797229</v>
      </c>
    </row>
    <row r="239" ht="15" customHeight="1" s="413">
      <c r="B239" s="412" t="inlineStr">
        <is>
          <t>Term Loan B</t>
        </is>
      </c>
      <c r="C239" s="649" t="n">
        <v>1.2316089</v>
      </c>
      <c r="D239" s="650" t="n">
        <v>0.0510501580595457</v>
      </c>
      <c r="E239" s="530" t="n">
        <v>-670.852</v>
      </c>
      <c r="F239" s="530" t="n">
        <v>62.9160560756</v>
      </c>
      <c r="G239" s="530" t="n">
        <v>63.5059026966</v>
      </c>
      <c r="H239" s="530" t="n">
        <v>64.936293331</v>
      </c>
      <c r="I239" s="530" t="n">
        <v>65.8874943818</v>
      </c>
      <c r="J239" s="528" t="n">
        <v>568.9815472978</v>
      </c>
    </row>
    <row r="240" ht="15" customHeight="1" s="413">
      <c r="B240" s="412" t="inlineStr">
        <is>
          <t>Senior Note</t>
        </is>
      </c>
      <c r="C240" s="649" t="n">
        <v>1.40625</v>
      </c>
      <c r="D240" s="650" t="n">
        <v>0.08124999999913871</v>
      </c>
      <c r="E240" s="530" t="n">
        <v>-1632.995</v>
      </c>
      <c r="F240" s="530" t="n">
        <v>132.68084375</v>
      </c>
      <c r="G240" s="530" t="n">
        <v>132.68084375</v>
      </c>
      <c r="H240" s="530" t="n">
        <v>132.68084375</v>
      </c>
      <c r="I240" s="530" t="n">
        <v>132.68084375</v>
      </c>
      <c r="J240" s="528" t="n">
        <v>1765.67584375</v>
      </c>
    </row>
    <row r="241" ht="15" customHeight="1" s="413">
      <c r="B241" s="573" t="inlineStr">
        <is>
          <t>Sub Note at exit EBITDA multiple of:</t>
        </is>
      </c>
      <c r="C241" s="651" t="n"/>
      <c r="D241" s="650" t="n"/>
      <c r="E241" s="517" t="n"/>
      <c r="F241" s="517" t="n"/>
      <c r="G241" s="517" t="n"/>
      <c r="H241" s="517" t="n"/>
      <c r="I241" s="517" t="n"/>
      <c r="J241" s="569" t="n"/>
    </row>
    <row r="242" ht="15" customHeight="1" s="413">
      <c r="B242" s="652" t="n">
        <v>6.3</v>
      </c>
      <c r="C242" s="649" t="inlineStr">
        <is>
          <t>NM</t>
        </is>
      </c>
      <c r="D242" s="650" t="n">
        <v>0</v>
      </c>
      <c r="E242" s="530" t="n">
        <v>0</v>
      </c>
      <c r="F242" s="530" t="n">
        <v>0</v>
      </c>
      <c r="G242" s="530" t="n">
        <v>0</v>
      </c>
      <c r="H242" s="530" t="n">
        <v>0</v>
      </c>
      <c r="I242" s="530" t="n">
        <v>0</v>
      </c>
      <c r="J242" s="528" t="n">
        <v>0</v>
      </c>
    </row>
    <row r="243" ht="15" customHeight="1" s="413">
      <c r="B243" s="652" t="n">
        <v>6.8</v>
      </c>
      <c r="C243" s="649" t="inlineStr">
        <is>
          <t>NM</t>
        </is>
      </c>
      <c r="D243" s="650" t="n">
        <v>0</v>
      </c>
      <c r="E243" s="530" t="n">
        <v>0</v>
      </c>
      <c r="F243" s="530" t="n">
        <v>0</v>
      </c>
      <c r="G243" s="530" t="n">
        <v>0</v>
      </c>
      <c r="H243" s="530" t="n">
        <v>0</v>
      </c>
      <c r="I243" s="530" t="n">
        <v>0</v>
      </c>
      <c r="J243" s="528" t="n">
        <v>0</v>
      </c>
    </row>
    <row r="244" ht="15" customHeight="1" s="413">
      <c r="B244" s="652" t="n">
        <v>7.3</v>
      </c>
      <c r="C244" s="649" t="inlineStr">
        <is>
          <t>NM</t>
        </is>
      </c>
      <c r="D244" s="650" t="n">
        <v>0</v>
      </c>
      <c r="E244" s="530" t="n">
        <v>0</v>
      </c>
      <c r="F244" s="530" t="n">
        <v>0</v>
      </c>
      <c r="G244" s="530" t="n">
        <v>0</v>
      </c>
      <c r="H244" s="530" t="n">
        <v>0</v>
      </c>
      <c r="I244" s="530" t="n">
        <v>0</v>
      </c>
      <c r="J244" s="528" t="n">
        <v>0</v>
      </c>
    </row>
    <row r="245" ht="15" customHeight="1" s="413">
      <c r="B245" s="652" t="n">
        <v>7.8</v>
      </c>
      <c r="C245" s="649" t="inlineStr">
        <is>
          <t>NM</t>
        </is>
      </c>
      <c r="D245" s="650" t="n">
        <v>0</v>
      </c>
      <c r="E245" s="530" t="n">
        <v>0</v>
      </c>
      <c r="F245" s="530" t="n">
        <v>0</v>
      </c>
      <c r="G245" s="530" t="n">
        <v>0</v>
      </c>
      <c r="H245" s="530" t="n">
        <v>0</v>
      </c>
      <c r="I245" s="530" t="n">
        <v>0</v>
      </c>
      <c r="J245" s="528" t="n">
        <v>0</v>
      </c>
    </row>
    <row r="246" ht="15" customHeight="1" s="413">
      <c r="B246" s="652" t="n">
        <v>8.300000000000001</v>
      </c>
      <c r="C246" s="649" t="inlineStr">
        <is>
          <t>NM</t>
        </is>
      </c>
      <c r="D246" s="650" t="n">
        <v>0</v>
      </c>
      <c r="E246" s="530" t="n">
        <v>0</v>
      </c>
      <c r="F246" s="530" t="n">
        <v>0</v>
      </c>
      <c r="G246" s="530" t="n">
        <v>0</v>
      </c>
      <c r="H246" s="530" t="n">
        <v>0</v>
      </c>
      <c r="I246" s="530" t="n">
        <v>0</v>
      </c>
      <c r="J246" s="528" t="n">
        <v>0</v>
      </c>
    </row>
    <row r="247" ht="15" customHeight="1" s="413">
      <c r="B247" s="573" t="inlineStr">
        <is>
          <t>Preferred Stock at exit EBITDA multiple of:</t>
        </is>
      </c>
      <c r="C247" s="651" t="n"/>
      <c r="D247" s="650" t="n"/>
      <c r="E247" s="517" t="n"/>
      <c r="F247" s="517" t="n"/>
      <c r="G247" s="517" t="n"/>
      <c r="H247" s="517" t="n"/>
      <c r="I247" s="517" t="n"/>
      <c r="J247" s="569" t="n"/>
    </row>
    <row r="248" ht="15" customHeight="1" s="413">
      <c r="B248" s="652" t="n">
        <v>6.3</v>
      </c>
      <c r="C248" s="649" t="inlineStr">
        <is>
          <t>NM</t>
        </is>
      </c>
      <c r="D248" s="650" t="n">
        <v>0</v>
      </c>
      <c r="E248" s="530" t="n">
        <v>0</v>
      </c>
      <c r="F248" s="522" t="n">
        <v>0</v>
      </c>
      <c r="G248" s="522" t="n">
        <v>0</v>
      </c>
      <c r="H248" s="522" t="n">
        <v>0</v>
      </c>
      <c r="I248" s="522" t="n">
        <v>0</v>
      </c>
      <c r="J248" s="528" t="n">
        <v>0</v>
      </c>
    </row>
    <row r="249" ht="15" customHeight="1" s="413">
      <c r="B249" s="652" t="n">
        <v>6.8</v>
      </c>
      <c r="C249" s="649" t="inlineStr">
        <is>
          <t>NM</t>
        </is>
      </c>
      <c r="D249" s="650" t="n">
        <v>0</v>
      </c>
      <c r="E249" s="530" t="n">
        <v>0</v>
      </c>
      <c r="F249" s="530" t="n">
        <v>0</v>
      </c>
      <c r="G249" s="530" t="n">
        <v>0</v>
      </c>
      <c r="H249" s="530" t="n">
        <v>0</v>
      </c>
      <c r="I249" s="530" t="n">
        <v>0</v>
      </c>
      <c r="J249" s="528" t="n">
        <v>0</v>
      </c>
    </row>
    <row r="250" ht="15" customHeight="1" s="413">
      <c r="B250" s="652" t="n">
        <v>7.3</v>
      </c>
      <c r="C250" s="649" t="inlineStr">
        <is>
          <t>NM</t>
        </is>
      </c>
      <c r="D250" s="650" t="n">
        <v>0</v>
      </c>
      <c r="E250" s="530" t="n">
        <v>0</v>
      </c>
      <c r="F250" s="530" t="n">
        <v>0</v>
      </c>
      <c r="G250" s="530" t="n">
        <v>0</v>
      </c>
      <c r="H250" s="530" t="n">
        <v>0</v>
      </c>
      <c r="I250" s="530" t="n">
        <v>0</v>
      </c>
      <c r="J250" s="528" t="n">
        <v>0</v>
      </c>
    </row>
    <row r="251" ht="15" customHeight="1" s="413">
      <c r="B251" s="652" t="n">
        <v>7.8</v>
      </c>
      <c r="C251" s="649" t="inlineStr">
        <is>
          <t>NM</t>
        </is>
      </c>
      <c r="D251" s="650" t="n">
        <v>0</v>
      </c>
      <c r="E251" s="530" t="n">
        <v>0</v>
      </c>
      <c r="F251" s="530" t="n">
        <v>0</v>
      </c>
      <c r="G251" s="530" t="n">
        <v>0</v>
      </c>
      <c r="H251" s="530" t="n">
        <v>0</v>
      </c>
      <c r="I251" s="530" t="n">
        <v>0</v>
      </c>
      <c r="J251" s="528" t="n">
        <v>0</v>
      </c>
    </row>
    <row r="252" ht="15" customHeight="1" s="413">
      <c r="B252" s="652" t="n">
        <v>8.300000000000001</v>
      </c>
      <c r="C252" s="649" t="inlineStr">
        <is>
          <t>NM</t>
        </is>
      </c>
      <c r="D252" s="650" t="n">
        <v>0</v>
      </c>
      <c r="E252" s="530" t="n">
        <v>0</v>
      </c>
      <c r="F252" s="530" t="n">
        <v>0</v>
      </c>
      <c r="G252" s="530" t="n">
        <v>0</v>
      </c>
      <c r="H252" s="530" t="n">
        <v>0</v>
      </c>
      <c r="I252" s="530" t="n">
        <v>0</v>
      </c>
      <c r="J252" s="528" t="n">
        <v>0</v>
      </c>
    </row>
    <row r="253" ht="15" customHeight="1" s="413">
      <c r="B253" s="573" t="inlineStr">
        <is>
          <t>Management Equity at exit EBITDA multiple of:</t>
        </is>
      </c>
      <c r="C253" s="653" t="n"/>
      <c r="D253" s="650" t="n"/>
      <c r="E253" s="517" t="n"/>
      <c r="F253" s="517" t="n"/>
      <c r="G253" s="517" t="n"/>
      <c r="H253" s="517" t="n"/>
      <c r="I253" s="517" t="n"/>
      <c r="J253" s="569" t="n"/>
    </row>
    <row r="254" ht="15" customHeight="1" s="413">
      <c r="B254" s="652" t="n">
        <v>6.3</v>
      </c>
      <c r="C254" s="649" t="inlineStr">
        <is>
          <t>NM</t>
        </is>
      </c>
      <c r="D254" s="650" t="n">
        <v>0</v>
      </c>
      <c r="E254" s="530" t="n">
        <v>0</v>
      </c>
      <c r="F254" s="565" t="n">
        <v>0</v>
      </c>
      <c r="G254" s="565" t="n">
        <v>0</v>
      </c>
      <c r="H254" s="565" t="n">
        <v>0</v>
      </c>
      <c r="I254" s="565" t="n">
        <v>0</v>
      </c>
      <c r="J254" s="528" t="n">
        <v>0</v>
      </c>
    </row>
    <row r="255" ht="15" customHeight="1" s="413">
      <c r="B255" s="652" t="n">
        <v>6.8</v>
      </c>
      <c r="C255" s="649" t="inlineStr">
        <is>
          <t>NM</t>
        </is>
      </c>
      <c r="D255" s="650" t="n">
        <v>0</v>
      </c>
      <c r="E255" s="530" t="n">
        <v>0</v>
      </c>
      <c r="F255" s="530" t="n">
        <v>0</v>
      </c>
      <c r="G255" s="530" t="n">
        <v>0</v>
      </c>
      <c r="H255" s="530" t="n">
        <v>0</v>
      </c>
      <c r="I255" s="530" t="n">
        <v>0</v>
      </c>
      <c r="J255" s="528" t="n">
        <v>0</v>
      </c>
    </row>
    <row r="256" ht="15" customHeight="1" s="413">
      <c r="B256" s="652" t="n">
        <v>7.3</v>
      </c>
      <c r="C256" s="649" t="inlineStr">
        <is>
          <t>NM</t>
        </is>
      </c>
      <c r="D256" s="650" t="n">
        <v>0</v>
      </c>
      <c r="E256" s="530" t="n">
        <v>0</v>
      </c>
      <c r="F256" s="530" t="n">
        <v>0</v>
      </c>
      <c r="G256" s="530" t="n">
        <v>0</v>
      </c>
      <c r="H256" s="530" t="n">
        <v>0</v>
      </c>
      <c r="I256" s="530" t="n">
        <v>0</v>
      </c>
      <c r="J256" s="528" t="n">
        <v>0</v>
      </c>
    </row>
    <row r="257" ht="15" customHeight="1" s="413">
      <c r="B257" s="652" t="n">
        <v>7.8</v>
      </c>
      <c r="C257" s="649" t="inlineStr">
        <is>
          <t>NM</t>
        </is>
      </c>
      <c r="D257" s="650" t="n">
        <v>0</v>
      </c>
      <c r="E257" s="530" t="n">
        <v>0</v>
      </c>
      <c r="F257" s="530" t="n">
        <v>0</v>
      </c>
      <c r="G257" s="530" t="n">
        <v>0</v>
      </c>
      <c r="H257" s="530" t="n">
        <v>0</v>
      </c>
      <c r="I257" s="530" t="n">
        <v>0</v>
      </c>
      <c r="J257" s="528" t="n">
        <v>0</v>
      </c>
    </row>
    <row r="258" ht="15" customHeight="1" s="413">
      <c r="B258" s="652" t="n">
        <v>8.300000000000001</v>
      </c>
      <c r="C258" s="649" t="inlineStr">
        <is>
          <t>NM</t>
        </is>
      </c>
      <c r="D258" s="650" t="n">
        <v>0</v>
      </c>
      <c r="E258" s="530" t="n">
        <v>0</v>
      </c>
      <c r="F258" s="530" t="n">
        <v>0</v>
      </c>
      <c r="G258" s="530" t="n">
        <v>0</v>
      </c>
      <c r="H258" s="530" t="n">
        <v>0</v>
      </c>
      <c r="I258" s="530" t="n">
        <v>0</v>
      </c>
      <c r="J258" s="528" t="n">
        <v>0</v>
      </c>
    </row>
    <row r="259" ht="15" customHeight="1" s="413">
      <c r="B259" s="573" t="inlineStr">
        <is>
          <t>Sponsor's Equity at exit EBITDA multiple of:</t>
        </is>
      </c>
      <c r="C259" s="608" t="n"/>
      <c r="D259" s="654" t="n"/>
      <c r="E259" s="517" t="n"/>
      <c r="F259" s="655" t="n"/>
      <c r="G259" s="655" t="n"/>
      <c r="H259" s="655" t="n"/>
      <c r="I259" s="655" t="n"/>
      <c r="J259" s="656" t="n"/>
    </row>
    <row r="260" ht="15" customHeight="1" s="413">
      <c r="B260" s="652" t="n">
        <v>6.3</v>
      </c>
      <c r="C260" s="649" t="n">
        <v>3.43053056443323</v>
      </c>
      <c r="D260" s="650" t="n">
        <v>0.279594187366849</v>
      </c>
      <c r="E260" s="530" t="n">
        <v>-1660.27794</v>
      </c>
      <c r="F260" s="565" t="n">
        <v>0</v>
      </c>
      <c r="G260" s="565" t="n">
        <v>0</v>
      </c>
      <c r="H260" s="565" t="n">
        <v>0</v>
      </c>
      <c r="I260" s="565" t="n">
        <v>0</v>
      </c>
      <c r="J260" s="528" t="n">
        <v>5695.63421862424</v>
      </c>
    </row>
    <row r="261" ht="15" customHeight="1" s="413">
      <c r="B261" s="652" t="n">
        <v>6.8</v>
      </c>
      <c r="C261" s="649" t="n">
        <v>3.80000909855217</v>
      </c>
      <c r="D261" s="650" t="n">
        <v>0.306041350379885</v>
      </c>
      <c r="E261" s="530" t="n">
        <v>-1660.27794</v>
      </c>
      <c r="F261" s="530" t="n">
        <v>0</v>
      </c>
      <c r="G261" s="530" t="n">
        <v>0</v>
      </c>
      <c r="H261" s="530" t="n">
        <v>0</v>
      </c>
      <c r="I261" s="530" t="n">
        <v>0</v>
      </c>
      <c r="J261" s="528" t="n">
        <v>6309.07127812545</v>
      </c>
    </row>
    <row r="262" ht="15" customHeight="1" s="413">
      <c r="B262" s="652" t="n">
        <v>7.3</v>
      </c>
      <c r="C262" s="649" t="n">
        <v>4.16948763267112</v>
      </c>
      <c r="D262" s="650" t="n">
        <v>0.330505082844487</v>
      </c>
      <c r="E262" s="530" t="n">
        <v>-1660.27794</v>
      </c>
      <c r="F262" s="530" t="n">
        <v>0</v>
      </c>
      <c r="G262" s="530" t="n">
        <v>0</v>
      </c>
      <c r="H262" s="530" t="n">
        <v>0</v>
      </c>
      <c r="I262" s="530" t="n">
        <v>0</v>
      </c>
      <c r="J262" s="528" t="n">
        <v>6922.50833762667</v>
      </c>
    </row>
    <row r="263" ht="15" customHeight="1" s="413">
      <c r="B263" s="652" t="n">
        <v>7.8</v>
      </c>
      <c r="C263" s="649" t="n">
        <v>4.53896616679006</v>
      </c>
      <c r="D263" s="650" t="n">
        <v>0.353291609310027</v>
      </c>
      <c r="E263" s="530" t="n">
        <v>-1660.27794</v>
      </c>
      <c r="F263" s="530" t="n">
        <v>0</v>
      </c>
      <c r="G263" s="530" t="n">
        <v>0</v>
      </c>
      <c r="H263" s="530" t="n">
        <v>0</v>
      </c>
      <c r="I263" s="530" t="n">
        <v>0</v>
      </c>
      <c r="J263" s="528" t="n">
        <v>7535.94539712789</v>
      </c>
    </row>
    <row r="264" ht="15" customHeight="1" s="413">
      <c r="B264" s="652" t="n">
        <v>8.300000000000001</v>
      </c>
      <c r="C264" s="649" t="n">
        <v>4.908444700909</v>
      </c>
      <c r="D264" s="650" t="n">
        <v>0.374639377788437</v>
      </c>
      <c r="E264" s="530" t="n">
        <v>-1660.27794</v>
      </c>
      <c r="F264" s="530" t="n">
        <v>0</v>
      </c>
      <c r="G264" s="530" t="n">
        <v>0</v>
      </c>
      <c r="H264" s="530" t="n">
        <v>0</v>
      </c>
      <c r="I264" s="530" t="n">
        <v>0</v>
      </c>
      <c r="J264" s="528" t="n">
        <v>8149.38245662911</v>
      </c>
    </row>
    <row r="266" ht="15" customHeight="1" s="413">
      <c r="B266" s="502" t="inlineStr">
        <is>
          <t>SUMMARY @ 13.0x EXIT — AI vs Base (see Strategy_Summary)</t>
        </is>
      </c>
      <c r="C266" s="493" t="n"/>
      <c r="D266" s="493" t="n"/>
      <c r="E266" s="493" t="n"/>
    </row>
    <row r="267" ht="15" customHeight="1" s="413">
      <c r="B267" s="538" t="n"/>
      <c r="F267" s="646" t="inlineStr">
        <is>
          <t>Financing</t>
        </is>
      </c>
      <c r="G267" s="646" t="inlineStr">
        <is>
          <t>% of Total Capital</t>
        </is>
      </c>
      <c r="H267" s="646" t="inlineStr">
        <is>
          <t>% FD Ownership</t>
        </is>
      </c>
      <c r="I267" s="646" t="inlineStr">
        <is>
          <t>Cash-on-cash</t>
        </is>
      </c>
      <c r="J267" s="646" t="inlineStr">
        <is>
          <t>Expected IRR</t>
        </is>
      </c>
    </row>
    <row r="268" ht="15" customHeight="1" s="413">
      <c r="B268" s="412" t="inlineStr">
        <is>
          <t>Revolver</t>
        </is>
      </c>
      <c r="F268" s="657" t="n">
        <v>0</v>
      </c>
      <c r="G268" s="658" t="n">
        <v>0</v>
      </c>
      <c r="H268" s="651" t="n"/>
      <c r="I268" s="649" t="inlineStr">
        <is>
          <t>NM</t>
        </is>
      </c>
      <c r="J268" s="659" t="n">
        <v>0</v>
      </c>
    </row>
    <row r="269" ht="15" customHeight="1" s="413">
      <c r="B269" s="412" t="inlineStr">
        <is>
          <t>Term Loan A</t>
        </is>
      </c>
      <c r="F269" s="657" t="n">
        <v>2886.429</v>
      </c>
      <c r="G269" s="658" t="n">
        <v>0.421342423588011</v>
      </c>
      <c r="H269" s="651" t="n"/>
      <c r="I269" s="649" t="n">
        <v>1.15053240220166</v>
      </c>
      <c r="J269" s="659" t="n">
        <v>0.0450292445877407</v>
      </c>
    </row>
    <row r="270" ht="15" customHeight="1" s="413">
      <c r="B270" s="412" t="inlineStr">
        <is>
          <t>Term Loan B</t>
        </is>
      </c>
      <c r="F270" s="657" t="n">
        <v>670.852</v>
      </c>
      <c r="G270" s="658" t="n">
        <v>0.0979266794883452</v>
      </c>
      <c r="H270" s="651" t="n"/>
      <c r="I270" s="649" t="n">
        <v>1.2316089</v>
      </c>
      <c r="J270" s="659" t="n">
        <v>0.0510501580595457</v>
      </c>
    </row>
    <row r="271" ht="15" customHeight="1" s="413">
      <c r="B271" s="412" t="inlineStr">
        <is>
          <t>Senior Note</t>
        </is>
      </c>
      <c r="F271" s="657" t="n">
        <v>1632.995</v>
      </c>
      <c r="G271" s="658" t="n">
        <v>0.238374154017682</v>
      </c>
      <c r="H271" s="651" t="n"/>
      <c r="I271" s="649" t="n">
        <v>1.40625</v>
      </c>
      <c r="J271" s="659" t="n">
        <v>0.08124999999913871</v>
      </c>
    </row>
    <row r="272" ht="15" customHeight="1" s="413">
      <c r="B272" s="412" t="inlineStr">
        <is>
          <t>Sub Note</t>
        </is>
      </c>
      <c r="F272" s="657" t="n">
        <v>0</v>
      </c>
      <c r="G272" s="658" t="n">
        <v>0</v>
      </c>
      <c r="H272" s="658" t="n">
        <v>0</v>
      </c>
      <c r="I272" s="649" t="inlineStr">
        <is>
          <t>NM</t>
        </is>
      </c>
      <c r="J272" s="659" t="n">
        <v>0</v>
      </c>
      <c r="K272" s="517" t="n"/>
    </row>
    <row r="273" ht="15" customHeight="1" s="413">
      <c r="B273" s="412" t="inlineStr">
        <is>
          <t>Preferred stock</t>
        </is>
      </c>
      <c r="F273" s="657" t="n">
        <v>0</v>
      </c>
      <c r="G273" s="658" t="n">
        <v>0</v>
      </c>
      <c r="H273" s="658" t="n">
        <v>0</v>
      </c>
      <c r="I273" s="649" t="inlineStr">
        <is>
          <t>NM</t>
        </is>
      </c>
      <c r="J273" s="659" t="n">
        <v>0</v>
      </c>
    </row>
    <row r="274" ht="15" customHeight="1" s="413">
      <c r="B274" s="412" t="inlineStr">
        <is>
          <t>Mgmt rollover</t>
        </is>
      </c>
      <c r="F274" s="657" t="n">
        <v>0</v>
      </c>
      <c r="G274" s="658" t="n">
        <v>0</v>
      </c>
      <c r="H274" s="658" t="n">
        <v>0</v>
      </c>
      <c r="I274" s="649" t="inlineStr">
        <is>
          <t>NM</t>
        </is>
      </c>
      <c r="J274" s="659" t="n">
        <v>0</v>
      </c>
    </row>
    <row r="275" ht="15" customHeight="1" s="413">
      <c r="B275" s="412" t="inlineStr">
        <is>
          <t>Sponsor equity (AI case)</t>
        </is>
      </c>
      <c r="F275" s="660">
        <f>D35</f>
        <v/>
      </c>
      <c r="G275" s="658" t="n">
        <v>0.242356742905961</v>
      </c>
      <c r="H275" s="658" t="n">
        <v>1</v>
      </c>
      <c r="I275" s="649" t="n">
        <v>2.19248363250499</v>
      </c>
      <c r="J275" s="659" t="n">
        <v>0.170003799222666</v>
      </c>
    </row>
    <row r="276" ht="15" customHeight="1" s="413">
      <c r="B276" s="571" t="inlineStr">
        <is>
          <t>Sponsor equity (Base case)</t>
        </is>
      </c>
      <c r="F276" s="661" t="n">
        <v>6850.55394</v>
      </c>
      <c r="G276" s="662" t="n">
        <v>1</v>
      </c>
      <c r="H276" s="662" t="n">
        <v>1</v>
      </c>
      <c r="I276" s="412" t="n">
        <v>1.177</v>
      </c>
      <c r="J276" s="412" t="n">
        <v>0.033</v>
      </c>
    </row>
    <row r="277" ht="15" customHeight="1" s="413">
      <c r="B277" s="571" t="inlineStr">
        <is>
          <t>IRR uplift from AI S&amp;M (percentage points)</t>
        </is>
      </c>
      <c r="E277" s="663" t="n"/>
      <c r="G277" s="662" t="n"/>
      <c r="H277" s="662" t="n"/>
      <c r="J277" s="412" t="n">
        <v>0.2379</v>
      </c>
    </row>
    <row r="278" ht="15" customHeight="1" s="413">
      <c r="B278" s="502" t="inlineStr">
        <is>
          <t>SENSITIVITY ANALYISIS</t>
        </is>
      </c>
      <c r="C278" s="493" t="n"/>
      <c r="D278" s="664" t="n"/>
      <c r="E278" s="665" t="n"/>
      <c r="F278" s="664" t="n"/>
      <c r="G278" s="664" t="n"/>
      <c r="H278" s="664" t="n"/>
      <c r="I278" s="493" t="n"/>
      <c r="J278" s="493" t="n"/>
    </row>
    <row r="279" ht="15" customHeight="1" s="413">
      <c r="B279" s="666" t="n"/>
      <c r="C279" s="667" t="n"/>
      <c r="D279" s="667" t="n"/>
      <c r="E279" s="668" t="n"/>
      <c r="F279" s="667" t="n"/>
      <c r="G279" s="667" t="n"/>
      <c r="H279" s="667" t="n"/>
    </row>
    <row r="280" ht="15" customHeight="1" s="413">
      <c r="B280" s="553" t="n"/>
      <c r="C280" s="669" t="inlineStr">
        <is>
          <t>Actual</t>
        </is>
      </c>
      <c r="E280" s="670" t="inlineStr">
        <is>
          <t>Offer Price / Share At Various Sponsor Hurdle Rates</t>
        </is>
      </c>
      <c r="F280" s="671" t="n"/>
      <c r="G280" s="671" t="n"/>
      <c r="H280" s="671" t="n"/>
      <c r="I280" s="671" t="n"/>
      <c r="J280" s="672" t="n"/>
    </row>
    <row r="281" ht="15" customHeight="1" s="413">
      <c r="B281" s="412" t="inlineStr">
        <is>
          <t>Sponsor Hurdle Rate (Minimum IRR)</t>
        </is>
      </c>
      <c r="C281" s="673" t="n">
        <v>0.330505082844487</v>
      </c>
      <c r="E281" s="674" t="n">
        <v>0.15</v>
      </c>
      <c r="F281" s="675" t="n">
        <v>0.2</v>
      </c>
      <c r="G281" s="675" t="n">
        <v>0.25</v>
      </c>
      <c r="H281" s="675" t="n">
        <v>0.3</v>
      </c>
      <c r="I281" s="675" t="n">
        <v>0.35</v>
      </c>
      <c r="J281" s="676" t="n">
        <v>0.4</v>
      </c>
    </row>
    <row r="282" ht="15" customHeight="1" s="413">
      <c r="B282" s="412" t="inlineStr">
        <is>
          <t>Offer value</t>
        </is>
      </c>
      <c r="C282" s="677" t="n">
        <v>1555.6759</v>
      </c>
      <c r="E282" s="678" t="n">
        <v>1966.7351</v>
      </c>
      <c r="F282" s="521" t="n">
        <v>1814.5095</v>
      </c>
      <c r="G282" s="521" t="n">
        <v>1695.9904</v>
      </c>
      <c r="H282" s="521" t="n">
        <v>1602.7839</v>
      </c>
      <c r="I282" s="521" t="n">
        <v>1528.802</v>
      </c>
      <c r="J282" s="679" t="n">
        <v>1469.5739</v>
      </c>
    </row>
    <row r="283" ht="15" customHeight="1" s="413">
      <c r="B283" s="412" t="inlineStr">
        <is>
          <t>Diluted shares outstanding</t>
        </is>
      </c>
      <c r="C283" s="680" t="n">
        <v>307.294</v>
      </c>
      <c r="E283" s="681" t="n">
        <v>307.294</v>
      </c>
      <c r="F283" s="682" t="n">
        <v>307.294</v>
      </c>
      <c r="G283" s="682" t="n">
        <v>307.294</v>
      </c>
      <c r="H283" s="682" t="n">
        <v>307.294</v>
      </c>
      <c r="I283" s="682" t="n">
        <v>307.294</v>
      </c>
      <c r="J283" s="683" t="n">
        <v>307.294</v>
      </c>
    </row>
    <row r="284" ht="15" customHeight="1" s="413">
      <c r="B284" s="412" t="inlineStr">
        <is>
          <t>Offer value / per share</t>
        </is>
      </c>
      <c r="C284" s="684" t="n">
        <v>5.0625</v>
      </c>
      <c r="E284" s="685" t="n">
        <v>6.4002</v>
      </c>
      <c r="F284" s="518" t="n">
        <v>5.9048</v>
      </c>
      <c r="G284" s="518" t="n">
        <v>5.5191</v>
      </c>
      <c r="H284" s="518" t="n">
        <v>5.2158</v>
      </c>
      <c r="I284" s="518" t="n">
        <v>4.975</v>
      </c>
      <c r="J284" s="686" t="n">
        <v>4.7823</v>
      </c>
    </row>
    <row r="285" ht="15" customHeight="1" s="413">
      <c r="B285" s="551" t="inlineStr">
        <is>
          <t>% Premium / discount</t>
        </is>
      </c>
      <c r="C285" s="687" t="n">
        <v>0.25</v>
      </c>
      <c r="E285" s="688" t="n">
        <v>0.580289907015896</v>
      </c>
      <c r="F285" s="689" t="n">
        <v>0.457975224993954</v>
      </c>
      <c r="G285" s="689" t="n">
        <v>0.362744038114017</v>
      </c>
      <c r="H285" s="689" t="n">
        <v>0.287851723515967</v>
      </c>
      <c r="I285" s="689" t="n">
        <v>0.228406558330817</v>
      </c>
      <c r="J285" s="690" t="n">
        <v>0.180816270116169</v>
      </c>
    </row>
    <row r="286" ht="15" customHeight="1" s="413">
      <c r="B286" s="551" t="n"/>
      <c r="C286" s="691" t="n"/>
      <c r="E286" s="692" t="n"/>
      <c r="F286" s="693" t="n"/>
      <c r="G286" s="693" t="n"/>
      <c r="H286" s="693" t="n"/>
      <c r="I286" s="693" t="n"/>
      <c r="J286" s="694" t="n"/>
    </row>
    <row r="287" ht="15" customHeight="1" s="413">
      <c r="B287" s="553" t="inlineStr">
        <is>
          <t>Enterprise value</t>
        </is>
      </c>
      <c r="C287" s="695" t="n">
        <v>2705.6759</v>
      </c>
      <c r="E287" s="678" t="n">
        <v>3116.7351</v>
      </c>
      <c r="F287" s="521" t="n">
        <v>2964.5095</v>
      </c>
      <c r="G287" s="521" t="n">
        <v>2845.9904</v>
      </c>
      <c r="H287" s="521" t="n">
        <v>2752.7839</v>
      </c>
      <c r="I287" s="521" t="n">
        <v>2678.802</v>
      </c>
      <c r="J287" s="679" t="n">
        <v>2619.5739</v>
      </c>
    </row>
    <row r="288" ht="15" customHeight="1" s="413">
      <c r="B288" s="551" t="inlineStr">
        <is>
          <t>EV / LTM EBITDA multiple</t>
        </is>
      </c>
      <c r="C288" s="696" t="n">
        <v>14.777039186237</v>
      </c>
      <c r="E288" s="697" t="n">
        <v>17.0220377229956</v>
      </c>
      <c r="F288" s="698" t="n">
        <v>16.1906581490805</v>
      </c>
      <c r="G288" s="698" t="n">
        <v>15.5433665708096</v>
      </c>
      <c r="H288" s="698" t="n">
        <v>15.0343194182456</v>
      </c>
      <c r="I288" s="698" t="n">
        <v>14.6302673838865</v>
      </c>
      <c r="J288" s="699" t="n">
        <v>14.3067935957497</v>
      </c>
    </row>
    <row r="289" ht="15" customHeight="1" s="413">
      <c r="B289" s="573" t="n"/>
      <c r="E289" s="700" t="n"/>
    </row>
    <row r="290" ht="15" customHeight="1" s="413">
      <c r="D290" s="701" t="inlineStr">
        <is>
          <t>Sponsor IRR At Various Leverage And Initial EBITDA Multiple Sensitivity</t>
        </is>
      </c>
      <c r="E290" s="627" t="n"/>
      <c r="F290" s="627" t="n"/>
      <c r="G290" s="627" t="n"/>
      <c r="H290" s="627" t="n"/>
      <c r="I290" s="627" t="n"/>
      <c r="J290" s="627" t="n"/>
    </row>
    <row r="291" ht="15" customHeight="1" s="413">
      <c r="B291" s="702" t="inlineStr">
        <is>
          <t>Highlight IRR &gt;</t>
        </is>
      </c>
      <c r="D291" s="703" t="inlineStr">
        <is>
          <t>EXPLICIT EBITDA (APPROACH 1) MUST BE SELECTED FOR DATA TABLE TO APPEAR</t>
        </is>
      </c>
    </row>
    <row r="292" ht="15" customHeight="1" s="413">
      <c r="B292" s="704" t="n">
        <v>0.3</v>
      </c>
      <c r="F292" s="666" t="inlineStr">
        <is>
          <t>Term A / EBITDA ratio (other cumulative leverage of 2.6x)</t>
        </is>
      </c>
      <c r="M292" s="651" t="n"/>
      <c r="N292" s="651" t="n"/>
    </row>
    <row r="293" ht="15" customHeight="1" s="413">
      <c r="E293" s="705" t="n">
        <v>0.330505082844487</v>
      </c>
      <c r="F293" s="706" t="n">
        <v>3</v>
      </c>
      <c r="G293" s="707" t="n">
        <v>3.25</v>
      </c>
      <c r="H293" s="707" t="n">
        <v>3.5</v>
      </c>
      <c r="I293" s="707" t="n">
        <v>3.75</v>
      </c>
      <c r="J293" s="707" t="n">
        <v>4</v>
      </c>
    </row>
    <row r="294" ht="15" customHeight="1" s="413">
      <c r="D294" s="708" t="n"/>
      <c r="E294" s="706" t="n">
        <v>7</v>
      </c>
      <c r="F294" s="574" t="n">
        <v>0.306597235533177</v>
      </c>
      <c r="G294" s="574" t="n">
        <v>0.328569651824876</v>
      </c>
      <c r="H294" s="574" t="n">
        <v>0.355076536045657</v>
      </c>
      <c r="I294" s="574" t="n">
        <v>0.387857051798638</v>
      </c>
      <c r="J294" s="531" t="n">
        <v>0.42977043407343</v>
      </c>
    </row>
    <row r="295" ht="15.75" customHeight="1" s="413">
      <c r="D295" s="708" t="inlineStr">
        <is>
          <t>Initial</t>
        </is>
      </c>
      <c r="E295" s="709" t="n">
        <v>7.25</v>
      </c>
      <c r="F295" s="574" t="n">
        <v>0.306597278819627</v>
      </c>
      <c r="G295" s="574" t="n">
        <v>0.328569651824876</v>
      </c>
      <c r="H295" s="574" t="n">
        <v>0.355076536045657</v>
      </c>
      <c r="I295" s="574" t="n">
        <v>0.387857051798638</v>
      </c>
      <c r="J295" s="531" t="n">
        <v>0.42977043407343</v>
      </c>
    </row>
    <row r="296" ht="15.75" customHeight="1" s="413">
      <c r="D296" s="708" t="inlineStr">
        <is>
          <t>EBITDA</t>
        </is>
      </c>
      <c r="E296" s="709" t="n">
        <v>7.5</v>
      </c>
      <c r="F296" s="574" t="n">
        <v>0.306597278819627</v>
      </c>
      <c r="G296" s="574" t="n">
        <v>0.328569651824876</v>
      </c>
      <c r="H296" s="574" t="n">
        <v>0.355076536045657</v>
      </c>
      <c r="I296" s="574" t="n">
        <v>0.387857051798638</v>
      </c>
      <c r="J296" s="531" t="n">
        <v>0.42977043407343</v>
      </c>
    </row>
    <row r="297" ht="15.75" customHeight="1" s="413">
      <c r="D297" s="708" t="inlineStr">
        <is>
          <t>Multiple:</t>
        </is>
      </c>
      <c r="E297" s="709" t="n">
        <v>7.75</v>
      </c>
      <c r="F297" s="574" t="n">
        <v>0.306597278819627</v>
      </c>
      <c r="G297" s="574" t="n">
        <v>0.328569651824876</v>
      </c>
      <c r="H297" s="574" t="n">
        <v>0.355076536045657</v>
      </c>
      <c r="I297" s="574" t="n">
        <v>0.387857051798638</v>
      </c>
      <c r="J297" s="531" t="n">
        <v>0.42977043407343</v>
      </c>
    </row>
    <row r="298" ht="15" customHeight="1" s="413">
      <c r="D298" s="708" t="n"/>
      <c r="E298" s="709" t="n">
        <v>8</v>
      </c>
      <c r="F298" s="574" t="n">
        <v>0.306597278819627</v>
      </c>
      <c r="G298" s="574" t="n">
        <v>0.328569651824876</v>
      </c>
      <c r="H298" s="574" t="n">
        <v>0.355076536045657</v>
      </c>
      <c r="I298" s="574" t="n">
        <v>0.387857051798638</v>
      </c>
      <c r="J298" s="531" t="n">
        <v>0.42977043407343</v>
      </c>
    </row>
    <row r="300" ht="15" customHeight="1" s="413">
      <c r="D300" s="701" t="inlineStr">
        <is>
          <t>Sponsor IRR At Various Leverage And Offer Price / Share Sensitivity</t>
        </is>
      </c>
      <c r="E300" s="627" t="n"/>
      <c r="F300" s="627" t="n"/>
      <c r="G300" s="627" t="n"/>
      <c r="H300" s="627" t="n"/>
      <c r="I300" s="627" t="n"/>
      <c r="J300" s="627" t="n"/>
    </row>
    <row r="301" ht="15" customHeight="1" s="413">
      <c r="D301" s="703" t="inlineStr">
        <is>
          <t>Offer-price IRR grid axis reset to GTM $/sh; prior BMC 45–46 IRRs cleared (need full LBO re-solve).</t>
        </is>
      </c>
    </row>
    <row r="302" ht="15" customHeight="1" s="413">
      <c r="F302" s="666" t="inlineStr">
        <is>
          <t>Term A / EBITDA ratio (other cumulative leverage of 2.6x)</t>
        </is>
      </c>
    </row>
    <row r="303" ht="15" customHeight="1" s="413">
      <c r="E303" s="705" t="n">
        <v>0.330505082844487</v>
      </c>
      <c r="F303" s="706" t="n">
        <v>3</v>
      </c>
      <c r="G303" s="707" t="n">
        <v>3.25</v>
      </c>
      <c r="H303" s="707" t="n">
        <v>3.5</v>
      </c>
      <c r="I303" s="707" t="n">
        <v>3.75</v>
      </c>
      <c r="J303" s="707" t="n">
        <v>4</v>
      </c>
    </row>
    <row r="304" ht="15" customHeight="1" s="413">
      <c r="D304" s="708" t="n"/>
      <c r="E304" s="533" t="n">
        <v>4.75</v>
      </c>
      <c r="F304" s="574" t="n"/>
      <c r="G304" s="574" t="n"/>
      <c r="H304" s="574" t="n"/>
      <c r="I304" s="574" t="n"/>
      <c r="J304" s="531" t="n"/>
    </row>
    <row r="305" ht="15.75" customHeight="1" s="413">
      <c r="D305" s="708" t="inlineStr">
        <is>
          <t>Initial</t>
        </is>
      </c>
      <c r="E305" s="710" t="n">
        <v>5</v>
      </c>
      <c r="F305" s="574" t="n"/>
      <c r="G305" s="574" t="n"/>
      <c r="H305" s="574" t="n"/>
      <c r="I305" s="574" t="n"/>
      <c r="J305" s="531" t="n"/>
    </row>
    <row r="306" ht="15.75" customHeight="1" s="413">
      <c r="D306" s="708" t="inlineStr">
        <is>
          <t>Offer</t>
        </is>
      </c>
      <c r="E306" s="710" t="n">
        <v>5.0625</v>
      </c>
      <c r="F306" s="574" t="n"/>
      <c r="G306" s="574" t="n"/>
      <c r="H306" s="574" t="n"/>
      <c r="I306" s="574" t="n"/>
      <c r="J306" s="531" t="n"/>
    </row>
    <row r="307" ht="15.75" customHeight="1" s="413">
      <c r="D307" s="708" t="inlineStr">
        <is>
          <t>Price:</t>
        </is>
      </c>
      <c r="E307" s="710" t="n">
        <v>5.25</v>
      </c>
      <c r="F307" s="574" t="n"/>
      <c r="G307" s="574" t="n"/>
      <c r="H307" s="574" t="n"/>
      <c r="I307" s="574" t="n"/>
      <c r="J307" s="531" t="n"/>
    </row>
    <row r="308" ht="15" customHeight="1" s="413">
      <c r="D308" s="708" t="n"/>
      <c r="E308" s="710" t="n">
        <v>5.5</v>
      </c>
      <c r="F308" s="574" t="n"/>
      <c r="G308" s="574" t="n"/>
      <c r="H308" s="574" t="n"/>
      <c r="I308" s="574" t="n"/>
      <c r="J308" s="531" t="n"/>
    </row>
    <row r="310" ht="15" customHeight="1" s="413">
      <c r="D310" s="701" t="inlineStr">
        <is>
          <t>Sponsor IRR @ Preferred &amp; Sub Note Equity Kicker Sensitivity</t>
        </is>
      </c>
      <c r="E310" s="627" t="n"/>
      <c r="F310" s="627" t="n"/>
      <c r="G310" s="627" t="n"/>
      <c r="H310" s="627" t="n"/>
      <c r="I310" s="627" t="n"/>
      <c r="J310" s="627" t="n"/>
    </row>
    <row r="311" ht="15" customHeight="1" s="413">
      <c r="F311" s="666" t="inlineStr">
        <is>
          <t>Sub Note Equity Kicker</t>
        </is>
      </c>
    </row>
    <row r="312" ht="15" customHeight="1" s="413">
      <c r="E312" s="705" t="n">
        <v>0.330505082844487</v>
      </c>
      <c r="F312" s="711" t="n">
        <v>0</v>
      </c>
      <c r="G312" s="712" t="n">
        <v>0.02</v>
      </c>
      <c r="H312" s="712" t="n">
        <v>0.04</v>
      </c>
      <c r="I312" s="712" t="n">
        <v>0.06</v>
      </c>
      <c r="J312" s="712" t="n">
        <v>0.08</v>
      </c>
    </row>
    <row r="313" ht="15" customHeight="1" s="413">
      <c r="D313" s="708" t="n"/>
      <c r="E313" s="711" t="n">
        <v>0</v>
      </c>
      <c r="F313" s="574" t="n">
        <v>0.330505079978679</v>
      </c>
      <c r="G313" s="574" t="n">
        <v>0.325139968106701</v>
      </c>
      <c r="H313" s="574" t="n">
        <v>0.319686532179051</v>
      </c>
      <c r="I313" s="574" t="n">
        <v>0.314141434579203</v>
      </c>
      <c r="J313" s="531" t="n">
        <v>0.30850113434416</v>
      </c>
    </row>
    <row r="314" ht="15.75" customHeight="1" s="413">
      <c r="D314" s="708" t="inlineStr">
        <is>
          <t>Preferred</t>
        </is>
      </c>
      <c r="E314" s="713" t="n">
        <v>0.02</v>
      </c>
      <c r="F314" s="574" t="n">
        <v>0.32513996817322</v>
      </c>
      <c r="G314" s="574" t="n">
        <v>0.319686532180517</v>
      </c>
      <c r="H314" s="574" t="n">
        <v>0.314141434579234</v>
      </c>
      <c r="I314" s="574" t="n">
        <v>0.308501134344161</v>
      </c>
      <c r="J314" s="531" t="n">
        <v>0.302761872969077</v>
      </c>
    </row>
    <row r="315" ht="15.75" customHeight="1" s="413">
      <c r="D315" s="708" t="inlineStr">
        <is>
          <t>Equity</t>
        </is>
      </c>
      <c r="E315" s="713" t="n">
        <v>0.04</v>
      </c>
      <c r="F315" s="574" t="n">
        <v>0.319686532180517</v>
      </c>
      <c r="G315" s="574" t="n">
        <v>0.314141434579234</v>
      </c>
      <c r="H315" s="574" t="n">
        <v>0.308501134344161</v>
      </c>
      <c r="I315" s="574" t="n">
        <v>0.302761872969077</v>
      </c>
      <c r="J315" s="531" t="n">
        <v>0.29691965598224</v>
      </c>
    </row>
    <row r="316" ht="15.75" customHeight="1" s="413">
      <c r="D316" s="708" t="inlineStr">
        <is>
          <t>Kicker:</t>
        </is>
      </c>
      <c r="E316" s="713" t="n">
        <v>0.06</v>
      </c>
      <c r="F316" s="574" t="n">
        <v>0.314141434579234</v>
      </c>
      <c r="G316" s="574" t="n">
        <v>0.308501134344161</v>
      </c>
      <c r="H316" s="574" t="n">
        <v>0.302761872969077</v>
      </c>
      <c r="I316" s="574" t="n">
        <v>0.29691965598224</v>
      </c>
      <c r="J316" s="531" t="n">
        <v>0.290970232291228</v>
      </c>
    </row>
    <row r="317" ht="15" customHeight="1" s="413">
      <c r="D317" s="708" t="n"/>
      <c r="E317" s="713" t="n">
        <v>0.08</v>
      </c>
      <c r="F317" s="574" t="n">
        <v>0.308501134344161</v>
      </c>
      <c r="G317" s="574" t="n">
        <v>0.302761872969077</v>
      </c>
      <c r="H317" s="574" t="n">
        <v>0.29691965598224</v>
      </c>
      <c r="I317" s="574" t="n">
        <v>0.290970232291228</v>
      </c>
      <c r="J317" s="531" t="n">
        <v>0.284909071351131</v>
      </c>
    </row>
    <row r="319" ht="15" customHeight="1" s="413">
      <c r="B319" s="502" t="inlineStr">
        <is>
          <t>PRO FORMA BALANCE SHEET ADJUSTMENTS</t>
        </is>
      </c>
      <c r="C319" s="493" t="n"/>
      <c r="D319" s="493" t="n"/>
      <c r="E319" s="493" t="n"/>
      <c r="F319" s="493" t="n"/>
      <c r="G319" s="493" t="n"/>
      <c r="H319" s="493" t="n"/>
      <c r="I319" s="493" t="n"/>
      <c r="J319" s="493" t="n"/>
    </row>
    <row r="320" ht="15" customHeight="1" s="413">
      <c r="H320" s="539" t="n"/>
      <c r="J320" s="714" t="inlineStr">
        <is>
          <t>Pro forma</t>
        </is>
      </c>
    </row>
    <row r="321" ht="15" customHeight="1" s="413">
      <c r="E321" s="557" t="n">
        <v>2025</v>
      </c>
      <c r="F321" s="557" t="n">
        <v>2026</v>
      </c>
      <c r="G321" s="651" t="inlineStr">
        <is>
          <t>Pro forma adjustments</t>
        </is>
      </c>
      <c r="J321" s="538" t="n">
        <v>2027</v>
      </c>
    </row>
    <row r="322" ht="15" customHeight="1" s="413">
      <c r="B322" s="493" t="n"/>
      <c r="C322" s="493" t="n"/>
      <c r="D322" s="493" t="n"/>
      <c r="E322" s="715" t="n">
        <v>40999</v>
      </c>
      <c r="F322" s="715" t="n">
        <v>41364</v>
      </c>
      <c r="G322" s="716" t="inlineStr">
        <is>
          <t>Uses of funds</t>
        </is>
      </c>
      <c r="H322" s="716" t="inlineStr">
        <is>
          <t>Sources of funds</t>
        </is>
      </c>
      <c r="I322" s="716" t="inlineStr">
        <is>
          <t>Accounting</t>
        </is>
      </c>
      <c r="J322" s="715" t="n">
        <v>41364</v>
      </c>
    </row>
    <row r="323" ht="15" customHeight="1" s="413">
      <c r="B323" s="525" t="inlineStr">
        <is>
          <t>Cash</t>
        </is>
      </c>
      <c r="E323" s="530" t="n">
        <v>1635.6</v>
      </c>
      <c r="F323" s="530" t="n">
        <v>1581.9</v>
      </c>
      <c r="G323" s="657" t="n">
        <v>-8252.453939999999</v>
      </c>
      <c r="H323" s="657" t="n">
        <v>6850.55394</v>
      </c>
      <c r="I323" s="657" t="n"/>
      <c r="J323" s="530" t="n">
        <v>179.999999999999</v>
      </c>
    </row>
    <row r="324" ht="15" customHeight="1" s="413">
      <c r="B324" s="525" t="inlineStr">
        <is>
          <t>Accounts receivable, EOP</t>
        </is>
      </c>
      <c r="E324" s="530" t="n">
        <v>484.8</v>
      </c>
      <c r="F324" s="530" t="n">
        <v>443.7</v>
      </c>
      <c r="G324" s="651" t="n"/>
      <c r="H324" s="657" t="n"/>
      <c r="I324" s="657" t="n"/>
      <c r="J324" s="530" t="n">
        <v>443.7</v>
      </c>
    </row>
    <row r="325" ht="15" customHeight="1" s="413">
      <c r="B325" s="525" t="inlineStr">
        <is>
          <t>Other current assets, EOP</t>
        </is>
      </c>
      <c r="E325" s="530" t="n">
        <v>195.1</v>
      </c>
      <c r="F325" s="530" t="n">
        <v>213.1</v>
      </c>
      <c r="G325" s="651" t="n"/>
      <c r="H325" s="657" t="n"/>
      <c r="I325" s="657" t="n"/>
      <c r="J325" s="530" t="n">
        <v>213.1</v>
      </c>
    </row>
    <row r="326" ht="15" customHeight="1" s="413">
      <c r="B326" s="525" t="inlineStr">
        <is>
          <t>PP&amp;E</t>
        </is>
      </c>
      <c r="E326" s="530" t="n">
        <v>87.8</v>
      </c>
      <c r="F326" s="530" t="n">
        <v>85.2</v>
      </c>
      <c r="G326" s="651" t="n"/>
      <c r="H326" s="657" t="n"/>
      <c r="I326" s="657" t="n">
        <v>300</v>
      </c>
      <c r="J326" s="530" t="n">
        <v>385.2</v>
      </c>
    </row>
    <row r="327" ht="15" customHeight="1" s="413">
      <c r="B327" s="525" t="inlineStr">
        <is>
          <t>Software development costs</t>
        </is>
      </c>
      <c r="E327" s="530" t="n">
        <v>244.7</v>
      </c>
      <c r="F327" s="530" t="n">
        <v>271.4</v>
      </c>
      <c r="G327" s="651" t="n"/>
      <c r="H327" s="657" t="n"/>
      <c r="I327" s="657" t="n"/>
      <c r="J327" s="530" t="n">
        <v>271.4</v>
      </c>
    </row>
    <row r="328" ht="15" customHeight="1" s="413">
      <c r="B328" s="525" t="inlineStr">
        <is>
          <t>Intangible assets</t>
        </is>
      </c>
      <c r="E328" s="530" t="n">
        <v>257.5</v>
      </c>
      <c r="F328" s="530" t="n">
        <v>189.8</v>
      </c>
      <c r="G328" s="657" t="n">
        <v>69.689165</v>
      </c>
      <c r="H328" s="657" t="n"/>
      <c r="I328" s="657" t="n">
        <v>200</v>
      </c>
      <c r="J328" s="530" t="n">
        <v>459.489165</v>
      </c>
    </row>
    <row r="329" ht="15" customHeight="1" s="413">
      <c r="B329" s="525" t="inlineStr">
        <is>
          <t>Goodwill and other assets</t>
        </is>
      </c>
      <c r="E329" s="717" t="n">
        <v>1940.3</v>
      </c>
      <c r="F329" s="717" t="n">
        <v>1935.2</v>
      </c>
      <c r="G329" s="718" t="n"/>
      <c r="H329" s="719" t="n"/>
      <c r="I329" s="720" t="n">
        <v>5536.653639577</v>
      </c>
      <c r="J329" s="717" t="n">
        <v>7471.853639577</v>
      </c>
    </row>
    <row r="330" ht="15" customHeight="1" s="413">
      <c r="B330" s="538" t="inlineStr">
        <is>
          <t>Total Assets</t>
        </is>
      </c>
      <c r="E330" s="547" t="n">
        <v>4845.8</v>
      </c>
      <c r="F330" s="547" t="n">
        <v>4720.3</v>
      </c>
      <c r="G330" s="651" t="n"/>
      <c r="H330" s="651" t="n"/>
      <c r="I330" s="651" t="n"/>
      <c r="J330" s="547" t="n">
        <v>9424.742804576999</v>
      </c>
    </row>
    <row r="331" ht="15" customHeight="1" s="413">
      <c r="E331" s="517" t="n"/>
      <c r="F331" s="517" t="n"/>
      <c r="G331" s="651" t="n"/>
      <c r="H331" s="651" t="n"/>
      <c r="I331" s="651" t="n"/>
    </row>
    <row r="332" ht="15" customHeight="1" s="413">
      <c r="B332" s="525" t="inlineStr">
        <is>
          <t>Accounts payable, EOP</t>
        </is>
      </c>
      <c r="E332" s="530" t="n">
        <v>32.7</v>
      </c>
      <c r="F332" s="530" t="n">
        <v>42.1</v>
      </c>
      <c r="G332" s="651" t="n"/>
      <c r="H332" s="657" t="n"/>
      <c r="I332" s="657" t="n"/>
      <c r="J332" s="530" t="n">
        <v>42.1</v>
      </c>
    </row>
    <row r="333" ht="15" customHeight="1" s="413">
      <c r="B333" s="525" t="inlineStr">
        <is>
          <t>Accrued expenses &amp; def revenues, EOP</t>
        </is>
      </c>
      <c r="E333" s="530" t="n">
        <v>2313.3</v>
      </c>
      <c r="F333" s="530" t="n">
        <v>2301.7</v>
      </c>
      <c r="G333" s="651" t="n"/>
      <c r="H333" s="657" t="n"/>
      <c r="I333" s="657" t="n"/>
      <c r="J333" s="530" t="n">
        <v>2301.7</v>
      </c>
    </row>
    <row r="334" ht="15" customHeight="1" s="413">
      <c r="B334" s="525" t="inlineStr">
        <is>
          <t>Other liabilities</t>
        </is>
      </c>
      <c r="E334" s="530" t="n">
        <v>232.4</v>
      </c>
      <c r="F334" s="530" t="n">
        <v>252</v>
      </c>
      <c r="G334" s="651" t="n"/>
      <c r="H334" s="657" t="n"/>
      <c r="I334" s="657" t="n">
        <v>113.227389577004</v>
      </c>
      <c r="J334" s="530" t="n">
        <v>365.227389577004</v>
      </c>
    </row>
    <row r="335" ht="15" customHeight="1" s="413">
      <c r="B335" s="525" t="inlineStr">
        <is>
          <t xml:space="preserve">Debt </t>
        </is>
      </c>
      <c r="E335" s="721" t="n">
        <v>821.6</v>
      </c>
      <c r="F335" s="565" t="n">
        <v>1306</v>
      </c>
      <c r="G335" s="657" t="n">
        <v>-1306</v>
      </c>
      <c r="H335" s="722" t="n">
        <v>5190.276</v>
      </c>
      <c r="I335" s="651" t="n"/>
      <c r="J335" s="530" t="n">
        <v>5190.276</v>
      </c>
    </row>
    <row r="336" ht="15" customHeight="1" s="413">
      <c r="B336" s="538" t="inlineStr">
        <is>
          <t>Total Liabilities</t>
        </is>
      </c>
      <c r="E336" s="547" t="n">
        <v>3400</v>
      </c>
      <c r="F336" s="547" t="n">
        <v>3901.8</v>
      </c>
      <c r="G336" s="651" t="n"/>
      <c r="H336" s="651" t="n"/>
      <c r="I336" s="651" t="n"/>
      <c r="J336" s="547" t="n">
        <v>7899.30338957701</v>
      </c>
    </row>
    <row r="337" ht="15" customHeight="1" s="413">
      <c r="E337" s="517" t="n"/>
      <c r="F337" s="517" t="n"/>
      <c r="G337" s="651" t="n"/>
      <c r="H337" s="651" t="n"/>
      <c r="I337" s="651" t="n"/>
    </row>
    <row r="338" ht="15" customHeight="1" s="413">
      <c r="B338" s="525" t="inlineStr">
        <is>
          <t>LBO Preferred stock</t>
        </is>
      </c>
      <c r="E338" s="723" t="inlineStr">
        <is>
          <t>NM</t>
        </is>
      </c>
      <c r="F338" s="723" t="inlineStr">
        <is>
          <t>NM</t>
        </is>
      </c>
      <c r="G338" s="651" t="n"/>
      <c r="H338" s="722" t="n">
        <v>0</v>
      </c>
      <c r="I338" s="651" t="n"/>
      <c r="J338" s="530" t="n">
        <v>0</v>
      </c>
    </row>
    <row r="339" ht="15" customHeight="1" s="413">
      <c r="B339" s="525" t="inlineStr">
        <is>
          <t>Equity</t>
        </is>
      </c>
      <c r="E339" s="565" t="n">
        <v>1445.8</v>
      </c>
      <c r="F339" s="565" t="n">
        <v>818.5</v>
      </c>
      <c r="G339" s="657" t="n">
        <v>-6876.764775</v>
      </c>
      <c r="H339" s="722" t="n">
        <v>1660.27794</v>
      </c>
      <c r="I339" s="657" t="n">
        <v>5923.42625</v>
      </c>
      <c r="J339" s="530" t="n">
        <v>1525.439415</v>
      </c>
    </row>
    <row r="340" ht="15" customHeight="1" s="413">
      <c r="B340" s="538" t="inlineStr">
        <is>
          <t>Total equity</t>
        </is>
      </c>
      <c r="E340" s="589" t="n">
        <v>1445.8</v>
      </c>
      <c r="F340" s="589" t="n">
        <v>818.5</v>
      </c>
      <c r="J340" s="547" t="n">
        <v>1525.439415</v>
      </c>
    </row>
    <row r="341" ht="15" customHeight="1" s="413">
      <c r="B341" s="551" t="inlineStr">
        <is>
          <t>Balance check</t>
        </is>
      </c>
      <c r="E341" s="582" t="n">
        <v>0</v>
      </c>
      <c r="F341" s="582" t="n">
        <v>0</v>
      </c>
      <c r="G341" s="530" t="n"/>
      <c r="H341" s="517" t="n"/>
      <c r="J341" s="582" t="n">
        <v>-1.81898940354586e-12</v>
      </c>
    </row>
    <row r="342" ht="15" customHeight="1" s="413">
      <c r="B342" s="506" t="n"/>
      <c r="D342" s="506" t="n"/>
      <c r="E342" s="582" t="n"/>
      <c r="F342" s="582" t="n"/>
      <c r="G342" s="530" t="n"/>
      <c r="H342" s="517" t="n"/>
      <c r="J342" s="582" t="n"/>
    </row>
    <row r="343" ht="15" customHeight="1" s="413">
      <c r="B343" s="502" t="inlineStr">
        <is>
          <t>PRO FORMA BALANCE SHEET</t>
        </is>
      </c>
      <c r="D343" s="560" t="n"/>
      <c r="E343" s="724" t="n"/>
      <c r="F343" s="724" t="n"/>
      <c r="G343" s="717" t="n"/>
      <c r="H343" s="584" t="n"/>
      <c r="I343" s="493" t="n"/>
      <c r="J343" s="724" t="n"/>
      <c r="K343" s="493" t="n"/>
    </row>
    <row r="344" ht="15" customHeight="1" s="413">
      <c r="B344" s="501" t="inlineStr">
        <is>
          <t xml:space="preserve">Fiscal year  </t>
        </is>
      </c>
      <c r="C344" s="725" t="n">
        <v>2022</v>
      </c>
      <c r="D344" s="592" t="n">
        <v>2023</v>
      </c>
      <c r="E344" s="592" t="n">
        <v>2024</v>
      </c>
      <c r="F344" s="592" t="n">
        <v>2025</v>
      </c>
      <c r="G344" s="593" t="n">
        <v>2026</v>
      </c>
      <c r="H344" s="593" t="n">
        <v>2027</v>
      </c>
      <c r="I344" s="593" t="n">
        <v>2028</v>
      </c>
      <c r="J344" s="593" t="n">
        <v>2029</v>
      </c>
      <c r="K344" s="593" t="n">
        <v>2029</v>
      </c>
    </row>
    <row r="345" ht="15" customHeight="1" s="413">
      <c r="B345" s="493" t="inlineStr">
        <is>
          <t>Fiscal year end date</t>
        </is>
      </c>
      <c r="C345" s="493" t="n"/>
      <c r="D345" s="595" t="n">
        <v>45291</v>
      </c>
      <c r="E345" s="595" t="n">
        <v>45657</v>
      </c>
      <c r="F345" s="595" t="n">
        <v>46022</v>
      </c>
      <c r="G345" s="595" t="n">
        <v>46387</v>
      </c>
      <c r="H345" s="595" t="n">
        <v>46752</v>
      </c>
      <c r="I345" s="595" t="n">
        <v>47118</v>
      </c>
      <c r="J345" s="595" t="n">
        <v>47483</v>
      </c>
      <c r="K345" s="595" t="n">
        <v>47483</v>
      </c>
    </row>
    <row r="346" ht="15" customHeight="1" s="413">
      <c r="B346" s="525" t="inlineStr">
        <is>
          <t>Cash</t>
        </is>
      </c>
      <c r="D346" s="530" t="n">
        <v>1635.6</v>
      </c>
      <c r="E346" s="530" t="n">
        <v>1581.9</v>
      </c>
      <c r="F346" s="530" t="n">
        <v>179.999999999999</v>
      </c>
      <c r="G346" s="597" t="n">
        <v>180</v>
      </c>
      <c r="H346" s="597" t="n">
        <v>180</v>
      </c>
      <c r="I346" s="597" t="n">
        <v>180</v>
      </c>
      <c r="J346" s="597" t="n">
        <v>180</v>
      </c>
      <c r="K346" s="597" t="n">
        <v>180</v>
      </c>
    </row>
    <row r="347" ht="15" customHeight="1" s="413">
      <c r="B347" s="525" t="inlineStr">
        <is>
          <t>Accounts receivable, EOP</t>
        </is>
      </c>
      <c r="D347" s="530" t="n">
        <v>484.8</v>
      </c>
      <c r="E347" s="530" t="n">
        <v>443.7</v>
      </c>
      <c r="F347" s="530" t="n">
        <v>443.7</v>
      </c>
      <c r="G347" s="597" t="n">
        <v>459.2295</v>
      </c>
      <c r="H347" s="597" t="n">
        <v>484.4871225</v>
      </c>
      <c r="I347" s="597" t="n">
        <v>513.5563498499999</v>
      </c>
      <c r="J347" s="597" t="n">
        <v>539.2341673425</v>
      </c>
      <c r="K347" s="597" t="n">
        <v>565.1174073749399</v>
      </c>
    </row>
    <row r="348" ht="15" customHeight="1" s="413">
      <c r="B348" s="525" t="inlineStr">
        <is>
          <t>Other current assets, EOP</t>
        </is>
      </c>
      <c r="D348" s="530" t="n">
        <v>195.1</v>
      </c>
      <c r="E348" s="530" t="n">
        <v>213.1</v>
      </c>
      <c r="F348" s="530" t="n">
        <v>213.1</v>
      </c>
      <c r="G348" s="597" t="n">
        <v>220.5585</v>
      </c>
      <c r="H348" s="597" t="n">
        <v>232.6892175</v>
      </c>
      <c r="I348" s="597" t="n">
        <v>246.65057055</v>
      </c>
      <c r="J348" s="597" t="n">
        <v>258.9830990775</v>
      </c>
      <c r="K348" s="597" t="n">
        <v>271.41428783322</v>
      </c>
    </row>
    <row r="349" ht="15" customHeight="1" s="413">
      <c r="B349" s="525" t="inlineStr">
        <is>
          <t>PP&amp;E</t>
        </is>
      </c>
      <c r="D349" s="530" t="n">
        <v>87.8</v>
      </c>
      <c r="E349" s="530" t="n">
        <v>85.2</v>
      </c>
      <c r="F349" s="530" t="n">
        <v>385.2</v>
      </c>
      <c r="G349" s="597" t="n">
        <v>343.144489795918</v>
      </c>
      <c r="H349" s="597" t="n">
        <v>303.407346938776</v>
      </c>
      <c r="I349" s="597" t="n">
        <v>266.452244897959</v>
      </c>
      <c r="J349" s="597" t="n">
        <v>233.090612244898</v>
      </c>
      <c r="K349" s="597" t="n">
        <v>203.090612244898</v>
      </c>
    </row>
    <row r="350" ht="15" customHeight="1" s="413">
      <c r="B350" s="525" t="inlineStr">
        <is>
          <t>Software development costs</t>
        </is>
      </c>
      <c r="D350" s="530" t="n">
        <v>244.7</v>
      </c>
      <c r="E350" s="530" t="n">
        <v>271.4</v>
      </c>
      <c r="F350" s="530" t="n">
        <v>271.4</v>
      </c>
      <c r="G350" s="597" t="n">
        <v>286.508641975309</v>
      </c>
      <c r="H350" s="597" t="n">
        <v>297.64475308642</v>
      </c>
      <c r="I350" s="597" t="n">
        <v>305.199074074074</v>
      </c>
      <c r="J350" s="597" t="n">
        <v>309.366975308642</v>
      </c>
      <c r="K350" s="597" t="n">
        <v>309.366975308642</v>
      </c>
    </row>
    <row r="351" ht="15" customHeight="1" s="413">
      <c r="B351" s="525" t="inlineStr">
        <is>
          <t>Intangible assets</t>
        </is>
      </c>
      <c r="D351" s="530" t="n">
        <v>257.5</v>
      </c>
      <c r="E351" s="530" t="n">
        <v>189.8</v>
      </c>
      <c r="F351" s="530" t="n">
        <v>459.489165</v>
      </c>
      <c r="G351" s="597" t="n">
        <v>436.491842916667</v>
      </c>
      <c r="H351" s="597" t="n">
        <v>413.494520833333</v>
      </c>
      <c r="I351" s="597" t="n">
        <v>390.49719875</v>
      </c>
      <c r="J351" s="597" t="n">
        <v>367.499876666667</v>
      </c>
      <c r="K351" s="597" t="n">
        <v>344.502554583333</v>
      </c>
    </row>
    <row r="352" ht="15" customHeight="1" s="413">
      <c r="B352" s="525" t="inlineStr">
        <is>
          <t>Goodwill and other assets</t>
        </is>
      </c>
      <c r="D352" s="717" t="n">
        <v>1940.3</v>
      </c>
      <c r="E352" s="717" t="n">
        <v>1935.2</v>
      </c>
      <c r="F352" s="717" t="n">
        <v>7471.853639577</v>
      </c>
      <c r="G352" s="726" t="n">
        <v>7471.853639577</v>
      </c>
      <c r="H352" s="726" t="n">
        <v>7471.853639577</v>
      </c>
      <c r="I352" s="726" t="n">
        <v>7471.853639577</v>
      </c>
      <c r="J352" s="726" t="n">
        <v>7471.853639577</v>
      </c>
      <c r="K352" s="726" t="n">
        <v>7471.853639577</v>
      </c>
    </row>
    <row r="353" ht="15" customHeight="1" s="413">
      <c r="B353" s="571" t="inlineStr">
        <is>
          <t>Total Assets</t>
        </is>
      </c>
      <c r="D353" s="547" t="n">
        <v>4845.8</v>
      </c>
      <c r="E353" s="547" t="n">
        <v>4720.3</v>
      </c>
      <c r="F353" s="547" t="n">
        <v>9424.742804576999</v>
      </c>
      <c r="G353" s="727" t="n">
        <v>9397.7866142649</v>
      </c>
      <c r="H353" s="727" t="n">
        <v>9383.57660043553</v>
      </c>
      <c r="I353" s="727" t="n">
        <v>9374.209077699041</v>
      </c>
      <c r="J353" s="727" t="n">
        <v>9360.028370217209</v>
      </c>
      <c r="K353" s="727" t="n">
        <v>9345.345476922041</v>
      </c>
    </row>
    <row r="354" ht="15" customHeight="1" s="413">
      <c r="B354" s="525" t="n"/>
      <c r="D354" s="530" t="n"/>
      <c r="E354" s="530" t="n"/>
      <c r="F354" s="530" t="n"/>
      <c r="G354" s="597" t="n"/>
      <c r="H354" s="597" t="n"/>
      <c r="I354" s="597" t="n"/>
      <c r="J354" s="597" t="n"/>
      <c r="K354" s="597" t="n"/>
    </row>
    <row r="355" ht="15" customHeight="1" s="413">
      <c r="B355" s="525" t="inlineStr">
        <is>
          <t>Accounts payable, EOP</t>
        </is>
      </c>
      <c r="D355" s="530" t="n">
        <v>32.7</v>
      </c>
      <c r="E355" s="530" t="n">
        <v>42.1</v>
      </c>
      <c r="F355" s="530" t="n">
        <v>42.1</v>
      </c>
      <c r="G355" s="597" t="n">
        <v>41.3598506882921</v>
      </c>
      <c r="H355" s="597" t="n">
        <v>42.7799258244632</v>
      </c>
      <c r="I355" s="597" t="n">
        <v>44.440721723145</v>
      </c>
      <c r="J355" s="597" t="n">
        <v>45.7114581759768</v>
      </c>
      <c r="K355" s="597" t="n">
        <v>46.9086461526987</v>
      </c>
    </row>
    <row r="356" ht="15" customHeight="1" s="413">
      <c r="B356" s="525" t="inlineStr">
        <is>
          <t>Accrued expenses &amp; def revenues, EOP</t>
        </is>
      </c>
      <c r="D356" s="530" t="n">
        <v>2313.3</v>
      </c>
      <c r="E356" s="530" t="n">
        <v>2301.7</v>
      </c>
      <c r="F356" s="530" t="n">
        <v>2301.7</v>
      </c>
      <c r="G356" s="597" t="n">
        <v>2382.2595</v>
      </c>
      <c r="H356" s="597" t="n">
        <v>2513.2837725</v>
      </c>
      <c r="I356" s="597" t="n">
        <v>2664.08079885</v>
      </c>
      <c r="J356" s="597" t="n">
        <v>2797.2848387925</v>
      </c>
      <c r="K356" s="597" t="n">
        <v>2931.55451105454</v>
      </c>
    </row>
    <row r="357" ht="15" customHeight="1" s="413">
      <c r="B357" s="525" t="inlineStr">
        <is>
          <t>Other liabilities</t>
        </is>
      </c>
      <c r="D357" s="530" t="n">
        <v>232.4</v>
      </c>
      <c r="E357" s="530" t="n">
        <v>252</v>
      </c>
      <c r="F357" s="530" t="n">
        <v>365.227389577004</v>
      </c>
      <c r="G357" s="597" t="n">
        <v>355.414349146997</v>
      </c>
      <c r="H357" s="597" t="n">
        <v>345.60130871699</v>
      </c>
      <c r="I357" s="597" t="n">
        <v>335.788268286983</v>
      </c>
      <c r="J357" s="597" t="n">
        <v>325.975227856976</v>
      </c>
      <c r="K357" s="597" t="n">
        <v>316.162187426969</v>
      </c>
    </row>
    <row r="358" ht="15" customHeight="1" s="413">
      <c r="B358" s="525" t="inlineStr">
        <is>
          <t xml:space="preserve">Debt </t>
        </is>
      </c>
      <c r="D358" s="530" t="n">
        <v>821.6</v>
      </c>
      <c r="E358" s="530" t="n">
        <v>1306</v>
      </c>
      <c r="F358" s="530" t="n">
        <v>5190.276</v>
      </c>
      <c r="G358" s="597" t="n">
        <v>4779.3538388352</v>
      </c>
      <c r="H358" s="597" t="n">
        <v>4260.14190032703</v>
      </c>
      <c r="I358" s="597" t="n">
        <v>3651.40298317001</v>
      </c>
      <c r="J358" s="597" t="n">
        <v>2978.25496182255</v>
      </c>
      <c r="K358" s="597" t="n">
        <v>2213.67273109112</v>
      </c>
    </row>
    <row r="359" ht="15" customHeight="1" s="413">
      <c r="B359" s="525" t="inlineStr">
        <is>
          <t>Total Liabilities</t>
        </is>
      </c>
      <c r="D359" s="547" t="n">
        <v>3400</v>
      </c>
      <c r="E359" s="547" t="n">
        <v>3901.8</v>
      </c>
      <c r="F359" s="547" t="n">
        <v>7899.30338957701</v>
      </c>
      <c r="G359" s="727" t="n">
        <v>7558.38753867049</v>
      </c>
      <c r="H359" s="727" t="n">
        <v>7161.80690736848</v>
      </c>
      <c r="I359" s="727" t="n">
        <v>6695.71277203014</v>
      </c>
      <c r="J359" s="727" t="n">
        <v>6147.226486648</v>
      </c>
      <c r="K359" s="727" t="n">
        <v>5508.29807572532</v>
      </c>
    </row>
    <row r="360" ht="15" customHeight="1" s="413">
      <c r="B360" s="525" t="n"/>
      <c r="D360" s="530" t="n"/>
      <c r="E360" s="530" t="n"/>
      <c r="F360" s="530" t="n"/>
      <c r="G360" s="597" t="n"/>
      <c r="H360" s="597" t="n"/>
      <c r="I360" s="597" t="n"/>
      <c r="J360" s="597" t="n"/>
      <c r="K360" s="597" t="n"/>
    </row>
    <row r="361" ht="15" customHeight="1" s="413">
      <c r="B361" s="525" t="inlineStr">
        <is>
          <t>LBO Preferred stock</t>
        </is>
      </c>
      <c r="D361" s="728" t="inlineStr">
        <is>
          <t>NM</t>
        </is>
      </c>
      <c r="E361" s="728" t="inlineStr">
        <is>
          <t>NM</t>
        </is>
      </c>
      <c r="F361" s="530" t="n">
        <v>0</v>
      </c>
      <c r="G361" s="597" t="n">
        <v>0</v>
      </c>
      <c r="H361" s="597" t="n">
        <v>0</v>
      </c>
      <c r="I361" s="597" t="n">
        <v>0</v>
      </c>
      <c r="J361" s="597" t="n">
        <v>0</v>
      </c>
      <c r="K361" s="597" t="n">
        <v>0</v>
      </c>
    </row>
    <row r="362" ht="15" customHeight="1" s="413">
      <c r="B362" s="525" t="inlineStr">
        <is>
          <t>Equity</t>
        </is>
      </c>
      <c r="D362" s="728" t="n">
        <v>1445.8</v>
      </c>
      <c r="E362" s="728" t="n">
        <v>818.5</v>
      </c>
      <c r="F362" s="530" t="n">
        <v>1525.439415</v>
      </c>
      <c r="G362" s="597" t="n">
        <v>1839.39907559441</v>
      </c>
      <c r="H362" s="597" t="n">
        <v>2221.76969306705</v>
      </c>
      <c r="I362" s="597" t="n">
        <v>2678.4963056689</v>
      </c>
      <c r="J362" s="597" t="n">
        <v>3212.80188356921</v>
      </c>
      <c r="K362" s="597" t="n">
        <v>3837.04740119671</v>
      </c>
    </row>
    <row r="363" ht="15" customHeight="1" s="413">
      <c r="B363" s="525" t="inlineStr">
        <is>
          <t>Total equity</t>
        </is>
      </c>
      <c r="D363" s="547" t="n">
        <v>1445.8</v>
      </c>
      <c r="E363" s="547" t="n">
        <v>818.5</v>
      </c>
      <c r="F363" s="547" t="n">
        <v>1525.439415</v>
      </c>
      <c r="G363" s="547" t="n">
        <v>1839.39907559441</v>
      </c>
      <c r="H363" s="547" t="n">
        <v>2221.76969306705</v>
      </c>
      <c r="I363" s="547" t="n">
        <v>2678.4963056689</v>
      </c>
      <c r="J363" s="547" t="n">
        <v>3212.80188356921</v>
      </c>
      <c r="K363" s="547" t="n">
        <v>3837.04740119671</v>
      </c>
    </row>
    <row r="364" ht="15" customHeight="1" s="413">
      <c r="B364" s="525" t="inlineStr">
        <is>
          <t>Balance check</t>
        </is>
      </c>
      <c r="D364" s="530" t="n">
        <v>0</v>
      </c>
      <c r="E364" s="530" t="n">
        <v>0</v>
      </c>
      <c r="F364" s="530" t="n">
        <v>-1.81898940354586e-12</v>
      </c>
      <c r="G364" s="530" t="n">
        <v>0</v>
      </c>
      <c r="H364" s="530" t="n">
        <v>0</v>
      </c>
      <c r="I364" s="530" t="n">
        <v>0</v>
      </c>
      <c r="J364" s="530" t="n">
        <v>0</v>
      </c>
      <c r="K364" s="530" t="n">
        <v>0</v>
      </c>
    </row>
    <row r="365" ht="15" customHeight="1" s="413">
      <c r="G365" s="530" t="n"/>
      <c r="H365" s="530" t="n"/>
      <c r="I365" s="530" t="n"/>
      <c r="J365" s="530" t="n"/>
    </row>
    <row r="366" ht="15" customHeight="1" s="413">
      <c r="B366" s="538" t="inlineStr">
        <is>
          <t>Equity, BOP</t>
        </is>
      </c>
      <c r="C366" s="538" t="n"/>
      <c r="D366" s="538" t="n"/>
      <c r="E366" s="538" t="n"/>
      <c r="F366" s="538" t="n"/>
      <c r="G366" s="547" t="n">
        <v>1525.439415</v>
      </c>
      <c r="H366" s="547" t="n">
        <v>1839.39907559441</v>
      </c>
      <c r="I366" s="547" t="n">
        <v>2221.76969306705</v>
      </c>
      <c r="J366" s="547" t="n">
        <v>2678.4963056689</v>
      </c>
      <c r="K366" s="547" t="n">
        <v>3212.80188356921</v>
      </c>
    </row>
    <row r="367" ht="15" customHeight="1" s="413">
      <c r="B367" s="525" t="inlineStr">
        <is>
          <t>Plus: Net income</t>
        </is>
      </c>
      <c r="G367" s="530" t="n">
        <v>152.904923766934</v>
      </c>
      <c r="H367" s="530" t="n">
        <v>220.28852630748</v>
      </c>
      <c r="I367" s="530" t="n">
        <v>293.02899231211</v>
      </c>
      <c r="J367" s="530" t="n">
        <v>370.73728858424</v>
      </c>
      <c r="K367" s="530" t="n">
        <v>461.328959013038</v>
      </c>
    </row>
    <row r="368" ht="15" customHeight="1" s="413">
      <c r="B368" s="525" t="inlineStr">
        <is>
          <t>Less: Dividends</t>
        </is>
      </c>
      <c r="G368" s="530" t="n">
        <v>0</v>
      </c>
      <c r="H368" s="530" t="n">
        <v>0</v>
      </c>
      <c r="I368" s="530" t="n">
        <v>0</v>
      </c>
      <c r="J368" s="530" t="n">
        <v>0</v>
      </c>
      <c r="K368" s="530" t="n">
        <v>0</v>
      </c>
    </row>
    <row r="369" ht="15" customHeight="1" s="413">
      <c r="B369" s="525" t="inlineStr">
        <is>
          <t>Plus: SBC</t>
        </is>
      </c>
      <c r="G369" s="530" t="n">
        <v>161.054736827472</v>
      </c>
      <c r="H369" s="530" t="n">
        <v>162.082091165166</v>
      </c>
      <c r="I369" s="530" t="n">
        <v>163.697620289742</v>
      </c>
      <c r="J369" s="530" t="n">
        <v>163.56828931607</v>
      </c>
      <c r="K369" s="530" t="n">
        <v>162.916558614463</v>
      </c>
    </row>
    <row r="370" ht="15" customHeight="1" s="413">
      <c r="B370" s="571" t="inlineStr">
        <is>
          <t>Equity, EOP</t>
        </is>
      </c>
      <c r="C370" s="538" t="n"/>
      <c r="D370" s="538" t="n"/>
      <c r="E370" s="538" t="n"/>
      <c r="F370" s="538" t="n"/>
      <c r="G370" s="547" t="n">
        <v>1839.39907559441</v>
      </c>
      <c r="H370" s="547" t="n">
        <v>2221.76969306705</v>
      </c>
      <c r="I370" s="547" t="n">
        <v>2678.4963056689</v>
      </c>
      <c r="J370" s="547" t="n">
        <v>3212.80188356921</v>
      </c>
      <c r="K370" s="547" t="n">
        <v>3837.04740119671</v>
      </c>
    </row>
    <row r="372" ht="15" customHeight="1" s="413">
      <c r="B372" s="576" t="inlineStr">
        <is>
          <t>Purchase price allocation</t>
        </is>
      </c>
      <c r="C372" s="493" t="n"/>
      <c r="D372" s="493" t="n"/>
      <c r="E372" s="493" t="n"/>
      <c r="F372" s="493" t="n"/>
      <c r="G372" s="493" t="n"/>
      <c r="H372" s="493" t="n"/>
      <c r="I372" s="493" t="n"/>
      <c r="J372" s="493" t="n"/>
      <c r="K372" s="493" t="n"/>
    </row>
    <row r="373" ht="15" customHeight="1" s="413">
      <c r="B373" s="573" t="n"/>
    </row>
    <row r="374" ht="15" customHeight="1" s="413">
      <c r="B374" s="573" t="inlineStr">
        <is>
          <t>Select a tax type:</t>
        </is>
      </c>
      <c r="C374" s="729" t="inlineStr">
        <is>
          <t>Stock sale</t>
        </is>
      </c>
    </row>
    <row r="375" ht="15" customHeight="1" s="413">
      <c r="B375" s="573" t="inlineStr">
        <is>
          <t>Select an accounting type:</t>
        </is>
      </c>
      <c r="C375" s="729" t="inlineStr">
        <is>
          <t>LBO</t>
        </is>
      </c>
    </row>
    <row r="377" ht="15.75" customHeight="1" s="413">
      <c r="B377" s="730" t="inlineStr">
        <is>
          <t>Purchase price allocation</t>
        </is>
      </c>
      <c r="C377" s="731" t="n"/>
      <c r="E377" s="727" t="n"/>
    </row>
    <row r="378" ht="15" customHeight="1" s="413">
      <c r="B378" s="573" t="inlineStr">
        <is>
          <t>Book value of equity</t>
        </is>
      </c>
      <c r="C378" s="530" t="n">
        <v>818.5</v>
      </c>
      <c r="D378" s="540" t="inlineStr">
        <is>
          <t>Input write-up</t>
        </is>
      </c>
      <c r="E378" s="540" t="inlineStr">
        <is>
          <t>Useful life</t>
        </is>
      </c>
      <c r="G378" s="517" t="n"/>
    </row>
    <row r="379" ht="15" customHeight="1" s="413">
      <c r="B379" s="525" t="inlineStr">
        <is>
          <t>PP&amp;E write up</t>
        </is>
      </c>
      <c r="C379" s="732" t="n">
        <v>300</v>
      </c>
      <c r="D379" s="733" t="n">
        <v>300</v>
      </c>
      <c r="E379" s="734" t="n">
        <v>10</v>
      </c>
    </row>
    <row r="380" ht="15" customHeight="1" s="413">
      <c r="B380" s="525" t="inlineStr">
        <is>
          <t>Intangible asset write up</t>
        </is>
      </c>
      <c r="C380" s="735" t="n">
        <v>200</v>
      </c>
      <c r="D380" s="733" t="n">
        <v>200</v>
      </c>
      <c r="E380" s="734" t="n">
        <v>15</v>
      </c>
    </row>
    <row r="381" ht="15" customHeight="1" s="413">
      <c r="B381" s="525" t="inlineStr">
        <is>
          <t>Total write-ups</t>
        </is>
      </c>
      <c r="C381" s="597" t="n">
        <v>500</v>
      </c>
      <c r="E381" s="736" t="n"/>
    </row>
    <row r="382" ht="15" customHeight="1" s="413">
      <c r="B382" s="525" t="inlineStr">
        <is>
          <t xml:space="preserve">DTLs created </t>
        </is>
      </c>
      <c r="C382" s="603" t="n">
        <v>113.227389577004</v>
      </c>
    </row>
    <row r="383" ht="15" customHeight="1" s="413">
      <c r="B383" s="412" t="inlineStr">
        <is>
          <t>Fari market value</t>
        </is>
      </c>
      <c r="C383" s="530" t="n">
        <v>1205.272610423</v>
      </c>
    </row>
    <row r="385" ht="15" customHeight="1" s="413">
      <c r="B385" s="538" t="inlineStr">
        <is>
          <t>Purchase price (GTM offer equity)</t>
        </is>
      </c>
      <c r="C385" s="521">
        <f>H17</f>
        <v/>
      </c>
    </row>
    <row r="386" ht="15" customHeight="1" s="413">
      <c r="B386" s="412" t="inlineStr">
        <is>
          <t>Goodwill</t>
        </is>
      </c>
      <c r="C386" s="524">
        <f>C385-C383</f>
        <v/>
      </c>
    </row>
    <row r="388" ht="15" customHeight="1" s="413">
      <c r="B388" s="502" t="inlineStr">
        <is>
          <t xml:space="preserve">Deal related GAAP accounting adjustments </t>
        </is>
      </c>
      <c r="C388" s="493" t="n"/>
      <c r="D388" s="493" t="n"/>
      <c r="E388" s="493" t="n"/>
      <c r="F388" s="493" t="n"/>
      <c r="G388" s="493" t="n"/>
      <c r="H388" s="493" t="n"/>
      <c r="I388" s="493" t="n"/>
      <c r="J388" s="493" t="n"/>
      <c r="K388" s="493" t="n"/>
    </row>
    <row r="389" ht="15" customHeight="1" s="413">
      <c r="G389" s="538" t="n">
        <v>2025</v>
      </c>
      <c r="H389" s="538" t="n">
        <v>2026</v>
      </c>
      <c r="I389" s="538" t="n">
        <v>2027</v>
      </c>
      <c r="J389" s="538" t="n">
        <v>2028</v>
      </c>
      <c r="K389" s="538" t="n">
        <v>2029</v>
      </c>
    </row>
    <row r="390" ht="15" customHeight="1" s="413">
      <c r="B390" s="493" t="n"/>
      <c r="C390" s="493" t="n"/>
      <c r="D390" s="493" t="n"/>
      <c r="E390" s="493" t="n"/>
      <c r="F390" s="493" t="n"/>
      <c r="G390" s="715" t="n">
        <v>46022</v>
      </c>
      <c r="H390" s="715" t="n">
        <v>46387</v>
      </c>
      <c r="I390" s="715" t="n">
        <v>46752</v>
      </c>
      <c r="J390" s="715" t="n">
        <v>47118</v>
      </c>
      <c r="K390" s="715" t="n">
        <v>47483</v>
      </c>
    </row>
    <row r="391" ht="15" customHeight="1" s="413">
      <c r="B391" s="412" t="inlineStr">
        <is>
          <t>PP&amp;E</t>
        </is>
      </c>
      <c r="D391" s="737" t="inlineStr">
        <is>
          <t>Incremental dep:</t>
        </is>
      </c>
      <c r="E391" s="738" t="n">
        <v>30</v>
      </c>
      <c r="G391" s="530" t="n">
        <v>270</v>
      </c>
      <c r="H391" s="530" t="n">
        <v>240</v>
      </c>
      <c r="I391" s="530" t="n">
        <v>210</v>
      </c>
      <c r="J391" s="530" t="n">
        <v>180</v>
      </c>
      <c r="K391" s="530" t="n">
        <v>150</v>
      </c>
    </row>
    <row r="392" ht="15" customHeight="1" s="413">
      <c r="B392" s="412" t="inlineStr">
        <is>
          <t>Intangible assets</t>
        </is>
      </c>
      <c r="D392" s="737" t="inlineStr">
        <is>
          <t>Incremental amort:</t>
        </is>
      </c>
      <c r="E392" s="738" t="n">
        <v>13.3333333333333</v>
      </c>
      <c r="G392" s="530" t="n">
        <v>186.666666666667</v>
      </c>
      <c r="H392" s="530" t="n">
        <v>173.333333333333</v>
      </c>
      <c r="I392" s="530" t="n">
        <v>160</v>
      </c>
      <c r="J392" s="530" t="n">
        <v>146.666666666667</v>
      </c>
      <c r="K392" s="530" t="n">
        <v>133.333333333333</v>
      </c>
    </row>
    <row r="393" ht="15" customHeight="1" s="413">
      <c r="B393" s="412" t="inlineStr">
        <is>
          <t>Deferred tax liabilities</t>
        </is>
      </c>
      <c r="D393" s="737" t="inlineStr">
        <is>
          <t>Annual reduction:</t>
        </is>
      </c>
      <c r="E393" s="739" t="n">
        <v>9.81304043000701</v>
      </c>
      <c r="G393" s="530" t="n">
        <v>103.414349146997</v>
      </c>
      <c r="H393" s="530" t="n">
        <v>93.60130871698991</v>
      </c>
      <c r="I393" s="530" t="n">
        <v>83.7882682869829</v>
      </c>
      <c r="J393" s="530" t="n">
        <v>73.97522785697591</v>
      </c>
      <c r="K393" s="530" t="n">
        <v>64.1621874269689</v>
      </c>
    </row>
  </sheetData>
  <mergeCells count="11">
    <mergeCell ref="F302:J302"/>
    <mergeCell ref="G321:I321"/>
    <mergeCell ref="D291:J291"/>
    <mergeCell ref="D290:J290"/>
    <mergeCell ref="D300:J300"/>
    <mergeCell ref="D310:J310"/>
    <mergeCell ref="F292:J292"/>
    <mergeCell ref="F311:J311"/>
    <mergeCell ref="F216:J216"/>
    <mergeCell ref="D301:J301"/>
    <mergeCell ref="E280:J28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B2:L1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73" customWidth="1" style="412" min="1" max="1"/>
    <col width="40.27" customWidth="1" style="412" min="2" max="2"/>
    <col width="12.18" customWidth="1" style="412" min="3" max="3"/>
    <col width="11.18" customWidth="1" style="412" min="4" max="4"/>
    <col width="10.18" customWidth="1" style="412" min="5" max="5"/>
    <col width="11" customWidth="1" style="412" min="8" max="8"/>
    <col width="12.18" customWidth="1" style="412" min="11" max="11"/>
    <col width="9.18" customWidth="1" style="412" min="12" max="12"/>
  </cols>
  <sheetData>
    <row r="1" ht="15.75" customHeight="1" s="413"/>
    <row r="2" ht="27" customHeight="1" s="413">
      <c r="B2" s="497" t="inlineStr">
        <is>
          <t>Discounted Cash Flow Model for ZoomInfo (GTM)</t>
        </is>
      </c>
      <c r="C2" s="498" t="n"/>
      <c r="D2" s="498" t="n"/>
      <c r="E2" s="498" t="n"/>
      <c r="F2" s="498" t="n"/>
      <c r="G2" s="498" t="n"/>
      <c r="H2" s="498" t="n"/>
      <c r="I2" s="498" t="n"/>
      <c r="J2" s="498" t="n"/>
    </row>
    <row r="3" ht="15" customHeight="1" s="413">
      <c r="B3" s="740" t="inlineStr">
        <is>
          <t>Point of this DCF: present-value check of GTM stand-alone worth vs the LBO offer. Discount AI_Operating unlevered FCF + terminal value at WACC → EV → equity → $/share; compare to LBO!H20.</t>
        </is>
      </c>
    </row>
    <row r="4" ht="15" customHeight="1" s="413">
      <c r="B4" s="740" t="inlineStr">
        <is>
          <t>Yes — rows PV of UFCF / PV of TV / Enterprise value are present values. Not a hold-to-exit LBO IRR; that lives on Strategy_Summary / Debt_Sweep_AI.</t>
        </is>
      </c>
    </row>
    <row r="5" ht="15.75" customHeight="1" s="413">
      <c r="B5" s="741" t="inlineStr">
        <is>
          <t>General assumptions</t>
        </is>
      </c>
      <c r="C5" s="742" t="n"/>
    </row>
    <row r="6" ht="15" customHeight="1" s="413">
      <c r="B6" s="412" t="inlineStr">
        <is>
          <t>Share price as of last close</t>
        </is>
      </c>
      <c r="C6" s="743">
        <f>LBO!D8</f>
        <v/>
      </c>
      <c r="K6" s="518" t="n">
        <v>4.05</v>
      </c>
      <c r="L6" s="412" t="inlineStr">
        <is>
          <t>cached</t>
        </is>
      </c>
    </row>
    <row r="7" ht="15" customHeight="1" s="413">
      <c r="B7" s="740" t="inlineStr">
        <is>
          <t>Latest closing share price date</t>
        </is>
      </c>
      <c r="C7" s="744">
        <f>LBO!D9</f>
        <v/>
      </c>
    </row>
    <row r="8" ht="15" customHeight="1" s="413">
      <c r="B8" s="740" t="inlineStr">
        <is>
          <t>Diluted shares outstanding (mm)</t>
        </is>
      </c>
      <c r="C8" s="745">
        <f>Shares!E14</f>
        <v/>
      </c>
      <c r="K8" s="682" t="n">
        <v>307.294</v>
      </c>
    </row>
    <row r="9" ht="15" customHeight="1" s="413">
      <c r="B9" s="740" t="inlineStr">
        <is>
          <t>Weighted average cost of capital</t>
        </is>
      </c>
      <c r="C9" s="601">
        <f>C59</f>
        <v/>
      </c>
      <c r="K9" s="746" t="n">
        <v>0.09290152684082099</v>
      </c>
    </row>
    <row r="11" ht="15.75" customHeight="1" s="413">
      <c r="B11" s="747" t="inlineStr">
        <is>
          <t>Free cash flow buildup</t>
        </is>
      </c>
      <c r="C11" s="742" t="n"/>
      <c r="D11" s="742" t="n"/>
      <c r="E11" s="742" t="n"/>
      <c r="F11" s="742" t="n"/>
      <c r="G11" s="742" t="n"/>
      <c r="H11" s="742" t="n"/>
      <c r="I11" s="742" t="n"/>
      <c r="J11" s="742" t="n"/>
    </row>
    <row r="12" ht="15" customHeight="1" s="413">
      <c r="B12" s="412" t="inlineStr">
        <is>
          <t>Fiscal year</t>
        </is>
      </c>
      <c r="C12" s="557" t="n">
        <v>2024</v>
      </c>
      <c r="D12" s="557" t="n">
        <v>2025</v>
      </c>
      <c r="E12" s="557" t="n">
        <v>2026</v>
      </c>
      <c r="F12" s="559" t="n">
        <v>2027</v>
      </c>
      <c r="G12" s="559" t="n">
        <v>2028</v>
      </c>
      <c r="H12" s="559" t="n">
        <v>2029</v>
      </c>
      <c r="I12" s="559" t="n"/>
      <c r="J12" s="559" t="n"/>
    </row>
    <row r="13" ht="15" customHeight="1" s="413">
      <c r="B13" s="560" t="inlineStr">
        <is>
          <t>Fiscal year end date</t>
        </is>
      </c>
      <c r="C13" s="595" t="n">
        <v>45657</v>
      </c>
      <c r="D13" s="595" t="n">
        <v>46022</v>
      </c>
      <c r="E13" s="595" t="n">
        <v>46387</v>
      </c>
      <c r="F13" s="595" t="n">
        <v>46752</v>
      </c>
      <c r="G13" s="595" t="n">
        <v>47118</v>
      </c>
      <c r="H13" s="595" t="n">
        <v>47483</v>
      </c>
      <c r="I13" s="594" t="n"/>
      <c r="J13" s="594" t="n"/>
    </row>
    <row r="14" ht="15" customHeight="1" s="413">
      <c r="B14" s="748" t="n"/>
      <c r="F14" s="531" t="n"/>
      <c r="G14" s="531" t="n"/>
      <c r="H14" s="531" t="n"/>
      <c r="I14" s="531" t="n"/>
      <c r="J14" s="531" t="n"/>
    </row>
    <row r="15" ht="15" customHeight="1" s="413">
      <c r="B15" s="412" t="inlineStr">
        <is>
          <t>EBITDA</t>
        </is>
      </c>
      <c r="C15" s="749">
        <f>AI_Operating!C13</f>
        <v/>
      </c>
      <c r="D15" s="749">
        <f>AI_Operating!D13</f>
        <v/>
      </c>
      <c r="E15" s="749">
        <f>AI_Operating!E13</f>
        <v/>
      </c>
      <c r="F15" s="749">
        <f>AI_Operating!F13</f>
        <v/>
      </c>
      <c r="G15" s="749">
        <f>AI_Operating!G13</f>
        <v/>
      </c>
      <c r="H15" s="749">
        <f>AI_Operating!H13</f>
        <v/>
      </c>
      <c r="I15" s="569" t="n"/>
      <c r="J15" s="569" t="n"/>
    </row>
    <row r="16" ht="15" customHeight="1" s="413">
      <c r="B16" s="412" t="inlineStr">
        <is>
          <t>EBIT</t>
        </is>
      </c>
      <c r="C16" s="749">
        <f>AI_Operating!C16</f>
        <v/>
      </c>
      <c r="D16" s="749">
        <f>AI_Operating!D16</f>
        <v/>
      </c>
      <c r="E16" s="749">
        <f>AI_Operating!E16</f>
        <v/>
      </c>
      <c r="F16" s="749">
        <f>AI_Operating!F16</f>
        <v/>
      </c>
      <c r="G16" s="749">
        <f>AI_Operating!G16</f>
        <v/>
      </c>
      <c r="H16" s="749">
        <f>AI_Operating!H16</f>
        <v/>
      </c>
      <c r="I16" s="569" t="n"/>
      <c r="J16" s="569" t="n"/>
    </row>
    <row r="17" ht="15" customHeight="1" s="413">
      <c r="B17" s="412" t="inlineStr">
        <is>
          <t>Tax rate</t>
        </is>
      </c>
      <c r="C17" s="750">
        <f>Assumptions_Drivers!$C$19</f>
        <v/>
      </c>
      <c r="D17" s="750">
        <f>Assumptions_Drivers!$C$19</f>
        <v/>
      </c>
      <c r="E17" s="750">
        <f>Assumptions_Drivers!$C$19</f>
        <v/>
      </c>
      <c r="F17" s="750">
        <f>Assumptions_Drivers!$C$19</f>
        <v/>
      </c>
      <c r="G17" s="750">
        <f>Assumptions_Drivers!$C$19</f>
        <v/>
      </c>
      <c r="H17" s="750">
        <f>Assumptions_Drivers!$C$19</f>
        <v/>
      </c>
      <c r="I17" s="751" t="n"/>
      <c r="J17" s="751" t="n"/>
    </row>
    <row r="18" ht="15" customHeight="1" s="413">
      <c r="B18" s="538" t="inlineStr">
        <is>
          <t>EBIAT (NOPAT)</t>
        </is>
      </c>
      <c r="C18" s="570">
        <f>C16*(1-C17)</f>
        <v/>
      </c>
      <c r="D18" s="570">
        <f>D16*(1-D17)</f>
        <v/>
      </c>
      <c r="E18" s="570">
        <f>E16*(1-E17)</f>
        <v/>
      </c>
      <c r="F18" s="570">
        <f>F16*(1-F17)</f>
        <v/>
      </c>
      <c r="G18" s="570">
        <f>G16*(1-G17)</f>
        <v/>
      </c>
      <c r="H18" s="570">
        <f>H16*(1-H17)</f>
        <v/>
      </c>
      <c r="I18" s="655" t="n"/>
      <c r="J18" s="655" t="n"/>
    </row>
    <row r="19" ht="15" customHeight="1" s="413">
      <c r="B19" s="538" t="n"/>
    </row>
    <row r="20" ht="15" customHeight="1" s="413">
      <c r="B20" s="573" t="inlineStr">
        <is>
          <t>Depreciation and amortization</t>
        </is>
      </c>
      <c r="D20" s="524">
        <f>AI_Operating!D15</f>
        <v/>
      </c>
      <c r="E20" s="524">
        <f>AI_Operating!E15</f>
        <v/>
      </c>
      <c r="F20" s="749">
        <f>AI_Operating!F15</f>
        <v/>
      </c>
      <c r="G20" s="749">
        <f>AI_Operating!G15</f>
        <v/>
      </c>
      <c r="H20" s="749">
        <f>AI_Operating!H15</f>
        <v/>
      </c>
      <c r="I20" s="569" t="n"/>
      <c r="J20" s="569" t="n"/>
    </row>
    <row r="21" ht="15" customHeight="1" s="413">
      <c r="B21" s="573" t="inlineStr">
        <is>
          <t>Stock based compensation</t>
        </is>
      </c>
      <c r="D21" s="524" t="n">
        <v>0</v>
      </c>
      <c r="E21" s="524" t="n">
        <v>0</v>
      </c>
      <c r="F21" s="749" t="n">
        <v>0</v>
      </c>
      <c r="G21" s="749" t="n">
        <v>0</v>
      </c>
      <c r="H21" s="749" t="n">
        <v>0</v>
      </c>
      <c r="I21" s="569" t="n"/>
      <c r="J21" s="569" t="n"/>
    </row>
    <row r="22" ht="15" customHeight="1" s="413">
      <c r="B22" s="412" t="inlineStr">
        <is>
          <t>Changes in net working capital</t>
        </is>
      </c>
      <c r="D22" s="524">
        <f>AI_Operating!D20</f>
        <v/>
      </c>
      <c r="E22" s="524">
        <f>AI_Operating!E20</f>
        <v/>
      </c>
      <c r="F22" s="749">
        <f>AI_Operating!F20</f>
        <v/>
      </c>
      <c r="G22" s="749">
        <f>AI_Operating!G20</f>
        <v/>
      </c>
      <c r="H22" s="749">
        <f>AI_Operating!H20</f>
        <v/>
      </c>
      <c r="I22" s="569" t="n"/>
      <c r="J22" s="569" t="n"/>
    </row>
    <row r="23" ht="15" customHeight="1" s="413">
      <c r="B23" s="412" t="inlineStr">
        <is>
          <t>Other assets &amp; liabilities</t>
        </is>
      </c>
      <c r="D23" s="524" t="n">
        <v>0</v>
      </c>
      <c r="E23" s="524" t="n">
        <v>0</v>
      </c>
      <c r="F23" s="749" t="n">
        <v>0</v>
      </c>
      <c r="G23" s="749" t="n">
        <v>0</v>
      </c>
      <c r="H23" s="749" t="n">
        <v>0</v>
      </c>
      <c r="I23" s="569" t="n"/>
      <c r="J23" s="569" t="n"/>
    </row>
    <row r="24" ht="15" customHeight="1" s="413">
      <c r="B24" s="538" t="inlineStr">
        <is>
          <t>Unlevered CFO</t>
        </is>
      </c>
      <c r="D24" s="524">
        <f>D18+D20+D21-D22+D23</f>
        <v/>
      </c>
      <c r="E24" s="524">
        <f>E18+E20+E21-E22+E23</f>
        <v/>
      </c>
      <c r="F24" s="521">
        <f>F18+F20+F21-F22+F23</f>
        <v/>
      </c>
      <c r="G24" s="521">
        <f>G18+G20+G21-G22+G23</f>
        <v/>
      </c>
      <c r="H24" s="521">
        <f>H18+H20+H21-H22+H23</f>
        <v/>
      </c>
      <c r="I24" s="589" t="n"/>
      <c r="J24" s="589" t="n"/>
    </row>
    <row r="25" ht="15" customHeight="1" s="413">
      <c r="B25" s="525" t="inlineStr">
        <is>
          <t>Less: Capital expenditures</t>
        </is>
      </c>
      <c r="D25" s="524">
        <f>-AI_Operating!D19</f>
        <v/>
      </c>
      <c r="E25" s="524">
        <f>-AI_Operating!E19</f>
        <v/>
      </c>
      <c r="F25" s="749">
        <f>-AI_Operating!F19</f>
        <v/>
      </c>
      <c r="G25" s="749">
        <f>-AI_Operating!G19</f>
        <v/>
      </c>
      <c r="H25" s="749">
        <f>-AI_Operating!H19</f>
        <v/>
      </c>
      <c r="I25" s="569" t="n"/>
      <c r="J25" s="569" t="n"/>
    </row>
    <row r="26" ht="15" customHeight="1" s="413">
      <c r="B26" s="525" t="inlineStr">
        <is>
          <t>Less: Purchases of intangible assets</t>
        </is>
      </c>
      <c r="D26" s="524" t="n">
        <v>0</v>
      </c>
      <c r="E26" s="524" t="n">
        <v>0</v>
      </c>
      <c r="F26" s="749" t="n">
        <v>0</v>
      </c>
      <c r="G26" s="749" t="n">
        <v>0</v>
      </c>
      <c r="H26" s="749" t="n">
        <v>0</v>
      </c>
      <c r="I26" s="569" t="n"/>
      <c r="J26" s="569" t="n"/>
    </row>
    <row r="27" ht="15" customHeight="1" s="413">
      <c r="B27" s="752" t="inlineStr">
        <is>
          <t>Unlevered FCF</t>
        </is>
      </c>
      <c r="D27" s="753">
        <f>D24+D25+D26</f>
        <v/>
      </c>
      <c r="E27" s="753">
        <f>E24+E25+E26</f>
        <v/>
      </c>
      <c r="F27" s="753">
        <f>F24+F25+F26</f>
        <v/>
      </c>
      <c r="G27" s="753">
        <f>G24+G25+G26</f>
        <v/>
      </c>
      <c r="H27" s="753">
        <f>H24+H25+H26</f>
        <v/>
      </c>
      <c r="I27" s="589" t="n"/>
      <c r="J27" s="589" t="n"/>
    </row>
    <row r="28" ht="15" customHeight="1" s="413">
      <c r="B28" s="551" t="inlineStr">
        <is>
          <t>% growth</t>
        </is>
      </c>
      <c r="E28" s="754">
        <f>IF(D27=0,0,E27/D27-1)</f>
        <v/>
      </c>
      <c r="F28" s="754">
        <f>IF(E27=0,0,F27/E27-1)</f>
        <v/>
      </c>
      <c r="G28" s="754">
        <f>IF(F27=0,0,G27/F27-1)</f>
        <v/>
      </c>
      <c r="H28" s="754">
        <f>IF(G27=0,0,H27/G27-1)</f>
        <v/>
      </c>
      <c r="I28" s="531" t="n"/>
      <c r="J28" s="531" t="n"/>
    </row>
    <row r="29" ht="15" customHeight="1" s="413">
      <c r="B29" s="551" t="n"/>
      <c r="G29" s="531" t="n"/>
      <c r="H29" s="531" t="n"/>
      <c r="I29" s="531" t="n"/>
      <c r="J29" s="531" t="n"/>
    </row>
    <row r="30" ht="15" customHeight="1" s="413">
      <c r="B30" s="573" t="inlineStr">
        <is>
          <t>Discount period (years, mid-year)</t>
        </is>
      </c>
      <c r="D30" s="755" t="n">
        <v>0.5</v>
      </c>
      <c r="E30" s="755" t="n">
        <v>1.5</v>
      </c>
      <c r="F30" s="755" t="n">
        <v>2.5</v>
      </c>
      <c r="G30" s="755" t="n">
        <v>3.5</v>
      </c>
      <c r="H30" s="755" t="n">
        <v>4.5</v>
      </c>
      <c r="I30" s="537" t="n"/>
      <c r="J30" s="537" t="n"/>
    </row>
    <row r="31" ht="15" customHeight="1" s="413">
      <c r="B31" s="412" t="inlineStr">
        <is>
          <t>Assume cash flows are generated at:</t>
        </is>
      </c>
      <c r="C31" s="756" t="inlineStr">
        <is>
          <t>Middle of period</t>
        </is>
      </c>
      <c r="G31" s="537" t="n"/>
      <c r="H31" s="537" t="n"/>
      <c r="I31" s="537" t="n"/>
      <c r="J31" s="537" t="n"/>
    </row>
    <row r="32" ht="15" customHeight="1" s="413">
      <c r="B32" s="412" t="inlineStr">
        <is>
          <t>Midperiod adjustment factor</t>
        </is>
      </c>
      <c r="C32" s="757">
        <f>(1+$C$9)^0.5</f>
        <v/>
      </c>
    </row>
    <row r="33" ht="15" customHeight="1" s="413">
      <c r="B33" s="573" t="inlineStr">
        <is>
          <t>Present value of Unlevered FCF</t>
        </is>
      </c>
      <c r="D33" s="524">
        <f>D27/(1+$C$9)^D30</f>
        <v/>
      </c>
      <c r="E33" s="524">
        <f>E27/(1+$C$9)^E30</f>
        <v/>
      </c>
      <c r="F33" s="758">
        <f>F27/(1+$C$9)^F30</f>
        <v/>
      </c>
      <c r="G33" s="758">
        <f>G27/(1+$C$9)^G30</f>
        <v/>
      </c>
      <c r="H33" s="758">
        <f>H27/(1+$C$9)^H30</f>
        <v/>
      </c>
      <c r="I33" s="759" t="n"/>
      <c r="J33" s="759" t="n"/>
    </row>
    <row r="34" ht="15" customHeight="1" s="413">
      <c r="B34" s="538" t="n"/>
      <c r="C34" s="531" t="n"/>
    </row>
    <row r="35" ht="15.75" customHeight="1" s="413">
      <c r="B35" s="741" t="inlineStr">
        <is>
          <t>Perpetuity approach</t>
        </is>
      </c>
      <c r="C35" s="742" t="n"/>
      <c r="E35" s="741" t="inlineStr">
        <is>
          <t>Exit EBITDA multiple approach</t>
        </is>
      </c>
      <c r="F35" s="742" t="n"/>
      <c r="G35" s="742" t="n"/>
      <c r="H35" s="742" t="n"/>
      <c r="I35" s="742" t="n"/>
      <c r="J35" s="742" t="n"/>
    </row>
    <row r="36" ht="17.25" customHeight="1" s="413">
      <c r="B36" s="412" t="inlineStr">
        <is>
          <t>Normalized FCFt+1</t>
        </is>
      </c>
      <c r="C36" s="760">
        <f>H27*(1+C37)</f>
        <v/>
      </c>
      <c r="E36" s="412" t="inlineStr">
        <is>
          <t>Terminal year EBITDA</t>
        </is>
      </c>
      <c r="H36" s="524">
        <f>H15</f>
        <v/>
      </c>
      <c r="J36" s="517" t="n"/>
    </row>
    <row r="37" ht="15" customHeight="1" s="413">
      <c r="B37" s="412" t="inlineStr">
        <is>
          <t>Long term growth rate (g)</t>
        </is>
      </c>
      <c r="C37" s="761">
        <f>Assumptions_Drivers!C10</f>
        <v/>
      </c>
      <c r="E37" s="412" t="inlineStr">
        <is>
          <t>Terminal value EBITDA multiple</t>
        </is>
      </c>
      <c r="H37" s="762">
        <f>Assumptions_Drivers!C20</f>
        <v/>
      </c>
      <c r="J37" s="526" t="n"/>
      <c r="K37" s="763" t="n"/>
    </row>
    <row r="38" ht="15" customHeight="1" s="413">
      <c r="B38" s="412" t="inlineStr">
        <is>
          <t>Terminal value</t>
        </is>
      </c>
      <c r="C38" s="524">
        <f>IF(($C$9-C37)&lt;=0,"NM",C36/($C$9-C37))</f>
        <v/>
      </c>
      <c r="E38" s="412" t="inlineStr">
        <is>
          <t>Terminal value</t>
        </is>
      </c>
      <c r="H38" s="524">
        <f>H36*H37</f>
        <v/>
      </c>
      <c r="J38" s="517" t="n"/>
    </row>
    <row r="39" ht="15" customHeight="1" s="413">
      <c r="B39" s="412" t="inlineStr">
        <is>
          <t>Present value of terminal value</t>
        </is>
      </c>
      <c r="C39" s="524">
        <f>IF(ISNUMBER(C38),C38/(1+$C$9)^H30,0)</f>
        <v/>
      </c>
      <c r="E39" s="412" t="inlineStr">
        <is>
          <t>Present value of terminal value</t>
        </is>
      </c>
      <c r="H39" s="524">
        <f>H38/(1+$C$9)^H30</f>
        <v/>
      </c>
      <c r="J39" s="517" t="n"/>
    </row>
    <row r="40" ht="15" customHeight="1" s="413">
      <c r="B40" s="412" t="inlineStr">
        <is>
          <t>Present value of stage 1 cash flows</t>
        </is>
      </c>
      <c r="C40" s="524">
        <f>SUM(D33:H33)</f>
        <v/>
      </c>
      <c r="E40" s="412" t="inlineStr">
        <is>
          <t>Present value of stage 1 cash flows</t>
        </is>
      </c>
      <c r="H40" s="524">
        <f>C40</f>
        <v/>
      </c>
      <c r="J40" s="517" t="n"/>
    </row>
    <row r="41" ht="15" customHeight="1" s="413">
      <c r="B41" s="752" t="inlineStr">
        <is>
          <t>Enterprise value</t>
        </is>
      </c>
      <c r="C41" s="753">
        <f>C39+C40</f>
        <v/>
      </c>
      <c r="E41" s="752" t="inlineStr">
        <is>
          <t>Enterprise value</t>
        </is>
      </c>
      <c r="H41" s="753">
        <f>H39+H40</f>
        <v/>
      </c>
      <c r="J41" s="589" t="n"/>
      <c r="K41" s="524" t="n">
        <v>3641.73466990351</v>
      </c>
    </row>
    <row r="42" ht="15" customHeight="1" s="413">
      <c r="B42" s="506" t="inlineStr">
        <is>
          <t>Implied TV exit EBITDA multiple</t>
        </is>
      </c>
      <c r="C42" s="764">
        <f>IF(H15=0,0,C38/H15)</f>
        <v/>
      </c>
      <c r="E42" s="506" t="inlineStr">
        <is>
          <t>Implied TV perpetual growth rate</t>
        </is>
      </c>
      <c r="F42" s="506" t="n"/>
      <c r="G42" s="506" t="n"/>
      <c r="H42" s="765">
        <f>IF(H38=0,0,($C$9*H38-H27)/(H38+H27))</f>
        <v/>
      </c>
      <c r="I42" s="506" t="n"/>
      <c r="J42" s="587" t="n"/>
    </row>
    <row r="43" ht="15" customHeight="1" s="413">
      <c r="C43" s="589" t="n"/>
      <c r="J43" s="531" t="n"/>
    </row>
    <row r="44" ht="15.75" customHeight="1" s="413">
      <c r="B44" s="741" t="inlineStr">
        <is>
          <t>Net Debt</t>
        </is>
      </c>
      <c r="C44" s="742" t="n"/>
      <c r="E44" s="741" t="inlineStr">
        <is>
          <t>Fair value per share</t>
        </is>
      </c>
      <c r="F44" s="742" t="n"/>
      <c r="G44" s="742" t="n"/>
      <c r="H44" s="742" t="n"/>
      <c r="I44" s="742" t="n"/>
      <c r="J44" s="742" t="n"/>
    </row>
    <row r="45" ht="17.25" customHeight="1" s="413">
      <c r="B45" s="412" t="inlineStr">
        <is>
          <t>Cash &amp; equivalents (LBO latest)</t>
        </is>
      </c>
      <c r="C45" s="766">
        <f>LBO!D15</f>
        <v/>
      </c>
      <c r="H45" s="568" t="inlineStr">
        <is>
          <t>LBO Offer</t>
        </is>
      </c>
      <c r="I45" s="568" t="inlineStr">
        <is>
          <t>Perpetuity</t>
        </is>
      </c>
      <c r="J45" s="568" t="inlineStr">
        <is>
          <t>EBITDA exit</t>
        </is>
      </c>
    </row>
    <row r="46" ht="15" customHeight="1" s="413">
      <c r="B46" s="412" t="inlineStr">
        <is>
          <t>Gross debt (LBO latest filing)</t>
        </is>
      </c>
      <c r="C46" s="766">
        <f>ABS(LBO!D14)</f>
        <v/>
      </c>
      <c r="E46" s="412" t="inlineStr">
        <is>
          <t>Enterprise value</t>
        </is>
      </c>
      <c r="H46" s="524">
        <f>H48+C47</f>
        <v/>
      </c>
      <c r="I46" s="524">
        <f>C41</f>
        <v/>
      </c>
      <c r="J46" s="524">
        <f>H41</f>
        <v/>
      </c>
    </row>
    <row r="47" ht="15" customHeight="1" s="413">
      <c r="B47" s="538" t="inlineStr">
        <is>
          <t>Net debt</t>
        </is>
      </c>
      <c r="C47" s="570">
        <f>C46-C45</f>
        <v/>
      </c>
      <c r="E47" s="412" t="inlineStr">
        <is>
          <t>Less: Net debt</t>
        </is>
      </c>
      <c r="H47" s="524">
        <f>-C47</f>
        <v/>
      </c>
      <c r="I47" s="524">
        <f>-C47</f>
        <v/>
      </c>
      <c r="J47" s="524">
        <f>-C47</f>
        <v/>
      </c>
    </row>
    <row r="48" ht="15" customHeight="1" s="413">
      <c r="C48" s="523" t="n"/>
      <c r="E48" s="538" t="inlineStr">
        <is>
          <t>Equity value</t>
        </is>
      </c>
      <c r="F48" s="538" t="n"/>
      <c r="G48" s="538" t="n"/>
      <c r="H48" s="767">
        <f>LBO!H20*$C$8</f>
        <v/>
      </c>
      <c r="I48" s="521">
        <f>I46+I47</f>
        <v/>
      </c>
      <c r="J48" s="521">
        <f>J46+J47</f>
        <v/>
      </c>
    </row>
    <row r="49" ht="15.75" customHeight="1" s="413">
      <c r="B49" s="741" t="inlineStr">
        <is>
          <t>Cost of capital assumptions</t>
        </is>
      </c>
      <c r="C49" s="742" t="n"/>
      <c r="E49" s="412" t="inlineStr">
        <is>
          <t>Diluted shares</t>
        </is>
      </c>
      <c r="H49" s="768">
        <f>$C$8</f>
        <v/>
      </c>
      <c r="I49" s="769">
        <f>$C$8</f>
        <v/>
      </c>
      <c r="J49" s="769">
        <f>$C$8</f>
        <v/>
      </c>
    </row>
    <row r="50" ht="15" customHeight="1" s="413">
      <c r="B50" s="770" t="inlineStr">
        <is>
          <t>Cost of debt (wtd TLA/TLB/Notes)</t>
        </is>
      </c>
      <c r="C50" s="771">
        <f>(Debt_Sweep_AI!G12*Assumptions_Drivers!C27+Debt_Sweep_AI!G13*Assumptions_Drivers!C28+Debt_Sweep_AI!G14*(Assumptions_Drivers!C14+0.035))/Debt_Sweep_AI!G15</f>
        <v/>
      </c>
      <c r="E50" s="538" t="inlineStr">
        <is>
          <t>Equity value per share</t>
        </is>
      </c>
      <c r="H50" s="772">
        <f>LBO!H20</f>
        <v/>
      </c>
      <c r="I50" s="772">
        <f>IF(I49=0,0,I48/I49)</f>
        <v/>
      </c>
      <c r="J50" s="772">
        <f>IF(J49=0,0,J48/J49)</f>
        <v/>
      </c>
      <c r="K50" s="518" t="n">
        <v>8.10863430429332</v>
      </c>
      <c r="L50" s="412" t="inlineStr">
        <is>
          <t>cached exit $/sh</t>
        </is>
      </c>
    </row>
    <row r="51" ht="15" customHeight="1" s="413">
      <c r="B51" s="412" t="inlineStr">
        <is>
          <t>Tax rate</t>
        </is>
      </c>
      <c r="C51" s="754">
        <f>Assumptions_Drivers!C19</f>
        <v/>
      </c>
      <c r="E51" s="506" t="inlineStr">
        <is>
          <t>Premium (discount) to LBO offer</t>
        </is>
      </c>
      <c r="H51" s="773" t="inlineStr">
        <is>
          <t>NM</t>
        </is>
      </c>
      <c r="I51" s="754">
        <f>IF(H50=0,0,I50/H50-1)</f>
        <v/>
      </c>
      <c r="J51" s="754">
        <f>IF(H50=0,0,J50/H50-1)</f>
        <v/>
      </c>
    </row>
    <row r="52" ht="15" customHeight="1" s="413">
      <c r="B52" s="412" t="inlineStr">
        <is>
          <t>Debt (new LBO stack $m)</t>
        </is>
      </c>
      <c r="C52" s="524">
        <f>Debt_Sweep_AI!G15</f>
        <v/>
      </c>
    </row>
    <row r="53" ht="15" customHeight="1" s="413">
      <c r="B53" s="412" t="inlineStr">
        <is>
          <t>Debt as a % of total capital</t>
        </is>
      </c>
      <c r="C53" s="774">
        <f>C52/(C52+C54)</f>
        <v/>
      </c>
    </row>
    <row r="54" ht="15" customHeight="1" s="413">
      <c r="B54" s="412" t="inlineStr">
        <is>
          <t>Sponsor equity check ($m)</t>
        </is>
      </c>
      <c r="C54" s="524">
        <f>Strategy_Summary!C20</f>
        <v/>
      </c>
    </row>
    <row r="55" ht="15" customHeight="1" s="413">
      <c r="B55" s="412" t="inlineStr">
        <is>
          <t>Risk free rate (SOFR from Drivers)</t>
        </is>
      </c>
      <c r="C55" s="775">
        <f>Assumptions_Drivers!C14</f>
        <v/>
      </c>
    </row>
    <row r="56" ht="15" customHeight="1" s="413">
      <c r="B56" s="412" t="inlineStr">
        <is>
          <t>Beta (MODEL CONST — SaaS mid)</t>
        </is>
      </c>
      <c r="C56" s="776" t="n">
        <v>1.25</v>
      </c>
    </row>
    <row r="57" ht="15" customHeight="1" s="413">
      <c r="B57" s="412" t="inlineStr">
        <is>
          <t>Market risk premium</t>
        </is>
      </c>
      <c r="C57" s="761" t="n">
        <v>0.05</v>
      </c>
    </row>
    <row r="58" ht="15" customHeight="1" s="413">
      <c r="B58" s="412" t="inlineStr">
        <is>
          <t>Equity as % of total capital structure</t>
        </is>
      </c>
      <c r="C58" s="754">
        <f>1-C53</f>
        <v/>
      </c>
    </row>
    <row r="59" ht="15" customHeight="1" s="413">
      <c r="B59" s="752" t="inlineStr">
        <is>
          <t>Cost of capital (WACC)</t>
        </is>
      </c>
      <c r="C59" s="777">
        <f>C58*(C55+C56*C57)+C53*C50*(1-C51)</f>
        <v/>
      </c>
    </row>
    <row r="61" ht="15.75" customHeight="1" s="413">
      <c r="B61" s="778" t="n"/>
      <c r="C61" s="742" t="n"/>
      <c r="D61" s="742" t="n"/>
      <c r="E61" s="742" t="n"/>
      <c r="F61" s="742" t="n"/>
      <c r="G61" s="742" t="n"/>
      <c r="H61" s="742" t="n"/>
    </row>
    <row r="62" ht="15" customHeight="1" s="413">
      <c r="B62" s="538" t="n"/>
    </row>
    <row r="63" ht="17.25" customHeight="1" s="413">
      <c r="B63" s="538" t="n"/>
      <c r="C63" s="779" t="n"/>
      <c r="D63" s="779" t="n"/>
      <c r="E63" s="779" t="n"/>
      <c r="F63" s="779" t="n"/>
      <c r="G63" s="779" t="n"/>
      <c r="H63" s="779" t="n"/>
    </row>
    <row r="64" ht="15" customHeight="1" s="413">
      <c r="C64" s="573" t="n"/>
      <c r="D64" s="651" t="n"/>
      <c r="E64" s="651" t="n"/>
      <c r="F64" s="651" t="n"/>
      <c r="G64" s="651" t="n"/>
      <c r="H64" s="651" t="n"/>
    </row>
    <row r="65" ht="15" customHeight="1" s="413">
      <c r="B65" s="505" t="n"/>
      <c r="C65" s="780" t="n"/>
      <c r="D65" s="781" t="n"/>
      <c r="E65" s="782" t="n"/>
      <c r="F65" s="783" t="n"/>
      <c r="G65" s="782" t="n"/>
      <c r="H65" s="784" t="n"/>
    </row>
    <row r="66" ht="15" customHeight="1" s="413">
      <c r="C66" s="785" t="n"/>
      <c r="D66" s="786" t="n"/>
      <c r="E66" s="786" t="n"/>
      <c r="F66" s="786" t="n"/>
      <c r="G66" s="786" t="n"/>
      <c r="H66" s="786" t="n"/>
    </row>
    <row r="67" ht="15" customHeight="1" s="413">
      <c r="C67" s="787" t="n"/>
      <c r="D67" s="786" t="n"/>
      <c r="E67" s="786" t="n"/>
      <c r="F67" s="786" t="n"/>
      <c r="G67" s="786" t="n"/>
      <c r="H67" s="786" t="n"/>
    </row>
    <row r="68" ht="15" customHeight="1" s="413">
      <c r="B68" s="505" t="n"/>
      <c r="C68" s="787" t="n"/>
      <c r="D68" s="786" t="n"/>
      <c r="E68" s="786" t="n"/>
      <c r="F68" s="786" t="n"/>
      <c r="G68" s="786" t="n"/>
      <c r="H68" s="786" t="n"/>
    </row>
    <row r="69" ht="15" customHeight="1" s="413">
      <c r="C69" s="787" t="n"/>
      <c r="D69" s="786" t="n"/>
      <c r="E69" s="786" t="n"/>
      <c r="F69" s="786" t="n"/>
      <c r="G69" s="786" t="n"/>
      <c r="H69" s="786" t="n"/>
    </row>
    <row r="70" ht="15" customHeight="1" s="413">
      <c r="C70" s="787" t="n"/>
      <c r="D70" s="786" t="n"/>
      <c r="E70" s="786" t="n"/>
      <c r="F70" s="786" t="n"/>
      <c r="G70" s="786" t="n"/>
      <c r="H70" s="786" t="n"/>
    </row>
    <row r="71" ht="15" customHeight="1" s="413">
      <c r="C71" s="788" t="n"/>
      <c r="D71" s="786" t="n"/>
      <c r="E71" s="786" t="n"/>
      <c r="F71" s="786" t="n"/>
      <c r="G71" s="786" t="n"/>
      <c r="H71" s="786" t="n"/>
    </row>
    <row r="72" ht="15" customHeight="1" s="413">
      <c r="D72" s="786" t="n"/>
      <c r="E72" s="786" t="n"/>
      <c r="F72" s="786" t="n"/>
      <c r="G72" s="786" t="n"/>
      <c r="H72" s="786" t="n"/>
    </row>
    <row r="73" ht="17.25" customHeight="1" s="413">
      <c r="C73" s="779" t="n"/>
      <c r="D73" s="779" t="n"/>
      <c r="E73" s="779" t="n"/>
      <c r="F73" s="779" t="n"/>
      <c r="G73" s="779" t="n"/>
      <c r="H73" s="779" t="n"/>
    </row>
    <row r="74" ht="15" customHeight="1" s="413">
      <c r="D74" s="651" t="n"/>
      <c r="E74" s="651" t="n"/>
      <c r="F74" s="651" t="n"/>
      <c r="G74" s="651" t="n"/>
      <c r="H74" s="651" t="n"/>
    </row>
    <row r="75" ht="15" customHeight="1" s="413">
      <c r="C75" s="789" t="n"/>
      <c r="D75" s="790" t="n"/>
      <c r="E75" s="790" t="n"/>
      <c r="F75" s="791" t="n"/>
      <c r="G75" s="790" t="n"/>
      <c r="H75" s="792" t="n"/>
    </row>
    <row r="76" ht="15" customHeight="1" s="413">
      <c r="C76" s="793" t="n"/>
      <c r="D76" s="786" t="n"/>
      <c r="E76" s="786" t="n"/>
      <c r="F76" s="786" t="n"/>
      <c r="G76" s="786" t="n"/>
      <c r="H76" s="786" t="n"/>
    </row>
    <row r="77" ht="15" customHeight="1" s="413">
      <c r="C77" s="794" t="n"/>
      <c r="D77" s="786" t="n"/>
      <c r="E77" s="786" t="n"/>
      <c r="F77" s="786" t="n"/>
      <c r="G77" s="786" t="n"/>
      <c r="H77" s="786" t="n"/>
    </row>
    <row r="78" ht="15" customHeight="1" s="413">
      <c r="B78" s="505" t="n"/>
      <c r="C78" s="794" t="n"/>
      <c r="D78" s="786" t="n"/>
      <c r="E78" s="786" t="n"/>
      <c r="F78" s="786" t="n"/>
      <c r="G78" s="786" t="n"/>
      <c r="H78" s="786" t="n"/>
    </row>
    <row r="79" ht="15" customHeight="1" s="413">
      <c r="C79" s="794" t="n"/>
      <c r="D79" s="786" t="n"/>
      <c r="E79" s="786" t="n"/>
      <c r="F79" s="786" t="n"/>
      <c r="G79" s="786" t="n"/>
      <c r="H79" s="786" t="n"/>
    </row>
    <row r="80" ht="15" customHeight="1" s="413">
      <c r="C80" s="794" t="n"/>
      <c r="D80" s="786" t="n"/>
      <c r="E80" s="786" t="n"/>
      <c r="F80" s="786" t="n"/>
      <c r="G80" s="786" t="n"/>
      <c r="H80" s="786" t="n"/>
    </row>
    <row r="81" ht="15" customHeight="1" s="413">
      <c r="C81" s="795" t="n"/>
      <c r="D81" s="786" t="n"/>
      <c r="E81" s="786" t="n"/>
      <c r="F81" s="786" t="n"/>
      <c r="G81" s="786" t="n"/>
      <c r="H81" s="786" t="n"/>
    </row>
    <row r="83" ht="17.25" customHeight="1" s="413">
      <c r="C83" s="779" t="n"/>
      <c r="D83" s="779" t="n"/>
      <c r="E83" s="779" t="n"/>
      <c r="F83" s="779" t="n"/>
      <c r="G83" s="779" t="n"/>
      <c r="H83" s="779" t="n"/>
    </row>
    <row r="84" ht="15" customHeight="1" s="413">
      <c r="D84" s="651" t="n"/>
      <c r="E84" s="651" t="n"/>
      <c r="F84" s="651" t="n"/>
      <c r="G84" s="651" t="n"/>
      <c r="H84" s="651" t="n"/>
    </row>
    <row r="85" ht="15" customHeight="1" s="413">
      <c r="C85" s="572" t="n"/>
      <c r="D85" s="796" t="n"/>
      <c r="E85" s="797" t="n"/>
      <c r="F85" s="790" t="n"/>
      <c r="G85" s="791" t="n"/>
      <c r="H85" s="792" t="n"/>
    </row>
    <row r="86" ht="15" customHeight="1" s="413">
      <c r="C86" s="798" t="n"/>
      <c r="D86" s="799" t="n"/>
      <c r="E86" s="786" t="n"/>
      <c r="F86" s="786" t="n"/>
      <c r="G86" s="786" t="n"/>
      <c r="H86" s="786" t="n"/>
    </row>
    <row r="87" ht="15" customHeight="1" s="413">
      <c r="C87" s="800" t="n"/>
      <c r="D87" s="801" t="n"/>
      <c r="E87" s="786" t="n"/>
      <c r="F87" s="786" t="n"/>
      <c r="G87" s="786" t="n"/>
      <c r="H87" s="786" t="n"/>
    </row>
    <row r="88" ht="15" customHeight="1" s="413">
      <c r="C88" s="800" t="n"/>
      <c r="D88" s="802" t="n"/>
      <c r="E88" s="786" t="n"/>
      <c r="F88" s="786" t="n"/>
      <c r="G88" s="786" t="n"/>
      <c r="H88" s="786" t="n"/>
    </row>
    <row r="89" ht="15" customHeight="1" s="413">
      <c r="C89" s="800" t="n"/>
      <c r="D89" s="801" t="n"/>
      <c r="E89" s="786" t="n"/>
      <c r="F89" s="786" t="n"/>
      <c r="G89" s="786" t="n"/>
      <c r="H89" s="786" t="n"/>
    </row>
    <row r="90" ht="15" customHeight="1" s="413">
      <c r="C90" s="800" t="n"/>
      <c r="D90" s="801" t="n"/>
      <c r="E90" s="786" t="n"/>
      <c r="F90" s="786" t="n"/>
      <c r="G90" s="786" t="n"/>
      <c r="H90" s="786" t="n"/>
    </row>
    <row r="91" ht="15" customHeight="1" s="413">
      <c r="C91" s="800" t="n"/>
      <c r="D91" s="803" t="n"/>
      <c r="E91" s="786" t="n"/>
      <c r="F91" s="786" t="n"/>
      <c r="G91" s="786" t="n"/>
      <c r="H91" s="786" t="n"/>
    </row>
    <row r="93" ht="15.75" customHeight="1" s="413">
      <c r="B93" s="741" t="inlineStr">
        <is>
          <t>Football field (chart removed so Excel can open this file)</t>
        </is>
      </c>
      <c r="C93" s="742" t="n"/>
      <c r="D93" s="742" t="n"/>
      <c r="E93" s="742" t="n"/>
    </row>
    <row r="114" ht="15" customHeight="1" s="413">
      <c r="B114" s="804" t="n"/>
      <c r="C114" s="805" t="inlineStr">
        <is>
          <t>Low</t>
        </is>
      </c>
      <c r="D114" s="805" t="inlineStr">
        <is>
          <t>Diff.</t>
        </is>
      </c>
      <c r="E114" s="806" t="inlineStr">
        <is>
          <t>High</t>
        </is>
      </c>
    </row>
    <row r="115" ht="15" customHeight="1" s="413">
      <c r="B115" s="807" t="inlineStr">
        <is>
          <t>DCF exit-multiple value / share (cached)</t>
        </is>
      </c>
      <c r="C115" s="518" t="n">
        <v>8.10863430429332</v>
      </c>
      <c r="D115" s="518" t="n">
        <v>0</v>
      </c>
      <c r="E115" s="686" t="n">
        <v>8.10863430429332</v>
      </c>
    </row>
    <row r="116" ht="15" customHeight="1" s="413">
      <c r="B116" s="807" t="inlineStr">
        <is>
          <t>DCF perpetuity value / share (cached)</t>
        </is>
      </c>
      <c r="C116" s="518" t="n">
        <v>7.20710255214664</v>
      </c>
      <c r="D116" s="518" t="n">
        <v>0</v>
      </c>
      <c r="E116" s="686" t="n">
        <v>7.20710255214664</v>
      </c>
    </row>
    <row r="117" ht="15" customHeight="1" s="413">
      <c r="B117" s="807" t="inlineStr">
        <is>
          <t>LBO Offer price / share</t>
        </is>
      </c>
      <c r="C117" s="518">
        <f>LBO!H20</f>
        <v/>
      </c>
      <c r="D117" s="518" t="n">
        <v>0</v>
      </c>
      <c r="E117" s="686">
        <f>LBO!H20</f>
        <v/>
      </c>
    </row>
    <row r="118" ht="15" customHeight="1" s="413">
      <c r="B118" s="808" t="inlineStr">
        <is>
          <t>52 Week Market High/Low (GTM from 52wkHL)</t>
        </is>
      </c>
      <c r="C118" s="698">
        <f>52wkHL!E5</f>
        <v/>
      </c>
      <c r="D118" s="698">
        <f>E118-C118</f>
        <v/>
      </c>
      <c r="E118" s="699">
        <f>52wkHL!E4</f>
        <v/>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B2:G2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73" customWidth="1" style="412" min="1" max="1"/>
    <col width="36.54" customWidth="1" style="412" min="2" max="2"/>
    <col width="15.82" customWidth="1" style="412" min="3" max="3"/>
  </cols>
  <sheetData>
    <row r="1" ht="15.75" customHeight="1" s="413"/>
    <row r="2" ht="27" customHeight="1" s="413">
      <c r="B2" s="497" t="inlineStr">
        <is>
          <t>Diluted shares for ZoomInfo (GTM)</t>
        </is>
      </c>
      <c r="C2" s="498" t="n"/>
      <c r="D2" s="498" t="n"/>
      <c r="E2" s="498" t="n"/>
    </row>
    <row r="3" ht="15" customHeight="1" s="413">
      <c r="B3" s="809" t="inlineStr">
        <is>
          <t>$ mm except per share / share counts in millions</t>
        </is>
      </c>
    </row>
    <row r="4" ht="15" customHeight="1" s="413">
      <c r="B4" s="525" t="n"/>
    </row>
    <row r="5" ht="15" customHeight="1" s="413">
      <c r="B5" s="525" t="inlineStr">
        <is>
          <t>Offer price (LBO)</t>
        </is>
      </c>
      <c r="E5" s="810">
        <f>LBO!H20</f>
        <v/>
      </c>
      <c r="F5" s="811" t="n">
        <v>5.0625</v>
      </c>
      <c r="G5" s="412" t="inlineStr">
        <is>
          <t>cached (formulas in E)</t>
        </is>
      </c>
    </row>
    <row r="6" ht="15" customHeight="1" s="413">
      <c r="B6" s="812" t="inlineStr">
        <is>
          <t>Latest close (LBO)</t>
        </is>
      </c>
      <c r="E6" s="813">
        <f>LBO!D8</f>
        <v/>
      </c>
      <c r="F6" s="518" t="n">
        <v>4.05</v>
      </c>
    </row>
    <row r="7" ht="15" customHeight="1" s="413">
      <c r="B7" s="504" t="inlineStr">
        <is>
          <t>Diluted shares outstanding (mm)</t>
        </is>
      </c>
      <c r="E7" s="814">
        <f>LBO!H18</f>
        <v/>
      </c>
      <c r="F7" s="682" t="n">
        <v>307.294</v>
      </c>
    </row>
    <row r="8" ht="15" customHeight="1" s="413">
      <c r="B8" s="525" t="inlineStr">
        <is>
          <t>In-the-money exercisable options (mm)</t>
        </is>
      </c>
      <c r="E8" s="769" t="n">
        <v>0</v>
      </c>
    </row>
    <row r="9" ht="15" customHeight="1" s="413">
      <c r="B9" s="525" t="inlineStr">
        <is>
          <t>Total proceeds ($mm)</t>
        </is>
      </c>
      <c r="E9" s="755" t="n">
        <v>0</v>
      </c>
    </row>
    <row r="10" ht="15" customHeight="1" s="413">
      <c r="B10" s="525" t="inlineStr">
        <is>
          <t>Total shares repurchased (mm)</t>
        </is>
      </c>
      <c r="E10" s="682" t="n">
        <v>0</v>
      </c>
    </row>
    <row r="11" ht="15" customHeight="1" s="413">
      <c r="B11" s="525" t="inlineStr">
        <is>
          <t>Net dilutive options</t>
        </is>
      </c>
      <c r="E11" s="682" t="n">
        <v>0</v>
      </c>
    </row>
    <row r="12" ht="15" customHeight="1" s="413">
      <c r="B12" s="525" t="inlineStr">
        <is>
          <t>Dilutive impact of other securities</t>
        </is>
      </c>
      <c r="E12" s="814" t="n">
        <v>0</v>
      </c>
    </row>
    <row r="13" ht="15" customHeight="1" s="413">
      <c r="B13" s="525" t="n"/>
      <c r="E13" s="733" t="n"/>
    </row>
    <row r="14" ht="15" customHeight="1" s="413">
      <c r="B14" s="815" t="inlineStr">
        <is>
          <t>Net diluted shares outstanding (mm)</t>
        </is>
      </c>
      <c r="D14" s="530" t="n"/>
      <c r="E14" s="816">
        <f>E7+E11+E12</f>
        <v/>
      </c>
      <c r="F14" s="682" t="n">
        <v>307.294</v>
      </c>
    </row>
    <row r="15" ht="15" customHeight="1" s="413">
      <c r="B15" s="553" t="n"/>
      <c r="D15" s="530" t="n"/>
      <c r="E15" s="597" t="n"/>
    </row>
    <row r="16" ht="15" customHeight="1" s="413">
      <c r="B16" s="576" t="inlineStr">
        <is>
          <t>Options note</t>
        </is>
      </c>
      <c r="C16" s="493" t="n"/>
      <c r="D16" s="717" t="n"/>
      <c r="E16" s="726" t="n"/>
    </row>
    <row r="17" ht="15" customHeight="1" s="413">
      <c r="B17" s="412" t="inlineStr">
        <is>
          <t>LBO!H18 stores diluted shares for offer value/share. No GTM option lattice — options left at 0.</t>
        </is>
      </c>
      <c r="C17" s="631" t="n"/>
      <c r="D17" s="631" t="n"/>
      <c r="E17" s="631" t="n"/>
    </row>
    <row r="18" ht="15" customHeight="1" s="413">
      <c r="B18" s="817" t="n"/>
      <c r="C18" s="818" t="n"/>
      <c r="D18" s="818" t="n"/>
      <c r="E18" s="819" t="n"/>
    </row>
    <row r="19" ht="15" customHeight="1" s="413">
      <c r="B19" s="817" t="n"/>
      <c r="C19" s="818" t="n"/>
      <c r="D19" s="818" t="n"/>
      <c r="E19" s="819" t="n"/>
    </row>
    <row r="20" ht="15" customHeight="1" s="413">
      <c r="B20" s="817" t="n"/>
      <c r="C20" s="818" t="n"/>
      <c r="D20" s="818" t="n"/>
      <c r="E20" s="819" t="n"/>
    </row>
    <row r="21" ht="15" customHeight="1" s="413">
      <c r="B21" s="817" t="n"/>
      <c r="C21" s="818" t="n"/>
      <c r="D21" s="818" t="n"/>
      <c r="E21" s="819" t="n"/>
    </row>
    <row r="22" ht="15" customHeight="1" s="413">
      <c r="B22" s="817" t="n"/>
      <c r="C22" s="818" t="n"/>
      <c r="D22" s="818" t="n"/>
      <c r="E22" s="819" t="n"/>
    </row>
    <row r="23" ht="15" customHeight="1" s="413">
      <c r="B23" s="817" t="n"/>
      <c r="C23" s="818" t="n"/>
      <c r="D23" s="818" t="n"/>
      <c r="E23" s="819" t="n"/>
    </row>
    <row r="24" ht="15" customHeight="1" s="413">
      <c r="B24" s="817" t="n"/>
      <c r="C24" s="818" t="n"/>
      <c r="D24" s="818" t="n"/>
      <c r="E24" s="819" t="n"/>
    </row>
    <row r="25" ht="15" customHeight="1" s="413">
      <c r="B25" s="817" t="n"/>
      <c r="C25" s="818" t="n"/>
      <c r="D25" s="818" t="n"/>
      <c r="E25" s="819" t="n"/>
    </row>
    <row r="26" ht="15" customHeight="1" s="413">
      <c r="B26" s="817" t="n"/>
      <c r="C26" s="818" t="n"/>
      <c r="D26" s="818" t="n"/>
      <c r="E26" s="819" t="n"/>
    </row>
    <row r="27" ht="15" customHeight="1" s="413">
      <c r="B27" s="817" t="n"/>
      <c r="C27" s="818" t="n"/>
      <c r="D27" s="818" t="n"/>
      <c r="E27" s="820" t="n"/>
    </row>
    <row r="28" ht="15" customHeight="1" s="413">
      <c r="E28" s="821"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11.xml><?xml version="1.0" encoding="utf-8"?>
<worksheet xmlns="http://schemas.openxmlformats.org/spreadsheetml/2006/main">
  <sheetPr filterMode="0">
    <outlinePr summaryBelow="1" summaryRight="1"/>
    <pageSetUpPr fitToPage="0"/>
  </sheetPr>
  <dimension ref="A1:F26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19.45" customWidth="1" style="412" min="1" max="1"/>
    <col width="9.27" customWidth="1" style="412" min="2" max="2"/>
    <col width="10" customWidth="1" style="412" min="6" max="6"/>
    <col width="9.27" customWidth="1" style="412" min="9" max="9"/>
  </cols>
  <sheetData>
    <row r="1" ht="15" customHeight="1" s="413">
      <c r="A1" s="412" t="inlineStr">
        <is>
          <t>GTM ONLY — prices are ~$2.54–$12.51, not BMC $45s</t>
        </is>
      </c>
    </row>
    <row r="2" ht="18" customHeight="1" s="413">
      <c r="A2" s="822" t="inlineStr">
        <is>
          <t>52 week high/low — ZoomInfo Technologies (ticker GTM)</t>
        </is>
      </c>
      <c r="B2" s="742" t="n"/>
      <c r="C2" s="742" t="n"/>
      <c r="D2" s="742" t="n"/>
      <c r="E2" s="742" t="n"/>
      <c r="F2" s="742" t="n"/>
    </row>
    <row r="4" ht="15" customHeight="1" s="413">
      <c r="A4" s="412" t="inlineStr">
        <is>
          <t>52 week high</t>
        </is>
      </c>
      <c r="E4" s="823" t="n">
        <v>12.51</v>
      </c>
    </row>
    <row r="5" ht="15" customHeight="1" s="413">
      <c r="A5" s="412" t="inlineStr">
        <is>
          <t>52 week low</t>
        </is>
      </c>
      <c r="E5" s="823" t="n">
        <v>2.54</v>
      </c>
    </row>
    <row r="6" ht="15" customHeight="1" s="413">
      <c r="A6" s="412" t="inlineStr">
        <is>
          <t>GTM daily OHLC (Yahoo 1y). Last close 4.05 matches LBO!D8. Not BMC.</t>
        </is>
      </c>
    </row>
    <row r="7" ht="15" customHeight="1" s="413">
      <c r="A7" s="752" t="inlineStr">
        <is>
          <t>Date</t>
        </is>
      </c>
      <c r="B7" s="752" t="inlineStr">
        <is>
          <t>Open</t>
        </is>
      </c>
      <c r="C7" s="752" t="inlineStr">
        <is>
          <t>High</t>
        </is>
      </c>
      <c r="D7" s="752" t="inlineStr">
        <is>
          <t>Low</t>
        </is>
      </c>
      <c r="E7" s="752" t="inlineStr">
        <is>
          <t>Close</t>
        </is>
      </c>
      <c r="F7" s="752" t="inlineStr">
        <is>
          <t>Volume</t>
        </is>
      </c>
    </row>
    <row r="8" ht="15" customHeight="1" s="413">
      <c r="A8" s="824" t="n">
        <v>46248.5625</v>
      </c>
      <c r="B8" s="518" t="n">
        <v>4.25</v>
      </c>
      <c r="C8" s="518" t="n">
        <v>4.311</v>
      </c>
      <c r="D8" s="518" t="n">
        <v>4.035</v>
      </c>
      <c r="E8" s="772" t="n">
        <v>4.05</v>
      </c>
      <c r="F8" s="412" t="n">
        <v>6927400</v>
      </c>
    </row>
    <row r="9" ht="15" customHeight="1" s="413">
      <c r="A9" s="824" t="n">
        <v>46247.5625</v>
      </c>
      <c r="B9" s="518" t="n">
        <v>3.86</v>
      </c>
      <c r="C9" s="518" t="n">
        <v>4.365</v>
      </c>
      <c r="D9" s="518" t="n">
        <v>3.811</v>
      </c>
      <c r="E9" s="772" t="n">
        <v>4.31</v>
      </c>
      <c r="F9" s="412" t="n">
        <v>9261000</v>
      </c>
    </row>
    <row r="10" ht="15" customHeight="1" s="413">
      <c r="A10" s="824" t="n">
        <v>46246.5625</v>
      </c>
      <c r="B10" s="518" t="n">
        <v>4.05</v>
      </c>
      <c r="C10" s="518" t="n">
        <v>4.05</v>
      </c>
      <c r="D10" s="518" t="n">
        <v>3.75</v>
      </c>
      <c r="E10" s="772" t="n">
        <v>3.86</v>
      </c>
      <c r="F10" s="412" t="n">
        <v>7183300</v>
      </c>
    </row>
    <row r="11" ht="15" customHeight="1" s="413">
      <c r="A11" s="824" t="n">
        <v>46245.5625</v>
      </c>
      <c r="B11" s="518" t="n">
        <v>4.21</v>
      </c>
      <c r="C11" s="518" t="n">
        <v>4.3</v>
      </c>
      <c r="D11" s="518" t="n">
        <v>4.055</v>
      </c>
      <c r="E11" s="772" t="n">
        <v>4.08</v>
      </c>
      <c r="F11" s="412" t="n">
        <v>6651100</v>
      </c>
    </row>
    <row r="12" ht="15" customHeight="1" s="413">
      <c r="A12" s="824" t="n">
        <v>46244.5625</v>
      </c>
      <c r="B12" s="518" t="n">
        <v>4.13</v>
      </c>
      <c r="C12" s="518" t="n">
        <v>4.326</v>
      </c>
      <c r="D12" s="518" t="n">
        <v>4.13</v>
      </c>
      <c r="E12" s="772" t="n">
        <v>4.23</v>
      </c>
      <c r="F12" s="412" t="n">
        <v>9212600</v>
      </c>
    </row>
    <row r="13" ht="15" customHeight="1" s="413">
      <c r="A13" s="824" t="n">
        <v>46241.5625</v>
      </c>
      <c r="B13" s="518" t="n">
        <v>4.33</v>
      </c>
      <c r="C13" s="518" t="n">
        <v>4.33</v>
      </c>
      <c r="D13" s="518" t="n">
        <v>4.05</v>
      </c>
      <c r="E13" s="772" t="n">
        <v>4.18</v>
      </c>
      <c r="F13" s="412" t="n">
        <v>11372700</v>
      </c>
    </row>
    <row r="14" ht="15" customHeight="1" s="413">
      <c r="A14" s="824" t="n">
        <v>46240.5625</v>
      </c>
      <c r="B14" s="518" t="n">
        <v>3.78</v>
      </c>
      <c r="C14" s="518" t="n">
        <v>4.24</v>
      </c>
      <c r="D14" s="518" t="n">
        <v>3.76</v>
      </c>
      <c r="E14" s="772" t="n">
        <v>4.14</v>
      </c>
      <c r="F14" s="412" t="n">
        <v>16764400</v>
      </c>
    </row>
    <row r="15" ht="15" customHeight="1" s="413">
      <c r="A15" s="824" t="n">
        <v>46239.5625</v>
      </c>
      <c r="B15" s="518" t="n">
        <v>3.67</v>
      </c>
      <c r="C15" s="518" t="n">
        <v>3.8</v>
      </c>
      <c r="D15" s="518" t="n">
        <v>3.595</v>
      </c>
      <c r="E15" s="772" t="n">
        <v>3.66</v>
      </c>
      <c r="F15" s="412" t="n">
        <v>11351500</v>
      </c>
    </row>
    <row r="16" ht="15" customHeight="1" s="413">
      <c r="A16" s="824" t="n">
        <v>46238.5625</v>
      </c>
      <c r="B16" s="518" t="n">
        <v>3.46</v>
      </c>
      <c r="C16" s="518" t="n">
        <v>3.655</v>
      </c>
      <c r="D16" s="518" t="n">
        <v>3.46</v>
      </c>
      <c r="E16" s="772" t="n">
        <v>3.62</v>
      </c>
      <c r="F16" s="412" t="n">
        <v>4514800</v>
      </c>
    </row>
    <row r="17" ht="15" customHeight="1" s="413">
      <c r="A17" s="824" t="n">
        <v>46237.5625</v>
      </c>
      <c r="B17" s="518" t="n">
        <v>3.41</v>
      </c>
      <c r="C17" s="518" t="n">
        <v>3.64</v>
      </c>
      <c r="D17" s="518" t="n">
        <v>3.4</v>
      </c>
      <c r="E17" s="772" t="n">
        <v>3.57</v>
      </c>
      <c r="F17" s="412" t="n">
        <v>7290300</v>
      </c>
    </row>
    <row r="18" ht="15" customHeight="1" s="413">
      <c r="A18" s="824" t="n">
        <v>46234.5625</v>
      </c>
      <c r="B18" s="518" t="n">
        <v>3.33</v>
      </c>
      <c r="C18" s="518" t="n">
        <v>3.4</v>
      </c>
      <c r="D18" s="518" t="n">
        <v>3.265</v>
      </c>
      <c r="E18" s="772" t="n">
        <v>3.3</v>
      </c>
      <c r="F18" s="412" t="n">
        <v>6511600</v>
      </c>
    </row>
    <row r="19" ht="15" customHeight="1" s="413">
      <c r="A19" s="824" t="n">
        <v>46233.5625</v>
      </c>
      <c r="B19" s="518" t="n">
        <v>3.45</v>
      </c>
      <c r="C19" s="518" t="n">
        <v>3.45</v>
      </c>
      <c r="D19" s="518" t="n">
        <v>3.18</v>
      </c>
      <c r="E19" s="772" t="n">
        <v>3.32</v>
      </c>
      <c r="F19" s="412" t="n">
        <v>6105500</v>
      </c>
    </row>
    <row r="20" ht="15" customHeight="1" s="413">
      <c r="A20" s="824" t="n">
        <v>46232.5625</v>
      </c>
      <c r="B20" s="518" t="n">
        <v>3.28</v>
      </c>
      <c r="C20" s="518" t="n">
        <v>3.515</v>
      </c>
      <c r="D20" s="518" t="n">
        <v>3.27</v>
      </c>
      <c r="E20" s="772" t="n">
        <v>3.5</v>
      </c>
      <c r="F20" s="412" t="n">
        <v>7551800</v>
      </c>
    </row>
    <row r="21" ht="15" customHeight="1" s="413">
      <c r="A21" s="824" t="n">
        <v>46231.5625</v>
      </c>
      <c r="B21" s="518" t="n">
        <v>3.09</v>
      </c>
      <c r="C21" s="518" t="n">
        <v>3.34</v>
      </c>
      <c r="D21" s="518" t="n">
        <v>3.09</v>
      </c>
      <c r="E21" s="772" t="n">
        <v>3.28</v>
      </c>
      <c r="F21" s="412" t="n">
        <v>7245500</v>
      </c>
    </row>
    <row r="22" ht="15" customHeight="1" s="413">
      <c r="A22" s="824" t="n">
        <v>46230.5625</v>
      </c>
      <c r="B22" s="518" t="n">
        <v>3</v>
      </c>
      <c r="C22" s="518" t="n">
        <v>3.16</v>
      </c>
      <c r="D22" s="518" t="n">
        <v>2.965</v>
      </c>
      <c r="E22" s="772" t="n">
        <v>3.08</v>
      </c>
      <c r="F22" s="412" t="n">
        <v>7204700</v>
      </c>
    </row>
    <row r="23" ht="15" customHeight="1" s="413">
      <c r="A23" s="824" t="n">
        <v>46227.5625</v>
      </c>
      <c r="B23" s="518" t="n">
        <v>2.88</v>
      </c>
      <c r="C23" s="518" t="n">
        <v>2.97</v>
      </c>
      <c r="D23" s="518" t="n">
        <v>2.865</v>
      </c>
      <c r="E23" s="772" t="n">
        <v>2.92</v>
      </c>
      <c r="F23" s="412" t="n">
        <v>5169300</v>
      </c>
    </row>
    <row r="24" ht="15" customHeight="1" s="413">
      <c r="A24" s="824" t="n">
        <v>46226.5625</v>
      </c>
      <c r="B24" s="518" t="n">
        <v>2.91</v>
      </c>
      <c r="C24" s="518" t="n">
        <v>2.98</v>
      </c>
      <c r="D24" s="518" t="n">
        <v>2.74</v>
      </c>
      <c r="E24" s="772" t="n">
        <v>2.88</v>
      </c>
      <c r="F24" s="412" t="n">
        <v>8710000</v>
      </c>
    </row>
    <row r="25" ht="15" customHeight="1" s="413">
      <c r="A25" s="824" t="n">
        <v>46225.5625</v>
      </c>
      <c r="B25" s="518" t="n">
        <v>3.04</v>
      </c>
      <c r="C25" s="518" t="n">
        <v>3.07</v>
      </c>
      <c r="D25" s="518" t="n">
        <v>2.88</v>
      </c>
      <c r="E25" s="772" t="n">
        <v>2.92</v>
      </c>
      <c r="F25" s="412" t="n">
        <v>6066100</v>
      </c>
    </row>
    <row r="26" ht="15" customHeight="1" s="413">
      <c r="A26" s="824" t="n">
        <v>46224.5625</v>
      </c>
      <c r="B26" s="518" t="n">
        <v>3.05</v>
      </c>
      <c r="C26" s="518" t="n">
        <v>3.17</v>
      </c>
      <c r="D26" s="518" t="n">
        <v>2.995</v>
      </c>
      <c r="E26" s="772" t="n">
        <v>3.02</v>
      </c>
      <c r="F26" s="412" t="n">
        <v>6486100</v>
      </c>
    </row>
    <row r="27" ht="15" customHeight="1" s="413">
      <c r="A27" s="824" t="n">
        <v>46223.5625</v>
      </c>
      <c r="B27" s="518" t="n">
        <v>3.11</v>
      </c>
      <c r="C27" s="518" t="n">
        <v>3.23</v>
      </c>
      <c r="D27" s="518" t="n">
        <v>3.04</v>
      </c>
      <c r="E27" s="772" t="n">
        <v>3.13</v>
      </c>
      <c r="F27" s="412" t="n">
        <v>8065900</v>
      </c>
    </row>
    <row r="28" ht="15" customHeight="1" s="413">
      <c r="A28" s="824" t="n">
        <v>46220.5625</v>
      </c>
      <c r="B28" s="518" t="n">
        <v>3.06</v>
      </c>
      <c r="C28" s="518" t="n">
        <v>3.19</v>
      </c>
      <c r="D28" s="518" t="n">
        <v>3.04</v>
      </c>
      <c r="E28" s="772" t="n">
        <v>3.07</v>
      </c>
      <c r="F28" s="412" t="n">
        <v>5383800</v>
      </c>
    </row>
    <row r="29" ht="15" customHeight="1" s="413">
      <c r="A29" s="824" t="n">
        <v>46219.5625</v>
      </c>
      <c r="B29" s="518" t="n">
        <v>3.125</v>
      </c>
      <c r="C29" s="518" t="n">
        <v>3.2</v>
      </c>
      <c r="D29" s="518" t="n">
        <v>3.04</v>
      </c>
      <c r="E29" s="772" t="n">
        <v>3.13</v>
      </c>
      <c r="F29" s="412" t="n">
        <v>7099000</v>
      </c>
    </row>
    <row r="30" ht="15" customHeight="1" s="413">
      <c r="A30" s="824" t="n">
        <v>46218.5625</v>
      </c>
      <c r="B30" s="518" t="n">
        <v>3.08</v>
      </c>
      <c r="C30" s="518" t="n">
        <v>3.195</v>
      </c>
      <c r="D30" s="518" t="n">
        <v>3.06</v>
      </c>
      <c r="E30" s="772" t="n">
        <v>3.08</v>
      </c>
      <c r="F30" s="412" t="n">
        <v>4693100</v>
      </c>
    </row>
    <row r="31" ht="15" customHeight="1" s="413">
      <c r="A31" s="824" t="n">
        <v>46217.5625</v>
      </c>
      <c r="B31" s="518" t="n">
        <v>2.99</v>
      </c>
      <c r="C31" s="518" t="n">
        <v>3.085</v>
      </c>
      <c r="D31" s="518" t="n">
        <v>2.93</v>
      </c>
      <c r="E31" s="772" t="n">
        <v>3.02</v>
      </c>
      <c r="F31" s="412" t="n">
        <v>6193100</v>
      </c>
    </row>
    <row r="32" ht="15" customHeight="1" s="413">
      <c r="A32" s="824" t="n">
        <v>46216.5625</v>
      </c>
      <c r="B32" s="518" t="n">
        <v>2.96</v>
      </c>
      <c r="C32" s="518" t="n">
        <v>3.22</v>
      </c>
      <c r="D32" s="518" t="n">
        <v>2.94</v>
      </c>
      <c r="E32" s="772" t="n">
        <v>3.08</v>
      </c>
      <c r="F32" s="412" t="n">
        <v>10942300</v>
      </c>
    </row>
    <row r="33" ht="15" customHeight="1" s="413">
      <c r="A33" s="824" t="n">
        <v>46213.5625</v>
      </c>
      <c r="B33" s="518" t="n">
        <v>3</v>
      </c>
      <c r="C33" s="518" t="n">
        <v>3.06</v>
      </c>
      <c r="D33" s="518" t="n">
        <v>2.805</v>
      </c>
      <c r="E33" s="772" t="n">
        <v>2.92</v>
      </c>
      <c r="F33" s="412" t="n">
        <v>9723500</v>
      </c>
    </row>
    <row r="34" ht="15" customHeight="1" s="413">
      <c r="A34" s="824" t="n">
        <v>46212.5625</v>
      </c>
      <c r="B34" s="518" t="n">
        <v>2.84</v>
      </c>
      <c r="C34" s="518" t="n">
        <v>2.99</v>
      </c>
      <c r="D34" s="518" t="n">
        <v>2.8</v>
      </c>
      <c r="E34" s="772" t="n">
        <v>2.94</v>
      </c>
      <c r="F34" s="412" t="n">
        <v>6500000</v>
      </c>
    </row>
    <row r="35" ht="15" customHeight="1" s="413">
      <c r="A35" s="824" t="n">
        <v>46211.5625</v>
      </c>
      <c r="B35" s="518" t="n">
        <v>2.95</v>
      </c>
      <c r="C35" s="518" t="n">
        <v>3.01</v>
      </c>
      <c r="D35" s="518" t="n">
        <v>2.87</v>
      </c>
      <c r="E35" s="772" t="n">
        <v>2.92</v>
      </c>
      <c r="F35" s="412" t="n">
        <v>10696800</v>
      </c>
    </row>
    <row r="36" ht="15" customHeight="1" s="413">
      <c r="A36" s="824" t="n">
        <v>46210.5625</v>
      </c>
      <c r="B36" s="518" t="n">
        <v>3.01</v>
      </c>
      <c r="C36" s="518" t="n">
        <v>3.11</v>
      </c>
      <c r="D36" s="518" t="n">
        <v>2.975</v>
      </c>
      <c r="E36" s="772" t="n">
        <v>2.99</v>
      </c>
      <c r="F36" s="412" t="n">
        <v>6327700</v>
      </c>
    </row>
    <row r="37" ht="15" customHeight="1" s="413">
      <c r="A37" s="824" t="n">
        <v>46209.5625</v>
      </c>
      <c r="B37" s="518" t="n">
        <v>2.95</v>
      </c>
      <c r="C37" s="518" t="n">
        <v>3.005</v>
      </c>
      <c r="D37" s="518" t="n">
        <v>2.83</v>
      </c>
      <c r="E37" s="772" t="n">
        <v>2.93</v>
      </c>
      <c r="F37" s="412" t="n">
        <v>15081500</v>
      </c>
    </row>
    <row r="38" ht="15" customHeight="1" s="413">
      <c r="A38" s="824" t="n">
        <v>46205.5625</v>
      </c>
      <c r="B38" s="518" t="n">
        <v>2.82</v>
      </c>
      <c r="C38" s="518" t="n">
        <v>3.04</v>
      </c>
      <c r="D38" s="518" t="n">
        <v>2.82</v>
      </c>
      <c r="E38" s="772" t="n">
        <v>2.99</v>
      </c>
      <c r="F38" s="412" t="n">
        <v>11699900</v>
      </c>
    </row>
    <row r="39" ht="15" customHeight="1" s="413">
      <c r="A39" s="824" t="n">
        <v>46204.5625</v>
      </c>
      <c r="B39" s="518" t="n">
        <v>2.99</v>
      </c>
      <c r="C39" s="518" t="n">
        <v>3.03</v>
      </c>
      <c r="D39" s="518" t="n">
        <v>2.83</v>
      </c>
      <c r="E39" s="772" t="n">
        <v>2.84</v>
      </c>
      <c r="F39" s="412" t="n">
        <v>12710600</v>
      </c>
    </row>
    <row r="40" ht="15" customHeight="1" s="413">
      <c r="A40" s="824" t="n">
        <v>46203.5625</v>
      </c>
      <c r="B40" s="518" t="n">
        <v>2.865</v>
      </c>
      <c r="C40" s="518" t="n">
        <v>2.94</v>
      </c>
      <c r="D40" s="518" t="n">
        <v>2.835</v>
      </c>
      <c r="E40" s="772" t="n">
        <v>2.93</v>
      </c>
      <c r="F40" s="412" t="n">
        <v>10126000</v>
      </c>
    </row>
    <row r="41" ht="15" customHeight="1" s="413">
      <c r="A41" s="824" t="n">
        <v>46202.5625</v>
      </c>
      <c r="B41" s="518" t="n">
        <v>2.94</v>
      </c>
      <c r="C41" s="518" t="n">
        <v>2.97</v>
      </c>
      <c r="D41" s="518" t="n">
        <v>2.81</v>
      </c>
      <c r="E41" s="772" t="n">
        <v>2.92</v>
      </c>
      <c r="F41" s="412" t="n">
        <v>14903400</v>
      </c>
    </row>
    <row r="42" ht="15" customHeight="1" s="413">
      <c r="A42" s="824" t="n">
        <v>46199.5625</v>
      </c>
      <c r="B42" s="518" t="n">
        <v>2.61</v>
      </c>
      <c r="C42" s="518" t="n">
        <v>2.935</v>
      </c>
      <c r="D42" s="518" t="n">
        <v>2.61</v>
      </c>
      <c r="E42" s="772" t="n">
        <v>2.89</v>
      </c>
      <c r="F42" s="412" t="n">
        <v>45330300</v>
      </c>
    </row>
    <row r="43" ht="15" customHeight="1" s="413">
      <c r="A43" s="824" t="n">
        <v>46198.5625</v>
      </c>
      <c r="B43" s="518" t="n">
        <v>2.775</v>
      </c>
      <c r="C43" s="518" t="n">
        <v>2.775</v>
      </c>
      <c r="D43" s="518" t="n">
        <v>2.605</v>
      </c>
      <c r="E43" s="772" t="n">
        <v>2.61</v>
      </c>
      <c r="F43" s="412" t="n">
        <v>9969300</v>
      </c>
    </row>
    <row r="44" ht="15" customHeight="1" s="413">
      <c r="A44" s="824" t="n">
        <v>46197.5625</v>
      </c>
      <c r="B44" s="518" t="n">
        <v>2.715</v>
      </c>
      <c r="C44" s="518" t="n">
        <v>2.855</v>
      </c>
      <c r="D44" s="518" t="n">
        <v>2.7</v>
      </c>
      <c r="E44" s="772" t="n">
        <v>2.83</v>
      </c>
      <c r="F44" s="412" t="n">
        <v>11400900</v>
      </c>
    </row>
    <row r="45" ht="15" customHeight="1" s="413">
      <c r="A45" s="824" t="n">
        <v>46196.5625</v>
      </c>
      <c r="B45" s="518" t="n">
        <v>2.6</v>
      </c>
      <c r="C45" s="518" t="n">
        <v>2.79</v>
      </c>
      <c r="D45" s="518" t="n">
        <v>2.6</v>
      </c>
      <c r="E45" s="772" t="n">
        <v>2.71</v>
      </c>
      <c r="F45" s="412" t="n">
        <v>11109800</v>
      </c>
    </row>
    <row r="46" ht="15" customHeight="1" s="413">
      <c r="A46" s="824" t="n">
        <v>46195.5625</v>
      </c>
      <c r="B46" s="518" t="n">
        <v>2.78</v>
      </c>
      <c r="C46" s="518" t="n">
        <v>2.79</v>
      </c>
      <c r="D46" s="518" t="n">
        <v>2.54</v>
      </c>
      <c r="E46" s="772" t="n">
        <v>2.65</v>
      </c>
      <c r="F46" s="412" t="n">
        <v>14099200</v>
      </c>
    </row>
    <row r="47" ht="15" customHeight="1" s="413">
      <c r="A47" s="824" t="n">
        <v>46191.5625</v>
      </c>
      <c r="B47" s="518" t="n">
        <v>2.62</v>
      </c>
      <c r="C47" s="518" t="n">
        <v>2.88</v>
      </c>
      <c r="D47" s="518" t="n">
        <v>2.6</v>
      </c>
      <c r="E47" s="772" t="n">
        <v>2.81</v>
      </c>
      <c r="F47" s="412" t="n">
        <v>19859700</v>
      </c>
    </row>
    <row r="48" ht="15" customHeight="1" s="413">
      <c r="A48" s="824" t="n">
        <v>46190.5625</v>
      </c>
      <c r="B48" s="518" t="n">
        <v>2.76</v>
      </c>
      <c r="C48" s="518" t="n">
        <v>2.84</v>
      </c>
      <c r="D48" s="518" t="n">
        <v>2.66</v>
      </c>
      <c r="E48" s="772" t="n">
        <v>2.68</v>
      </c>
      <c r="F48" s="412" t="n">
        <v>6809200</v>
      </c>
    </row>
    <row r="49" ht="15" customHeight="1" s="413">
      <c r="A49" s="824" t="n">
        <v>46189.5625</v>
      </c>
      <c r="B49" s="518" t="n">
        <v>2.85</v>
      </c>
      <c r="C49" s="518" t="n">
        <v>2.88</v>
      </c>
      <c r="D49" s="518" t="n">
        <v>2.73</v>
      </c>
      <c r="E49" s="772" t="n">
        <v>2.8</v>
      </c>
      <c r="F49" s="412" t="n">
        <v>6572600</v>
      </c>
    </row>
    <row r="50" ht="15" customHeight="1" s="413">
      <c r="A50" s="824" t="n">
        <v>46188.5625</v>
      </c>
      <c r="B50" s="518" t="n">
        <v>2.83</v>
      </c>
      <c r="C50" s="518" t="n">
        <v>2.866</v>
      </c>
      <c r="D50" s="518" t="n">
        <v>2.76</v>
      </c>
      <c r="E50" s="772" t="n">
        <v>2.84</v>
      </c>
      <c r="F50" s="412" t="n">
        <v>9967900</v>
      </c>
    </row>
    <row r="51" ht="15" customHeight="1" s="413">
      <c r="A51" s="824" t="n">
        <v>46185.5625</v>
      </c>
      <c r="B51" s="518" t="n">
        <v>2.69</v>
      </c>
      <c r="C51" s="518" t="n">
        <v>2.845</v>
      </c>
      <c r="D51" s="518" t="n">
        <v>2.59</v>
      </c>
      <c r="E51" s="772" t="n">
        <v>2.81</v>
      </c>
      <c r="F51" s="412" t="n">
        <v>14201600</v>
      </c>
    </row>
    <row r="52" ht="15" customHeight="1" s="413">
      <c r="A52" s="824" t="n">
        <v>46184.5625</v>
      </c>
      <c r="B52" s="518" t="n">
        <v>2.705</v>
      </c>
      <c r="C52" s="518" t="n">
        <v>2.73</v>
      </c>
      <c r="D52" s="518" t="n">
        <v>2.59</v>
      </c>
      <c r="E52" s="772" t="n">
        <v>2.68</v>
      </c>
      <c r="F52" s="412" t="n">
        <v>10494300</v>
      </c>
    </row>
    <row r="53" ht="15" customHeight="1" s="413">
      <c r="A53" s="824" t="n">
        <v>46183.5625</v>
      </c>
      <c r="B53" s="518" t="n">
        <v>2.715</v>
      </c>
      <c r="C53" s="518" t="n">
        <v>2.84</v>
      </c>
      <c r="D53" s="518" t="n">
        <v>2.685</v>
      </c>
      <c r="E53" s="772" t="n">
        <v>2.7</v>
      </c>
      <c r="F53" s="412" t="n">
        <v>9887500</v>
      </c>
    </row>
    <row r="54" ht="15" customHeight="1" s="413">
      <c r="A54" s="824" t="n">
        <v>46182.5625</v>
      </c>
      <c r="B54" s="518" t="n">
        <v>2.85</v>
      </c>
      <c r="C54" s="518" t="n">
        <v>2.91</v>
      </c>
      <c r="D54" s="518" t="n">
        <v>2.74</v>
      </c>
      <c r="E54" s="772" t="n">
        <v>2.77</v>
      </c>
      <c r="F54" s="412" t="n">
        <v>8831700</v>
      </c>
    </row>
    <row r="55" ht="15" customHeight="1" s="413">
      <c r="A55" s="824" t="n">
        <v>46181.5625</v>
      </c>
      <c r="B55" s="518" t="n">
        <v>2.95</v>
      </c>
      <c r="C55" s="518" t="n">
        <v>2.969</v>
      </c>
      <c r="D55" s="518" t="n">
        <v>2.84</v>
      </c>
      <c r="E55" s="772" t="n">
        <v>2.85</v>
      </c>
      <c r="F55" s="412" t="n">
        <v>7761800</v>
      </c>
    </row>
    <row r="56" ht="15" customHeight="1" s="413">
      <c r="A56" s="824" t="n">
        <v>46178.5625</v>
      </c>
      <c r="B56" s="518" t="n">
        <v>3.03</v>
      </c>
      <c r="C56" s="518" t="n">
        <v>3.07</v>
      </c>
      <c r="D56" s="518" t="n">
        <v>2.89</v>
      </c>
      <c r="E56" s="772" t="n">
        <v>2.98</v>
      </c>
      <c r="F56" s="412" t="n">
        <v>11539300</v>
      </c>
    </row>
    <row r="57" ht="15" customHeight="1" s="413">
      <c r="A57" s="824" t="n">
        <v>46177.5625</v>
      </c>
      <c r="B57" s="518" t="n">
        <v>3.21</v>
      </c>
      <c r="C57" s="518" t="n">
        <v>3.24</v>
      </c>
      <c r="D57" s="518" t="n">
        <v>2.99</v>
      </c>
      <c r="E57" s="772" t="n">
        <v>3.03</v>
      </c>
      <c r="F57" s="412" t="n">
        <v>8902000</v>
      </c>
    </row>
    <row r="58" ht="15" customHeight="1" s="413">
      <c r="A58" s="824" t="n">
        <v>46176.5625</v>
      </c>
      <c r="B58" s="518" t="n">
        <v>3.42</v>
      </c>
      <c r="C58" s="518" t="n">
        <v>3.42</v>
      </c>
      <c r="D58" s="518" t="n">
        <v>2.94</v>
      </c>
      <c r="E58" s="772" t="n">
        <v>3.12</v>
      </c>
      <c r="F58" s="412" t="n">
        <v>21632200</v>
      </c>
    </row>
    <row r="59" ht="15" customHeight="1" s="413">
      <c r="A59" s="824" t="n">
        <v>46175.5625</v>
      </c>
      <c r="B59" s="518" t="n">
        <v>3.64</v>
      </c>
      <c r="C59" s="518" t="n">
        <v>3.73</v>
      </c>
      <c r="D59" s="518" t="n">
        <v>3.29</v>
      </c>
      <c r="E59" s="772" t="n">
        <v>3.425</v>
      </c>
      <c r="F59" s="412" t="n">
        <v>25277500</v>
      </c>
    </row>
    <row r="60" ht="15" customHeight="1" s="413">
      <c r="A60" s="824" t="n">
        <v>46174.5625</v>
      </c>
      <c r="B60" s="518" t="n">
        <v>3.43</v>
      </c>
      <c r="C60" s="518" t="n">
        <v>3.88</v>
      </c>
      <c r="D60" s="518" t="n">
        <v>3.43</v>
      </c>
      <c r="E60" s="772" t="n">
        <v>3.82</v>
      </c>
      <c r="F60" s="412" t="n">
        <v>19968700</v>
      </c>
    </row>
    <row r="61" ht="15" customHeight="1" s="413">
      <c r="A61" s="824" t="n">
        <v>46171.5625</v>
      </c>
      <c r="B61" s="518" t="n">
        <v>3.365</v>
      </c>
      <c r="C61" s="518" t="n">
        <v>3.43</v>
      </c>
      <c r="D61" s="518" t="n">
        <v>3.28</v>
      </c>
      <c r="E61" s="772" t="n">
        <v>3.33</v>
      </c>
      <c r="F61" s="412" t="n">
        <v>18745900</v>
      </c>
    </row>
    <row r="62" ht="15" customHeight="1" s="413">
      <c r="A62" s="824" t="n">
        <v>46170.5625</v>
      </c>
      <c r="B62" s="518" t="n">
        <v>3.31</v>
      </c>
      <c r="C62" s="518" t="n">
        <v>3.345</v>
      </c>
      <c r="D62" s="518" t="n">
        <v>3.19</v>
      </c>
      <c r="E62" s="772" t="n">
        <v>3.21</v>
      </c>
      <c r="F62" s="412" t="n">
        <v>10994800</v>
      </c>
    </row>
    <row r="63" ht="15" customHeight="1" s="413">
      <c r="A63" s="824" t="n">
        <v>46169.5625</v>
      </c>
      <c r="B63" s="518" t="n">
        <v>3.46</v>
      </c>
      <c r="C63" s="518" t="n">
        <v>3.52</v>
      </c>
      <c r="D63" s="518" t="n">
        <v>3.24</v>
      </c>
      <c r="E63" s="772" t="n">
        <v>3.25</v>
      </c>
      <c r="F63" s="412" t="n">
        <v>12754400</v>
      </c>
    </row>
    <row r="64" ht="15" customHeight="1" s="413">
      <c r="A64" s="824" t="n">
        <v>46168.5625</v>
      </c>
      <c r="B64" s="518" t="n">
        <v>3.59</v>
      </c>
      <c r="C64" s="518" t="n">
        <v>3.665</v>
      </c>
      <c r="D64" s="518" t="n">
        <v>3.49</v>
      </c>
      <c r="E64" s="772" t="n">
        <v>3.5</v>
      </c>
      <c r="F64" s="412" t="n">
        <v>9402600</v>
      </c>
    </row>
    <row r="65" ht="15" customHeight="1" s="413">
      <c r="A65" s="824" t="n">
        <v>46164.5625</v>
      </c>
      <c r="B65" s="518" t="n">
        <v>3.6</v>
      </c>
      <c r="C65" s="518" t="n">
        <v>3.75</v>
      </c>
      <c r="D65" s="518" t="n">
        <v>3.55</v>
      </c>
      <c r="E65" s="772" t="n">
        <v>3.61</v>
      </c>
      <c r="F65" s="412" t="n">
        <v>8223100</v>
      </c>
    </row>
    <row r="66" ht="15" customHeight="1" s="413">
      <c r="A66" s="824" t="n">
        <v>46163.5625</v>
      </c>
      <c r="B66" s="518" t="n">
        <v>3.58</v>
      </c>
      <c r="C66" s="518" t="n">
        <v>3.635</v>
      </c>
      <c r="D66" s="518" t="n">
        <v>3.46</v>
      </c>
      <c r="E66" s="772" t="n">
        <v>3.57</v>
      </c>
      <c r="F66" s="412" t="n">
        <v>13774200</v>
      </c>
    </row>
    <row r="67" ht="15" customHeight="1" s="413">
      <c r="A67" s="824" t="n">
        <v>46162.5625</v>
      </c>
      <c r="B67" s="518" t="n">
        <v>3.75</v>
      </c>
      <c r="C67" s="518" t="n">
        <v>3.785</v>
      </c>
      <c r="D67" s="518" t="n">
        <v>3.645</v>
      </c>
      <c r="E67" s="772" t="n">
        <v>3.67</v>
      </c>
      <c r="F67" s="412" t="n">
        <v>12117200</v>
      </c>
    </row>
    <row r="68" ht="15" customHeight="1" s="413">
      <c r="A68" s="824" t="n">
        <v>46161.5625</v>
      </c>
      <c r="B68" s="518" t="n">
        <v>3.93</v>
      </c>
      <c r="C68" s="518" t="n">
        <v>3.99</v>
      </c>
      <c r="D68" s="518" t="n">
        <v>3.765</v>
      </c>
      <c r="E68" s="772" t="n">
        <v>3.81</v>
      </c>
      <c r="F68" s="412" t="n">
        <v>7118200</v>
      </c>
    </row>
    <row r="69" ht="15" customHeight="1" s="413">
      <c r="A69" s="824" t="n">
        <v>46160.5625</v>
      </c>
      <c r="B69" s="518" t="n">
        <v>3.86</v>
      </c>
      <c r="C69" s="518" t="n">
        <v>4.05</v>
      </c>
      <c r="D69" s="518" t="n">
        <v>3.85</v>
      </c>
      <c r="E69" s="772" t="n">
        <v>3.92</v>
      </c>
      <c r="F69" s="412" t="n">
        <v>8401800</v>
      </c>
    </row>
    <row r="70" ht="15" customHeight="1" s="413">
      <c r="A70" s="824" t="n">
        <v>46157.5625</v>
      </c>
      <c r="B70" s="518" t="n">
        <v>3.9</v>
      </c>
      <c r="C70" s="518" t="n">
        <v>3.985</v>
      </c>
      <c r="D70" s="518" t="n">
        <v>3.76</v>
      </c>
      <c r="E70" s="772" t="n">
        <v>3.86</v>
      </c>
      <c r="F70" s="412" t="n">
        <v>11959000</v>
      </c>
    </row>
    <row r="71" ht="15" customHeight="1" s="413">
      <c r="A71" s="824" t="n">
        <v>46156.5625</v>
      </c>
      <c r="B71" s="518" t="n">
        <v>3.99</v>
      </c>
      <c r="C71" s="518" t="n">
        <v>4.025</v>
      </c>
      <c r="D71" s="518" t="n">
        <v>3.76</v>
      </c>
      <c r="E71" s="772" t="n">
        <v>3.9</v>
      </c>
      <c r="F71" s="412" t="n">
        <v>16903200</v>
      </c>
    </row>
    <row r="72" ht="15" customHeight="1" s="413">
      <c r="A72" s="824" t="n">
        <v>46155.5625</v>
      </c>
      <c r="B72" s="518" t="n">
        <v>3.985</v>
      </c>
      <c r="C72" s="518" t="n">
        <v>4.115</v>
      </c>
      <c r="D72" s="518" t="n">
        <v>3.85</v>
      </c>
      <c r="E72" s="772" t="n">
        <v>3.96</v>
      </c>
      <c r="F72" s="412" t="n">
        <v>20553600</v>
      </c>
    </row>
    <row r="73" ht="15" customHeight="1" s="413">
      <c r="A73" s="824" t="n">
        <v>46154.5625</v>
      </c>
      <c r="B73" s="518" t="n">
        <v>4</v>
      </c>
      <c r="C73" s="518" t="n">
        <v>4.4</v>
      </c>
      <c r="D73" s="518" t="n">
        <v>3.87</v>
      </c>
      <c r="E73" s="772" t="n">
        <v>4.06</v>
      </c>
      <c r="F73" s="412" t="n">
        <v>42419100</v>
      </c>
    </row>
    <row r="74" ht="15" customHeight="1" s="413">
      <c r="A74" s="824" t="n">
        <v>46153.5625</v>
      </c>
      <c r="B74" s="518" t="n">
        <v>6.35</v>
      </c>
      <c r="C74" s="518" t="n">
        <v>6.66</v>
      </c>
      <c r="D74" s="518" t="n">
        <v>5.985</v>
      </c>
      <c r="E74" s="772" t="n">
        <v>6.04</v>
      </c>
      <c r="F74" s="412" t="n">
        <v>23425300</v>
      </c>
    </row>
    <row r="75" ht="15" customHeight="1" s="413">
      <c r="A75" s="824" t="n">
        <v>46150.5625</v>
      </c>
      <c r="B75" s="518" t="n">
        <v>6.54</v>
      </c>
      <c r="C75" s="518" t="n">
        <v>6.59</v>
      </c>
      <c r="D75" s="518" t="n">
        <v>6.2</v>
      </c>
      <c r="E75" s="772" t="n">
        <v>6.38</v>
      </c>
      <c r="F75" s="412" t="n">
        <v>19864100</v>
      </c>
    </row>
    <row r="76" ht="15" customHeight="1" s="413">
      <c r="A76" s="824" t="n">
        <v>46149.5625</v>
      </c>
      <c r="B76" s="518" t="n">
        <v>6.68</v>
      </c>
      <c r="C76" s="518" t="n">
        <v>6.868</v>
      </c>
      <c r="D76" s="518" t="n">
        <v>6.565</v>
      </c>
      <c r="E76" s="772" t="n">
        <v>6.63</v>
      </c>
      <c r="F76" s="412" t="n">
        <v>7560400</v>
      </c>
    </row>
    <row r="77" ht="15" customHeight="1" s="413">
      <c r="A77" s="824" t="n">
        <v>46148.5625</v>
      </c>
      <c r="B77" s="518" t="n">
        <v>6.46</v>
      </c>
      <c r="C77" s="518" t="n">
        <v>6.55</v>
      </c>
      <c r="D77" s="518" t="n">
        <v>6.35</v>
      </c>
      <c r="E77" s="772" t="n">
        <v>6.5</v>
      </c>
      <c r="F77" s="412" t="n">
        <v>7266900</v>
      </c>
    </row>
    <row r="78" ht="15" customHeight="1" s="413">
      <c r="A78" s="824" t="n">
        <v>46147.5625</v>
      </c>
      <c r="B78" s="518" t="n">
        <v>6.54</v>
      </c>
      <c r="C78" s="518" t="n">
        <v>6.6</v>
      </c>
      <c r="D78" s="518" t="n">
        <v>6.405</v>
      </c>
      <c r="E78" s="772" t="n">
        <v>6.56</v>
      </c>
      <c r="F78" s="412" t="n">
        <v>4426000</v>
      </c>
    </row>
    <row r="79" ht="15" customHeight="1" s="413">
      <c r="A79" s="824" t="n">
        <v>46146.5625</v>
      </c>
      <c r="B79" s="518" t="n">
        <v>6.64</v>
      </c>
      <c r="C79" s="518" t="n">
        <v>6.751</v>
      </c>
      <c r="D79" s="518" t="n">
        <v>6.485</v>
      </c>
      <c r="E79" s="772" t="n">
        <v>6.52</v>
      </c>
      <c r="F79" s="412" t="n">
        <v>6208900</v>
      </c>
    </row>
    <row r="80" ht="15" customHeight="1" s="413">
      <c r="A80" s="824" t="n">
        <v>46143.5625</v>
      </c>
      <c r="B80" s="518" t="n">
        <v>6.498</v>
      </c>
      <c r="C80" s="518" t="n">
        <v>6.715</v>
      </c>
      <c r="D80" s="518" t="n">
        <v>6.35</v>
      </c>
      <c r="E80" s="772" t="n">
        <v>6.65</v>
      </c>
      <c r="F80" s="412" t="n">
        <v>8659500</v>
      </c>
    </row>
    <row r="81" ht="15" customHeight="1" s="413">
      <c r="A81" s="824" t="n">
        <v>46142.5625</v>
      </c>
      <c r="B81" s="518" t="n">
        <v>6.1</v>
      </c>
      <c r="C81" s="518" t="n">
        <v>6.27</v>
      </c>
      <c r="D81" s="518" t="n">
        <v>6.03</v>
      </c>
      <c r="E81" s="772" t="n">
        <v>6.25</v>
      </c>
      <c r="F81" s="412" t="n">
        <v>5811100</v>
      </c>
    </row>
    <row r="82" ht="15" customHeight="1" s="413">
      <c r="A82" s="824" t="n">
        <v>46141.5625</v>
      </c>
      <c r="B82" s="518" t="n">
        <v>6.1</v>
      </c>
      <c r="C82" s="518" t="n">
        <v>6.235</v>
      </c>
      <c r="D82" s="518" t="n">
        <v>6.025</v>
      </c>
      <c r="E82" s="772" t="n">
        <v>6.13</v>
      </c>
      <c r="F82" s="412" t="n">
        <v>5277000</v>
      </c>
    </row>
    <row r="83" ht="15" customHeight="1" s="413">
      <c r="A83" s="824" t="n">
        <v>46140.5625</v>
      </c>
      <c r="B83" s="518" t="n">
        <v>6.09</v>
      </c>
      <c r="C83" s="518" t="n">
        <v>6.355</v>
      </c>
      <c r="D83" s="518" t="n">
        <v>6.08</v>
      </c>
      <c r="E83" s="772" t="n">
        <v>6.18</v>
      </c>
      <c r="F83" s="412" t="n">
        <v>7794600</v>
      </c>
    </row>
    <row r="84" ht="15" customHeight="1" s="413">
      <c r="A84" s="824" t="n">
        <v>46139.5625</v>
      </c>
      <c r="B84" s="518" t="n">
        <v>6.1</v>
      </c>
      <c r="C84" s="518" t="n">
        <v>6.285</v>
      </c>
      <c r="D84" s="518" t="n">
        <v>6.04</v>
      </c>
      <c r="E84" s="772" t="n">
        <v>6.06</v>
      </c>
      <c r="F84" s="412" t="n">
        <v>6132700</v>
      </c>
    </row>
    <row r="85" ht="15" customHeight="1" s="413">
      <c r="A85" s="824" t="n">
        <v>46136.5625</v>
      </c>
      <c r="B85" s="518" t="n">
        <v>5.9</v>
      </c>
      <c r="C85" s="518" t="n">
        <v>6.13</v>
      </c>
      <c r="D85" s="518" t="n">
        <v>5.73</v>
      </c>
      <c r="E85" s="772" t="n">
        <v>6.13</v>
      </c>
      <c r="F85" s="412" t="n">
        <v>7288500</v>
      </c>
    </row>
    <row r="86" ht="15" customHeight="1" s="413">
      <c r="A86" s="824" t="n">
        <v>46135.5625</v>
      </c>
      <c r="B86" s="518" t="n">
        <v>6.17</v>
      </c>
      <c r="C86" s="518" t="n">
        <v>6.25</v>
      </c>
      <c r="D86" s="518" t="n">
        <v>5.72</v>
      </c>
      <c r="E86" s="772" t="n">
        <v>5.87</v>
      </c>
      <c r="F86" s="412" t="n">
        <v>7186000</v>
      </c>
    </row>
    <row r="87" ht="15" customHeight="1" s="413">
      <c r="A87" s="824" t="n">
        <v>46134.5625</v>
      </c>
      <c r="B87" s="518" t="n">
        <v>6.29</v>
      </c>
      <c r="C87" s="518" t="n">
        <v>6.37</v>
      </c>
      <c r="D87" s="518" t="n">
        <v>6.195</v>
      </c>
      <c r="E87" s="772" t="n">
        <v>6.36</v>
      </c>
      <c r="F87" s="412" t="n">
        <v>4898500</v>
      </c>
    </row>
    <row r="88" ht="15" customHeight="1" s="413">
      <c r="A88" s="824" t="n">
        <v>46133.5625</v>
      </c>
      <c r="B88" s="518" t="n">
        <v>6.25</v>
      </c>
      <c r="C88" s="518" t="n">
        <v>6.42</v>
      </c>
      <c r="D88" s="518" t="n">
        <v>6.13</v>
      </c>
      <c r="E88" s="772" t="n">
        <v>6.21</v>
      </c>
      <c r="F88" s="412" t="n">
        <v>4304900</v>
      </c>
    </row>
    <row r="89" ht="15" customHeight="1" s="413">
      <c r="A89" s="824" t="n">
        <v>46132.5625</v>
      </c>
      <c r="B89" s="518" t="n">
        <v>6.14</v>
      </c>
      <c r="C89" s="518" t="n">
        <v>6.31</v>
      </c>
      <c r="D89" s="518" t="n">
        <v>6.025</v>
      </c>
      <c r="E89" s="772" t="n">
        <v>6.24</v>
      </c>
      <c r="F89" s="412" t="n">
        <v>5411400</v>
      </c>
    </row>
    <row r="90" ht="15" customHeight="1" s="413">
      <c r="A90" s="824" t="n">
        <v>46129.5625</v>
      </c>
      <c r="B90" s="518" t="n">
        <v>6.28</v>
      </c>
      <c r="C90" s="518" t="n">
        <v>6.4</v>
      </c>
      <c r="D90" s="518" t="n">
        <v>6.2</v>
      </c>
      <c r="E90" s="772" t="n">
        <v>6.21</v>
      </c>
      <c r="F90" s="412" t="n">
        <v>9273300</v>
      </c>
    </row>
    <row r="91" ht="15" customHeight="1" s="413">
      <c r="A91" s="824" t="n">
        <v>46128.5625</v>
      </c>
      <c r="B91" s="518" t="n">
        <v>6.27</v>
      </c>
      <c r="C91" s="518" t="n">
        <v>6.47</v>
      </c>
      <c r="D91" s="518" t="n">
        <v>6.08</v>
      </c>
      <c r="E91" s="772" t="n">
        <v>6.17</v>
      </c>
      <c r="F91" s="412" t="n">
        <v>8799100</v>
      </c>
    </row>
    <row r="92" ht="15" customHeight="1" s="413">
      <c r="A92" s="824" t="n">
        <v>46127.5625</v>
      </c>
      <c r="B92" s="518" t="n">
        <v>5.925</v>
      </c>
      <c r="C92" s="518" t="n">
        <v>6.3</v>
      </c>
      <c r="D92" s="518" t="n">
        <v>5.88</v>
      </c>
      <c r="E92" s="772" t="n">
        <v>6.15</v>
      </c>
      <c r="F92" s="412" t="n">
        <v>13834500</v>
      </c>
    </row>
    <row r="93" ht="15" customHeight="1" s="413">
      <c r="A93" s="824" t="n">
        <v>46126.5625</v>
      </c>
      <c r="B93" s="518" t="n">
        <v>5.59</v>
      </c>
      <c r="C93" s="518" t="n">
        <v>5.895</v>
      </c>
      <c r="D93" s="518" t="n">
        <v>5.545</v>
      </c>
      <c r="E93" s="772" t="n">
        <v>5.79</v>
      </c>
      <c r="F93" s="412" t="n">
        <v>11957700</v>
      </c>
    </row>
    <row r="94" ht="15" customHeight="1" s="413">
      <c r="A94" s="824" t="n">
        <v>46125.5625</v>
      </c>
      <c r="B94" s="518" t="n">
        <v>5.22</v>
      </c>
      <c r="C94" s="518" t="n">
        <v>5.52</v>
      </c>
      <c r="D94" s="518" t="n">
        <v>5.17</v>
      </c>
      <c r="E94" s="772" t="n">
        <v>5.52</v>
      </c>
      <c r="F94" s="412" t="n">
        <v>22082200</v>
      </c>
    </row>
    <row r="95" ht="15" customHeight="1" s="413">
      <c r="A95" s="824" t="n">
        <v>46122.5625</v>
      </c>
      <c r="B95" s="518" t="n">
        <v>5.37</v>
      </c>
      <c r="C95" s="518" t="n">
        <v>5.49</v>
      </c>
      <c r="D95" s="518" t="n">
        <v>5.15</v>
      </c>
      <c r="E95" s="772" t="n">
        <v>5.23</v>
      </c>
      <c r="F95" s="412" t="n">
        <v>18799600</v>
      </c>
    </row>
    <row r="96" ht="15" customHeight="1" s="413">
      <c r="A96" s="824" t="n">
        <v>46121.5625</v>
      </c>
      <c r="B96" s="518" t="n">
        <v>5.56</v>
      </c>
      <c r="C96" s="518" t="n">
        <v>5.66</v>
      </c>
      <c r="D96" s="518" t="n">
        <v>5.215</v>
      </c>
      <c r="E96" s="772" t="n">
        <v>5.4</v>
      </c>
      <c r="F96" s="412" t="n">
        <v>14444600</v>
      </c>
    </row>
    <row r="97" ht="15" customHeight="1" s="413">
      <c r="A97" s="824" t="n">
        <v>46120.5625</v>
      </c>
      <c r="B97" s="518" t="n">
        <v>6.05</v>
      </c>
      <c r="C97" s="518" t="n">
        <v>6.13</v>
      </c>
      <c r="D97" s="518" t="n">
        <v>5.595</v>
      </c>
      <c r="E97" s="772" t="n">
        <v>5.63</v>
      </c>
      <c r="F97" s="412" t="n">
        <v>10572200</v>
      </c>
    </row>
    <row r="98" ht="15" customHeight="1" s="413">
      <c r="A98" s="824" t="n">
        <v>46119.5625</v>
      </c>
      <c r="B98" s="518" t="n">
        <v>5.92</v>
      </c>
      <c r="C98" s="518" t="n">
        <v>6.05</v>
      </c>
      <c r="D98" s="518" t="n">
        <v>5.77</v>
      </c>
      <c r="E98" s="772" t="n">
        <v>5.8</v>
      </c>
      <c r="F98" s="412" t="n">
        <v>6785500</v>
      </c>
    </row>
    <row r="99" ht="15" customHeight="1" s="413">
      <c r="A99" s="824" t="n">
        <v>46118.5625</v>
      </c>
      <c r="B99" s="518" t="n">
        <v>5.82</v>
      </c>
      <c r="C99" s="518" t="n">
        <v>6.07</v>
      </c>
      <c r="D99" s="518" t="n">
        <v>5.82</v>
      </c>
      <c r="E99" s="772" t="n">
        <v>5.94</v>
      </c>
      <c r="F99" s="412" t="n">
        <v>12121700</v>
      </c>
    </row>
    <row r="100" ht="15" customHeight="1" s="413">
      <c r="A100" s="824" t="n">
        <v>46114.5625</v>
      </c>
      <c r="B100" s="518" t="n">
        <v>5.85</v>
      </c>
      <c r="C100" s="518" t="n">
        <v>6.165</v>
      </c>
      <c r="D100" s="518" t="n">
        <v>5.73</v>
      </c>
      <c r="E100" s="772" t="n">
        <v>5.81</v>
      </c>
      <c r="F100" s="412" t="n">
        <v>11560400</v>
      </c>
    </row>
    <row r="101" ht="15" customHeight="1" s="413">
      <c r="A101" s="824" t="n">
        <v>46113.5625</v>
      </c>
      <c r="B101" s="518" t="n">
        <v>6.01</v>
      </c>
      <c r="C101" s="518" t="n">
        <v>6.04</v>
      </c>
      <c r="D101" s="518" t="n">
        <v>5.79</v>
      </c>
      <c r="E101" s="772" t="n">
        <v>5.85</v>
      </c>
      <c r="F101" s="412" t="n">
        <v>9605700</v>
      </c>
    </row>
    <row r="102" ht="15" customHeight="1" s="413">
      <c r="A102" s="824" t="n">
        <v>46112.5625</v>
      </c>
      <c r="B102" s="518" t="n">
        <v>6.02</v>
      </c>
      <c r="C102" s="518" t="n">
        <v>6.2</v>
      </c>
      <c r="D102" s="518" t="n">
        <v>5.925</v>
      </c>
      <c r="E102" s="772" t="n">
        <v>5.98</v>
      </c>
      <c r="F102" s="412" t="n">
        <v>9181700</v>
      </c>
    </row>
    <row r="103" ht="15" customHeight="1" s="413">
      <c r="A103" s="824" t="n">
        <v>46111.5625</v>
      </c>
      <c r="B103" s="518" t="n">
        <v>5.77</v>
      </c>
      <c r="C103" s="518" t="n">
        <v>6.235</v>
      </c>
      <c r="D103" s="518" t="n">
        <v>5.76</v>
      </c>
      <c r="E103" s="772" t="n">
        <v>5.97</v>
      </c>
      <c r="F103" s="412" t="n">
        <v>12636000</v>
      </c>
    </row>
    <row r="104" ht="15" customHeight="1" s="413">
      <c r="A104" s="824" t="n">
        <v>46108.5625</v>
      </c>
      <c r="B104" s="518" t="n">
        <v>5.82</v>
      </c>
      <c r="C104" s="518" t="n">
        <v>5.86</v>
      </c>
      <c r="D104" s="518" t="n">
        <v>5.63</v>
      </c>
      <c r="E104" s="772" t="n">
        <v>5.72</v>
      </c>
      <c r="F104" s="412" t="n">
        <v>5968800</v>
      </c>
    </row>
    <row r="105" ht="15" customHeight="1" s="413">
      <c r="A105" s="824" t="n">
        <v>46107.5625</v>
      </c>
      <c r="B105" s="518" t="n">
        <v>5.73</v>
      </c>
      <c r="C105" s="518" t="n">
        <v>6.035</v>
      </c>
      <c r="D105" s="518" t="n">
        <v>5.73</v>
      </c>
      <c r="E105" s="772" t="n">
        <v>5.93</v>
      </c>
      <c r="F105" s="412" t="n">
        <v>6578600</v>
      </c>
    </row>
    <row r="106" ht="15" customHeight="1" s="413">
      <c r="A106" s="824" t="n">
        <v>46106.5625</v>
      </c>
      <c r="B106" s="518" t="n">
        <v>5.89</v>
      </c>
      <c r="C106" s="518" t="n">
        <v>5.98</v>
      </c>
      <c r="D106" s="518" t="n">
        <v>5.565</v>
      </c>
      <c r="E106" s="772" t="n">
        <v>5.81</v>
      </c>
      <c r="F106" s="412" t="n">
        <v>7847200</v>
      </c>
    </row>
    <row r="107" ht="15" customHeight="1" s="413">
      <c r="A107" s="824" t="n">
        <v>46105.5625</v>
      </c>
      <c r="B107" s="518" t="n">
        <v>6.06</v>
      </c>
      <c r="C107" s="518" t="n">
        <v>6.095</v>
      </c>
      <c r="D107" s="518" t="n">
        <v>5.715</v>
      </c>
      <c r="E107" s="772" t="n">
        <v>5.75</v>
      </c>
      <c r="F107" s="412" t="n">
        <v>7672600</v>
      </c>
    </row>
    <row r="108" ht="15" customHeight="1" s="413">
      <c r="A108" s="824" t="n">
        <v>46104.5625</v>
      </c>
      <c r="B108" s="518" t="n">
        <v>5.92</v>
      </c>
      <c r="C108" s="518" t="n">
        <v>6.28</v>
      </c>
      <c r="D108" s="518" t="n">
        <v>5.92</v>
      </c>
      <c r="E108" s="772" t="n">
        <v>6.18</v>
      </c>
      <c r="F108" s="412" t="n">
        <v>12098900</v>
      </c>
    </row>
    <row r="109" ht="15" customHeight="1" s="413">
      <c r="A109" s="824" t="n">
        <v>46101.5625</v>
      </c>
      <c r="B109" s="518" t="n">
        <v>5.88</v>
      </c>
      <c r="C109" s="518" t="n">
        <v>5.97</v>
      </c>
      <c r="D109" s="518" t="n">
        <v>5.715</v>
      </c>
      <c r="E109" s="772" t="n">
        <v>5.91</v>
      </c>
      <c r="F109" s="412" t="n">
        <v>56032800</v>
      </c>
    </row>
    <row r="110" ht="15" customHeight="1" s="413">
      <c r="A110" s="824" t="n">
        <v>46100.5625</v>
      </c>
      <c r="B110" s="518" t="n">
        <v>5.91</v>
      </c>
      <c r="C110" s="518" t="n">
        <v>6.13</v>
      </c>
      <c r="D110" s="518" t="n">
        <v>5.84</v>
      </c>
      <c r="E110" s="772" t="n">
        <v>5.95</v>
      </c>
      <c r="F110" s="412" t="n">
        <v>4554800</v>
      </c>
    </row>
    <row r="111" ht="15" customHeight="1" s="413">
      <c r="A111" s="824" t="n">
        <v>46099.5625</v>
      </c>
      <c r="B111" s="518" t="n">
        <v>5.77</v>
      </c>
      <c r="C111" s="518" t="n">
        <v>5.99</v>
      </c>
      <c r="D111" s="518" t="n">
        <v>5.74</v>
      </c>
      <c r="E111" s="772" t="n">
        <v>5.89</v>
      </c>
      <c r="F111" s="412" t="n">
        <v>4515100</v>
      </c>
    </row>
    <row r="112" ht="15" customHeight="1" s="413">
      <c r="A112" s="824" t="n">
        <v>46098.5625</v>
      </c>
      <c r="B112" s="518" t="n">
        <v>5.8</v>
      </c>
      <c r="C112" s="518" t="n">
        <v>6.06</v>
      </c>
      <c r="D112" s="518" t="n">
        <v>5.79</v>
      </c>
      <c r="E112" s="772" t="n">
        <v>5.86</v>
      </c>
      <c r="F112" s="412" t="n">
        <v>6197100</v>
      </c>
    </row>
    <row r="113" ht="15" customHeight="1" s="413">
      <c r="A113" s="824" t="n">
        <v>46097.5625</v>
      </c>
      <c r="B113" s="518" t="n">
        <v>5.9</v>
      </c>
      <c r="C113" s="518" t="n">
        <v>5.95</v>
      </c>
      <c r="D113" s="518" t="n">
        <v>5.78</v>
      </c>
      <c r="E113" s="772" t="n">
        <v>5.78</v>
      </c>
      <c r="F113" s="412" t="n">
        <v>6823200</v>
      </c>
    </row>
    <row r="114" ht="15" customHeight="1" s="413">
      <c r="A114" s="824" t="n">
        <v>46094.5625</v>
      </c>
      <c r="B114" s="518" t="n">
        <v>6.01</v>
      </c>
      <c r="C114" s="518" t="n">
        <v>6.075</v>
      </c>
      <c r="D114" s="518" t="n">
        <v>5.74</v>
      </c>
      <c r="E114" s="772" t="n">
        <v>5.83</v>
      </c>
      <c r="F114" s="412" t="n">
        <v>9377700</v>
      </c>
    </row>
    <row r="115" ht="15" customHeight="1" s="413">
      <c r="A115" s="824" t="n">
        <v>46093.5625</v>
      </c>
      <c r="B115" s="518" t="n">
        <v>6.23</v>
      </c>
      <c r="C115" s="518" t="n">
        <v>6.36</v>
      </c>
      <c r="D115" s="518" t="n">
        <v>5.98</v>
      </c>
      <c r="E115" s="772" t="n">
        <v>6</v>
      </c>
      <c r="F115" s="412" t="n">
        <v>7495100</v>
      </c>
    </row>
    <row r="116" ht="15" customHeight="1" s="413">
      <c r="A116" s="824" t="n">
        <v>46092.5625</v>
      </c>
      <c r="B116" s="518" t="n">
        <v>6.4</v>
      </c>
      <c r="C116" s="518" t="n">
        <v>6.55</v>
      </c>
      <c r="D116" s="518" t="n">
        <v>6.205</v>
      </c>
      <c r="E116" s="772" t="n">
        <v>6.29</v>
      </c>
      <c r="F116" s="412" t="n">
        <v>6838300</v>
      </c>
    </row>
    <row r="117" ht="15" customHeight="1" s="413">
      <c r="A117" s="824" t="n">
        <v>46091.5625</v>
      </c>
      <c r="B117" s="518" t="n">
        <v>6.51</v>
      </c>
      <c r="C117" s="518" t="n">
        <v>6.55</v>
      </c>
      <c r="D117" s="518" t="n">
        <v>6.23</v>
      </c>
      <c r="E117" s="772" t="n">
        <v>6.31</v>
      </c>
      <c r="F117" s="412" t="n">
        <v>5928900</v>
      </c>
    </row>
    <row r="118" ht="15" customHeight="1" s="413">
      <c r="A118" s="824" t="n">
        <v>46090.5625</v>
      </c>
      <c r="B118" s="518" t="n">
        <v>6.46</v>
      </c>
      <c r="C118" s="518" t="n">
        <v>6.575</v>
      </c>
      <c r="D118" s="518" t="n">
        <v>6.225</v>
      </c>
      <c r="E118" s="772" t="n">
        <v>6.5</v>
      </c>
      <c r="F118" s="412" t="n">
        <v>6563700</v>
      </c>
    </row>
    <row r="119" ht="15" customHeight="1" s="413">
      <c r="A119" s="824" t="n">
        <v>46087.60416666666</v>
      </c>
      <c r="B119" s="518" t="n">
        <v>6.45</v>
      </c>
      <c r="C119" s="518" t="n">
        <v>6.64</v>
      </c>
      <c r="D119" s="518" t="n">
        <v>6.37</v>
      </c>
      <c r="E119" s="772" t="n">
        <v>6.56</v>
      </c>
      <c r="F119" s="412" t="n">
        <v>5661900</v>
      </c>
    </row>
    <row r="120" ht="15" customHeight="1" s="413">
      <c r="A120" s="824" t="n">
        <v>46086.60416666666</v>
      </c>
      <c r="B120" s="518" t="n">
        <v>6.26</v>
      </c>
      <c r="C120" s="518" t="n">
        <v>6.62</v>
      </c>
      <c r="D120" s="518" t="n">
        <v>6.24</v>
      </c>
      <c r="E120" s="772" t="n">
        <v>6.59</v>
      </c>
      <c r="F120" s="412" t="n">
        <v>6292300</v>
      </c>
    </row>
    <row r="121" ht="15" customHeight="1" s="413">
      <c r="A121" s="824" t="n">
        <v>46085.60416666666</v>
      </c>
      <c r="B121" s="518" t="n">
        <v>6.23</v>
      </c>
      <c r="C121" s="518" t="n">
        <v>6.29</v>
      </c>
      <c r="D121" s="518" t="n">
        <v>6.09</v>
      </c>
      <c r="E121" s="772" t="n">
        <v>6.24</v>
      </c>
      <c r="F121" s="412" t="n">
        <v>5433100</v>
      </c>
    </row>
    <row r="122" ht="15" customHeight="1" s="413">
      <c r="A122" s="824" t="n">
        <v>46084.60416666666</v>
      </c>
      <c r="B122" s="518" t="n">
        <v>6.07</v>
      </c>
      <c r="C122" s="518" t="n">
        <v>6.285</v>
      </c>
      <c r="D122" s="518" t="n">
        <v>5.93</v>
      </c>
      <c r="E122" s="772" t="n">
        <v>6.23</v>
      </c>
      <c r="F122" s="412" t="n">
        <v>6630800</v>
      </c>
    </row>
    <row r="123" ht="15" customHeight="1" s="413">
      <c r="A123" s="824" t="n">
        <v>46083.60416666666</v>
      </c>
      <c r="B123" s="518" t="n">
        <v>6.03</v>
      </c>
      <c r="C123" s="518" t="n">
        <v>6.195</v>
      </c>
      <c r="D123" s="518" t="n">
        <v>5.91</v>
      </c>
      <c r="E123" s="772" t="n">
        <v>6.18</v>
      </c>
      <c r="F123" s="412" t="n">
        <v>8246800</v>
      </c>
    </row>
    <row r="124" ht="15" customHeight="1" s="413">
      <c r="A124" s="824" t="n">
        <v>46080.60416666666</v>
      </c>
      <c r="B124" s="518" t="n">
        <v>6.23</v>
      </c>
      <c r="C124" s="518" t="n">
        <v>6.24</v>
      </c>
      <c r="D124" s="518" t="n">
        <v>5.995</v>
      </c>
      <c r="E124" s="772" t="n">
        <v>6.21</v>
      </c>
      <c r="F124" s="412" t="n">
        <v>11187600</v>
      </c>
    </row>
    <row r="125" ht="15" customHeight="1" s="413">
      <c r="A125" s="824" t="n">
        <v>46079.60416666666</v>
      </c>
      <c r="B125" s="518" t="n">
        <v>6.17</v>
      </c>
      <c r="C125" s="518" t="n">
        <v>6.445</v>
      </c>
      <c r="D125" s="518" t="n">
        <v>6.12</v>
      </c>
      <c r="E125" s="772" t="n">
        <v>6.4</v>
      </c>
      <c r="F125" s="412" t="n">
        <v>9409100</v>
      </c>
    </row>
    <row r="126" ht="15" customHeight="1" s="413">
      <c r="A126" s="824" t="n">
        <v>46078.60416666666</v>
      </c>
      <c r="B126" s="518" t="n">
        <v>5.99</v>
      </c>
      <c r="C126" s="518" t="n">
        <v>6.16</v>
      </c>
      <c r="D126" s="518" t="n">
        <v>5.88</v>
      </c>
      <c r="E126" s="772" t="n">
        <v>6.13</v>
      </c>
      <c r="F126" s="412" t="n">
        <v>6983100</v>
      </c>
    </row>
    <row r="127" ht="15" customHeight="1" s="413">
      <c r="A127" s="824" t="n">
        <v>46077.60416666666</v>
      </c>
      <c r="B127" s="518" t="n">
        <v>6.04</v>
      </c>
      <c r="C127" s="518" t="n">
        <v>6.05</v>
      </c>
      <c r="D127" s="518" t="n">
        <v>5.77</v>
      </c>
      <c r="E127" s="772" t="n">
        <v>5.99</v>
      </c>
      <c r="F127" s="412" t="n">
        <v>17184100</v>
      </c>
    </row>
    <row r="128" ht="15" customHeight="1" s="413">
      <c r="A128" s="824" t="n">
        <v>46076.60416666666</v>
      </c>
      <c r="B128" s="518" t="n">
        <v>6.33</v>
      </c>
      <c r="C128" s="518" t="n">
        <v>6.35</v>
      </c>
      <c r="D128" s="518" t="n">
        <v>5.97</v>
      </c>
      <c r="E128" s="772" t="n">
        <v>6.03</v>
      </c>
      <c r="F128" s="412" t="n">
        <v>11530300</v>
      </c>
    </row>
    <row r="129" ht="15" customHeight="1" s="413">
      <c r="A129" s="824" t="n">
        <v>46073.60416666666</v>
      </c>
      <c r="B129" s="518" t="n">
        <v>6.38</v>
      </c>
      <c r="C129" s="518" t="n">
        <v>6.755</v>
      </c>
      <c r="D129" s="518" t="n">
        <v>6.38</v>
      </c>
      <c r="E129" s="772" t="n">
        <v>6.45</v>
      </c>
      <c r="F129" s="412" t="n">
        <v>8693100</v>
      </c>
    </row>
    <row r="130" ht="15" customHeight="1" s="413">
      <c r="A130" s="824" t="n">
        <v>46072.60416666666</v>
      </c>
      <c r="B130" s="518" t="n">
        <v>6.48</v>
      </c>
      <c r="C130" s="518" t="n">
        <v>6.56</v>
      </c>
      <c r="D130" s="518" t="n">
        <v>6.34</v>
      </c>
      <c r="E130" s="772" t="n">
        <v>6.43</v>
      </c>
      <c r="F130" s="412" t="n">
        <v>9435900</v>
      </c>
    </row>
    <row r="131" ht="15" customHeight="1" s="413">
      <c r="A131" s="824" t="n">
        <v>46071.60416666666</v>
      </c>
      <c r="B131" s="518" t="n">
        <v>6.54</v>
      </c>
      <c r="C131" s="518" t="n">
        <v>6.78</v>
      </c>
      <c r="D131" s="518" t="n">
        <v>6.4</v>
      </c>
      <c r="E131" s="772" t="n">
        <v>6.6</v>
      </c>
      <c r="F131" s="412" t="n">
        <v>10382900</v>
      </c>
    </row>
    <row r="132" ht="15" customHeight="1" s="413">
      <c r="A132" s="824" t="n">
        <v>46070.60416666666</v>
      </c>
      <c r="B132" s="518" t="n">
        <v>6.36</v>
      </c>
      <c r="C132" s="518" t="n">
        <v>6.5</v>
      </c>
      <c r="D132" s="518" t="n">
        <v>6.245</v>
      </c>
      <c r="E132" s="772" t="n">
        <v>6.49</v>
      </c>
      <c r="F132" s="412" t="n">
        <v>14937300</v>
      </c>
    </row>
    <row r="133" ht="15" customHeight="1" s="413">
      <c r="A133" s="824" t="n">
        <v>46066.60416666666</v>
      </c>
      <c r="B133" s="518" t="n">
        <v>6.36</v>
      </c>
      <c r="C133" s="518" t="n">
        <v>6.59</v>
      </c>
      <c r="D133" s="518" t="n">
        <v>6.285</v>
      </c>
      <c r="E133" s="772" t="n">
        <v>6.36</v>
      </c>
      <c r="F133" s="412" t="n">
        <v>18536500</v>
      </c>
    </row>
    <row r="134" ht="15" customHeight="1" s="413">
      <c r="A134" s="824" t="n">
        <v>46065.60416666666</v>
      </c>
      <c r="B134" s="518" t="n">
        <v>6.57</v>
      </c>
      <c r="C134" s="518" t="n">
        <v>6.6</v>
      </c>
      <c r="D134" s="518" t="n">
        <v>6.2</v>
      </c>
      <c r="E134" s="772" t="n">
        <v>6.3</v>
      </c>
      <c r="F134" s="412" t="n">
        <v>11135200</v>
      </c>
    </row>
    <row r="135" ht="15" customHeight="1" s="413">
      <c r="A135" s="824" t="n">
        <v>46064.60416666666</v>
      </c>
      <c r="B135" s="518" t="n">
        <v>6.66</v>
      </c>
      <c r="C135" s="518" t="n">
        <v>7</v>
      </c>
      <c r="D135" s="518" t="n">
        <v>6.355</v>
      </c>
      <c r="E135" s="772" t="n">
        <v>6.56</v>
      </c>
      <c r="F135" s="412" t="n">
        <v>25475600</v>
      </c>
    </row>
    <row r="136" ht="15" customHeight="1" s="413">
      <c r="A136" s="824" t="n">
        <v>46063.60416666666</v>
      </c>
      <c r="B136" s="518" t="n">
        <v>6.045</v>
      </c>
      <c r="C136" s="518" t="n">
        <v>6.96</v>
      </c>
      <c r="D136" s="518" t="n">
        <v>5.84</v>
      </c>
      <c r="E136" s="772" t="n">
        <v>6.63</v>
      </c>
      <c r="F136" s="412" t="n">
        <v>37311900</v>
      </c>
    </row>
    <row r="137" ht="15" customHeight="1" s="413">
      <c r="A137" s="824" t="n">
        <v>46062.60416666666</v>
      </c>
      <c r="B137" s="518" t="n">
        <v>7.14</v>
      </c>
      <c r="C137" s="518" t="n">
        <v>7.68</v>
      </c>
      <c r="D137" s="518" t="n">
        <v>7.01</v>
      </c>
      <c r="E137" s="772" t="n">
        <v>7.32</v>
      </c>
      <c r="F137" s="412" t="n">
        <v>17482300</v>
      </c>
    </row>
    <row r="138" ht="15" customHeight="1" s="413">
      <c r="A138" s="824" t="n">
        <v>46059.60416666666</v>
      </c>
      <c r="B138" s="518" t="n">
        <v>6.81</v>
      </c>
      <c r="C138" s="518" t="n">
        <v>7.35</v>
      </c>
      <c r="D138" s="518" t="n">
        <v>6.63</v>
      </c>
      <c r="E138" s="772" t="n">
        <v>7.31</v>
      </c>
      <c r="F138" s="412" t="n">
        <v>11669000</v>
      </c>
    </row>
    <row r="139" ht="15" customHeight="1" s="413">
      <c r="A139" s="824" t="n">
        <v>46058.60416666666</v>
      </c>
      <c r="B139" s="518" t="n">
        <v>6.75</v>
      </c>
      <c r="C139" s="518" t="n">
        <v>7.11</v>
      </c>
      <c r="D139" s="518" t="n">
        <v>6.7</v>
      </c>
      <c r="E139" s="772" t="n">
        <v>6.78</v>
      </c>
      <c r="F139" s="412" t="n">
        <v>7805300</v>
      </c>
    </row>
    <row r="140" ht="15" customHeight="1" s="413">
      <c r="A140" s="824" t="n">
        <v>46057.60416666666</v>
      </c>
      <c r="B140" s="518" t="n">
        <v>6.83</v>
      </c>
      <c r="C140" s="518" t="n">
        <v>7.18</v>
      </c>
      <c r="D140" s="518" t="n">
        <v>6.67</v>
      </c>
      <c r="E140" s="772" t="n">
        <v>6.87</v>
      </c>
      <c r="F140" s="412" t="n">
        <v>11355000</v>
      </c>
    </row>
    <row r="141" ht="15" customHeight="1" s="413">
      <c r="A141" s="824" t="n">
        <v>46056.60416666666</v>
      </c>
      <c r="B141" s="518" t="n">
        <v>7.65</v>
      </c>
      <c r="C141" s="518" t="n">
        <v>7.81</v>
      </c>
      <c r="D141" s="518" t="n">
        <v>6.845</v>
      </c>
      <c r="E141" s="772" t="n">
        <v>6.92</v>
      </c>
      <c r="F141" s="412" t="n">
        <v>11030800</v>
      </c>
    </row>
    <row r="142" ht="15" customHeight="1" s="413">
      <c r="A142" s="824" t="n">
        <v>46055.60416666666</v>
      </c>
      <c r="B142" s="518" t="n">
        <v>8.01</v>
      </c>
      <c r="C142" s="518" t="n">
        <v>8.154999999999999</v>
      </c>
      <c r="D142" s="518" t="n">
        <v>7.78</v>
      </c>
      <c r="E142" s="772" t="n">
        <v>7.81</v>
      </c>
      <c r="F142" s="412" t="n">
        <v>9005700</v>
      </c>
    </row>
    <row r="143" ht="15" customHeight="1" s="413">
      <c r="A143" s="824" t="n">
        <v>46052.60416666666</v>
      </c>
      <c r="B143" s="518" t="n">
        <v>8.119999999999999</v>
      </c>
      <c r="C143" s="518" t="n">
        <v>8.279999999999999</v>
      </c>
      <c r="D143" s="518" t="n">
        <v>7.945</v>
      </c>
      <c r="E143" s="772" t="n">
        <v>8.050000000000001</v>
      </c>
      <c r="F143" s="412" t="n">
        <v>8975300</v>
      </c>
    </row>
    <row r="144" ht="15" customHeight="1" s="413">
      <c r="A144" s="824" t="n">
        <v>46051.60416666666</v>
      </c>
      <c r="B144" s="518" t="n">
        <v>8.619999999999999</v>
      </c>
      <c r="C144" s="518" t="n">
        <v>8.630000000000001</v>
      </c>
      <c r="D144" s="518" t="n">
        <v>7.952</v>
      </c>
      <c r="E144" s="772" t="n">
        <v>8.19</v>
      </c>
      <c r="F144" s="412" t="n">
        <v>7733500</v>
      </c>
    </row>
    <row r="145" ht="15" customHeight="1" s="413">
      <c r="A145" s="824" t="n">
        <v>46050.60416666666</v>
      </c>
      <c r="B145" s="518" t="n">
        <v>8.77</v>
      </c>
      <c r="C145" s="518" t="n">
        <v>8.9</v>
      </c>
      <c r="D145" s="518" t="n">
        <v>8.640000000000001</v>
      </c>
      <c r="E145" s="772" t="n">
        <v>8.715</v>
      </c>
      <c r="F145" s="412" t="n">
        <v>6224700</v>
      </c>
    </row>
    <row r="146" ht="15" customHeight="1" s="413">
      <c r="A146" s="824" t="n">
        <v>46049.60416666666</v>
      </c>
      <c r="B146" s="518" t="n">
        <v>8.93</v>
      </c>
      <c r="C146" s="518" t="n">
        <v>9.025</v>
      </c>
      <c r="D146" s="518" t="n">
        <v>8.685</v>
      </c>
      <c r="E146" s="772" t="n">
        <v>8.720000000000001</v>
      </c>
      <c r="F146" s="412" t="n">
        <v>4503000</v>
      </c>
    </row>
    <row r="147" ht="15" customHeight="1" s="413">
      <c r="A147" s="824" t="n">
        <v>46048.60416666666</v>
      </c>
      <c r="B147" s="518" t="n">
        <v>8.83</v>
      </c>
      <c r="C147" s="518" t="n">
        <v>9.074999999999999</v>
      </c>
      <c r="D147" s="518" t="n">
        <v>8.83</v>
      </c>
      <c r="E147" s="772" t="n">
        <v>8.91</v>
      </c>
      <c r="F147" s="412" t="n">
        <v>6531400</v>
      </c>
    </row>
    <row r="148" ht="15" customHeight="1" s="413">
      <c r="A148" s="824" t="n">
        <v>46045.60416666666</v>
      </c>
      <c r="B148" s="518" t="n">
        <v>9.1</v>
      </c>
      <c r="C148" s="518" t="n">
        <v>9.19</v>
      </c>
      <c r="D148" s="518" t="n">
        <v>8.805</v>
      </c>
      <c r="E148" s="772" t="n">
        <v>8.82</v>
      </c>
      <c r="F148" s="412" t="n">
        <v>6715000</v>
      </c>
    </row>
    <row r="149" ht="15" customHeight="1" s="413">
      <c r="A149" s="824" t="n">
        <v>46044.60416666666</v>
      </c>
      <c r="B149" s="518" t="n">
        <v>8.880000000000001</v>
      </c>
      <c r="C149" s="518" t="n">
        <v>9.18</v>
      </c>
      <c r="D149" s="518" t="n">
        <v>8.880000000000001</v>
      </c>
      <c r="E149" s="772" t="n">
        <v>9.119999999999999</v>
      </c>
      <c r="F149" s="412" t="n">
        <v>3875200</v>
      </c>
    </row>
    <row r="150" ht="15" customHeight="1" s="413">
      <c r="A150" s="824" t="n">
        <v>46043.60416666666</v>
      </c>
      <c r="B150" s="518" t="n">
        <v>8.81</v>
      </c>
      <c r="C150" s="518" t="n">
        <v>8.91</v>
      </c>
      <c r="D150" s="518" t="n">
        <v>8.705</v>
      </c>
      <c r="E150" s="772" t="n">
        <v>8.76</v>
      </c>
      <c r="F150" s="412" t="n">
        <v>3834100</v>
      </c>
    </row>
    <row r="151" ht="15" customHeight="1" s="413">
      <c r="A151" s="824" t="n">
        <v>46042.60416666666</v>
      </c>
      <c r="B151" s="518" t="n">
        <v>8.93</v>
      </c>
      <c r="C151" s="518" t="n">
        <v>9.18</v>
      </c>
      <c r="D151" s="518" t="n">
        <v>8.779999999999999</v>
      </c>
      <c r="E151" s="772" t="n">
        <v>8.785</v>
      </c>
      <c r="F151" s="412" t="n">
        <v>4783200</v>
      </c>
    </row>
    <row r="152" ht="15" customHeight="1" s="413">
      <c r="A152" s="824" t="n">
        <v>46038.60416666666</v>
      </c>
      <c r="B152" s="518" t="n">
        <v>10.03</v>
      </c>
      <c r="C152" s="518" t="n">
        <v>10.045</v>
      </c>
      <c r="D152" s="518" t="n">
        <v>9</v>
      </c>
      <c r="E152" s="772" t="n">
        <v>9.035</v>
      </c>
      <c r="F152" s="412" t="n">
        <v>8127400</v>
      </c>
    </row>
    <row r="153" ht="15" customHeight="1" s="413">
      <c r="A153" s="824" t="n">
        <v>46037.60416666666</v>
      </c>
      <c r="B153" s="518" t="n">
        <v>10.11</v>
      </c>
      <c r="C153" s="518" t="n">
        <v>10.14</v>
      </c>
      <c r="D153" s="518" t="n">
        <v>9.99</v>
      </c>
      <c r="E153" s="772" t="n">
        <v>10</v>
      </c>
      <c r="F153" s="412" t="n">
        <v>2779300</v>
      </c>
    </row>
    <row r="154" ht="15" customHeight="1" s="413">
      <c r="A154" s="824" t="n">
        <v>46036.60416666666</v>
      </c>
      <c r="B154" s="518" t="n">
        <v>10.035</v>
      </c>
      <c r="C154" s="518" t="n">
        <v>10.245</v>
      </c>
      <c r="D154" s="518" t="n">
        <v>9.965</v>
      </c>
      <c r="E154" s="772" t="n">
        <v>10.08</v>
      </c>
      <c r="F154" s="412" t="n">
        <v>3684300</v>
      </c>
    </row>
    <row r="155" ht="15" customHeight="1" s="413">
      <c r="A155" s="824" t="n">
        <v>46035.60416666666</v>
      </c>
      <c r="B155" s="518" t="n">
        <v>10.48</v>
      </c>
      <c r="C155" s="518" t="n">
        <v>10.54</v>
      </c>
      <c r="D155" s="518" t="n">
        <v>10.05</v>
      </c>
      <c r="E155" s="772" t="n">
        <v>10.06</v>
      </c>
      <c r="F155" s="412" t="n">
        <v>4020200</v>
      </c>
    </row>
    <row r="156" ht="15" customHeight="1" s="413">
      <c r="A156" s="824" t="n">
        <v>46034.60416666666</v>
      </c>
      <c r="B156" s="518" t="n">
        <v>10.29</v>
      </c>
      <c r="C156" s="518" t="n">
        <v>10.58</v>
      </c>
      <c r="D156" s="518" t="n">
        <v>10.145</v>
      </c>
      <c r="E156" s="772" t="n">
        <v>10.47</v>
      </c>
      <c r="F156" s="412" t="n">
        <v>3168100</v>
      </c>
    </row>
    <row r="157" ht="15" customHeight="1" s="413">
      <c r="A157" s="824" t="n">
        <v>46031.60416666666</v>
      </c>
      <c r="B157" s="518" t="n">
        <v>10.6</v>
      </c>
      <c r="C157" s="518" t="n">
        <v>10.76</v>
      </c>
      <c r="D157" s="518" t="n">
        <v>10.355</v>
      </c>
      <c r="E157" s="772" t="n">
        <v>10.4</v>
      </c>
      <c r="F157" s="412" t="n">
        <v>3754400</v>
      </c>
    </row>
    <row r="158" ht="15" customHeight="1" s="413">
      <c r="A158" s="824" t="n">
        <v>46030.60416666666</v>
      </c>
      <c r="B158" s="518" t="n">
        <v>10.37</v>
      </c>
      <c r="C158" s="518" t="n">
        <v>10.69</v>
      </c>
      <c r="D158" s="518" t="n">
        <v>10.25</v>
      </c>
      <c r="E158" s="772" t="n">
        <v>10.58</v>
      </c>
      <c r="F158" s="412" t="n">
        <v>3500900</v>
      </c>
    </row>
    <row r="159" ht="15" customHeight="1" s="413">
      <c r="A159" s="824" t="n">
        <v>46029.60416666666</v>
      </c>
      <c r="B159" s="518" t="n">
        <v>10.49</v>
      </c>
      <c r="C159" s="518" t="n">
        <v>10.6</v>
      </c>
      <c r="D159" s="518" t="n">
        <v>10.35</v>
      </c>
      <c r="E159" s="772" t="n">
        <v>10.48</v>
      </c>
      <c r="F159" s="412" t="n">
        <v>3527400</v>
      </c>
    </row>
    <row r="160" ht="15" customHeight="1" s="413">
      <c r="A160" s="824" t="n">
        <v>46028.60416666666</v>
      </c>
      <c r="B160" s="518" t="n">
        <v>10.14</v>
      </c>
      <c r="C160" s="518" t="n">
        <v>10.53</v>
      </c>
      <c r="D160" s="518" t="n">
        <v>10.09</v>
      </c>
      <c r="E160" s="772" t="n">
        <v>10.49</v>
      </c>
      <c r="F160" s="412" t="n">
        <v>4651700</v>
      </c>
    </row>
    <row r="161" ht="15" customHeight="1" s="413">
      <c r="A161" s="824" t="n">
        <v>46027.60416666666</v>
      </c>
      <c r="B161" s="518" t="n">
        <v>9.630000000000001</v>
      </c>
      <c r="C161" s="518" t="n">
        <v>10.36</v>
      </c>
      <c r="D161" s="518" t="n">
        <v>9.6</v>
      </c>
      <c r="E161" s="772" t="n">
        <v>10.24</v>
      </c>
      <c r="F161" s="412" t="n">
        <v>5467900</v>
      </c>
    </row>
    <row r="162" ht="15" customHeight="1" s="413">
      <c r="A162" s="824" t="n">
        <v>46024.60416666666</v>
      </c>
      <c r="B162" s="518" t="n">
        <v>10.24</v>
      </c>
      <c r="C162" s="518" t="n">
        <v>10.28</v>
      </c>
      <c r="D162" s="518" t="n">
        <v>9.56</v>
      </c>
      <c r="E162" s="772" t="n">
        <v>9.609999999999999</v>
      </c>
      <c r="F162" s="412" t="n">
        <v>5829900</v>
      </c>
    </row>
    <row r="163" ht="15" customHeight="1" s="413">
      <c r="A163" s="824" t="n">
        <v>46022.60416666666</v>
      </c>
      <c r="B163" s="518" t="n">
        <v>10.055</v>
      </c>
      <c r="C163" s="518" t="n">
        <v>10.215</v>
      </c>
      <c r="D163" s="518" t="n">
        <v>9.984999999999999</v>
      </c>
      <c r="E163" s="772" t="n">
        <v>10.17</v>
      </c>
      <c r="F163" s="412" t="n">
        <v>4241200</v>
      </c>
    </row>
    <row r="164" ht="15" customHeight="1" s="413">
      <c r="A164" s="824" t="n">
        <v>46021.60416666666</v>
      </c>
      <c r="B164" s="518" t="n">
        <v>9.949999999999999</v>
      </c>
      <c r="C164" s="518" t="n">
        <v>10.055</v>
      </c>
      <c r="D164" s="518" t="n">
        <v>9.93</v>
      </c>
      <c r="E164" s="772" t="n">
        <v>10.03</v>
      </c>
      <c r="F164" s="412" t="n">
        <v>3499400</v>
      </c>
    </row>
    <row r="165" ht="15" customHeight="1" s="413">
      <c r="A165" s="824" t="n">
        <v>46020.60416666666</v>
      </c>
      <c r="B165" s="518" t="n">
        <v>10.06</v>
      </c>
      <c r="C165" s="518" t="n">
        <v>10.16</v>
      </c>
      <c r="D165" s="518" t="n">
        <v>9.94</v>
      </c>
      <c r="E165" s="772" t="n">
        <v>9.949999999999999</v>
      </c>
      <c r="F165" s="412" t="n">
        <v>2905200</v>
      </c>
    </row>
    <row r="166" ht="15" customHeight="1" s="413">
      <c r="A166" s="824" t="n">
        <v>46017.60416666666</v>
      </c>
      <c r="B166" s="518" t="n">
        <v>10.07</v>
      </c>
      <c r="C166" s="518" t="n">
        <v>10.175</v>
      </c>
      <c r="D166" s="518" t="n">
        <v>10.06</v>
      </c>
      <c r="E166" s="772" t="n">
        <v>10.12</v>
      </c>
      <c r="F166" s="412" t="n">
        <v>1941200</v>
      </c>
    </row>
    <row r="167" ht="15" customHeight="1" s="413">
      <c r="A167" s="824" t="n">
        <v>46015.60416666666</v>
      </c>
      <c r="B167" s="518" t="n">
        <v>10.04</v>
      </c>
      <c r="C167" s="518" t="n">
        <v>10.14</v>
      </c>
      <c r="D167" s="518" t="n">
        <v>10.025</v>
      </c>
      <c r="E167" s="772" t="n">
        <v>10.12</v>
      </c>
      <c r="F167" s="412" t="n">
        <v>1938500</v>
      </c>
    </row>
    <row r="168" ht="15" customHeight="1" s="413">
      <c r="A168" s="824" t="n">
        <v>46014.60416666666</v>
      </c>
      <c r="B168" s="518" t="n">
        <v>10.2</v>
      </c>
      <c r="C168" s="518" t="n">
        <v>10.24</v>
      </c>
      <c r="D168" s="518" t="n">
        <v>9.99</v>
      </c>
      <c r="E168" s="772" t="n">
        <v>10.07</v>
      </c>
      <c r="F168" s="412" t="n">
        <v>3631100</v>
      </c>
    </row>
    <row r="169" ht="15" customHeight="1" s="413">
      <c r="A169" s="824" t="n">
        <v>46013.60416666666</v>
      </c>
      <c r="B169" s="518" t="n">
        <v>10.3</v>
      </c>
      <c r="C169" s="518" t="n">
        <v>10.49</v>
      </c>
      <c r="D169" s="518" t="n">
        <v>10.175</v>
      </c>
      <c r="E169" s="772" t="n">
        <v>10.21</v>
      </c>
      <c r="F169" s="412" t="n">
        <v>4193300</v>
      </c>
    </row>
    <row r="170" ht="15" customHeight="1" s="413">
      <c r="A170" s="824" t="n">
        <v>46010.60416666666</v>
      </c>
      <c r="B170" s="518" t="n">
        <v>10.17</v>
      </c>
      <c r="C170" s="518" t="n">
        <v>10.29</v>
      </c>
      <c r="D170" s="518" t="n">
        <v>10.06</v>
      </c>
      <c r="E170" s="772" t="n">
        <v>10.27</v>
      </c>
      <c r="F170" s="412" t="n">
        <v>14351100</v>
      </c>
    </row>
    <row r="171" ht="15" customHeight="1" s="413">
      <c r="A171" s="824" t="n">
        <v>46009.60416666666</v>
      </c>
      <c r="B171" s="518" t="n">
        <v>10.09</v>
      </c>
      <c r="C171" s="518" t="n">
        <v>10.21</v>
      </c>
      <c r="D171" s="518" t="n">
        <v>9.92</v>
      </c>
      <c r="E171" s="772" t="n">
        <v>10.17</v>
      </c>
      <c r="F171" s="412" t="n">
        <v>4011400</v>
      </c>
    </row>
    <row r="172" ht="15" customHeight="1" s="413">
      <c r="A172" s="824" t="n">
        <v>46008.60416666666</v>
      </c>
      <c r="B172" s="518" t="n">
        <v>10.01</v>
      </c>
      <c r="C172" s="518" t="n">
        <v>10.58</v>
      </c>
      <c r="D172" s="518" t="n">
        <v>10.008</v>
      </c>
      <c r="E172" s="772" t="n">
        <v>10.07</v>
      </c>
      <c r="F172" s="412" t="n">
        <v>7193400</v>
      </c>
    </row>
    <row r="173" ht="15" customHeight="1" s="413">
      <c r="A173" s="824" t="n">
        <v>46007.60416666666</v>
      </c>
      <c r="B173" s="518" t="n">
        <v>9.76</v>
      </c>
      <c r="C173" s="518" t="n">
        <v>10.005</v>
      </c>
      <c r="D173" s="518" t="n">
        <v>9.744999999999999</v>
      </c>
      <c r="E173" s="772" t="n">
        <v>9.949999999999999</v>
      </c>
      <c r="F173" s="412" t="n">
        <v>5312100</v>
      </c>
    </row>
    <row r="174" ht="15" customHeight="1" s="413">
      <c r="A174" s="824" t="n">
        <v>46006.60416666666</v>
      </c>
      <c r="B174" s="518" t="n">
        <v>10.11</v>
      </c>
      <c r="C174" s="518" t="n">
        <v>10.235</v>
      </c>
      <c r="D174" s="518" t="n">
        <v>9.75</v>
      </c>
      <c r="E174" s="772" t="n">
        <v>9.789999999999999</v>
      </c>
      <c r="F174" s="412" t="n">
        <v>4853000</v>
      </c>
    </row>
    <row r="175" ht="15" customHeight="1" s="413">
      <c r="A175" s="824" t="n">
        <v>46003.60416666666</v>
      </c>
      <c r="B175" s="518" t="n">
        <v>9.970000000000001</v>
      </c>
      <c r="C175" s="518" t="n">
        <v>10.02</v>
      </c>
      <c r="D175" s="518" t="n">
        <v>9.68</v>
      </c>
      <c r="E175" s="772" t="n">
        <v>9.960000000000001</v>
      </c>
      <c r="F175" s="412" t="n">
        <v>4427200</v>
      </c>
    </row>
    <row r="176" ht="15" customHeight="1" s="413">
      <c r="A176" s="824" t="n">
        <v>46002.60416666666</v>
      </c>
      <c r="B176" s="518" t="n">
        <v>10.02</v>
      </c>
      <c r="C176" s="518" t="n">
        <v>10.09</v>
      </c>
      <c r="D176" s="518" t="n">
        <v>9.76</v>
      </c>
      <c r="E176" s="772" t="n">
        <v>9.960000000000001</v>
      </c>
      <c r="F176" s="412" t="n">
        <v>5902100</v>
      </c>
    </row>
    <row r="177" ht="15" customHeight="1" s="413">
      <c r="A177" s="824" t="n">
        <v>46001.60416666666</v>
      </c>
      <c r="B177" s="518" t="n">
        <v>9.970000000000001</v>
      </c>
      <c r="C177" s="518" t="n">
        <v>10.22</v>
      </c>
      <c r="D177" s="518" t="n">
        <v>9.9</v>
      </c>
      <c r="E177" s="772" t="n">
        <v>10.13</v>
      </c>
      <c r="F177" s="412" t="n">
        <v>6018800</v>
      </c>
    </row>
    <row r="178" ht="15" customHeight="1" s="413">
      <c r="A178" s="824" t="n">
        <v>46000.60416666666</v>
      </c>
      <c r="B178" s="518" t="n">
        <v>9.91</v>
      </c>
      <c r="C178" s="518" t="n">
        <v>10.255</v>
      </c>
      <c r="D178" s="518" t="n">
        <v>9.895</v>
      </c>
      <c r="E178" s="772" t="n">
        <v>10</v>
      </c>
      <c r="F178" s="412" t="n">
        <v>4132000</v>
      </c>
    </row>
    <row r="179" ht="15" customHeight="1" s="413">
      <c r="A179" s="824" t="n">
        <v>45999.60416666666</v>
      </c>
      <c r="B179" s="518" t="n">
        <v>9.94</v>
      </c>
      <c r="C179" s="518" t="n">
        <v>10.125</v>
      </c>
      <c r="D179" s="518" t="n">
        <v>9.895</v>
      </c>
      <c r="E179" s="772" t="n">
        <v>9.949999999999999</v>
      </c>
      <c r="F179" s="412" t="n">
        <v>4959700</v>
      </c>
    </row>
    <row r="180" ht="15" customHeight="1" s="413">
      <c r="A180" s="824" t="n">
        <v>45996.60416666666</v>
      </c>
      <c r="B180" s="518" t="n">
        <v>9.9</v>
      </c>
      <c r="C180" s="518" t="n">
        <v>10.095</v>
      </c>
      <c r="D180" s="518" t="n">
        <v>9.69</v>
      </c>
      <c r="E180" s="772" t="n">
        <v>9.94</v>
      </c>
      <c r="F180" s="412" t="n">
        <v>9085600</v>
      </c>
    </row>
    <row r="181" ht="15" customHeight="1" s="413">
      <c r="A181" s="824" t="n">
        <v>45995.60416666666</v>
      </c>
      <c r="B181" s="518" t="n">
        <v>10.07</v>
      </c>
      <c r="C181" s="518" t="n">
        <v>10.105</v>
      </c>
      <c r="D181" s="518" t="n">
        <v>9.82</v>
      </c>
      <c r="E181" s="772" t="n">
        <v>9.91</v>
      </c>
      <c r="F181" s="412" t="n">
        <v>6793600</v>
      </c>
    </row>
    <row r="182" ht="15" customHeight="1" s="413">
      <c r="A182" s="824" t="n">
        <v>45994.60416666666</v>
      </c>
      <c r="B182" s="518" t="n">
        <v>10.07</v>
      </c>
      <c r="C182" s="518" t="n">
        <v>10.285</v>
      </c>
      <c r="D182" s="518" t="n">
        <v>9.949999999999999</v>
      </c>
      <c r="E182" s="772" t="n">
        <v>10.07</v>
      </c>
      <c r="F182" s="412" t="n">
        <v>4390400</v>
      </c>
    </row>
    <row r="183" ht="15" customHeight="1" s="413">
      <c r="A183" s="824" t="n">
        <v>45993.60416666666</v>
      </c>
      <c r="B183" s="518" t="n">
        <v>10.16</v>
      </c>
      <c r="C183" s="518" t="n">
        <v>10.28</v>
      </c>
      <c r="D183" s="518" t="n">
        <v>10.09</v>
      </c>
      <c r="E183" s="772" t="n">
        <v>10.11</v>
      </c>
      <c r="F183" s="412" t="n">
        <v>4879400</v>
      </c>
    </row>
    <row r="184" ht="15" customHeight="1" s="413">
      <c r="A184" s="824" t="n">
        <v>45992.60416666666</v>
      </c>
      <c r="B184" s="518" t="n">
        <v>9.800000000000001</v>
      </c>
      <c r="C184" s="518" t="n">
        <v>10.22</v>
      </c>
      <c r="D184" s="518" t="n">
        <v>9.73</v>
      </c>
      <c r="E184" s="772" t="n">
        <v>10.12</v>
      </c>
      <c r="F184" s="412" t="n">
        <v>5706400</v>
      </c>
    </row>
    <row r="185" ht="15" customHeight="1" s="413">
      <c r="A185" s="824" t="n">
        <v>45989.60416666666</v>
      </c>
      <c r="B185" s="518" t="n">
        <v>9.789999999999999</v>
      </c>
      <c r="C185" s="518" t="n">
        <v>10.02</v>
      </c>
      <c r="D185" s="518" t="n">
        <v>9.630000000000001</v>
      </c>
      <c r="E185" s="772" t="n">
        <v>9.92</v>
      </c>
      <c r="F185" s="412" t="n">
        <v>5004200</v>
      </c>
    </row>
    <row r="186" ht="15" customHeight="1" s="413">
      <c r="A186" s="824" t="n">
        <v>45987.60416666666</v>
      </c>
      <c r="B186" s="518" t="n">
        <v>9.619999999999999</v>
      </c>
      <c r="C186" s="518" t="n">
        <v>9.869999999999999</v>
      </c>
      <c r="D186" s="518" t="n">
        <v>9.529999999999999</v>
      </c>
      <c r="E186" s="772" t="n">
        <v>9.67</v>
      </c>
      <c r="F186" s="412" t="n">
        <v>5662500</v>
      </c>
    </row>
    <row r="187" ht="15" customHeight="1" s="413">
      <c r="A187" s="824" t="n">
        <v>45986.60416666666</v>
      </c>
      <c r="B187" s="518" t="n">
        <v>9.51</v>
      </c>
      <c r="C187" s="518" t="n">
        <v>9.869999999999999</v>
      </c>
      <c r="D187" s="518" t="n">
        <v>9.359999999999999</v>
      </c>
      <c r="E187" s="772" t="n">
        <v>9.619999999999999</v>
      </c>
      <c r="F187" s="412" t="n">
        <v>4099900</v>
      </c>
    </row>
    <row r="188" ht="15" customHeight="1" s="413">
      <c r="A188" s="824" t="n">
        <v>45985.60416666666</v>
      </c>
      <c r="B188" s="518" t="n">
        <v>9.48</v>
      </c>
      <c r="C188" s="518" t="n">
        <v>9.59</v>
      </c>
      <c r="D188" s="518" t="n">
        <v>9.35</v>
      </c>
      <c r="E188" s="772" t="n">
        <v>9.49</v>
      </c>
      <c r="F188" s="412" t="n">
        <v>2978500</v>
      </c>
    </row>
    <row r="189" ht="15" customHeight="1" s="413">
      <c r="A189" s="824" t="n">
        <v>45982.60416666666</v>
      </c>
      <c r="B189" s="518" t="n">
        <v>9.109999999999999</v>
      </c>
      <c r="C189" s="518" t="n">
        <v>9.615</v>
      </c>
      <c r="D189" s="518" t="n">
        <v>8.935</v>
      </c>
      <c r="E189" s="772" t="n">
        <v>9.470000000000001</v>
      </c>
      <c r="F189" s="412" t="n">
        <v>5827300</v>
      </c>
    </row>
    <row r="190" ht="15" customHeight="1" s="413">
      <c r="A190" s="824" t="n">
        <v>45981.60416666666</v>
      </c>
      <c r="B190" s="518" t="n">
        <v>9.5</v>
      </c>
      <c r="C190" s="518" t="n">
        <v>9.5</v>
      </c>
      <c r="D190" s="518" t="n">
        <v>9.039999999999999</v>
      </c>
      <c r="E190" s="772" t="n">
        <v>9.07</v>
      </c>
      <c r="F190" s="412" t="n">
        <v>4663000</v>
      </c>
    </row>
    <row r="191" ht="15" customHeight="1" s="413">
      <c r="A191" s="824" t="n">
        <v>45980.60416666666</v>
      </c>
      <c r="B191" s="518" t="n">
        <v>9.4</v>
      </c>
      <c r="C191" s="518" t="n">
        <v>9.404999999999999</v>
      </c>
      <c r="D191" s="518" t="n">
        <v>9.154999999999999</v>
      </c>
      <c r="E191" s="772" t="n">
        <v>9.300000000000001</v>
      </c>
      <c r="F191" s="412" t="n">
        <v>3721000</v>
      </c>
    </row>
    <row r="192" ht="15" customHeight="1" s="413">
      <c r="A192" s="824" t="n">
        <v>45979.60416666666</v>
      </c>
      <c r="B192" s="518" t="n">
        <v>9.52</v>
      </c>
      <c r="C192" s="518" t="n">
        <v>9.6</v>
      </c>
      <c r="D192" s="518" t="n">
        <v>9.324999999999999</v>
      </c>
      <c r="E192" s="772" t="n">
        <v>9.390000000000001</v>
      </c>
      <c r="F192" s="412" t="n">
        <v>3259800</v>
      </c>
    </row>
    <row r="193" ht="15" customHeight="1" s="413">
      <c r="A193" s="824" t="n">
        <v>45978.60416666666</v>
      </c>
      <c r="B193" s="518" t="n">
        <v>10.22</v>
      </c>
      <c r="C193" s="518" t="n">
        <v>10.305</v>
      </c>
      <c r="D193" s="518" t="n">
        <v>9.529999999999999</v>
      </c>
      <c r="E193" s="772" t="n">
        <v>9.619999999999999</v>
      </c>
      <c r="F193" s="412" t="n">
        <v>4037100</v>
      </c>
    </row>
    <row r="194" ht="15" customHeight="1" s="413">
      <c r="A194" s="824" t="n">
        <v>45975.60416666666</v>
      </c>
      <c r="B194" s="518" t="n">
        <v>10.05</v>
      </c>
      <c r="C194" s="518" t="n">
        <v>10.35</v>
      </c>
      <c r="D194" s="518" t="n">
        <v>10</v>
      </c>
      <c r="E194" s="772" t="n">
        <v>10.2</v>
      </c>
      <c r="F194" s="412" t="n">
        <v>3701200</v>
      </c>
    </row>
    <row r="195" ht="15" customHeight="1" s="413">
      <c r="A195" s="824" t="n">
        <v>45974.60416666666</v>
      </c>
      <c r="B195" s="518" t="n">
        <v>10.34</v>
      </c>
      <c r="C195" s="518" t="n">
        <v>10.47</v>
      </c>
      <c r="D195" s="518" t="n">
        <v>10.2</v>
      </c>
      <c r="E195" s="772" t="n">
        <v>10.22</v>
      </c>
      <c r="F195" s="412" t="n">
        <v>2498800</v>
      </c>
    </row>
    <row r="196" ht="15" customHeight="1" s="413">
      <c r="A196" s="824" t="n">
        <v>45973.60416666666</v>
      </c>
      <c r="B196" s="518" t="n">
        <v>10.63</v>
      </c>
      <c r="C196" s="518" t="n">
        <v>10.75</v>
      </c>
      <c r="D196" s="518" t="n">
        <v>10.36</v>
      </c>
      <c r="E196" s="772" t="n">
        <v>10.44</v>
      </c>
      <c r="F196" s="412" t="n">
        <v>2668200</v>
      </c>
    </row>
    <row r="197" ht="15" customHeight="1" s="413">
      <c r="A197" s="824" t="n">
        <v>45972.60416666666</v>
      </c>
      <c r="B197" s="518" t="n">
        <v>10.61</v>
      </c>
      <c r="C197" s="518" t="n">
        <v>10.785</v>
      </c>
      <c r="D197" s="518" t="n">
        <v>10.53</v>
      </c>
      <c r="E197" s="772" t="n">
        <v>10.57</v>
      </c>
      <c r="F197" s="412" t="n">
        <v>2492700</v>
      </c>
    </row>
    <row r="198" ht="15" customHeight="1" s="413">
      <c r="A198" s="824" t="n">
        <v>45971.60416666666</v>
      </c>
      <c r="B198" s="518" t="n">
        <v>10.74</v>
      </c>
      <c r="C198" s="518" t="n">
        <v>10.78</v>
      </c>
      <c r="D198" s="518" t="n">
        <v>10.51</v>
      </c>
      <c r="E198" s="772" t="n">
        <v>10.57</v>
      </c>
      <c r="F198" s="412" t="n">
        <v>3789000</v>
      </c>
    </row>
    <row r="199" ht="15" customHeight="1" s="413">
      <c r="A199" s="824" t="n">
        <v>45968.60416666666</v>
      </c>
      <c r="B199" s="518" t="n">
        <v>10.58</v>
      </c>
      <c r="C199" s="518" t="n">
        <v>10.731</v>
      </c>
      <c r="D199" s="518" t="n">
        <v>10.435</v>
      </c>
      <c r="E199" s="772" t="n">
        <v>10.575</v>
      </c>
      <c r="F199" s="412" t="n">
        <v>3761400</v>
      </c>
    </row>
    <row r="200" ht="15" customHeight="1" s="413">
      <c r="A200" s="824" t="n">
        <v>45967.60416666666</v>
      </c>
      <c r="B200" s="518" t="n">
        <v>11.21</v>
      </c>
      <c r="C200" s="518" t="n">
        <v>11.226</v>
      </c>
      <c r="D200" s="518" t="n">
        <v>10.475</v>
      </c>
      <c r="E200" s="772" t="n">
        <v>10.7</v>
      </c>
      <c r="F200" s="412" t="n">
        <v>7662300</v>
      </c>
    </row>
    <row r="201" ht="15" customHeight="1" s="413">
      <c r="A201" s="824" t="n">
        <v>45966.60416666666</v>
      </c>
      <c r="B201" s="518" t="n">
        <v>11.83</v>
      </c>
      <c r="C201" s="518" t="n">
        <v>11.98</v>
      </c>
      <c r="D201" s="518" t="n">
        <v>11.135</v>
      </c>
      <c r="E201" s="772" t="n">
        <v>11.22</v>
      </c>
      <c r="F201" s="412" t="n">
        <v>7895300</v>
      </c>
    </row>
    <row r="202" ht="15" customHeight="1" s="413">
      <c r="A202" s="824" t="n">
        <v>45965.60416666666</v>
      </c>
      <c r="B202" s="518" t="n">
        <v>11.91</v>
      </c>
      <c r="C202" s="518" t="n">
        <v>12.31</v>
      </c>
      <c r="D202" s="518" t="n">
        <v>11.43</v>
      </c>
      <c r="E202" s="772" t="n">
        <v>11.69</v>
      </c>
      <c r="F202" s="412" t="n">
        <v>9882200</v>
      </c>
    </row>
    <row r="203" ht="15" customHeight="1" s="413">
      <c r="A203" s="824" t="n">
        <v>45964.60416666666</v>
      </c>
      <c r="B203" s="518" t="n">
        <v>11.19</v>
      </c>
      <c r="C203" s="518" t="n">
        <v>11.84</v>
      </c>
      <c r="D203" s="518" t="n">
        <v>11.03</v>
      </c>
      <c r="E203" s="772" t="n">
        <v>11.8</v>
      </c>
      <c r="F203" s="412" t="n">
        <v>12517600</v>
      </c>
    </row>
    <row r="204" ht="15" customHeight="1" s="413">
      <c r="A204" s="824" t="n">
        <v>45961.5625</v>
      </c>
      <c r="B204" s="518" t="n">
        <v>10.95</v>
      </c>
      <c r="C204" s="518" t="n">
        <v>11.275</v>
      </c>
      <c r="D204" s="518" t="n">
        <v>10.945</v>
      </c>
      <c r="E204" s="772" t="n">
        <v>11.22</v>
      </c>
      <c r="F204" s="412" t="n">
        <v>5162900</v>
      </c>
    </row>
    <row r="205" ht="15" customHeight="1" s="413">
      <c r="A205" s="824" t="n">
        <v>45960.5625</v>
      </c>
      <c r="B205" s="518" t="n">
        <v>10.81</v>
      </c>
      <c r="C205" s="518" t="n">
        <v>11.05</v>
      </c>
      <c r="D205" s="518" t="n">
        <v>10.745</v>
      </c>
      <c r="E205" s="772" t="n">
        <v>10.9</v>
      </c>
      <c r="F205" s="412" t="n">
        <v>3542500</v>
      </c>
    </row>
    <row r="206" ht="15" customHeight="1" s="413">
      <c r="A206" s="824" t="n">
        <v>45959.5625</v>
      </c>
      <c r="B206" s="518" t="n">
        <v>11.24</v>
      </c>
      <c r="C206" s="518" t="n">
        <v>11.425</v>
      </c>
      <c r="D206" s="518" t="n">
        <v>10.89</v>
      </c>
      <c r="E206" s="772" t="n">
        <v>10.92</v>
      </c>
      <c r="F206" s="412" t="n">
        <v>4027500</v>
      </c>
    </row>
    <row r="207" ht="15" customHeight="1" s="413">
      <c r="A207" s="824" t="n">
        <v>45958.5625</v>
      </c>
      <c r="B207" s="518" t="n">
        <v>11.46</v>
      </c>
      <c r="C207" s="518" t="n">
        <v>11.6</v>
      </c>
      <c r="D207" s="518" t="n">
        <v>11.245</v>
      </c>
      <c r="E207" s="772" t="n">
        <v>11.26</v>
      </c>
      <c r="F207" s="412" t="n">
        <v>2749800</v>
      </c>
    </row>
    <row r="208" ht="15" customHeight="1" s="413">
      <c r="A208" s="824" t="n">
        <v>45957.5625</v>
      </c>
      <c r="B208" s="518" t="n">
        <v>11.26</v>
      </c>
      <c r="C208" s="518" t="n">
        <v>11.6</v>
      </c>
      <c r="D208" s="518" t="n">
        <v>11.21</v>
      </c>
      <c r="E208" s="772" t="n">
        <v>11.42</v>
      </c>
      <c r="F208" s="412" t="n">
        <v>4179100</v>
      </c>
    </row>
    <row r="209" ht="15" customHeight="1" s="413">
      <c r="A209" s="824" t="n">
        <v>45954.5625</v>
      </c>
      <c r="B209" s="518" t="n">
        <v>11.25</v>
      </c>
      <c r="C209" s="518" t="n">
        <v>11.38</v>
      </c>
      <c r="D209" s="518" t="n">
        <v>11.13</v>
      </c>
      <c r="E209" s="772" t="n">
        <v>11.135</v>
      </c>
      <c r="F209" s="412" t="n">
        <v>2699300</v>
      </c>
    </row>
    <row r="210" ht="15" customHeight="1" s="413">
      <c r="A210" s="824" t="n">
        <v>45953.5625</v>
      </c>
      <c r="B210" s="518" t="n">
        <v>10.94</v>
      </c>
      <c r="C210" s="518" t="n">
        <v>11.08</v>
      </c>
      <c r="D210" s="518" t="n">
        <v>10.86</v>
      </c>
      <c r="E210" s="772" t="n">
        <v>11.05</v>
      </c>
      <c r="F210" s="412" t="n">
        <v>3309700</v>
      </c>
    </row>
    <row r="211" ht="15" customHeight="1" s="413">
      <c r="A211" s="824" t="n">
        <v>45952.5625</v>
      </c>
      <c r="B211" s="518" t="n">
        <v>10.835</v>
      </c>
      <c r="C211" s="518" t="n">
        <v>11.02</v>
      </c>
      <c r="D211" s="518" t="n">
        <v>10.71</v>
      </c>
      <c r="E211" s="772" t="n">
        <v>10.94</v>
      </c>
      <c r="F211" s="412" t="n">
        <v>3821700</v>
      </c>
    </row>
    <row r="212" ht="15" customHeight="1" s="413">
      <c r="A212" s="824" t="n">
        <v>45951.5625</v>
      </c>
      <c r="B212" s="518" t="n">
        <v>10.47</v>
      </c>
      <c r="C212" s="518" t="n">
        <v>10.96</v>
      </c>
      <c r="D212" s="518" t="n">
        <v>10.425</v>
      </c>
      <c r="E212" s="772" t="n">
        <v>10.855</v>
      </c>
      <c r="F212" s="412" t="n">
        <v>2908000</v>
      </c>
    </row>
    <row r="213" ht="15" customHeight="1" s="413">
      <c r="A213" s="824" t="n">
        <v>45950.5625</v>
      </c>
      <c r="B213" s="518" t="n">
        <v>10.2</v>
      </c>
      <c r="C213" s="518" t="n">
        <v>10.49</v>
      </c>
      <c r="D213" s="518" t="n">
        <v>10.19</v>
      </c>
      <c r="E213" s="772" t="n">
        <v>10.47</v>
      </c>
      <c r="F213" s="412" t="n">
        <v>2172800</v>
      </c>
    </row>
    <row r="214" ht="15" customHeight="1" s="413">
      <c r="A214" s="824" t="n">
        <v>45947.5625</v>
      </c>
      <c r="B214" s="518" t="n">
        <v>10.1</v>
      </c>
      <c r="C214" s="518" t="n">
        <v>10.195</v>
      </c>
      <c r="D214" s="518" t="n">
        <v>10.01</v>
      </c>
      <c r="E214" s="772" t="n">
        <v>10.08</v>
      </c>
      <c r="F214" s="412" t="n">
        <v>3034600</v>
      </c>
    </row>
    <row r="215" ht="15" customHeight="1" s="413">
      <c r="A215" s="824" t="n">
        <v>45946.5625</v>
      </c>
      <c r="B215" s="518" t="n">
        <v>10.27</v>
      </c>
      <c r="C215" s="518" t="n">
        <v>10.51</v>
      </c>
      <c r="D215" s="518" t="n">
        <v>10.08</v>
      </c>
      <c r="E215" s="772" t="n">
        <v>10.165</v>
      </c>
      <c r="F215" s="412" t="n">
        <v>5597700</v>
      </c>
    </row>
    <row r="216" ht="15" customHeight="1" s="413">
      <c r="A216" s="824" t="n">
        <v>45945.5625</v>
      </c>
      <c r="B216" s="518" t="n">
        <v>10.44</v>
      </c>
      <c r="C216" s="518" t="n">
        <v>10.46</v>
      </c>
      <c r="D216" s="518" t="n">
        <v>10.14</v>
      </c>
      <c r="E216" s="772" t="n">
        <v>10.26</v>
      </c>
      <c r="F216" s="412" t="n">
        <v>2447700</v>
      </c>
    </row>
    <row r="217" ht="15" customHeight="1" s="413">
      <c r="A217" s="824" t="n">
        <v>45944.5625</v>
      </c>
      <c r="B217" s="518" t="n">
        <v>10.06</v>
      </c>
      <c r="C217" s="518" t="n">
        <v>10.319</v>
      </c>
      <c r="D217" s="518" t="n">
        <v>10.015</v>
      </c>
      <c r="E217" s="772" t="n">
        <v>10.26</v>
      </c>
      <c r="F217" s="412" t="n">
        <v>2410200</v>
      </c>
    </row>
    <row r="218" ht="15" customHeight="1" s="413">
      <c r="A218" s="824" t="n">
        <v>45943.5625</v>
      </c>
      <c r="B218" s="518" t="n">
        <v>10.13</v>
      </c>
      <c r="C218" s="518" t="n">
        <v>10.31</v>
      </c>
      <c r="D218" s="518" t="n">
        <v>9.99</v>
      </c>
      <c r="E218" s="772" t="n">
        <v>10.28</v>
      </c>
      <c r="F218" s="412" t="n">
        <v>3112400</v>
      </c>
    </row>
    <row r="219" ht="15" customHeight="1" s="413">
      <c r="A219" s="824" t="n">
        <v>45940.5625</v>
      </c>
      <c r="B219" s="518" t="n">
        <v>10.43</v>
      </c>
      <c r="C219" s="518" t="n">
        <v>10.47</v>
      </c>
      <c r="D219" s="518" t="n">
        <v>9.960000000000001</v>
      </c>
      <c r="E219" s="772" t="n">
        <v>9.970000000000001</v>
      </c>
      <c r="F219" s="412" t="n">
        <v>4285400</v>
      </c>
    </row>
    <row r="220" ht="15" customHeight="1" s="413">
      <c r="A220" s="824" t="n">
        <v>45939.5625</v>
      </c>
      <c r="B220" s="518" t="n">
        <v>10.42</v>
      </c>
      <c r="C220" s="518" t="n">
        <v>10.49</v>
      </c>
      <c r="D220" s="518" t="n">
        <v>10.27</v>
      </c>
      <c r="E220" s="772" t="n">
        <v>10.44</v>
      </c>
      <c r="F220" s="412" t="n">
        <v>2302700</v>
      </c>
    </row>
    <row r="221" ht="15" customHeight="1" s="413">
      <c r="A221" s="824" t="n">
        <v>45938.5625</v>
      </c>
      <c r="B221" s="518" t="n">
        <v>10.58</v>
      </c>
      <c r="C221" s="518" t="n">
        <v>10.61</v>
      </c>
      <c r="D221" s="518" t="n">
        <v>10.38</v>
      </c>
      <c r="E221" s="772" t="n">
        <v>10.41</v>
      </c>
      <c r="F221" s="412" t="n">
        <v>2569000</v>
      </c>
    </row>
    <row r="222" ht="15" customHeight="1" s="413">
      <c r="A222" s="824" t="n">
        <v>45937.5625</v>
      </c>
      <c r="B222" s="518" t="n">
        <v>10.725</v>
      </c>
      <c r="C222" s="518" t="n">
        <v>10.791</v>
      </c>
      <c r="D222" s="518" t="n">
        <v>10.285</v>
      </c>
      <c r="E222" s="772" t="n">
        <v>10.5</v>
      </c>
      <c r="F222" s="412" t="n">
        <v>3777000</v>
      </c>
    </row>
    <row r="223" ht="15" customHeight="1" s="413">
      <c r="A223" s="824" t="n">
        <v>45936.5625</v>
      </c>
      <c r="B223" s="518" t="n">
        <v>10.53</v>
      </c>
      <c r="C223" s="518" t="n">
        <v>10.7</v>
      </c>
      <c r="D223" s="518" t="n">
        <v>10.22</v>
      </c>
      <c r="E223" s="772" t="n">
        <v>10.67</v>
      </c>
      <c r="F223" s="412" t="n">
        <v>4233200</v>
      </c>
    </row>
    <row r="224" ht="15" customHeight="1" s="413">
      <c r="A224" s="824" t="n">
        <v>45933.5625</v>
      </c>
      <c r="B224" s="518" t="n">
        <v>10.47</v>
      </c>
      <c r="C224" s="518" t="n">
        <v>10.71</v>
      </c>
      <c r="D224" s="518" t="n">
        <v>10.405</v>
      </c>
      <c r="E224" s="772" t="n">
        <v>10.425</v>
      </c>
      <c r="F224" s="412" t="n">
        <v>3742000</v>
      </c>
    </row>
    <row r="225" ht="15" customHeight="1" s="413">
      <c r="A225" s="824" t="n">
        <v>45932.5625</v>
      </c>
      <c r="B225" s="518" t="n">
        <v>10.27</v>
      </c>
      <c r="C225" s="518" t="n">
        <v>10.48</v>
      </c>
      <c r="D225" s="518" t="n">
        <v>10.23</v>
      </c>
      <c r="E225" s="772" t="n">
        <v>10.45</v>
      </c>
      <c r="F225" s="412" t="n">
        <v>4358200</v>
      </c>
    </row>
    <row r="226" ht="15" customHeight="1" s="413">
      <c r="A226" s="824" t="n">
        <v>45931.5625</v>
      </c>
      <c r="B226" s="518" t="n">
        <v>10.65</v>
      </c>
      <c r="C226" s="518" t="n">
        <v>10.86</v>
      </c>
      <c r="D226" s="518" t="n">
        <v>10.26</v>
      </c>
      <c r="E226" s="772" t="n">
        <v>10.27</v>
      </c>
      <c r="F226" s="412" t="n">
        <v>5997800</v>
      </c>
    </row>
    <row r="227" ht="15" customHeight="1" s="413">
      <c r="A227" s="824" t="n">
        <v>45930.5625</v>
      </c>
      <c r="B227" s="518" t="n">
        <v>11.58</v>
      </c>
      <c r="C227" s="518" t="n">
        <v>11.65</v>
      </c>
      <c r="D227" s="518" t="n">
        <v>10.8</v>
      </c>
      <c r="E227" s="772" t="n">
        <v>10.91</v>
      </c>
      <c r="F227" s="412" t="n">
        <v>5728900</v>
      </c>
    </row>
    <row r="228" ht="15" customHeight="1" s="413">
      <c r="A228" s="824" t="n">
        <v>45929.5625</v>
      </c>
      <c r="B228" s="518" t="n">
        <v>11.68</v>
      </c>
      <c r="C228" s="518" t="n">
        <v>11.74</v>
      </c>
      <c r="D228" s="518" t="n">
        <v>11.42</v>
      </c>
      <c r="E228" s="772" t="n">
        <v>11.61</v>
      </c>
      <c r="F228" s="412" t="n">
        <v>3138700</v>
      </c>
    </row>
    <row r="229" ht="15" customHeight="1" s="413">
      <c r="A229" s="824" t="n">
        <v>45926.5625</v>
      </c>
      <c r="B229" s="518" t="n">
        <v>11.38</v>
      </c>
      <c r="C229" s="518" t="n">
        <v>11.58</v>
      </c>
      <c r="D229" s="518" t="n">
        <v>11.18</v>
      </c>
      <c r="E229" s="772" t="n">
        <v>11.56</v>
      </c>
      <c r="F229" s="412" t="n">
        <v>2707300</v>
      </c>
    </row>
    <row r="230" ht="15" customHeight="1" s="413">
      <c r="A230" s="824" t="n">
        <v>45925.5625</v>
      </c>
      <c r="B230" s="518" t="n">
        <v>11.28</v>
      </c>
      <c r="C230" s="518" t="n">
        <v>11.5</v>
      </c>
      <c r="D230" s="518" t="n">
        <v>11.14</v>
      </c>
      <c r="E230" s="772" t="n">
        <v>11.35</v>
      </c>
      <c r="F230" s="412" t="n">
        <v>2376000</v>
      </c>
    </row>
    <row r="231" ht="15" customHeight="1" s="413">
      <c r="A231" s="824" t="n">
        <v>45924.5625</v>
      </c>
      <c r="B231" s="518" t="n">
        <v>12.04</v>
      </c>
      <c r="C231" s="518" t="n">
        <v>12.105</v>
      </c>
      <c r="D231" s="518" t="n">
        <v>11.355</v>
      </c>
      <c r="E231" s="772" t="n">
        <v>11.51</v>
      </c>
      <c r="F231" s="412" t="n">
        <v>3017000</v>
      </c>
    </row>
    <row r="232" ht="15" customHeight="1" s="413">
      <c r="A232" s="824" t="n">
        <v>45923.5625</v>
      </c>
      <c r="B232" s="518" t="n">
        <v>12</v>
      </c>
      <c r="C232" s="518" t="n">
        <v>12.19</v>
      </c>
      <c r="D232" s="518" t="n">
        <v>11.815</v>
      </c>
      <c r="E232" s="772" t="n">
        <v>11.91</v>
      </c>
      <c r="F232" s="412" t="n">
        <v>3419800</v>
      </c>
    </row>
    <row r="233" ht="15" customHeight="1" s="413">
      <c r="A233" s="824" t="n">
        <v>45922.5625</v>
      </c>
      <c r="B233" s="518" t="n">
        <v>11.84</v>
      </c>
      <c r="C233" s="518" t="n">
        <v>12</v>
      </c>
      <c r="D233" s="518" t="n">
        <v>11.69</v>
      </c>
      <c r="E233" s="772" t="n">
        <v>11.97</v>
      </c>
      <c r="F233" s="412" t="n">
        <v>2698900</v>
      </c>
    </row>
    <row r="234" ht="15" customHeight="1" s="413">
      <c r="A234" s="824" t="n">
        <v>45919.5625</v>
      </c>
      <c r="B234" s="518" t="n">
        <v>12.14</v>
      </c>
      <c r="C234" s="518" t="n">
        <v>12.25</v>
      </c>
      <c r="D234" s="518" t="n">
        <v>11.8</v>
      </c>
      <c r="E234" s="772" t="n">
        <v>11.83</v>
      </c>
      <c r="F234" s="412" t="n">
        <v>10717500</v>
      </c>
    </row>
    <row r="235" ht="15" customHeight="1" s="413">
      <c r="A235" s="824" t="n">
        <v>45918.5625</v>
      </c>
      <c r="B235" s="518" t="n">
        <v>12.01</v>
      </c>
      <c r="C235" s="518" t="n">
        <v>12.225</v>
      </c>
      <c r="D235" s="518" t="n">
        <v>12</v>
      </c>
      <c r="E235" s="772" t="n">
        <v>12.14</v>
      </c>
      <c r="F235" s="412" t="n">
        <v>4618300</v>
      </c>
    </row>
    <row r="236" ht="15" customHeight="1" s="413">
      <c r="A236" s="824" t="n">
        <v>45917.5625</v>
      </c>
      <c r="B236" s="518" t="n">
        <v>11.9</v>
      </c>
      <c r="C236" s="518" t="n">
        <v>12.39</v>
      </c>
      <c r="D236" s="518" t="n">
        <v>11.78</v>
      </c>
      <c r="E236" s="772" t="n">
        <v>12.01</v>
      </c>
      <c r="F236" s="412" t="n">
        <v>3320100</v>
      </c>
    </row>
    <row r="237" ht="15" customHeight="1" s="413">
      <c r="A237" s="824" t="n">
        <v>45916.5625</v>
      </c>
      <c r="B237" s="518" t="n">
        <v>12.19</v>
      </c>
      <c r="C237" s="518" t="n">
        <v>12.19</v>
      </c>
      <c r="D237" s="518" t="n">
        <v>11.61</v>
      </c>
      <c r="E237" s="772" t="n">
        <v>11.84</v>
      </c>
      <c r="F237" s="412" t="n">
        <v>3434600</v>
      </c>
    </row>
    <row r="238" ht="15" customHeight="1" s="413">
      <c r="A238" s="824" t="n">
        <v>45915.5625</v>
      </c>
      <c r="B238" s="518" t="n">
        <v>11.77</v>
      </c>
      <c r="C238" s="518" t="n">
        <v>12.51</v>
      </c>
      <c r="D238" s="518" t="n">
        <v>11.74</v>
      </c>
      <c r="E238" s="772" t="n">
        <v>12.2</v>
      </c>
      <c r="F238" s="412" t="n">
        <v>7180400</v>
      </c>
    </row>
    <row r="239" ht="15" customHeight="1" s="413">
      <c r="A239" s="824" t="n">
        <v>45912.5625</v>
      </c>
      <c r="B239" s="518" t="n">
        <v>11.85</v>
      </c>
      <c r="C239" s="518" t="n">
        <v>11.87</v>
      </c>
      <c r="D239" s="518" t="n">
        <v>11.34</v>
      </c>
      <c r="E239" s="772" t="n">
        <v>11.66</v>
      </c>
      <c r="F239" s="412" t="n">
        <v>4508300</v>
      </c>
    </row>
    <row r="240" ht="15" customHeight="1" s="413">
      <c r="A240" s="824" t="n">
        <v>45911.5625</v>
      </c>
      <c r="B240" s="518" t="n">
        <v>11.43</v>
      </c>
      <c r="C240" s="518" t="n">
        <v>11.79</v>
      </c>
      <c r="D240" s="518" t="n">
        <v>11.22</v>
      </c>
      <c r="E240" s="772" t="n">
        <v>11.75</v>
      </c>
      <c r="F240" s="412" t="n">
        <v>5500800</v>
      </c>
    </row>
    <row r="241" ht="15" customHeight="1" s="413">
      <c r="A241" s="824" t="n">
        <v>45910.5625</v>
      </c>
      <c r="B241" s="518" t="n">
        <v>10.59</v>
      </c>
      <c r="C241" s="518" t="n">
        <v>11.6</v>
      </c>
      <c r="D241" s="518" t="n">
        <v>10.53</v>
      </c>
      <c r="E241" s="772" t="n">
        <v>11.4</v>
      </c>
      <c r="F241" s="412" t="n">
        <v>13413100</v>
      </c>
    </row>
    <row r="242" ht="15" customHeight="1" s="413">
      <c r="A242" s="824" t="n">
        <v>45909.5625</v>
      </c>
      <c r="B242" s="518" t="n">
        <v>10.64</v>
      </c>
      <c r="C242" s="518" t="n">
        <v>10.755</v>
      </c>
      <c r="D242" s="518" t="n">
        <v>10.45</v>
      </c>
      <c r="E242" s="772" t="n">
        <v>10.55</v>
      </c>
      <c r="F242" s="412" t="n">
        <v>3943400</v>
      </c>
    </row>
    <row r="243" ht="15" customHeight="1" s="413">
      <c r="A243" s="824" t="n">
        <v>45908.5625</v>
      </c>
      <c r="B243" s="518" t="n">
        <v>10.35</v>
      </c>
      <c r="C243" s="518" t="n">
        <v>10.66</v>
      </c>
      <c r="D243" s="518" t="n">
        <v>10.35</v>
      </c>
      <c r="E243" s="772" t="n">
        <v>10.65</v>
      </c>
      <c r="F243" s="412" t="n">
        <v>4247600</v>
      </c>
    </row>
    <row r="244" ht="15" customHeight="1" s="413">
      <c r="A244" s="824" t="n">
        <v>45905.5625</v>
      </c>
      <c r="B244" s="518" t="n">
        <v>10.23</v>
      </c>
      <c r="C244" s="518" t="n">
        <v>10.563</v>
      </c>
      <c r="D244" s="518" t="n">
        <v>10.095</v>
      </c>
      <c r="E244" s="772" t="n">
        <v>10.23</v>
      </c>
      <c r="F244" s="412" t="n">
        <v>2661200</v>
      </c>
    </row>
    <row r="245" ht="15" customHeight="1" s="413">
      <c r="A245" s="824" t="n">
        <v>45904.5625</v>
      </c>
      <c r="B245" s="518" t="n">
        <v>10.26</v>
      </c>
      <c r="C245" s="518" t="n">
        <v>10.26</v>
      </c>
      <c r="D245" s="518" t="n">
        <v>10.031</v>
      </c>
      <c r="E245" s="772" t="n">
        <v>10.12</v>
      </c>
      <c r="F245" s="412" t="n">
        <v>2945000</v>
      </c>
    </row>
    <row r="246" ht="15" customHeight="1" s="413">
      <c r="A246" s="824" t="n">
        <v>45903.5625</v>
      </c>
      <c r="B246" s="518" t="n">
        <v>10.26</v>
      </c>
      <c r="C246" s="518" t="n">
        <v>10.4</v>
      </c>
      <c r="D246" s="518" t="n">
        <v>10.14</v>
      </c>
      <c r="E246" s="772" t="n">
        <v>10.38</v>
      </c>
      <c r="F246" s="412" t="n">
        <v>2737400</v>
      </c>
    </row>
    <row r="247" ht="15" customHeight="1" s="413">
      <c r="A247" s="824" t="n">
        <v>45902.5625</v>
      </c>
      <c r="B247" s="518" t="n">
        <v>10.55</v>
      </c>
      <c r="C247" s="518" t="n">
        <v>10.66</v>
      </c>
      <c r="D247" s="518" t="n">
        <v>10.13</v>
      </c>
      <c r="E247" s="772" t="n">
        <v>10.29</v>
      </c>
      <c r="F247" s="412" t="n">
        <v>3413200</v>
      </c>
    </row>
    <row r="248" ht="15" customHeight="1" s="413">
      <c r="A248" s="824" t="n">
        <v>45898.5625</v>
      </c>
      <c r="B248" s="518" t="n">
        <v>10.87</v>
      </c>
      <c r="C248" s="518" t="n">
        <v>10.93</v>
      </c>
      <c r="D248" s="518" t="n">
        <v>10.75</v>
      </c>
      <c r="E248" s="772" t="n">
        <v>10.9</v>
      </c>
      <c r="F248" s="412" t="n">
        <v>3652700</v>
      </c>
    </row>
    <row r="249" ht="15" customHeight="1" s="413">
      <c r="A249" s="824" t="n">
        <v>45897.5625</v>
      </c>
      <c r="B249" s="518" t="n">
        <v>10.8</v>
      </c>
      <c r="C249" s="518" t="n">
        <v>11.005</v>
      </c>
      <c r="D249" s="518" t="n">
        <v>10.75</v>
      </c>
      <c r="E249" s="772" t="n">
        <v>10.895</v>
      </c>
      <c r="F249" s="412" t="n">
        <v>2671500</v>
      </c>
    </row>
    <row r="250" ht="15" customHeight="1" s="413">
      <c r="A250" s="824" t="n">
        <v>45896.5625</v>
      </c>
      <c r="B250" s="518" t="n">
        <v>10.3</v>
      </c>
      <c r="C250" s="518" t="n">
        <v>10.77</v>
      </c>
      <c r="D250" s="518" t="n">
        <v>10.275</v>
      </c>
      <c r="E250" s="772" t="n">
        <v>10.75</v>
      </c>
      <c r="F250" s="412" t="n">
        <v>2864300</v>
      </c>
    </row>
    <row r="251" ht="15" customHeight="1" s="413">
      <c r="A251" s="824" t="n">
        <v>45895.5625</v>
      </c>
      <c r="B251" s="518" t="n">
        <v>10.52</v>
      </c>
      <c r="C251" s="518" t="n">
        <v>10.546</v>
      </c>
      <c r="D251" s="518" t="n">
        <v>10.225</v>
      </c>
      <c r="E251" s="772" t="n">
        <v>10.23</v>
      </c>
      <c r="F251" s="412" t="n">
        <v>4048200</v>
      </c>
    </row>
    <row r="252" ht="15" customHeight="1" s="413">
      <c r="A252" s="824" t="n">
        <v>45894.5625</v>
      </c>
      <c r="B252" s="518" t="n">
        <v>10.72</v>
      </c>
      <c r="C252" s="518" t="n">
        <v>10.8</v>
      </c>
      <c r="D252" s="518" t="n">
        <v>10.44</v>
      </c>
      <c r="E252" s="772" t="n">
        <v>10.46</v>
      </c>
      <c r="F252" s="412" t="n">
        <v>3263500</v>
      </c>
    </row>
    <row r="253" ht="15" customHeight="1" s="413">
      <c r="A253" s="824" t="n">
        <v>45891.5625</v>
      </c>
      <c r="B253" s="518" t="n">
        <v>10.1</v>
      </c>
      <c r="C253" s="518" t="n">
        <v>10.78</v>
      </c>
      <c r="D253" s="518" t="n">
        <v>10.08</v>
      </c>
      <c r="E253" s="772" t="n">
        <v>10.75</v>
      </c>
      <c r="F253" s="412" t="n">
        <v>3426400</v>
      </c>
    </row>
    <row r="254" ht="15" customHeight="1" s="413">
      <c r="A254" s="824" t="n">
        <v>45890.5625</v>
      </c>
      <c r="B254" s="518" t="n">
        <v>10</v>
      </c>
      <c r="C254" s="518" t="n">
        <v>10.15</v>
      </c>
      <c r="D254" s="518" t="n">
        <v>9.85</v>
      </c>
      <c r="E254" s="772" t="n">
        <v>10.1</v>
      </c>
      <c r="F254" s="412" t="n">
        <v>3890700</v>
      </c>
    </row>
    <row r="255" ht="15" customHeight="1" s="413">
      <c r="A255" s="824" t="n">
        <v>45889.5625</v>
      </c>
      <c r="B255" s="518" t="n">
        <v>10.21</v>
      </c>
      <c r="C255" s="518" t="n">
        <v>10.28</v>
      </c>
      <c r="D255" s="518" t="n">
        <v>9.98</v>
      </c>
      <c r="E255" s="772" t="n">
        <v>10.1</v>
      </c>
      <c r="F255" s="412" t="n">
        <v>3604000</v>
      </c>
    </row>
    <row r="256" ht="15" customHeight="1" s="413">
      <c r="A256" s="824" t="n">
        <v>45888.5625</v>
      </c>
      <c r="B256" s="518" t="n">
        <v>10.57</v>
      </c>
      <c r="C256" s="518" t="n">
        <v>10.64</v>
      </c>
      <c r="D256" s="518" t="n">
        <v>10.26</v>
      </c>
      <c r="E256" s="772" t="n">
        <v>10.31</v>
      </c>
      <c r="F256" s="412" t="n">
        <v>3739400</v>
      </c>
    </row>
    <row r="257" ht="15" customHeight="1" s="413">
      <c r="A257" s="824" t="n">
        <v>45887.5625</v>
      </c>
      <c r="B257" s="518" t="n">
        <v>10.41</v>
      </c>
      <c r="C257" s="518" t="n">
        <v>10.585</v>
      </c>
      <c r="D257" s="518" t="n">
        <v>10.27</v>
      </c>
      <c r="E257" s="772" t="n">
        <v>10.55</v>
      </c>
      <c r="F257" s="412" t="n">
        <v>4958400</v>
      </c>
    </row>
    <row r="258" ht="15" customHeight="1" s="413">
      <c r="A258" s="824" t="n">
        <v>45884.5625</v>
      </c>
      <c r="B258" s="518" t="n">
        <v>10.075</v>
      </c>
      <c r="C258" s="518" t="n">
        <v>10.62</v>
      </c>
      <c r="D258" s="518" t="n">
        <v>10.075</v>
      </c>
      <c r="E258" s="772" t="n">
        <v>10.43</v>
      </c>
      <c r="F258" s="412" t="n">
        <v>4757500</v>
      </c>
    </row>
    <row r="259" ht="15" customHeight="1" s="413">
      <c r="A259" s="740" t="n"/>
      <c r="E259" s="538" t="n"/>
    </row>
    <row r="260" ht="15" customHeight="1" s="413">
      <c r="A260" s="740" t="n"/>
      <c r="E260" s="538" t="n"/>
    </row>
    <row r="261" ht="15" customHeight="1" s="413">
      <c r="A261" s="740" t="n"/>
      <c r="E261" s="538" t="n"/>
    </row>
    <row r="262" ht="15" customHeight="1" s="413">
      <c r="A262" s="740" t="n"/>
      <c r="E262" s="538" t="n"/>
    </row>
    <row r="263" ht="15" customHeight="1" s="413">
      <c r="A263" s="740" t="n"/>
      <c r="E263" s="538" t="n"/>
    </row>
    <row r="264" ht="15" customHeight="1" s="413">
      <c r="A264" s="740" t="n"/>
      <c r="E264" s="538" t="n"/>
    </row>
    <row r="265" ht="15" customHeight="1" s="413">
      <c r="A265" s="740" t="n"/>
      <c r="E265" s="538" t="n"/>
    </row>
    <row r="266" ht="15" customHeight="1" s="413">
      <c r="A266" s="740" t="n"/>
      <c r="E266" s="538" t="n"/>
    </row>
    <row r="267" ht="15" customHeight="1" s="413">
      <c r="A267" s="740" t="n"/>
      <c r="E267" s="538" t="n"/>
    </row>
    <row r="268" ht="15" customHeight="1" s="413">
      <c r="A268" s="740" t="n"/>
      <c r="E268" s="538" t="n"/>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2026-08-16T14:31:46Z</dcterms:created>
  <dcterms:modified xsi:type="dcterms:W3CDTF">2026-08-16T15:37:31Z</dcterms:modified>
  <cp:revision>0</cp:revision>
</cp:coreProperties>
</file>