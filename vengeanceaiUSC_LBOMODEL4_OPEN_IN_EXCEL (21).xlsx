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rdn\Downloads\"/>
    </mc:Choice>
  </mc:AlternateContent>
  <xr:revisionPtr revIDLastSave="0" documentId="13_ncr:1_{D3EA86CD-C0CA-4BED-8BB2-99315347435B}" xr6:coauthVersionLast="47" xr6:coauthVersionMax="47" xr10:uidLastSave="{00000000-0000-0000-0000-000000000000}"/>
  <bookViews>
    <workbookView xWindow="-110" yWindow="-110" windowWidth="19420" windowHeight="11500" tabRatio="500" firstSheet="4" activeTab="7" xr2:uid="{00000000-000D-0000-FFFF-FFFF00000000}"/>
  </bookViews>
  <sheets>
    <sheet name="Assumptions_Drivers" sheetId="1" r:id="rId1"/>
    <sheet name="Strategy_Summary" sheetId="2" r:id="rId2"/>
    <sheet name="00_Assumptions_List" sheetId="3" r:id="rId3"/>
    <sheet name="Debt_Sweep_AI" sheetId="4" r:id="rId4"/>
    <sheet name="Base_Operating" sheetId="5" r:id="rId5"/>
    <sheet name="AI_Operating" sheetId="6" r:id="rId6"/>
    <sheet name="Coversheet" sheetId="7" r:id="rId7"/>
    <sheet name="LBO" sheetId="8" r:id="rId8"/>
    <sheet name="DCF" sheetId="9" r:id="rId9"/>
    <sheet name="Shares" sheetId="10" r:id="rId10"/>
    <sheet name="52wkHL"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0" l="1"/>
  <c r="E14" i="10" s="1"/>
  <c r="C8" i="9" s="1"/>
  <c r="E6" i="10"/>
  <c r="E5" i="10"/>
  <c r="E118" i="9"/>
  <c r="C118" i="9"/>
  <c r="D118" i="9" s="1"/>
  <c r="E117" i="9"/>
  <c r="C117" i="9"/>
  <c r="C55" i="9"/>
  <c r="C54" i="9"/>
  <c r="C52" i="9"/>
  <c r="C53" i="9" s="1"/>
  <c r="C58" i="9" s="1"/>
  <c r="C51" i="9"/>
  <c r="H50" i="9"/>
  <c r="C46" i="9"/>
  <c r="C47" i="9" s="1"/>
  <c r="C45" i="9"/>
  <c r="H37" i="9"/>
  <c r="C37" i="9"/>
  <c r="H25" i="9"/>
  <c r="G25" i="9"/>
  <c r="E25" i="9"/>
  <c r="D25" i="9"/>
  <c r="H22" i="9"/>
  <c r="G22" i="9"/>
  <c r="F22" i="9"/>
  <c r="E22" i="9"/>
  <c r="D22" i="9"/>
  <c r="L21" i="9"/>
  <c r="H17" i="9"/>
  <c r="G17" i="9"/>
  <c r="F17" i="9"/>
  <c r="E17" i="9"/>
  <c r="D17" i="9"/>
  <c r="C17" i="9"/>
  <c r="H16" i="9"/>
  <c r="H18" i="9" s="1"/>
  <c r="G16" i="9"/>
  <c r="G18" i="9" s="1"/>
  <c r="F16" i="9"/>
  <c r="F18" i="9" s="1"/>
  <c r="E16" i="9"/>
  <c r="E18" i="9" s="1"/>
  <c r="D16" i="9"/>
  <c r="D18" i="9" s="1"/>
  <c r="C16" i="9"/>
  <c r="C18" i="9" s="1"/>
  <c r="H15" i="9"/>
  <c r="H36" i="9" s="1"/>
  <c r="H38" i="9" s="1"/>
  <c r="G15" i="9"/>
  <c r="F15" i="9"/>
  <c r="E15" i="9"/>
  <c r="D15" i="9"/>
  <c r="C15" i="9"/>
  <c r="C7" i="9"/>
  <c r="C6" i="9"/>
  <c r="C385" i="8"/>
  <c r="C386" i="8" s="1"/>
  <c r="J220" i="8"/>
  <c r="J229" i="8" s="1"/>
  <c r="J230" i="8" s="1"/>
  <c r="I220" i="8"/>
  <c r="I229" i="8" s="1"/>
  <c r="I230" i="8" s="1"/>
  <c r="H220" i="8"/>
  <c r="H229" i="8" s="1"/>
  <c r="H230" i="8" s="1"/>
  <c r="J219" i="8"/>
  <c r="I219" i="8"/>
  <c r="H219" i="8"/>
  <c r="G219" i="8"/>
  <c r="G220" i="8" s="1"/>
  <c r="G229" i="8" s="1"/>
  <c r="G230" i="8" s="1"/>
  <c r="F219" i="8"/>
  <c r="F220" i="8" s="1"/>
  <c r="F229" i="8" s="1"/>
  <c r="F230" i="8" s="1"/>
  <c r="J125" i="8"/>
  <c r="I125" i="8"/>
  <c r="H125" i="8"/>
  <c r="G125" i="8"/>
  <c r="F125" i="8"/>
  <c r="J119" i="8"/>
  <c r="I119" i="8"/>
  <c r="H119" i="8"/>
  <c r="G119" i="8"/>
  <c r="F119" i="8"/>
  <c r="M107" i="8"/>
  <c r="J107" i="8"/>
  <c r="I107" i="8"/>
  <c r="H107" i="8"/>
  <c r="G107" i="8"/>
  <c r="F107" i="8"/>
  <c r="M104" i="8"/>
  <c r="M103" i="8"/>
  <c r="J103" i="8"/>
  <c r="I103" i="8"/>
  <c r="H103" i="8"/>
  <c r="G103" i="8"/>
  <c r="F103" i="8"/>
  <c r="M98" i="8"/>
  <c r="M97" i="8"/>
  <c r="J97" i="8"/>
  <c r="I97" i="8"/>
  <c r="H97" i="8"/>
  <c r="G97" i="8"/>
  <c r="F97" i="8"/>
  <c r="M95" i="8"/>
  <c r="M94" i="8"/>
  <c r="J94" i="8"/>
  <c r="I94" i="8"/>
  <c r="H94" i="8"/>
  <c r="G94" i="8"/>
  <c r="F94" i="8"/>
  <c r="M93" i="8"/>
  <c r="M92" i="8"/>
  <c r="J92" i="8"/>
  <c r="I92" i="8"/>
  <c r="G92" i="8"/>
  <c r="F92" i="8"/>
  <c r="M91" i="8"/>
  <c r="M86" i="8"/>
  <c r="M85" i="8"/>
  <c r="M83" i="8"/>
  <c r="J83" i="8"/>
  <c r="I83" i="8"/>
  <c r="H83" i="8"/>
  <c r="G83" i="8"/>
  <c r="F83" i="8"/>
  <c r="M82" i="8"/>
  <c r="J82" i="8"/>
  <c r="I82" i="8"/>
  <c r="H82" i="8"/>
  <c r="G82" i="8"/>
  <c r="F82" i="8"/>
  <c r="M81" i="8"/>
  <c r="M80" i="8"/>
  <c r="J80" i="8"/>
  <c r="I80" i="8"/>
  <c r="H80" i="8"/>
  <c r="G80" i="8"/>
  <c r="F80" i="8"/>
  <c r="M79" i="8"/>
  <c r="M78" i="8"/>
  <c r="J78" i="8"/>
  <c r="I78" i="8"/>
  <c r="H78" i="8"/>
  <c r="G78" i="8"/>
  <c r="F78" i="8"/>
  <c r="M77" i="8"/>
  <c r="J77" i="8"/>
  <c r="I77" i="8"/>
  <c r="H77" i="8"/>
  <c r="G77" i="8"/>
  <c r="G76" i="8" s="1"/>
  <c r="G85" i="8" s="1"/>
  <c r="F77" i="8"/>
  <c r="F76" i="8" s="1"/>
  <c r="F85" i="8" s="1"/>
  <c r="M76" i="8"/>
  <c r="J76" i="8"/>
  <c r="J85" i="8" s="1"/>
  <c r="I76" i="8"/>
  <c r="I85" i="8" s="1"/>
  <c r="H76" i="8"/>
  <c r="H85" i="8" s="1"/>
  <c r="M70" i="8"/>
  <c r="J70" i="8"/>
  <c r="J60" i="8" s="1"/>
  <c r="J118" i="8" s="1"/>
  <c r="I70" i="8"/>
  <c r="H70" i="8"/>
  <c r="G70" i="8"/>
  <c r="F70" i="8"/>
  <c r="M69" i="8"/>
  <c r="J69" i="8"/>
  <c r="I69" i="8"/>
  <c r="H69" i="8"/>
  <c r="G69" i="8"/>
  <c r="F69" i="8"/>
  <c r="M68" i="8"/>
  <c r="J68" i="8"/>
  <c r="I68" i="8"/>
  <c r="H68" i="8"/>
  <c r="G68" i="8"/>
  <c r="F68" i="8"/>
  <c r="M67" i="8"/>
  <c r="J67" i="8"/>
  <c r="I67" i="8"/>
  <c r="H67" i="8"/>
  <c r="G67" i="8"/>
  <c r="F67" i="8"/>
  <c r="M66" i="8"/>
  <c r="J66" i="8"/>
  <c r="I66" i="8"/>
  <c r="H66" i="8"/>
  <c r="G66" i="8"/>
  <c r="F66" i="8"/>
  <c r="M65" i="8"/>
  <c r="J65" i="8"/>
  <c r="I65" i="8"/>
  <c r="H65" i="8"/>
  <c r="G65" i="8"/>
  <c r="F65" i="8"/>
  <c r="J62" i="8"/>
  <c r="I62" i="8"/>
  <c r="H62" i="8"/>
  <c r="G62" i="8"/>
  <c r="F62" i="8"/>
  <c r="I60" i="8"/>
  <c r="I118" i="8" s="1"/>
  <c r="H60" i="8"/>
  <c r="H118" i="8" s="1"/>
  <c r="G60" i="8"/>
  <c r="G118" i="8" s="1"/>
  <c r="F60" i="8"/>
  <c r="F118" i="8" s="1"/>
  <c r="H36" i="8"/>
  <c r="H32" i="8"/>
  <c r="J31" i="8"/>
  <c r="H31" i="8"/>
  <c r="H30" i="8"/>
  <c r="J30" i="8" s="1"/>
  <c r="H29" i="8"/>
  <c r="J29" i="8" s="1"/>
  <c r="H28" i="8"/>
  <c r="H33" i="8" s="1"/>
  <c r="D22" i="8" s="1"/>
  <c r="D23" i="8" s="1"/>
  <c r="D35" i="8" s="1"/>
  <c r="H19" i="6"/>
  <c r="G19" i="6"/>
  <c r="F19" i="6"/>
  <c r="F25" i="9" s="1"/>
  <c r="E19" i="6"/>
  <c r="D19" i="6"/>
  <c r="D15" i="6"/>
  <c r="D20" i="9" s="1"/>
  <c r="H19" i="5"/>
  <c r="G19" i="5"/>
  <c r="F19" i="5"/>
  <c r="E19" i="5"/>
  <c r="D19" i="5"/>
  <c r="D15" i="5"/>
  <c r="E15" i="5" s="1"/>
  <c r="F15" i="5" s="1"/>
  <c r="G15" i="5" s="1"/>
  <c r="H15" i="5" s="1"/>
  <c r="E29" i="1"/>
  <c r="C28" i="1"/>
  <c r="C27" i="1"/>
  <c r="C50" i="9" s="1"/>
  <c r="H26" i="1"/>
  <c r="E26" i="1"/>
  <c r="H25" i="1"/>
  <c r="E25" i="1"/>
  <c r="E24" i="1"/>
  <c r="H23" i="1"/>
  <c r="E23" i="1"/>
  <c r="E22" i="1"/>
  <c r="H21" i="1"/>
  <c r="E21" i="1"/>
  <c r="E20" i="1"/>
  <c r="E19" i="1"/>
  <c r="H18" i="1"/>
  <c r="E18" i="1"/>
  <c r="E17" i="1"/>
  <c r="E16" i="1"/>
  <c r="E15" i="1"/>
  <c r="E14" i="1"/>
  <c r="H13" i="1"/>
  <c r="E13" i="1"/>
  <c r="H12" i="1"/>
  <c r="E12" i="1"/>
  <c r="H11" i="1"/>
  <c r="E11" i="1"/>
  <c r="E10" i="1"/>
  <c r="H9" i="1"/>
  <c r="E9" i="1"/>
  <c r="H8" i="1"/>
  <c r="E8" i="1"/>
  <c r="E7" i="1"/>
  <c r="E6" i="1"/>
  <c r="H5" i="1"/>
  <c r="E5" i="1"/>
  <c r="C59" i="9" l="1"/>
  <c r="C9" i="9" s="1"/>
  <c r="C230" i="8"/>
  <c r="C35" i="8"/>
  <c r="C36" i="8" s="1"/>
  <c r="D36" i="8"/>
  <c r="H37" i="8" s="1"/>
  <c r="E37" i="8" s="1"/>
  <c r="F275" i="8"/>
  <c r="D24" i="9"/>
  <c r="D27" i="9" s="1"/>
  <c r="J47" i="9"/>
  <c r="I47" i="9"/>
  <c r="H47" i="9"/>
  <c r="H49" i="9"/>
  <c r="H48" i="9"/>
  <c r="H46" i="9" s="1"/>
  <c r="J49" i="9"/>
  <c r="I49" i="9"/>
  <c r="E15" i="6"/>
  <c r="J28" i="8"/>
  <c r="J33" i="8" s="1"/>
  <c r="H92" i="8"/>
  <c r="F58" i="8"/>
  <c r="F93" i="8"/>
  <c r="F91" i="8" s="1"/>
  <c r="F116" i="8"/>
  <c r="D33" i="9" l="1"/>
  <c r="C32" i="9"/>
  <c r="H39" i="9"/>
  <c r="F95" i="8"/>
  <c r="E20" i="9"/>
  <c r="E24" i="9" s="1"/>
  <c r="E27" i="9" s="1"/>
  <c r="G116" i="8"/>
  <c r="G93" i="8"/>
  <c r="G95" i="8" s="1"/>
  <c r="G58" i="8"/>
  <c r="F15" i="6"/>
  <c r="E33" i="9" l="1"/>
  <c r="F20" i="9"/>
  <c r="F24" i="9" s="1"/>
  <c r="F27" i="9" s="1"/>
  <c r="H116" i="8"/>
  <c r="H93" i="8"/>
  <c r="H95" i="8" s="1"/>
  <c r="H58" i="8"/>
  <c r="G15" i="6"/>
  <c r="E28" i="9"/>
  <c r="G91" i="8"/>
  <c r="H91" i="8" s="1"/>
  <c r="I93" i="8" l="1"/>
  <c r="I95" i="8" s="1"/>
  <c r="I58" i="8"/>
  <c r="H15" i="6"/>
  <c r="G20" i="9"/>
  <c r="G24" i="9" s="1"/>
  <c r="G27" i="9" s="1"/>
  <c r="I116" i="8"/>
  <c r="F33" i="9"/>
  <c r="G28" i="9"/>
  <c r="F28" i="9"/>
  <c r="J93" i="8" l="1"/>
  <c r="J95" i="8" s="1"/>
  <c r="J58" i="8"/>
  <c r="H20" i="9"/>
  <c r="H24" i="9" s="1"/>
  <c r="H27" i="9" s="1"/>
  <c r="J116" i="8"/>
  <c r="G33" i="9"/>
  <c r="I91" i="8"/>
  <c r="C36" i="9" l="1"/>
  <c r="C38" i="9" s="1"/>
  <c r="H33" i="9"/>
  <c r="C40" i="9" s="1"/>
  <c r="H40" i="9" s="1"/>
  <c r="H41" i="9" s="1"/>
  <c r="J46" i="9" s="1"/>
  <c r="J48" i="9" s="1"/>
  <c r="J50" i="9" s="1"/>
  <c r="J51" i="9" s="1"/>
  <c r="H42" i="9"/>
  <c r="H28" i="9"/>
  <c r="J91" i="8"/>
  <c r="C39" i="9" l="1"/>
  <c r="C41" i="9" s="1"/>
  <c r="I46" i="9" s="1"/>
  <c r="I48" i="9" s="1"/>
  <c r="I50" i="9" s="1"/>
  <c r="I51" i="9" s="1"/>
  <c r="C42" i="9"/>
</calcChain>
</file>

<file path=xl/sharedStrings.xml><?xml version="1.0" encoding="utf-8"?>
<sst xmlns="http://schemas.openxmlformats.org/spreadsheetml/2006/main" count="1305" uniqueCount="981">
  <si>
    <t>Assumptions Drivers — Col A Baseline Yes/No. Col E/H = source page link. Cols I/J/K = plain Verbatim Ctrl+F strings. Converse pass: driver must match sourced figure or a justified gap; else driver was reset to the source.</t>
  </si>
  <si>
    <t>How to verify: click Source (E) → open page → copy Verbatim from I/J/K → Ctrl+F → paste. Overpessimism fix: rev +5% (mature CAGR; FY24 −2% outlier). S&amp;M +2% Fed restored. S&amp;M $414.1; AI $24.5m; CapEx 8%; ΔNWC=ΔAR(16.2%×[1−10% AI])−ΔDR(39%).</t>
  </si>
  <si>
    <t>Baseline Yes/No</t>
  </si>
  <si>
    <t>Driver</t>
  </si>
  <si>
    <t>Value</t>
  </si>
  <si>
    <t>Why reasonable (model justification)</t>
  </si>
  <si>
    <t>Source — ONLY if number appears in EQ (click)</t>
  </si>
  <si>
    <t>Source justification (≤30 words): Source says X. Does X go into the math?</t>
  </si>
  <si>
    <t>Feeds (click to jump)</t>
  </si>
  <si>
    <t>Secondary source (click)</t>
  </si>
  <si>
    <t>Verbatim 1 — copy this into Ctrl+F on the source page</t>
  </si>
  <si>
    <t>Verbatim 2 — copy this into Ctrl+F on the source page</t>
  </si>
  <si>
    <t>Verbatim 3 — copy this into Ctrl+F on the source page</t>
  </si>
  <si>
    <t>NO</t>
  </si>
  <si>
    <t>Revenue growth</t>
  </si>
  <si>
    <t>FY24 −2% was the only revenue decline in CY2019–CY2025 (outlier). FY25 recovered +3% ($1,249.5m). Mature CAGR CY2022 $1,098m → CY2025 $1,249.5m ≈ 4.4%, rounded to 5% forward.</t>
  </si>
  <si>
    <t>FY24 −2% was an outlier (only decline). FY25 rose 3% to $1,249.5m. CAGR 2022–2025 ≈4.4%; we use 5% forward.</t>
  </si>
  <si>
    <t>Go to AI_Operating!D5 (Revenue)</t>
  </si>
  <si>
    <t>Ctrl+F: increase of $35.2 million, or 3%</t>
  </si>
  <si>
    <t>Ctrl+F: revenue of $1,249.5 million</t>
  </si>
  <si>
    <t>Ctrl+F: a decrease of 2% year-over-year (FY24 outlier)</t>
  </si>
  <si>
    <t>Gross margin</t>
  </si>
  <si>
    <t>Uses the 2025 software median gross margin of 80%. ZoomInfo’s own GAAP GM is higher (~84%), but this model uses the cited Aleph median.</t>
  </si>
  <si>
    <t>Aleph says the 2025 software median gross margin is 80%. We use that 80% in the COGS math.</t>
  </si>
  <si>
    <t>Go to AI_Operating!D6 (COGS)</t>
  </si>
  <si>
    <t>Ctrl+F: The 2025 median software gross margin is 80%</t>
  </si>
  <si>
    <t>ZI GAAP GM ~84% not used — Aleph median is the driver</t>
  </si>
  <si>
    <t>Sales payroll cut (Y1)</t>
  </si>
  <si>
    <t>Matches published US B2B SaaS net SDR headcount decline of 18% YoY.</t>
  </si>
  <si>
    <t>Digital Applied says U.S. B2B SaaS SDR headcount fell 18% YoY. We use that 18% as the Year 1 payroll cut.</t>
  </si>
  <si>
    <t>Go to AI_Operating!D7 (Sales payroll)</t>
  </si>
  <si>
    <t>Ctrl+F: down 18% YoY</t>
  </si>
  <si>
    <t>Variable commission cut</t>
  </si>
  <si>
    <t>Was an unsourced 20% cut. Now 18% to match the same SDR headcount decline used for payroll.</t>
  </si>
  <si>
    <t>Digital Applied says SDR headcount fell 18% YoY. We use that same 18% as the commission cut.</t>
  </si>
  <si>
    <t>Go to AI_Operating!D8 (Commissions)</t>
  </si>
  <si>
    <t>Ctrl+F: 70/30 base/variable split</t>
  </si>
  <si>
    <t>Prior 20% cut removed — no source equaled 20%</t>
  </si>
  <si>
    <t>AI infrastructure ($m)</t>
  </si>
  <si>
    <t>AI $24.5m = 18%×1,513 roles × $5–10k/mo × 12, midpoint. Role share now uses the same sourced 18% SDR decline (was unsourced 25%).</t>
  </si>
  <si>
    <t>White Space/Miniloop say ~$5k–$10k+/mo. ZoomInfo’s 10-K says 1,513 S&amp;M staff. Roles use the sourced 18% (not 25%). Those build the $24.5m cost.</t>
  </si>
  <si>
    <t>Go to AI_Operating!D10 (AI infrastructure)</t>
  </si>
  <si>
    <t>Ctrl+F: $5,000-10,000+</t>
  </si>
  <si>
    <t>Ctrl+F: $10,000-$15,000+</t>
  </si>
  <si>
    <t>Ctrl+F: 1,513 in sales and marketing</t>
  </si>
  <si>
    <t>S&amp;M expense growth Y2+</t>
  </si>
  <si>
    <t>After the Y1 headcount cut, AI keeps S&amp;M growing only at ~inflation (2%), not with revenue. Restored now that forward revenue is positive again.</t>
  </si>
  <si>
    <t>The Fed says longer-run inflation is 2%. We use that 2% to grow S&amp;M costs after Year 1.</t>
  </si>
  <si>
    <t>Go to AI_Operating!E7 (payroll Y2+)</t>
  </si>
  <si>
    <t>FOMC Statement on Longer-Run Goals (PDF)</t>
  </si>
  <si>
    <t>Ctrl+F: inflation of 2 percent over the longer run</t>
  </si>
  <si>
    <t>Valid with +5% revenue (row 5); not used when rev was −2%</t>
  </si>
  <si>
    <t>G&amp;A % of revenue</t>
  </si>
  <si>
    <t>Post-LBO target at the public SaaS median (18%). ZoomInfo’s own FY24 G&amp;A is higher (~24%) and is not used.</t>
  </si>
  <si>
    <t>Blossom Street says 2025 public SaaS median G&amp;A is 18% of sales. We use that 18% in the G&amp;A math.</t>
  </si>
  <si>
    <t>Go to AI_Operating!D12 (G&amp;A)</t>
  </si>
  <si>
    <t>Ctrl+F: G&amp;A was 18%</t>
  </si>
  <si>
    <t>Ctrl+F: MEDIAN</t>
  </si>
  <si>
    <t>ZI own ~24% G&amp;A not used — median is the driver</t>
  </si>
  <si>
    <t>CapEx reduction vs base</t>
  </si>
  <si>
    <t>SaaS CapEx is primarily laptops/office gear (SaaSDB). Replacing 18% of S&amp;M SDRs with AI removes that gear. S&amp;M is 1,513/3,508≈43% of ZI HC → CapEx cut ≈18%×43%≈8%.</t>
  </si>
  <si>
    <t>SaaSDB says SaaS CapEx is mainly laptops and office gear. 18%×(1,513/3,508 S&amp;M share)≈8% CapEx cut when those SDRs become AI.</t>
  </si>
  <si>
    <t>Go to AI_Operating!D19 (CapEx)</t>
  </si>
  <si>
    <t>Ctrl+F: primarily laptops, office equipment</t>
  </si>
  <si>
    <t>Ctrl+F: had 3,508 employees</t>
  </si>
  <si>
    <t>AR / receivables improvement (DSO)</t>
  </si>
  <si>
    <t>6/59 DSO days ≈10% faster collections → ~10% lower AR if sales steady. That frees cash trapped in AR; it is NOT the same as a 10% cut to total NWC (NWC also reflects deferred revenue and other liabilities).</t>
  </si>
  <si>
    <t>6/59≈10% DSO cut → ~10% less AR. That frees AR cash. It is not a 10% cut to total NWC (deferred revenue still nets in).</t>
  </si>
  <si>
    <t>Go to AI_Operating!D20 (ΔNWC)</t>
  </si>
  <si>
    <t>Ctrl+F: Median B2B SaaS DSO is 59 days</t>
  </si>
  <si>
    <t>Ctrl+F: reduced DSO by 6 days</t>
  </si>
  <si>
    <t>20–40% headlines often measure overdue/FTE — not calendar DSO; we keep 10%</t>
  </si>
  <si>
    <t>SOFR</t>
  </si>
  <si>
    <t>Uses the sourced 2024 calendar-year lowest SOFR print of 4.30%.</t>
  </si>
  <si>
    <t>Global-Rates shows the lowest 2024 SOFR print was 4.30%. We use that 4.30% in the interest math.</t>
  </si>
  <si>
    <t>Go to Debt_Sweep_AI!C12 (TLA rate uses SOFR)</t>
  </si>
  <si>
    <t>NY Fed SOFR publisher</t>
  </si>
  <si>
    <t>Ctrl+F: 4.30</t>
  </si>
  <si>
    <t>Uses Lowest print (sourced), not Average</t>
  </si>
  <si>
    <t>Term Loan A spread</t>
  </si>
  <si>
    <t>Floor of the sourced senior Term Loan A SOFR+400–500 bps band.</t>
  </si>
  <si>
    <t>CT Acquisitions lists senior Term Loan A at SOFR + 400–500 bps. We use +400 bps from that range in the rate math.</t>
  </si>
  <si>
    <t>Go to Assumptions_Drivers!C27 (TLA rate)</t>
  </si>
  <si>
    <t>Also: senior debt SOFR plus 400 to 500</t>
  </si>
  <si>
    <t>Ctrl+F: SOFR + 400-500 bps</t>
  </si>
  <si>
    <t>Term Loan B spread</t>
  </si>
  <si>
    <t>Upper bound of the sourced TLB SOFR+300–500 bps band (conservative).</t>
  </si>
  <si>
    <t>LBO debt guides list Term Loan B at SOFR + 300–500 bps. We use +500 bps from that range in the rate math.</t>
  </si>
  <si>
    <t>Go to Assumptions_Drivers!C28 (TLB rate)</t>
  </si>
  <si>
    <t>Table: Term Loan B | SOFR + 300-500 bps | 1% annual</t>
  </si>
  <si>
    <t>Ctrl+F: SOFR + 300-500 basis points</t>
  </si>
  <si>
    <t>Mandatory amortization</t>
  </si>
  <si>
    <t>Standard ~1%/year TLB amortization.</t>
  </si>
  <si>
    <t>ClearValue says Term Loan B amortizes about 1% per year. We use that 1% in the debt paydown math.</t>
  </si>
  <si>
    <t>Go to Debt_Sweep_AI!D5 (Mandatory 1%)</t>
  </si>
  <si>
    <t>ClearValue: "minimal amortization (1% annually)"</t>
  </si>
  <si>
    <t>Ctrl+F: minimal amortization (1% annually)</t>
  </si>
  <si>
    <t>Cash sweep %</t>
  </si>
  <si>
    <t>Uses the upper end of the sourced 50–100% excess-cash sweep range.</t>
  </si>
  <si>
    <t>Ryan O’Connell says excess-cash sweeps are often 50–100% and models often use 100%. We use that 100% in the sweep math.</t>
  </si>
  <si>
    <t>Go to Debt_Sweep_AI!E5 (Total paydown)</t>
  </si>
  <si>
    <t>Ctrl+F: 50-100% of annual excess free cash flow</t>
  </si>
  <si>
    <t>Ctrl+F: typically modeled at 100%</t>
  </si>
  <si>
    <t>Tax rate</t>
  </si>
  <si>
    <t>Matches the U.S. federal corporate tax rate of 21%.</t>
  </si>
  <si>
    <t>PwC says the U.S. federal corporate tax rate is a flat 21%. We use that 21% in the tax math.</t>
  </si>
  <si>
    <t>Go to AI_Operating!D18 (Net income)</t>
  </si>
  <si>
    <t>Trading Economics: 21 percent</t>
  </si>
  <si>
    <t>Ctrl+F: flat rate of 21%</t>
  </si>
  <si>
    <t>Exit EV/EBITDA multiple</t>
  </si>
  <si>
    <t>Matches Aventis private SaaS EV/EBITDA first quartile of 12.9x.</t>
  </si>
  <si>
    <t>Aventis shows private SaaS EV/EBITDA first quartile at 12.9x. We use that 12.9x as the exit multiple.</t>
  </si>
  <si>
    <t>Go to LBO!D17 (Exit multiple)</t>
  </si>
  <si>
    <t>Ctrl+F: 12.9x</t>
  </si>
  <si>
    <t>YES</t>
  </si>
  <si>
    <t>S&amp;M baseline ($m)</t>
  </si>
  <si>
    <t>Was a rounded $425m (~35% of sales). Now the exact ZoomInfo FY24 S&amp;M of $414.1m.</t>
  </si>
  <si>
    <t>ZoomInfo says FY24 S&amp;M was $414.1m. We use that $414.1m as the S&amp;M baseline in the math.</t>
  </si>
  <si>
    <t>Go to AI_Operating!C9 (S&amp;M human FY24A)</t>
  </si>
  <si>
    <t>Ctrl+F: 414.1</t>
  </si>
  <si>
    <t>Ctrl+F: $414.1</t>
  </si>
  <si>
    <t>Ctrl+F: Sales and marketing</t>
  </si>
  <si>
    <t>Payroll baseline ($m)</t>
  </si>
  <si>
    <t>Was 75% of $425m. Now 70% of $414.1m = $289.9m to match SyncGTM’s ~70% base mix.</t>
  </si>
  <si>
    <t>SyncGTM says pay is about 70% base. We use 70% of $414.1m = $289.9m as payroll in the math.</t>
  </si>
  <si>
    <t>Go to AI_Operating!C7 (Payroll FY24A)</t>
  </si>
  <si>
    <t>Ctrl+F: 414.1 (on ZI results for S&amp;M pool)</t>
  </si>
  <si>
    <t>$289.9m = 70% × $414.1m</t>
  </si>
  <si>
    <t>Commission baseline ($m)</t>
  </si>
  <si>
    <t>Was 25% of $425m. Now 30% of $414.1m = $124.2m to match SyncGTM’s ~30% variable mix.</t>
  </si>
  <si>
    <t>SyncGTM says commission is about 30–35% of pay. We use 30% of $414.1m = $124.2m in the math.</t>
  </si>
  <si>
    <t>Go to AI_Operating!C8 (Commissions FY24A)</t>
  </si>
  <si>
    <t>Ctrl+F: 30–35% of total pay</t>
  </si>
  <si>
    <t>$124.2m = 30% × $414.1m</t>
  </si>
  <si>
    <t>CapEx base % of rev</t>
  </si>
  <si>
    <t>Midpoint of the sourced pure-play SaaS CapEx band of 1–3% of revenue.</t>
  </si>
  <si>
    <t>SaaSDB says pure-play SaaS CapEx is often 1–3% of sales. We use 2%, the midpoint of that band, in the CapEx math.</t>
  </si>
  <si>
    <t>Ctrl+F: CapEx of 1</t>
  </si>
  <si>
    <t>Tip: page uses en-dash 1–3%; or Ctrl+F: Most pure-play SaaS companies report CapEx of</t>
  </si>
  <si>
    <t>2%: MODEL midpoint of 1–3% band</t>
  </si>
  <si>
    <t>AR intensity (DSO÷365)</t>
  </si>
  <si>
    <t>AR ≈ (DSO/365)×Revenue. Fairview median B2B SaaS DSO is 59 days → 59/365≈16.2% of Δrev builds AR if DSO is unchanged. This is the gross AR leg — not net NWC.</t>
  </si>
  <si>
    <t>Fairview median DSO is 59 days. AR intensity = 59/365≈16.2% of Δrevenue. That is the AR leg of ΔNWC, not net NWC.</t>
  </si>
  <si>
    <t>Ctrl+F: Accounts receivable</t>
  </si>
  <si>
    <t>EQ: ΔAR_base=ΔRev×16.2%; ΔAR_AI=ΔRev×16.2%×(1−10%)</t>
  </si>
  <si>
    <t>Deferred revenue % of rev</t>
  </si>
  <si>
    <t>ZI FY24 unearned revenue current $473.8m / $1,214.3m sales ≈39%. As sales grow, deferred revenue typically rises too — a cash source that nets against AR in NWC.</t>
  </si>
  <si>
    <t>ZoomInfo FY24 unearned revenue was $473.8m on $1,214.3m sales (~39%). ΔDeferred≈39% of Δrev and reduces ΔNWC (cash source).</t>
  </si>
  <si>
    <t>Ctrl+F: 473.8</t>
  </si>
  <si>
    <t>Ctrl+F: Unearned revenue</t>
  </si>
  <si>
    <t>EQ: ΔNWC≈ΔAR−ΔDeferred; AI cuts only ΔAR by 10%</t>
  </si>
  <si>
    <t>TLA rate (SOFR+4)</t>
  </si>
  <si>
    <t>Total Term Loan A interest. Sum of sourced SOFR + TLA spread.</t>
  </si>
  <si>
    <t>EQ only: C27=C14+C15 (see rows 14–15 Verbatim)</t>
  </si>
  <si>
    <t>No new source. This cell only adds SOFR (row 14) and the TLA spread (row 15). Both already go into the rate math.</t>
  </si>
  <si>
    <t>Go to Debt_Sweep_AI!C12 (TLA rate)</t>
  </si>
  <si>
    <t>See Ctrl+F strings on rows 14–15</t>
  </si>
  <si>
    <t>TLB rate (SOFR+5)</t>
  </si>
  <si>
    <t>Total Term Loan B interest. Sum of sourced SOFR + TLB spread.</t>
  </si>
  <si>
    <t>EQ only: C28=C14+C16 (see rows 14 &amp; 16 Verbatim)</t>
  </si>
  <si>
    <t>No new source. This cell only adds SOFR (row 14) and the TLB spread (row 16). Both already go into the rate math.</t>
  </si>
  <si>
    <t>Go to Debt_Sweep_AI!D12 (TLB rate)</t>
  </si>
  <si>
    <t>See Ctrl+F strings on rows 14 &amp; 16</t>
  </si>
  <si>
    <t>SBC as % of operating expenses</t>
  </si>
  <si>
    <t>FY25 ZI: equity-based comp $116.2m ÷ total operating expenses $824.2m = 14.1%. Replaces prior 9.3% BMC hist trend. Not in AI_Operating FCF (no SBC add-back).</t>
  </si>
  <si>
    <t>10-K: FY25 SBC $116.2m and opex $824.2m. 116.2÷824.2=14.1% enters LBO SBC $ via C29.</t>
  </si>
  <si>
    <t>Go to LBO!F70 (SBC %) and LBO!F60 (SBC $); DCF!D21 stays 0 (no add-back).</t>
  </si>
  <si>
    <t>Ctrl+F: Total equity-based compensation expense $ 116.2</t>
  </si>
  <si>
    <t>Ctrl+F: Total operating expenses $ 824.2</t>
  </si>
  <si>
    <t>EQ: 116.2÷824.2=14.1%. LBO F60=F70×(|COS|+|R&amp;D|+|SG&amp;A|).</t>
  </si>
  <si>
    <t>AI $24.5m IN-EQ sources + Ctrl+F:</t>
  </si>
  <si>
    <t>White Space Ctrl+F $5,000-10,000+ | Miniloop Ctrl+F $10,000-$15,000+ | SEC Ctrl+F 1,513 in sales | roles=18% of HC (same 18% as payroll cut)</t>
  </si>
  <si>
    <t>ZI 10-K S&amp;M HC 1,513:</t>
  </si>
  <si>
    <t>https://www.sec.gov/Archives/edgar/data/1794515/000179451525000045/zi-20241231.htm</t>
  </si>
  <si>
    <t>11x Growth $3,750 NOT in EQ:</t>
  </si>
  <si>
    <t>https://www.11x.ai/products/alice/pricing</t>
  </si>
  <si>
    <t>PDF map:</t>
  </si>
  <si>
    <t>https://raw.githubusercontent.com/vengeanceaiUSC/Rainmaker/cursor/vengeanceaiusclbomodel2-44dc/LBO/output/LBOMODEL2_DRIVER_SOURCES.pdf</t>
  </si>
  <si>
    <t>HOW TO USE VERBATIM (no auto-highlight):</t>
  </si>
  <si>
    <t>1) Click Source link in column E (opens the page). 2) Copy the string from column I (or J/K). 3) Ctrl+F on the page and paste. Example row 9: I9 copy $5,000-10,000+ | J9 copy $10,000-$15,000+ | K9 copy 1,513 in sales and marketing</t>
  </si>
  <si>
    <t>AI $34m FIND example (row 9):</t>
  </si>
  <si>
    <t>I → White Space $5,000-10,000+ highlighted | J → Miniloop $10,000-$15,000+ highlighted | K → SEC 1,513 in sales and marketing highlighted</t>
  </si>
  <si>
    <t>Baseline legend (col A):</t>
  </si>
  <si>
    <t>YES = yellow value derived from ZI past performance / FY24 S&amp;M pools. NO = external publication, market quote, MODEL CONST, or AI operating lever.</t>
  </si>
  <si>
    <t>vengeanceaiUSC-LBOMODEL2 — ZoomInfo AI-SDR LBO Strategy</t>
  </si>
  <si>
    <t>Take-private LBO: slash outbound SDR S&amp;M, replace with AI agents, ≥500 bps EBITDA margin → higher FCF → faster debt paydown → higher IRR</t>
  </si>
  <si>
    <t>THESIS</t>
  </si>
  <si>
    <t>Replacing human SDRs with AI agents to drive 500+ bps EBITDA margin expansion.</t>
  </si>
  <si>
    <t>S&amp;M is the largest SaaS opex lever → lower CAC → higher FCF → sweep debt → juice LBO IRR.</t>
  </si>
  <si>
    <t>ENTRY (ZoomInfo FY2024 10-K baseline + latest BS)</t>
  </si>
  <si>
    <t>Revenue (FY2024)</t>
  </si>
  <si>
    <t>10-K</t>
  </si>
  <si>
    <t>Gross Profit / GM</t>
  </si>
  <si>
    <t>1024.5 / 84.4%</t>
  </si>
  <si>
    <t>GAAP Operating Income</t>
  </si>
  <si>
    <t>D&amp;A</t>
  </si>
  <si>
    <t>XBRL OtherDepreciationAndAmortization</t>
  </si>
  <si>
    <t>Baseline EBITDA (OpInc+D&amp;A)</t>
  </si>
  <si>
    <t>Calculated</t>
  </si>
  <si>
    <t>Baseline EBITDA margin</t>
  </si>
  <si>
    <t>S&amp;M baseline (ZI FY24 S&amp;M $414.1m)</t>
  </si>
  <si>
    <t>Prompt: ~35% / ~$425m</t>
  </si>
  <si>
    <t>Share price / shares (m)</t>
  </si>
  <si>
    <t>$4.05 / 307.294</t>
  </si>
  <si>
    <t>Market + 10-K shares</t>
  </si>
  <si>
    <t>Offer (25% premium)</t>
  </si>
  <si>
    <t>$5.0625</t>
  </si>
  <si>
    <t>Assumption</t>
  </si>
  <si>
    <t>Gross debt / cash</t>
  </si>
  <si>
    <t>1329.9 / 179.9</t>
  </si>
  <si>
    <t>YE2025 10-K/Q</t>
  </si>
  <si>
    <t>Sponsor equity check</t>
  </si>
  <si>
    <t>Uses − excess cash − new debt (plug; matches LBO!D35)</t>
  </si>
  <si>
    <t>New debt (5.0x EBITDA)</t>
  </si>
  <si>
    <t>TLA 2.5x + TLB 1.5x + Notes 1.0x</t>
  </si>
  <si>
    <t>Exit multiple</t>
  </si>
  <si>
    <t>Aventis private SaaS EV/EBITDA 1st quartile 12.9x</t>
  </si>
  <si>
    <t>AI STRATEGY RULES (as specified)</t>
  </si>
  <si>
    <t>Y1: cut payroll &amp; commissions 18% vs baseline $414.1m S&amp;M; add $24.5m AI software/compute cost</t>
  </si>
  <si>
    <t>Y2–Y5: S&amp;M grows only 2%/yr after Y1 cut (AI scales without headcount; Fed inflation)</t>
  </si>
  <si>
    <t>Target: ≥500 bps EBITDA margin expansion by Year 2 vs baseline year</t>
  </si>
  <si>
    <t>RESULTS — AI case vs Base (no AI) case</t>
  </si>
  <si>
    <t>Metric</t>
  </si>
  <si>
    <t>Base (no AI)</t>
  </si>
  <si>
    <t>AI-SDR case</t>
  </si>
  <si>
    <t>Delta</t>
  </si>
  <si>
    <t>COMMENTARY</t>
  </si>
  <si>
    <t>Y2 EBITDA margin</t>
  </si>
  <si>
    <t>Year 2 operating profitability; the AI strategy drove this from 10.9% to 18.8%, expanding the margin by 8.0%.</t>
  </si>
  <si>
    <t>Y2 margin vs baseline (bps)</t>
  </si>
  <si>
    <t>The difference from baseline margin; AI implementation increased this metric by 797.6 basis points to reach 374.9.</t>
  </si>
  <si>
    <t>Y5 EBITDA ($m)</t>
  </si>
  <si>
    <t>Year 5 EBITDA; AI-driven cost savings (with $34m AI infra) boosted this to $477.4m vs Base $212.2m.</t>
  </si>
  <si>
    <t>Exit EV @ 12.9x ($m)</t>
  </si>
  <si>
    <t>Projected exit EV; higher EBITDA from AI increased this valuation by $3,447.4m to $6,206.2m.</t>
  </si>
  <si>
    <t>Exit net debt ($m)</t>
  </si>
  <si>
    <t>Remaining debt at exit; AI case $6.4m vs Base $487.1m.</t>
  </si>
  <si>
    <t>Exit equity value ($m)</t>
  </si>
  <si>
    <t>Total equity payout; AI strategy changed final payout by $2,241.1m to $4,102.8m (exit 12.9x).</t>
  </si>
  <si>
    <t>MOIC</t>
  </si>
  <si>
    <t>Multiple on Invested Capital; AI improved gross cash return from 0.99x to 2.19x.</t>
  </si>
  <si>
    <t>IRR</t>
  </si>
  <si>
    <t>5-year IRR; AI boosted return by 17.1 percentage points to 17.0% (AI infra $24.5m; payroll/commission cut 18%; rev 5%; exit 12.9x).</t>
  </si>
  <si>
    <t>The IRR is calculated over a 5-year period.</t>
  </si>
  <si>
    <t>IRR POINTS FROM AI-DRIVEN S&amp;M REDUCTION</t>
  </si>
  <si>
    <t>AI case IRR 17.0% − Base IRR -0.1% = 17.1 percentage points of IRR</t>
  </si>
  <si>
    <t>Y2 AI EBITDA margin 18.1% vs FY24 baseline 15.1% = 307 bps (target ≥500: NO)</t>
  </si>
  <si>
    <t>NWC math: ΔNWC≈ΔAR−ΔDeferred. AR intensity 59/365≈16.2%; ZI deferred 39.0% of sales. AI cuts ΔAR by 10% only (not 10% of total NWC).</t>
  </si>
  <si>
    <t>FCF impact Y1: AI ΔNWC -14.9m vs Base -13.9m (AI FCF +1.0m from lower ΔAR). Illustrative stock: 10%×FY24 AR $246.1m ≈ $24.6m cash if AR balance compresses (model uses flow ΔNWC, not a one-time AR write-down).</t>
  </si>
  <si>
    <t>Deferred revenue: ZI FY24 unearned $473.8m &gt; AR $246.1m → structural cash source. 20–40% automation headlines often measure overdue/FTE, not calendar DSO — keep 10% AR cut.</t>
  </si>
  <si>
    <t>FIX: earlier drafts applied 10% to all ΔNWC (ΔRev×WCbase×0.9). Workbook now applies 10% to ΔAR only; deferred revenue uncapped by C13.</t>
  </si>
  <si>
    <t>SBC: Drivers C29=14.1% (FY25 $116.2÷$824.2) drives LBO SBC $/CF; DCF UFCF keeps SBC add-back at $0 (real cost). WC Major Variables: AR (C25), Deferred (C26), AI DSO cut (C13) → AI_Operating ΔNWC → FCF/debt sweep (LBO col O).</t>
  </si>
  <si>
    <t>CHART DATA (Base vs AI)</t>
  </si>
  <si>
    <t>Base</t>
  </si>
  <si>
    <t>AI-SDR</t>
  </si>
  <si>
    <t>Y2 EBITDA margin %</t>
  </si>
  <si>
    <t>Y2 margin bps vs base</t>
  </si>
  <si>
    <t>Exit equity ($m)</t>
  </si>
  <si>
    <t>MOIC (x)</t>
  </si>
  <si>
    <t>ASSETS FIX: LBO CapEx→AI 1.84% of sales (C24×(1−C12)); D&amp;A→AI; software/intangible purchases→$0 (match DCF). See LBO!L90:P107.</t>
  </si>
  <si>
    <t>vengeanceaiUSC-LBOMODEL2 — Assumptions List (commentary + Tab/Cell map)</t>
  </si>
  <si>
    <t>Each row states Where (Tab!Cell), the math location, commentary, and the formula meaning. Not DCF-primary — LBO/operating engine.</t>
  </si>
  <si>
    <t>PDF: https://raw.githubusercontent.com/vengeanceaiUSC/Rainmaker/cursor/vengeanceaiusclbomodel2-44dc/LBO/output/LBOMODEL2_DRIVER_SOURCES.pdf</t>
  </si>
  <si>
    <t>#</t>
  </si>
  <si>
    <t>Engine (Ex LBO / DCF)</t>
  </si>
  <si>
    <t>Input Tab</t>
  </si>
  <si>
    <t>Input Cell</t>
  </si>
  <si>
    <t>Jump → Input</t>
  </si>
  <si>
    <t>Math Tab</t>
  </si>
  <si>
    <t>Math Cell / Row</t>
  </si>
  <si>
    <t>Jump → Math</t>
  </si>
  <si>
    <t>What the math does</t>
  </si>
  <si>
    <t>Commentary (Why / What changed)</t>
  </si>
  <si>
    <t>Revenue Growth</t>
  </si>
  <si>
    <t>5% per year (unchanged by AI)</t>
  </si>
  <si>
    <t>LBO (not DCF)</t>
  </si>
  <si>
    <t>Assumptions_Drivers</t>
  </si>
  <si>
    <t>C5</t>
  </si>
  <si>
    <t>Go to Assumptions_Drivers!C5</t>
  </si>
  <si>
    <t>AI_Operating</t>
  </si>
  <si>
    <t>D5:H5</t>
  </si>
  <si>
    <t>Go to AI_Operating!D5</t>
  </si>
  <si>
    <t>Revenue_t = Revenue_{t-1} × (1 + Assumptions_Drivers!C5). Same growth in AI and Base cases.</t>
  </si>
  <si>
    <t>Annual growth remains stable at ten percent. We kept this assumption unchanged because our AI strategy focuses purely on cost reduction rather than artificially inflating top line projections.</t>
  </si>
  <si>
    <t>Gross Margin</t>
  </si>
  <si>
    <t>80%</t>
  </si>
  <si>
    <t>C6</t>
  </si>
  <si>
    <t>Go to Assumptions_Drivers!C6</t>
  </si>
  <si>
    <t>D6:H6 (COGS)</t>
  </si>
  <si>
    <t>Go to AI_Operating!D6</t>
  </si>
  <si>
    <t>COGS_t = Revenue_t × (1 − Assumptions_Drivers!C6); Gross Profit_t = Revenue_t × C6.</t>
  </si>
  <si>
    <t>Expansion reached precisely eighty percent. We changed this because deploying automated AI agents streamlined initial customer onboarding, directly reducing the human technical support hours required per new user.</t>
  </si>
  <si>
    <t>Sales Payroll</t>
  </si>
  <si>
    <t>−18% in Year 1</t>
  </si>
  <si>
    <t>C7</t>
  </si>
  <si>
    <t>Go to Assumptions_Drivers!C7</t>
  </si>
  <si>
    <t>D7 (Sales payroll Y1)</t>
  </si>
  <si>
    <t>Go to AI_Operating!D7</t>
  </si>
  <si>
    <t>Payroll_Y1 = Assumptions_Drivers!C22 × (1 − C7). C7=18%. Baseline payroll = C22.</t>
  </si>
  <si>
    <t>Sales payroll cut 18% in Y1 — matches published US B2B SaaS net SDR headcount decline of 18% YoY (Assumptions_Drivers!C7). Synced from Drivers (was −15%).</t>
  </si>
  <si>
    <t>Variable Commissions</t>
  </si>
  <si>
    <t>−18% of baseline commission pool from Y1</t>
  </si>
  <si>
    <t>C8</t>
  </si>
  <si>
    <t>Go to Assumptions_Drivers!C8</t>
  </si>
  <si>
    <t>D8:H8 (Commissions)</t>
  </si>
  <si>
    <t>Go to AI_Operating!D8</t>
  </si>
  <si>
    <t>Commissions_AI = Assumptions_Drivers!C23 × (1 − C8); Base keeps full C23 pool scaled with revenue.</t>
  </si>
  <si>
    <t>Rates decreased significantly starting in year one. Replacing human representatives with AI meant fewer outbound deals required traditional payouts, allowing the company to retain higher profit per sale.</t>
  </si>
  <si>
    <t>AI Infrastructure</t>
  </si>
  <si>
    <t>$24.5 million fixed / year</t>
  </si>
  <si>
    <t>C9</t>
  </si>
  <si>
    <t>Go to Assumptions_Drivers!C9</t>
  </si>
  <si>
    <t>D10:H10 (AI infrastructure)</t>
  </si>
  <si>
    <t>Go to AI_Operating!D10</t>
  </si>
  <si>
    <t>AI_cost_t = Assumptions_Drivers!C9 each forecast year (AI case only). EBITDA reduces by this amount.</t>
  </si>
  <si>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</si>
  <si>
    <t>Sales Growth (S&amp;M expense growth)</t>
  </si>
  <si>
    <t>2% per year from Year 2</t>
  </si>
  <si>
    <t>C10</t>
  </si>
  <si>
    <t>Go to Assumptions_Drivers!C10</t>
  </si>
  <si>
    <t>E7:H7 / E8:H8 (payroll &amp; commissions Y2–Y5)</t>
  </si>
  <si>
    <t>Go to AI_Operating!E7</t>
  </si>
  <si>
    <t>For t≥2: Payroll_t = Payroll_{t-1} × (1 + Assumptions_Drivers!C10); same for commissions.</t>
  </si>
  <si>
    <t>Expense growth was permanently capped at two percent. We altered this because automated agents scale infinitely, entirely severing the historical link between revenue growth and proportional human additions.</t>
  </si>
  <si>
    <t>Administrative Costs (G&amp;A)</t>
  </si>
  <si>
    <t>18% of revenue</t>
  </si>
  <si>
    <t>C11</t>
  </si>
  <si>
    <t>Go to Assumptions_Drivers!C11</t>
  </si>
  <si>
    <t>D12:H12 (G&amp;A)</t>
  </si>
  <si>
    <t>Go to AI_Operating!D12</t>
  </si>
  <si>
    <t>G&amp;A_t = Revenue_t × Assumptions_Drivers!C11. Identical % in AI and Base cases.</t>
  </si>
  <si>
    <t>G&amp;A = 18% of revenue (Assumptions_Drivers!C11 = Blossom 2025 SaaS median). Same % in AI and Base; not ZI filing ~24.3%.</t>
  </si>
  <si>
    <t>Capital Expenditures</t>
  </si>
  <si>
    <t>−8% vs baseline CapEx (18% SDR cut × ~43% S&amp;M share of HC)</t>
  </si>
  <si>
    <t>C12</t>
  </si>
  <si>
    <t>Go to Assumptions_Drivers!C12</t>
  </si>
  <si>
    <t>D19:H19 (CapEx)</t>
  </si>
  <si>
    <t>Go to AI_Operating!D19</t>
  </si>
  <si>
    <t>CapEx_AI = Revenue_t × Assumptions_Drivers!C24 × (1 − C12); Base uses C24 only.</t>
  </si>
  <si>
    <t>Hardware spending was reduced by five percent. We made this change because terminating the human sales team immediately eliminated the constant need for purchasing physical laptops and equipment.</t>
  </si>
  <si>
    <t>10% of AR only (6/59 DSO) — NOT 10% of total NWC</t>
  </si>
  <si>
    <t>C13</t>
  </si>
  <si>
    <t>Go to Assumptions_Drivers!C13</t>
  </si>
  <si>
    <t>D20:H20 (ΔNWC)</t>
  </si>
  <si>
    <t>Go to AI_Operating!D20</t>
  </si>
  <si>
    <t>ΔNWC ≈ ΔAR − ΔDeferred. ΔAR_AI = ΔRev × Assumptions_Drivers!C25 × (1 − C13); ΔDeferred = ΔRev × C26. C13 cuts Accounts Receivable only — it does not scale the entire NWC by 10%.</t>
  </si>
  <si>
    <t>Prior wrong math was ΔNWC_AI = ΔRev × WC_base × (1−C13), which cut all NWC 10%. Fixed: 10% applies only to the AR leg; deferred revenue is unchanged by C13.</t>
  </si>
  <si>
    <t>Term Loan A interest</t>
  </si>
  <si>
    <t>SOFR 4.30% + 4.00% (= 8.30%)</t>
  </si>
  <si>
    <t>C14 / C15</t>
  </si>
  <si>
    <t>Go to Assumptions_Drivers!C14</t>
  </si>
  <si>
    <t>Debt_Sweep_AI</t>
  </si>
  <si>
    <t>C12 (TLA rate); Interest on AI_Operating!D17:H17</t>
  </si>
  <si>
    <t>Go to Debt_Sweep_AI!C12</t>
  </si>
  <si>
    <t>TLA_rate = Assumptions_Drivers!C14 + C15 (=C27). Interest_TLA = TLA_beg × TLA_rate.</t>
  </si>
  <si>
    <t>The interest rate remained static at SOFR plus four. This was unchanged because the macroeconomic lending environment and the base company credit profile strictly dictate senior pricing.</t>
  </si>
  <si>
    <t>Term Loan B interest</t>
  </si>
  <si>
    <t>SOFR 4.30% + 5.00% (= 9.30%)</t>
  </si>
  <si>
    <t>C14 / C16</t>
  </si>
  <si>
    <t>D12 (TLB rate); Interest on AI_Operating!D17:H17</t>
  </si>
  <si>
    <t>Go to Debt_Sweep_AI!D12</t>
  </si>
  <si>
    <t>TLB_rate = Assumptions_Drivers!C14 + C16 (=C28). Interest_TLB = TLB_beg × TLB_rate.</t>
  </si>
  <si>
    <t>Pricing was maintained exactly at SOFR plus five. We did not alter this input since institutional syndicated loan markets price risk completely independent of internal software strategies.</t>
  </si>
  <si>
    <t>Mandatory Amortization</t>
  </si>
  <si>
    <t>1% of initial principal / year</t>
  </si>
  <si>
    <t>C17</t>
  </si>
  <si>
    <t>Go to Assumptions_Drivers!C17</t>
  </si>
  <si>
    <t>D5:D9 (Mandatory 1%)</t>
  </si>
  <si>
    <t>Go to Debt_Sweep_AI!D5</t>
  </si>
  <si>
    <t>Mandatory_t = Initial_Debt × Assumptions_Drivers!C17 (floor paydown before optional sweep).</t>
  </si>
  <si>
    <t>Principal repayment schedules were held constant at one percent. We kept this standard because syndicated loans strictly mandate minimum amortization regardless of how much extra cash AI generates.</t>
  </si>
  <si>
    <t>Cash Sweep</t>
  </si>
  <si>
    <t>100% of excess cash to debt</t>
  </si>
  <si>
    <t>C18</t>
  </si>
  <si>
    <t>Go to Assumptions_Drivers!C18</t>
  </si>
  <si>
    <t>E5:E9 (Total paydown)</t>
  </si>
  <si>
    <t>Go to Debt_Sweep_AI!E5</t>
  </si>
  <si>
    <t>Optional_sweep_t = C18 × max(0, FCF_t − Mandatory_t); Debt_end = Debt_beg − Mandatory − Optional_sweep.</t>
  </si>
  <si>
    <t>One hundred percent of excess cash targets debt paydown. This remained unchanged to ensure all newly generated margins from AI savings aggressively reduce leverage and maximize sponsor returns.</t>
  </si>
  <si>
    <t>Tax Rate</t>
  </si>
  <si>
    <t>21%</t>
  </si>
  <si>
    <t>C19</t>
  </si>
  <si>
    <t>Go to Assumptions_Drivers!C19</t>
  </si>
  <si>
    <t>D18:H18 (Net income)</t>
  </si>
  <si>
    <t>Go to AI_Operating!D18</t>
  </si>
  <si>
    <t>Tax_t = max(0, EBIT_t − Interest_t) × Assumptions_Drivers!C19; NI_t = EBT_t − Tax_t.</t>
  </si>
  <si>
    <t>The corporate tax rate remained steady at twenty one percent. We did not change this assumption because federal statutory tax obligations remain unaffected by internal operating margin improvements.</t>
  </si>
  <si>
    <t>Exit Multiple</t>
  </si>
  <si>
    <t>12.9x EV / EBITDA</t>
  </si>
  <si>
    <t>LBO (Ex LBO!D17; not DCF)</t>
  </si>
  <si>
    <t>C20</t>
  </si>
  <si>
    <t>Go to Assumptions_Drivers!C20</t>
  </si>
  <si>
    <t>LBO</t>
  </si>
  <si>
    <t>D17 (also Strategy_Summary!D10)</t>
  </si>
  <si>
    <t>Go to LBO!D17</t>
  </si>
  <si>
    <t>Exit_EV = Y5_EBITDA × Assumptions_Drivers!C20 (12.9x); Exit_Equity = Exit_EV − Debt_end; MOIC / IRR from that.</t>
  </si>
  <si>
    <t>Exit multiple 12.9x EV/EBITDA = Aventis private SaaS 1st quartile (Assumptions_Drivers!C20). Synced from Drivers (was 13.0x).</t>
  </si>
  <si>
    <t>14.1% (FY25 $116.2m÷$824.2m); LBO SBC$=%×opex; DCF add-back $0</t>
  </si>
  <si>
    <t>LBO F60/F70 (DCF add-back off)</t>
  </si>
  <si>
    <t>C29</t>
  </si>
  <si>
    <t>BASELINE POOLS (must match Assumptions_Drivers)</t>
  </si>
  <si>
    <t>$414.1m</t>
  </si>
  <si>
    <t>C21</t>
  </si>
  <si>
    <t>Go to Assumptions_Drivers!C21</t>
  </si>
  <si>
    <t>ZI FY24-derived (~35%×$1,214.3m near filing $414.1m)</t>
  </si>
  <si>
    <t>$289.9m</t>
  </si>
  <si>
    <t>C22</t>
  </si>
  <si>
    <t>Go to Assumptions_Drivers!C22</t>
  </si>
  <si>
    <t>75% × $425m FY24 S&amp;M carve</t>
  </si>
  <si>
    <t>$124.2m</t>
  </si>
  <si>
    <t>C23</t>
  </si>
  <si>
    <t>Go to Assumptions_Drivers!C23</t>
  </si>
  <si>
    <t>25% × $425m FY24 S&amp;M carve</t>
  </si>
  <si>
    <t>2.0%</t>
  </si>
  <si>
    <t>C24</t>
  </si>
  <si>
    <t>Go to Assumptions_Drivers!C24</t>
  </si>
  <si>
    <t>External SaaS CapEx 1–3% midpoint</t>
  </si>
  <si>
    <t>AR intensity + Deferred rev % (NWC)</t>
  </si>
  <si>
    <t>AR 16.2% (C25) / Deferred 39.0% (C26); net ΔNWC rate ≈ −22.9% of Δrev</t>
  </si>
  <si>
    <t>C25 / C26</t>
  </si>
  <si>
    <t>Go to Assumptions_Drivers!C25</t>
  </si>
  <si>
    <t>AI_Operating!D20:H20 (ΔNWC)</t>
  </si>
  <si>
    <t>ΔNWC_Base = ΔRev × (C25 − C26); ΔNWC_AI = ΔRev × (C25 × (1 − C13) − C26). C13 does not multiply the whole (C25−C26) net.</t>
  </si>
  <si>
    <t>MODEL CONST plug</t>
  </si>
  <si>
    <t>WC MAJOR</t>
  </si>
  <si>
    <t>LBO Working Capital Major Variables (col O): AR% (C25), Deferred% (C26), AI AR cut (C13), EOP NWC, CF ΔNWC. AP/Other CA = not major.</t>
  </si>
  <si>
    <t>See LBO!O75:O86 and LBO!O119</t>
  </si>
  <si>
    <t>O76:O86</t>
  </si>
  <si>
    <t>NOTE</t>
  </si>
  <si>
    <t>NWC FIX: C13=10% cuts AR only (not entire NWC). ΔNWC≈ΔAR(C25)−ΔDeferred(C26). Old formula ΔRev×WCbase×(1−C13) removed from ops.</t>
  </si>
  <si>
    <t>https://raw.githubusercontent.com/vengeanceaiUSC/Rainmaker/cursor/vengeanceaiusclbomodel2-44dc/LBO/output/LBOMODEL2_AI_COST_SOURCES.pdf</t>
  </si>
  <si>
    <t>SOURCES / VERBATIM</t>
  </si>
  <si>
    <t>Assumptions_Drivers: Col A Baseline Yes/No | Col E source | Cols I/J/K clickable Verbatim. PDF: https://raw.githubusercontent.com/vengeanceaiUSC/Rainmaker/cursor/vengeanceaiusclbomodel2-44dc/LBO/output/LBOMODEL2_DRIVER_SOURCES.pdf</t>
  </si>
  <si>
    <t>#'Assumptions_Drivers'!E9</t>
  </si>
  <si>
    <t>ASSETS</t>
  </si>
  <si>
    <t>CapEx Major Variable: Drivers C24=2%, C12=8% → 1.84%. LBO/DCF CapEx linked to AI_Operating. Intangible purchases $0.</t>
  </si>
  <si>
    <t>LBO!F92 / DCF!D25</t>
  </si>
  <si>
    <t>Debt sweep — TLA/TLB priced at SOFR+4 / SOFR+5; 1% mandatory + 100% cash sweep</t>
  </si>
  <si>
    <t>Rates from Assumptions_Drivers!C14:C18</t>
  </si>
  <si>
    <t>Year</t>
  </si>
  <si>
    <t>FCF</t>
  </si>
  <si>
    <t>Mandatory 1%</t>
  </si>
  <si>
    <t>Total paydown</t>
  </si>
  <si>
    <t>AI debt end</t>
  </si>
  <si>
    <t>Base debt end</t>
  </si>
  <si>
    <t>Extra paydown vs base</t>
  </si>
  <si>
    <t>Principals — three different loans (not TLA pieces)</t>
  </si>
  <si>
    <t>457.75 = Term Loan A principal ($m). Senior bank loan, paid first, 2.5× EBITDA. Safest debt stack here.</t>
  </si>
  <si>
    <t>274.65 = Term Loan B principal ($m). Institutional loan below TLA, 1.5× EBITDA. Riskier than TLA, safer than Notes.</t>
  </si>
  <si>
    <t>183.1 = Senior Notes principal ($m). Bond-style tranche, 1.0× EBITDA. Junior to TLA and TLB in repayment priority.</t>
  </si>
  <si>
    <t>Label</t>
  </si>
  <si>
    <t>Amount ($m)</t>
  </si>
  <si>
    <t>Rates — one interest rate per loan above</t>
  </si>
  <si>
    <t>8.3% = TLA interest rate (SOFR+4.0%). Lowest spread of the loans because TLA is the senior bank piece.</t>
  </si>
  <si>
    <t>9.3% = TLB interest rate (SOFR+5.0%). Higher than TLA because TLB lenders sit behind the bank loan.</t>
  </si>
  <si>
    <t>7.8% = Notes interest rate (SOFR+3.5%). Rate charged on the $183.1m Notes principal in the cell above.</t>
  </si>
  <si>
    <t>Term Loan A principal</t>
  </si>
  <si>
    <t>How they differ: each column is a separate loan (TLA, TLB, Notes), not pieces of one TLA. Left=most senior; right=most junior.</t>
  </si>
  <si>
    <t>TLA vs others: TLA is the bank term loan — first claim on cash for interest and paydown.</t>
  </si>
  <si>
    <t>TLB vs others: TLB is the next loan — usually higher rate and paid after TLA.</t>
  </si>
  <si>
    <t>Notes vs others: Notes are the third stack — smallest dollars here; not a TLA sub-tranche.</t>
  </si>
  <si>
    <t>Term Loan B principal</t>
  </si>
  <si>
    <t>Senior Notes principal</t>
  </si>
  <si>
    <t>TOTAL DEBT</t>
  </si>
  <si>
    <t>Total debt = 457.75 + 274.65 + 183.10 = 915.50</t>
  </si>
  <si>
    <t>Base case — no AI transformation</t>
  </si>
  <si>
    <t>Driver cells: Assumptions_Drivers!C5:C20</t>
  </si>
  <si>
    <t>FY2024A</t>
  </si>
  <si>
    <t>Y1 2025</t>
  </si>
  <si>
    <t>Y2 2026</t>
  </si>
  <si>
    <t>Y3 2027</t>
  </si>
  <si>
    <t>Y4 2028</t>
  </si>
  <si>
    <t>Y5 2029</t>
  </si>
  <si>
    <t>Revenue</t>
  </si>
  <si>
    <t>COGS</t>
  </si>
  <si>
    <t>Sales payroll (human)</t>
  </si>
  <si>
    <t>Variable commissions</t>
  </si>
  <si>
    <t>S&amp;M human total</t>
  </si>
  <si>
    <t>AI infrastructure</t>
  </si>
  <si>
    <t>R&amp;D</t>
  </si>
  <si>
    <t>G&amp;A (admin)</t>
  </si>
  <si>
    <t>EBITDA</t>
  </si>
  <si>
    <t>EBITDA margin</t>
  </si>
  <si>
    <t>EBIT</t>
  </si>
  <si>
    <t>Interest</t>
  </si>
  <si>
    <t>Net income</t>
  </si>
  <si>
    <t>CapEx</t>
  </si>
  <si>
    <t>ΔNWC</t>
  </si>
  <si>
    <t>FCF after interest</t>
  </si>
  <si>
    <t>Mandatory amort</t>
  </si>
  <si>
    <t>Total debt paydown</t>
  </si>
  <si>
    <t>Debt end</t>
  </si>
  <si>
    <t>AI-SDR case — drivers from Assumptions_Drivers</t>
  </si>
  <si>
    <t>FCF≈NI+D&amp;A−CapEx−ΔNWC (D&amp;A IS added back; NI already deducted it).</t>
  </si>
  <si>
    <t>vengeanceaiUSC-LBOMODEL4 — ZoomInfo (GTM) AI-SDR take-private</t>
  </si>
  <si>
    <t>LBO Model Sample Template</t>
  </si>
  <si>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</si>
  <si>
    <t>Open Strategy_Summary first — AI vs Base IRR and 500+ bps check</t>
  </si>
  <si>
    <t>AI IRR 16.9% vs Base 5.8% → +11.1 IRR points from AI S&amp;M</t>
  </si>
  <si>
    <t>Y2 margin expansion 566 bps (target ≥500)</t>
  </si>
  <si>
    <t>GTM scrub: financing fees now on GTM principals; trans fee 2%×GTM offer; exit uses AI_Operating Y5 EBITDA + ~12.9x band; purchase price=H17; years retargeted off BMC 2011–2018. Deep IS/CF hist lines may still be template leftovers — operating thesis is AI_Operating / Debt_Sweep_AI.</t>
  </si>
  <si>
    <t>Leveraged buyout model for ZoomInfo (GTM) — vengeanceaiUSC-LBOMODEL4 AI-SDR</t>
  </si>
  <si>
    <t>$ mm except per share</t>
  </si>
  <si>
    <t>GENERAL INPUTS</t>
  </si>
  <si>
    <t>INITIAL VALUATION</t>
  </si>
  <si>
    <t>Company name</t>
  </si>
  <si>
    <t>ZoomInfo Technologies Inc.</t>
  </si>
  <si>
    <t>Ticker (if applicable)</t>
  </si>
  <si>
    <t>GTM</t>
  </si>
  <si>
    <t>Select a valuation approach:</t>
  </si>
  <si>
    <t>Current share price (if applicable)</t>
  </si>
  <si>
    <t>Explicit offer/share</t>
  </si>
  <si>
    <t>Explicit EBITDA</t>
  </si>
  <si>
    <t>Latest closing share price date (f applicable)</t>
  </si>
  <si>
    <t>Modeled entry/close date set to 2025 (not calendar 2026) so Y1 2025 → exit YE 2029 is a clean 5-year hold.</t>
  </si>
  <si>
    <t>Circuit breaker:</t>
  </si>
  <si>
    <t>OFF</t>
  </si>
  <si>
    <t>LTM EBITDA</t>
  </si>
  <si>
    <t>EV / LTM EBITDA</t>
  </si>
  <si>
    <t xml:space="preserve">SELECT FINANCIAL DATA / ASSMUPTIONS </t>
  </si>
  <si>
    <t>Enterprise value</t>
  </si>
  <si>
    <t>EBITDA (LTM)</t>
  </si>
  <si>
    <t>Gross Debt (input as a -)</t>
  </si>
  <si>
    <t>Less: Gross Debt (latest filing)</t>
  </si>
  <si>
    <t>Cash</t>
  </si>
  <si>
    <t>Plus: Cash (latest filing)</t>
  </si>
  <si>
    <t>Minimum cash desired</t>
  </si>
  <si>
    <t>EV / LTM EBITDA multiple at exit</t>
  </si>
  <si>
    <t>Offer value</t>
  </si>
  <si>
    <t>Diluted shares outstanding</t>
  </si>
  <si>
    <t>USES OF FUNDS</t>
  </si>
  <si>
    <t>Buyout of equity</t>
  </si>
  <si>
    <t>Offer value / per share</t>
  </si>
  <si>
    <t>Refinancing of oldco debt</t>
  </si>
  <si>
    <t>% Premium / discount</t>
  </si>
  <si>
    <t>Fees (transaction &amp; financing)</t>
  </si>
  <si>
    <t>Fees = GTM financing (∑ %×principal ≈ $12.8m) + transaction 2%×offer ≈ $31.1m → ≈ $43.9m. Prior ~$69.7m financing used BMC loan notionals.</t>
  </si>
  <si>
    <t>Total Uses</t>
  </si>
  <si>
    <t>SOURCES OF FUNDS</t>
  </si>
  <si>
    <t>FEES</t>
  </si>
  <si>
    <t>EBITDA turns</t>
  </si>
  <si>
    <t>$ investment</t>
  </si>
  <si>
    <t>% fees</t>
  </si>
  <si>
    <t>Fee</t>
  </si>
  <si>
    <t>Term</t>
  </si>
  <si>
    <t>Fee amort / year</t>
  </si>
  <si>
    <t>Excess cash</t>
  </si>
  <si>
    <t>Side note: Excess cash comes directly from the target company. In an LBO model, it represents existing balance sheet cash above minimum operating needs, utilized to help fund the transaction.</t>
  </si>
  <si>
    <t>Financing fees</t>
  </si>
  <si>
    <t>Revolver</t>
  </si>
  <si>
    <t>Term Loan A</t>
  </si>
  <si>
    <t>Term Loan B</t>
  </si>
  <si>
    <t>Senior Note</t>
  </si>
  <si>
    <t>Sub Note</t>
  </si>
  <si>
    <t>NM</t>
  </si>
  <si>
    <t>Preferred stock</t>
  </si>
  <si>
    <t>Mgmt rollover</t>
  </si>
  <si>
    <t>Sponsor equity</t>
  </si>
  <si>
    <t>Side note: Sponsor equity ≈ $1,884.0m (≈10.29x LTM EBITDA $183.1m, not exit). D35 plugs so Sources = Uses.</t>
  </si>
  <si>
    <t>% of offer value</t>
  </si>
  <si>
    <t>Total Sources</t>
  </si>
  <si>
    <t>Trans. fees</t>
  </si>
  <si>
    <t>Sources − Uses (should be 0)</t>
  </si>
  <si>
    <t>x</t>
  </si>
  <si>
    <t>INCOME STATEMENT</t>
  </si>
  <si>
    <t>IS commentary (≤~30 words) — GTM AI-SDR thesis</t>
  </si>
  <si>
    <t xml:space="preserve">Fiscal year  </t>
  </si>
  <si>
    <t>Fiscal year end date</t>
  </si>
  <si>
    <t>Revenue: GTM thesis keeps modest +5% growth (Drivers). Top line is not the lever—AI-SDR value is cost takeout, so revenue mainly scales the margin and FCF story.</t>
  </si>
  <si>
    <t>Cost of sales (enter as -)</t>
  </si>
  <si>
    <t>Gross Profit</t>
  </si>
  <si>
    <t>Gross profit: Model uses ~80% software median GM (Drivers), below ZI’s higher GAAP GM. Gross margin sets the ceiling before S&amp;M/AI opex hits EBITDA.</t>
  </si>
  <si>
    <t>Research &amp; development (enter as -)</t>
  </si>
  <si>
    <t>Selling, general &amp; administrative (enter as -)</t>
  </si>
  <si>
    <t>SG&amp;A: Most impactful P&amp;L lever. Y1 cuts human S&amp;M payroll/commissions 18%, adds $24.5m AI cost; Y2+ S&amp;M grows only ~2%, expanding EBITDA margin vs Base.</t>
  </si>
  <si>
    <t>Deal-related D&amp;A (enter as -)</t>
  </si>
  <si>
    <t>Operating profit (EBIT)</t>
  </si>
  <si>
    <t>EBIT: After D&amp;A/deal D&amp;A, operating profit converts AI S&amp;M savings into earnings power. Watch that template hist EBIT still mixes old rows—forecast EBITDA is linked to AI_Operating.</t>
  </si>
  <si>
    <t>Interest income</t>
  </si>
  <si>
    <t>Interest expense (enter as -)</t>
  </si>
  <si>
    <t>Interest expense: Second cash lever. Higher early interest on new LBO stack falls as FCF sweeps debt (Debt_Sweep_AI)—AI case nearly clears debt by 2029, juicing exit equity.</t>
  </si>
  <si>
    <t>Other non-operating expense (enter as -)</t>
  </si>
  <si>
    <t>Pretax profit</t>
  </si>
  <si>
    <t>Taxes (enter expense as -)</t>
  </si>
  <si>
    <t>Net income: Bottom-line after tax; less central than EBITDA/FCF for LBO returns, but shows AI case turning positive sooner as interest falls and margins expand.</t>
  </si>
  <si>
    <t>EBITDA reconciliation</t>
  </si>
  <si>
    <t>EBIT (GAAP)</t>
  </si>
  <si>
    <t>Depreciation and amortization</t>
  </si>
  <si>
    <t xml:space="preserve">Deal-related D&amp;A </t>
  </si>
  <si>
    <t>Stock based compensation</t>
  </si>
  <si>
    <t>SBC $ now = F70 × (|COS|+|R&amp;D|+|SG&amp;A|). Driven by Assumptions_Drivers!C29 (14.1%).</t>
  </si>
  <si>
    <t>Restructuring and other nonrecurring charges</t>
  </si>
  <si>
    <t>EBITDA: Primary LBO earnings metric. Forecast F–J link to AI_Operating (AI-SDR case). Exit EV = Y5 EBITDA × 12.9x—margin expansion here drives MOIC/IRR vs Base.</t>
  </si>
  <si>
    <t>Growth trajectory (figure FIRST)</t>
  </si>
  <si>
    <t>SOURCE (click) — Assess + how number enters</t>
  </si>
  <si>
    <t>VERBATIM Ctrl+F + EQ derivation (how the % was calculated)</t>
  </si>
  <si>
    <t>WHY REASONABLE (≤30 words) — where the number came from</t>
  </si>
  <si>
    <t>Growth rates &amp; margins</t>
  </si>
  <si>
    <t>Step</t>
  </si>
  <si>
    <t>Figure first: +5%, 80% flat, etc.</t>
  </si>
  <si>
    <t>Growth rates &amp; margins — each forecast % must show source quote + arithmetic (EQ)</t>
  </si>
  <si>
    <t>+5%/yr flat (Drivers C5). Same growth rate every forecast year — not the FY25 +3% print; rounded 2022–25 CAGR ~4.4% → +5%.</t>
  </si>
  <si>
    <t>Ctrl+F: Revenue was $1,249.5 million for the year ended December 31, 2025, an increase of $35.2 million, or 3%
EQ: FY22 rev $1,098.0 → FY25 $1,249.5; CAGR=(1249.5/1098)^(1/3)−1≈4.4% → Drivers C5 rounds to +5%. LBO F65:J65 = Assumptions_Drivers!$C$5.</t>
  </si>
  <si>
    <t>+5% enters via Drivers C5. 10-K shows FY25 +3%; model uses rounded multi-year CAGR ~4.4%.</t>
  </si>
  <si>
    <t>Gross profit as % of sales</t>
  </si>
  <si>
    <t>80% flat every year (Drivers C6). GM ratio does not trend up/down; dollars of GP grow ~+5% with sales at constant 80%.</t>
  </si>
  <si>
    <t>Ctrl+F: The 2025 median software gross margin is 80%
EQ: Drivers C6 = 80% exactly from that median sentence. LBO F66:J66 = Assumptions_Drivers!$C$6. (ZI GAAP GM ~84% is NOT the driver.)</t>
  </si>
  <si>
    <t>80% is Aleph’s median and Drivers C6; that flat 80% feeds every forecast GM cell.</t>
  </si>
  <si>
    <t>R&amp;D margin</t>
  </si>
  <si>
    <t>~16.15% flat (R&amp;D÷Sales). FY24 $196.1÷$1,214.3; both scale +5% in AI_Operating so the margin stays constant.</t>
  </si>
  <si>
    <t>Ctrl+F: Research and development for the year ended December 31, 2024 was $196.1 million
Ctrl+F: Revenue was $1,214.3 million for the year ended December 31, 2024
EQ: 196.1÷1,214.3≈16.15%. AI_Operating grows both at +5%, so R&amp;D% stays ~16.15%. LBO = AI_Operating!R&amp;D / AI_Operating!Revenue.</t>
  </si>
  <si>
    <t>16.15% from FY24 R&amp;D÷sales; held flat by growing R&amp;D with +5% revenue in AI_Operating.</t>
  </si>
  <si>
    <t>SG&amp;A margin</t>
  </si>
  <si>
    <t>−18% S&amp;M cut in Y1, then S&amp;M +2%/yr (Fed); G&amp;A flat 18% of sales; +$24.5m AI each year. SG&amp;A% = (S&amp;M+AI+G&amp;A)/Sales from AI_Operating.</t>
  </si>
  <si>
    <t>Ctrl+F (Digital Applied): Net SDR headcount in US B2B SaaS companies is down 18% YoY
Ctrl+F (Blossom, Drivers E11): G&amp;A was 18%
EQ: SG&amp;A% = (S&amp;M_human + AI_infra $24.5m + G&amp;A)/Revenue from AI_Operating. S&amp;M_human = FY24 $414.1m×(1−18%); G&amp;A = 18%×Revenue.</t>
  </si>
  <si>
    <t>−18% is the Y1 S&amp;M lever; SG&amp;A% is built in AI_Operating, not a single page quote.</t>
  </si>
  <si>
    <t>21% flat every year (Drivers C19). Statutory rate — no glide path; tax $ grows with pretax income, rate unchanged.</t>
  </si>
  <si>
    <t>Ctrl+F: The United States taxes resident corporations at a flat rate of 21%
EQ: Drivers C19 = 21% from that sentence. LBO F69:J69 = Assumptions_Drivers!$C$19.</t>
  </si>
  <si>
    <t>21% is PwC’s flat federal rate in Drivers C19; this row links straight to that cell.</t>
  </si>
  <si>
    <t>SBC as % of all operating expenses</t>
  </si>
  <si>
    <t>14.1% flat (Drivers C29). FY25 $116.2÷$824.2; SBC $ = 14.1%×opex each year. DCF add-back stays $0.</t>
  </si>
  <si>
    <t>Ctrl+F: Total equity-based compensation expense $ 116.2
Ctrl+F: Total operating expenses $ 824.2
EQ: Drivers C29=116.2÷824.2=14.1%. LBO F70:J70=Assumptions_Drivers!$C$29. SBC $=F70×(|F43|+|F45|+|F46|); CF F118=F60.</t>
  </si>
  <si>
    <t>14.1% from FY25 SBC÷opex in Drivers C29; LBO $ and CF linked. DCF add-back stays 0.</t>
  </si>
  <si>
    <t>WORKING CAPITAL</t>
  </si>
  <si>
    <t>How each WC line grows (or stays flat) in the forecast.</t>
  </si>
  <si>
    <t>WORKING CAPITAL — forecast % linked to Drivers (same standard as IS margins). Core LBO FCF uses AI_Operating ΔNWC = ΔAR−ΔDeferred.</t>
  </si>
  <si>
    <t>VERBATIM Ctrl+F + EQ derivation</t>
  </si>
  <si>
    <t>WHY REASONABLE (≤30 words)</t>
  </si>
  <si>
    <t>Major Variable — NET + or NET − for LBO</t>
  </si>
  <si>
    <t>Accounts receivable, EOP</t>
  </si>
  <si>
    <t>+5%/yr. EOP AR = flat 16.2% × Sales; dollars track revenue growth; AR% does not trend. AI FCF: ΔAR = ΔRev×16.2%×(1−10%).</t>
  </si>
  <si>
    <t>Ctrl+F: Accounts receivable, net | 246.1
EQ: F76=F77×F42. F77=Assumptions_Drivers!$C$25 (59/365). AI FCF uses ΔAR=ΔRev×C25×(1−C13), not this EOP alone.</t>
  </si>
  <si>
    <t>EOP AR rebuilt as intensity×sales so the BS tracks Drivers. Live debt-sweep cash uses AI_Operating ΔAR, not BMC AR.</t>
  </si>
  <si>
    <t>YES — NET − for LBO. Higher AR ties cash; ΔAR is a cash use that slows debt paydown / IRR.</t>
  </si>
  <si>
    <t>AR as % of sales (Drivers C25 intensity)</t>
  </si>
  <si>
    <t>16.2% flat every year (Drivers C25). Ratio does not grow; dollar AR grows only because sales grow +5%. AI ΔAR intensity = 16.2%×90% = 14.55%.</t>
  </si>
  <si>
    <t>Ctrl+F: Median B2B SaaS DSO is 59 days
EQ: Assumptions_Drivers!C25=59/365≈16.164%. LBO F77:J77=Assumptions_Drivers!$C$25. AI also applies C13=10% cut on ΔAR only.</t>
  </si>
  <si>
    <t>Fairview’s 59-day median becomes 16.2% AR intensity in Drivers C25; that cell feeds every forecast AR% here.</t>
  </si>
  <si>
    <t>YES — NET − for LBO at 16.2% intensity (cash use on growth). AI C13 softens it; still an AR drag vs deferred.</t>
  </si>
  <si>
    <t>Other current assets, EOP</t>
  </si>
  <si>
    <t>+5%/yr. EOP = flat 9.7% × Sales → dollars track sales. “Flat” = the 9.7% ratio stays unchanged (no step-up/fade).</t>
  </si>
  <si>
    <t>Ctrl+F: Prepaid expenses and other current assets (ZI BS)
EQ: Hold E79≈9.7% of sales flat; F78=F79×F42. Not in AI_Operating ΔNWC math (ΔNWC≈ΔAR−ΔDeferred only).</t>
  </si>
  <si>
    <t>Flat means the % does not trend. Only the dollar balance rises because sales rise +5%; ratio locked at ~9.7%.</t>
  </si>
  <si>
    <t>NO — n/a sign. Not in AI ΔNWC; immaterial to LBO FCF/IRR.</t>
  </si>
  <si>
    <t>Other current assets as % of sales</t>
  </si>
  <si>
    <t>9.7% flat every forecast year. Not growing as a percentage; only $ Other CA grow when sales grow +5%.</t>
  </si>
  <si>
    <t>EQ: F79:J79 = E79 (last hist %). Not Assumptions_Drivers. Core model ignores other CA in ΔNWC.</t>
  </si>
  <si>
    <t>Flat ratio = no YoY change in %. Placeholder hist hold; dollars move only with +5% sales.</t>
  </si>
  <si>
    <t>NO — n/a sign. Non-core; no Drivers link.</t>
  </si>
  <si>
    <t>Accounts payable, EOP</t>
  </si>
  <si>
    <t>+5%/yr. EOP AP = flat 7.1% × |COGS|; COGS also rises ~+5% with sales. Ratio flat; dollars ≈+5%.</t>
  </si>
  <si>
    <t>Ctrl+F: Accounts payable | $16.6
EQ: F81 held at E81; F80=F81×|COGS|. SaaS AP is tiny vs deferred revenue; not a Drivers lever.</t>
  </si>
  <si>
    <t>ZI FY24 AP was $16.6m — small. Held hist AP/COGS %. Not a core LBO cash lever vs deferred/AR.</t>
  </si>
  <si>
    <t>NO — n/a sign. Small SaaS AP; weak FCF/IRR sensitivity.</t>
  </si>
  <si>
    <t>AP as % of COGS</t>
  </si>
  <si>
    <t>7.1% flat every year (AP/COGS). No DPO improvement. Dollars grow only as COGS grows ~+5% with sales.</t>
  </si>
  <si>
    <t>Ctrl+F: Accounts payable | $16.6
EQ: F81:J81 = E81. No Assumptions_Drivers cell for DPO/AP%.</t>
  </si>
  <si>
    <t>AP% is residual hist, not a sourced Driver. Core NWC thesis is AR + deferred, not payables.</t>
  </si>
  <si>
    <t>NO — n/a sign. Not a Drivers assumption.</t>
  </si>
  <si>
    <t>Accrued expenses &amp; def revenues, EOP</t>
  </si>
  <si>
    <t>+5%/yr. EOP deferred/accrued = flat 39.0% × Sales; $ balance rises with sales. ΔDeferred = 39%×ΔRev each year (cash source).</t>
  </si>
  <si>
    <t>Ctrl+F: we had unearned revenue of $477.9 million, of which $473.8 million was recorded as a current liability
EQ: F82=F83×F42; F83=Assumptions_Drivers!$C$26. ΔDeferred≈C26×ΔRev is the cash-source leg of AI ΔNWC.</t>
  </si>
  <si>
    <t>EOP deferred rebuilt from Drivers 39% so BS matches the unearned-revenue cash source in FCF math.</t>
  </si>
  <si>
    <t>YES — NET + for LBO. Deferred/unearned is the largest SaaS cash source; funds FCF and debt sweep.</t>
  </si>
  <si>
    <t>Deferred/accrued as % of sales (Drivers C26)</t>
  </si>
  <si>
    <t>39% flat of sales all years (Drivers C26). Dollars grow only via +5% revenue. No fade or step-up in deferred attach.</t>
  </si>
  <si>
    <t>Ctrl+F: 473.8
Ctrl+F: Unearned revenue, current portion
EQ: Assumptions_Drivers!C26=473.8/1,214.3≈39.02%. LBO F83:J83=Assumptions_Drivers!$C$26.</t>
  </si>
  <si>
    <t>10-K current unearned $473.8m ÷ FY24 sales $1,214.3m = 39%. That exact ratio is Drivers C26.</t>
  </si>
  <si>
    <t>YES — NET + for LBO. 39% deferred intensity → ΔDeferred cash inflow dominates ΔNWC.</t>
  </si>
  <si>
    <t>Net Working Capital (EOP)</t>
  </si>
  <si>
    <t>−24.45% of ΔRev/yr (AI). NWC more negative as sales grow +5%: deferred 39% &gt; AR 16.2%×(1−10%). ΔNWC ≈ ΔRev×[14.55%−39%].</t>
  </si>
  <si>
    <t>EQ: F85=F76+F78−F80−F82. Core LBO/DCF cash: AI_Operating ΔNWC≈ΔAR−ΔDeferred with ΔAR=ΔRev×C25×(1−C13), ΔDef=ΔRev×C26. CF row F119=AI_Operating ΔNWC.</t>
  </si>
  <si>
    <t>EOP NWC is the BS rollup. Deal cash and debt sweep follow AI_Operating ΔNWC from Drivers C13/C25/C26.</t>
  </si>
  <si>
    <t>YES — NET + for LBO. AI ΔNWC ≈ −24.5% of ΔRev (cash release) → more sweep / higher IRR.</t>
  </si>
  <si>
    <t>AI AR improvement (Drivers C13) — applies in AI_Operating ΔNWC</t>
  </si>
  <si>
    <t>−10% once (Drivers C13). Permanent lower ΔAR intensity from Y1 — not another −10% each year. Base 16.2%×ΔRev; AI 14.55%×ΔRev.</t>
  </si>
  <si>
    <t>Ctrl+F: Median B2B SaaS DSO is 59 days
EQ: Drivers C13=10%. Model story: ~6/59≈10% DSO cut → ΔAR_AI=ΔRev×C25×(1−0.10). Applies to AI_Operating only (not Base).</t>
  </si>
  <si>
    <t>10% cuts ΔAR only (not whole NWC). With deferred still at 39%, net ΔNWC stays a cash source.</t>
  </si>
  <si>
    <t>YES — NET + for LBO. −10% ΔAR cut vs Base frees cash and lifts AI FCF / debt paydown.</t>
  </si>
  <si>
    <t>LONG LIVED ASSETS</t>
  </si>
  <si>
    <t>Assets — CapEx/D&amp;A wired to Drivers/AI_Operating (was BMC). Intangible &amp; capitalized-software buys set to $0 to match DCF.</t>
  </si>
  <si>
    <t>WHY REASONABLE (≤30 words) — LBO impact</t>
  </si>
  <si>
    <t>PP&amp;E</t>
  </si>
  <si>
    <t>+5%/yr sales-linked. PP&amp;E rolls: prior + CapEx − D&amp;A. Net book often falls if D&amp;A &gt; CapEx (SaaS asset-light).</t>
  </si>
  <si>
    <t>Ctrl+F: CapEx of 1–3% of revenue — primarily laptops, office equipment
EQ: F91=E91+F92+F93 with F92=AI CapEx, F93=−AI D&amp;A.</t>
  </si>
  <si>
    <t>PP&amp;E is the balance sheet roll of CapEx/D&amp;A. LBO cash cares about CapEx outlay, not PPE level.</t>
  </si>
  <si>
    <t>NO — n/a sign. BS stock; cash impact is CapEx (row 92).</t>
  </si>
  <si>
    <t>Capital expenditures</t>
  </si>
  <si>
    <t>1.84% of sales/yr (=2%×(1−8%)). Dollars grow ~+5% with revenue. Was wrong BMC $26–31m — now AI_Operating CapEx.</t>
  </si>
  <si>
    <t>Ctrl+F: Most pure-play SaaS companies report CapEx of 1–3% of revenue
Ctrl+F: primarily laptops, office equipment
EQ: CapEx=Rev×C24×(1−C12)=Rev×1.84%. LBO F92=AI_Operating CapEx; DCF! CapEx same link.</t>
  </si>
  <si>
    <t>1.84% CapEx directly reduces UFCF/FCF and cash for debt sweep — core LBO cash outflow.</t>
  </si>
  <si>
    <t>YES — NET − for LBO. CapEx is a cash outflow that reduces FCF available for debt paydown / IRR.</t>
  </si>
  <si>
    <t>Depreciation</t>
  </si>
  <si>
    <t>+5%/yr. D&amp;A grows with sales from FY24 $85.7m. Major FCF point: IS deducts it; FCF adds it back (non-cash).</t>
  </si>
  <si>
    <t>Ctrl+F: depreciation and amortization (ZI cash flow / notes)
EQ: AI D15=C15×(1+C5). DCF Unlevered CFO = EBIAT + D&amp;A (+SBC) − ΔNWC; then − CapEx → UFCF. AI FCF after interest ≈ NI + D&amp;A − CapEx − ΔNWC (D&amp;A explicitly added).</t>
  </si>
  <si>
    <t>D&amp;A IS in FCF (add-back). Charged on IS to get EBIT/NI, then added in UFCF/AI FCF so cash isn’t understated.</t>
  </si>
  <si>
    <t>YES — NET + for LBO. D&amp;A IS added back in FCF: earnings (EBIT/NI) already deducted D&amp;A, but no cash left the firm. DCF UFCF = EBIAT + D&amp;A − ΔNWC − CapEx; AI FCF ≈ NI + D&amp;A − CapEx − ΔNWC. Higher D&amp;A add-back raises cash for debt sweep / IRR vs NI alone.</t>
  </si>
  <si>
    <t>Capex as a % of revenue</t>
  </si>
  <si>
    <t>1.84% flat every year (Drivers C24×(1−C12)). Ratio does not trend; $ CapEx rises only with +5% sales.</t>
  </si>
  <si>
    <t>Ctrl+F: CapEx of 1–3% of revenue
EQ: Assumptions_Drivers!C24=2%; C12=8%; net=1.84%. LBO F94:J94=C24*(1-C12).</t>
  </si>
  <si>
    <t>1.84% is the CapEx intensity Driver. Fixing it removed BMC ~1.1% / $26–31m errors.</t>
  </si>
  <si>
    <t>YES — NET − for LBO. 1.84% CapEx intensity sets the cash drag on FCF/DCF.</t>
  </si>
  <si>
    <t>Depreciation as a % of capex</t>
  </si>
  <si>
    <t>n/a — diagnostic |D&amp;A|÷CapEx each year (formula). Not a Driver; does not set cash.</t>
  </si>
  <si>
    <t>EQ: F95=ABS(F93)/F92. No Assumptions_Drivers cell. Watch if &gt;&gt;1 (depreciating faster than reinvesting).</t>
  </si>
  <si>
    <t>Ratio is a check, not an input. Does not by itself change LBO IRR.</t>
  </si>
  <si>
    <t>NO — n/a sign. Diagnostic only.</t>
  </si>
  <si>
    <t>Software development costs</t>
  </si>
  <si>
    <t>0% new spend. Capitalized software EOP held flat at FY24. Cash CapEx already in 1.84% Drivers bucket.</t>
  </si>
  <si>
    <t>Ctrl+F: Capitalized software development costs also affect this analysis
EQ: F98:J98=0; F97=E97 flat. Avoids double-counting vs Drivers CapEx.</t>
  </si>
  <si>
    <t>Separate software buys were BMC (~$115m+) and overstated investing cash use vs DCF $0.</t>
  </si>
  <si>
    <t>NO — n/a sign. Zeroed; would double-count CapEx if kept.</t>
  </si>
  <si>
    <t>Purchases</t>
  </si>
  <si>
    <t>0$/yr. Purchases set to $0 (was BMC $114–135m). Matches DCF intangible/software policy.</t>
  </si>
  <si>
    <t>EQ: F98:J98=0. Prior LBO CF subtracted ~$190m+/yr of software+intangibles — inconsistent with DCF row 26=0 and AI CapEx.</t>
  </si>
  <si>
    <t>Zeroing stops fake ~$200m investing outflow that crushed LBO cash vs the DCF.</t>
  </si>
  <si>
    <t>YES — NET + for LBO (fix). Removing false ~$115m+ software buys stops a fake cash drain.</t>
  </si>
  <si>
    <t>Amortization</t>
  </si>
  <si>
    <t>Purchases as % of revenue</t>
  </si>
  <si>
    <t>Amortization as a % of purchases</t>
  </si>
  <si>
    <t>Intangible assets</t>
  </si>
  <si>
    <t>0% growth. Intangible EOP held flat; no new M&amp;A intangibles in forecast.</t>
  </si>
  <si>
    <t>EQ: F103=E103; F104=0; F105=0. DCF “Purchases of intangible assets” = 0.</t>
  </si>
  <si>
    <t>No modeled bolt-on M&amp;A. Flat intangibles avoid fake amortization cash stories.</t>
  </si>
  <si>
    <t>NO — n/a sign. Flat BS; not in AI FCF.</t>
  </si>
  <si>
    <t>0$/yr. Intangible purchases $0 (was BMC $57–85m). Aligned with DCF.</t>
  </si>
  <si>
    <t>EQ: F104:J104=0. DCF already had 0; LBO investing CF now matches.</t>
  </si>
  <si>
    <t>Removes bogus purchase cash use so LBO investing CF matches DCF UFCF CapEx-only.</t>
  </si>
  <si>
    <t>YES — NET + for LBO (fix). Zeroing BMC intangible buys removes false Uses of cash.</t>
  </si>
  <si>
    <t>Goodwill and other assets</t>
  </si>
  <si>
    <t>0% growth. Goodwill held flat — no impairment, no new deals in model.</t>
  </si>
  <si>
    <t>EQ: F107:J107=E107. Goodwill does not enter AI_Operating FCF or DCF UFCF.</t>
  </si>
  <si>
    <t>Goodwill is BS-only here. LBO IRR is cash/debt-driven, not goodwill-driven.</t>
  </si>
  <si>
    <t>NO — n/a sign. Non-cash; no FCF/debt-sweep impact.</t>
  </si>
  <si>
    <t>Other liabilities</t>
  </si>
  <si>
    <t>CASH FLOW STATEMENT</t>
  </si>
  <si>
    <t>Changes in net working capital</t>
  </si>
  <si>
    <t>−24.5% of ΔRev/yr (AI). ΔNWC ≈ ΔRev×(14.55%−39%). Cash release grows in $ as +5% sales widens ΔRev; not a flat dollar.</t>
  </si>
  <si>
    <t>ΔNWC in CF = AI_Operating (Drivers C13/C25/C26). Cash line that feeds debt sweep — not the old BMC WC delta.</t>
  </si>
  <si>
    <t>YES — NET + for LBO. CF ΔNWC cash release feeds debt sweep (core credit positive).</t>
  </si>
  <si>
    <t>Other assets &amp; liabilities</t>
  </si>
  <si>
    <t>Changes in deferred tax liabilities</t>
  </si>
  <si>
    <t>Addback of PIK interest</t>
  </si>
  <si>
    <t>Cash from operating activities</t>
  </si>
  <si>
    <t>1.84% of sales (via AI CapEx). CF CapEx now = −AI_Operating CapEx (was BMC −$26–31m).</t>
  </si>
  <si>
    <t>YES — NET − for LBO. CF CapEx outflow reduces cash for mandatory amort + sweep.</t>
  </si>
  <si>
    <t xml:space="preserve">Purchases of intangible assets and capitalized software development costs </t>
  </si>
  <si>
    <t>0$/yr. Was −$190m+ BMC software+intangibles — false cash drain vs DCF $0. Fixed.</t>
  </si>
  <si>
    <t>YES — NET + for LBO (fix). Zeroing fake −$190m+ investing drain improves modeled cash.</t>
  </si>
  <si>
    <t>Cash from investing activities</t>
  </si>
  <si>
    <t>Required debt principal payments</t>
  </si>
  <si>
    <t>Preferred dividend (cash)</t>
  </si>
  <si>
    <t>Pre-revolver cash flows</t>
  </si>
  <si>
    <t>Post-revolver cash flows</t>
  </si>
  <si>
    <t>Discretionary Term A paydown</t>
  </si>
  <si>
    <t>Discretionary Term B paydown</t>
  </si>
  <si>
    <t>Net change in cash during period</t>
  </si>
  <si>
    <t>CASH &amp; DEBT</t>
  </si>
  <si>
    <t>Cash, BOP</t>
  </si>
  <si>
    <t>Increases / (decreases)</t>
  </si>
  <si>
    <t>Cash, EOP</t>
  </si>
  <si>
    <t>Interest rate on cash</t>
  </si>
  <si>
    <t xml:space="preserve">Cash, BOP </t>
  </si>
  <si>
    <t>Less: Minimum cash desired</t>
  </si>
  <si>
    <t>Equals: Excess cash at BOP</t>
  </si>
  <si>
    <t>Plus: Free cash flows generated during period</t>
  </si>
  <si>
    <t>Cash available (needed) to paydown (draw from) revolver</t>
  </si>
  <si>
    <t>Revolver, BOP</t>
  </si>
  <si>
    <t>Revolver, EOP</t>
  </si>
  <si>
    <t>% AR</t>
  </si>
  <si>
    <t>% Other Assets</t>
  </si>
  <si>
    <t>Maximum availability</t>
  </si>
  <si>
    <t>Compliance check</t>
  </si>
  <si>
    <t>OK</t>
  </si>
  <si>
    <t>Term Loan A, BOP</t>
  </si>
  <si>
    <t>Mandatory paydown $</t>
  </si>
  <si>
    <t>Cash sweep (paydown from excess cash flows)</t>
  </si>
  <si>
    <t>Term Loan A, EOP</t>
  </si>
  <si>
    <t>Mandatory paydown (% of original)</t>
  </si>
  <si>
    <t>% of available cash used</t>
  </si>
  <si>
    <t>Cash sweep</t>
  </si>
  <si>
    <t>Term Loan B, BOP</t>
  </si>
  <si>
    <t>Mandatory amortization $</t>
  </si>
  <si>
    <t>Term Loan B, EOP</t>
  </si>
  <si>
    <t>Cash available for cash sweep</t>
  </si>
  <si>
    <t>Senior Note, BOP</t>
  </si>
  <si>
    <t>Senior Note, EOP</t>
  </si>
  <si>
    <t>Sub Note, BOP</t>
  </si>
  <si>
    <t>PIK rate</t>
  </si>
  <si>
    <t>Cash rate</t>
  </si>
  <si>
    <t>PIK interest</t>
  </si>
  <si>
    <t>Sub Note, EOP</t>
  </si>
  <si>
    <t>Preferred stock, BOP</t>
  </si>
  <si>
    <t>PIK accrual</t>
  </si>
  <si>
    <t>Preferred stock, EOP</t>
  </si>
  <si>
    <t>Cash dividend</t>
  </si>
  <si>
    <t>Capitalized financing fees</t>
  </si>
  <si>
    <t>Capitalized financing fees, BOP</t>
  </si>
  <si>
    <t>Capitalized financing fees, EOP</t>
  </si>
  <si>
    <t>INTEREST EXPENSE</t>
  </si>
  <si>
    <t>3-Month LIBOR Rate (bps)</t>
  </si>
  <si>
    <t>LIBOR Spread</t>
  </si>
  <si>
    <t>LIBOR floor</t>
  </si>
  <si>
    <t>Coupon Rate</t>
  </si>
  <si>
    <t>Sub Note - Cash interest</t>
  </si>
  <si>
    <t>Sub Note - PIK interest</t>
  </si>
  <si>
    <t>EXIT VALUATION</t>
  </si>
  <si>
    <t>EXIT VALUATION (GTM AI case — not BMC)</t>
  </si>
  <si>
    <t>Exit EBITDA = AI_Operating Y5 ≈ 318.5; multiples centered on Drivers 12.9x</t>
  </si>
  <si>
    <t>EBITDA multiple at exit</t>
  </si>
  <si>
    <t>EBITDA at exit</t>
  </si>
  <si>
    <t>Net debt:</t>
  </si>
  <si>
    <t>Pref. stock</t>
  </si>
  <si>
    <t>Equity value</t>
  </si>
  <si>
    <t>Initial equity inv.</t>
  </si>
  <si>
    <t>% ownership</t>
  </si>
  <si>
    <t>Fully diluted</t>
  </si>
  <si>
    <t>Mgmt equity</t>
  </si>
  <si>
    <t>Sub. Note</t>
  </si>
  <si>
    <t>RETURNS</t>
  </si>
  <si>
    <t>Cash-on-cash</t>
  </si>
  <si>
    <t>Initial</t>
  </si>
  <si>
    <t>Sub Note at exit EBITDA multiple of:</t>
  </si>
  <si>
    <t>Preferred Stock at exit EBITDA multiple of:</t>
  </si>
  <si>
    <t>Management Equity at exit EBITDA multiple of:</t>
  </si>
  <si>
    <t>Sponsor's Equity at exit EBITDA multiple of:</t>
  </si>
  <si>
    <t>SUMMARY @ 13.0x EXIT — AI vs Base (see Strategy_Summary)</t>
  </si>
  <si>
    <t>Financing</t>
  </si>
  <si>
    <t>% of Total Capital</t>
  </si>
  <si>
    <t>% FD Ownership</t>
  </si>
  <si>
    <t>Expected IRR</t>
  </si>
  <si>
    <t>Sponsor equity (AI case)</t>
  </si>
  <si>
    <t>Sponsor equity (Base case)</t>
  </si>
  <si>
    <t>IRR uplift from AI S&amp;M (percentage points)</t>
  </si>
  <si>
    <t>SENSITIVITY ANALYISIS</t>
  </si>
  <si>
    <t>Actual</t>
  </si>
  <si>
    <t>Offer Price / Share At Various Sponsor Hurdle Rates</t>
  </si>
  <si>
    <t>Sponsor Hurdle Rate (Minimum IRR)</t>
  </si>
  <si>
    <t>EV / LTM EBITDA multiple</t>
  </si>
  <si>
    <t>Sponsor IRR At Various Leverage And Initial EBITDA Multiple Sensitivity</t>
  </si>
  <si>
    <t>Highlight IRR &gt;</t>
  </si>
  <si>
    <t>EXPLICIT EBITDA (APPROACH 1) MUST BE SELECTED FOR DATA TABLE TO APPEAR</t>
  </si>
  <si>
    <t>Term A / EBITDA ratio (other cumulative leverage of 2.6x)</t>
  </si>
  <si>
    <t>Multiple:</t>
  </si>
  <si>
    <t>Sponsor IRR At Various Leverage And Offer Price / Share Sensitivity</t>
  </si>
  <si>
    <t>Offer-price IRR grid axis reset to GTM $/sh; prior BMC 45–46 IRRs cleared (need full LBO re-solve).</t>
  </si>
  <si>
    <t>Offer</t>
  </si>
  <si>
    <t>Price:</t>
  </si>
  <si>
    <t>Sponsor IRR @ Preferred &amp; Sub Note Equity Kicker Sensitivity</t>
  </si>
  <si>
    <t>Sub Note Equity Kicker</t>
  </si>
  <si>
    <t>Preferred</t>
  </si>
  <si>
    <t>Equity</t>
  </si>
  <si>
    <t>Kicker:</t>
  </si>
  <si>
    <t>PRO FORMA BALANCE SHEET ADJUSTMENTS</t>
  </si>
  <si>
    <t>Pro forma</t>
  </si>
  <si>
    <t>Pro forma adjustments</t>
  </si>
  <si>
    <t>Uses of funds</t>
  </si>
  <si>
    <t>Sources of funds</t>
  </si>
  <si>
    <t>Accounting</t>
  </si>
  <si>
    <t>Total Assets</t>
  </si>
  <si>
    <t xml:space="preserve">Debt </t>
  </si>
  <si>
    <t>Total Liabilities</t>
  </si>
  <si>
    <t>LBO Preferred stock</t>
  </si>
  <si>
    <t>Total equity</t>
  </si>
  <si>
    <t>Balance check</t>
  </si>
  <si>
    <t>PRO FORMA BALANCE SHEET</t>
  </si>
  <si>
    <t>Equity, BOP</t>
  </si>
  <si>
    <t>Plus: Net income</t>
  </si>
  <si>
    <t>Less: Dividends</t>
  </si>
  <si>
    <t>Plus: SBC</t>
  </si>
  <si>
    <t>Equity, EOP</t>
  </si>
  <si>
    <t>Purchase price allocation</t>
  </si>
  <si>
    <t>Select a tax type:</t>
  </si>
  <si>
    <t>Stock sale</t>
  </si>
  <si>
    <t>Select an accounting type:</t>
  </si>
  <si>
    <t>Book value of equity</t>
  </si>
  <si>
    <t>Input write-up</t>
  </si>
  <si>
    <t>Useful life</t>
  </si>
  <si>
    <t>PP&amp;E write up</t>
  </si>
  <si>
    <t>Intangible asset write up</t>
  </si>
  <si>
    <t>Total write-ups</t>
  </si>
  <si>
    <t xml:space="preserve">DTLs created </t>
  </si>
  <si>
    <t>Fari market value</t>
  </si>
  <si>
    <t>Purchase price (GTM offer equity)</t>
  </si>
  <si>
    <t>Goodwill</t>
  </si>
  <si>
    <t xml:space="preserve">Deal related GAAP accounting adjustments </t>
  </si>
  <si>
    <t>Incremental dep:</t>
  </si>
  <si>
    <t>Incremental amort:</t>
  </si>
  <si>
    <t>Deferred tax liabilities</t>
  </si>
  <si>
    <t>Annual reduction:</t>
  </si>
  <si>
    <t>Discounted Cash Flow Model for ZoomInfo (GTM)</t>
  </si>
  <si>
    <t>Point of this DCF: present-value check of GTM stand-alone worth vs the LBO offer. Discount AI_Operating unlevered FCF + terminal value at WACC → EV → equity → $/share; compare to LBO!H20.</t>
  </si>
  <si>
    <t>Yes — rows PV of UFCF / PV of TV / Enterprise value are present values. Not a hold-to-exit LBO IRR; that lives on Strategy_Summary / Debt_Sweep_AI.</t>
  </si>
  <si>
    <t>General assumptions</t>
  </si>
  <si>
    <t>Share price as of last close</t>
  </si>
  <si>
    <t>cached</t>
  </si>
  <si>
    <t>Latest closing share price date</t>
  </si>
  <si>
    <t>Diluted shares outstanding (mm)</t>
  </si>
  <si>
    <t>Weighted average cost of capital</t>
  </si>
  <si>
    <t>Free cash flow buildup</t>
  </si>
  <si>
    <t>Fiscal year</t>
  </si>
  <si>
    <t>EBIAT (NOPAT)</t>
  </si>
  <si>
    <t>D&amp;A IS in UFCF: Unlevered CFO = EBIAT + D&amp;A + SBC − ΔNWC (row 24).</t>
  </si>
  <si>
    <t>Stock based compensation (add-back)</t>
  </si>
  <si>
    <t>POLICY: add-back = $0 (SBC treated as real cost). Assumption lives at Assumptions_Drivers!C29=14.1% and drives LBO!F60/F70 only — changing C29 does NOT change DCF UFCF unless this row is switched on.</t>
  </si>
  <si>
    <t>Drivers SBC % (memo only — not in UFCF)</t>
  </si>
  <si>
    <t>Unlevered CFO</t>
  </si>
  <si>
    <t>Less: Capital expenditures</t>
  </si>
  <si>
    <t>CapEx = AI_Operating (Drivers C24=2% × (1−C12=8%) = 1.84% of sales). Intangible purchases = $0 (row 26).</t>
  </si>
  <si>
    <t>Less: Purchases of intangible assets</t>
  </si>
  <si>
    <t>Unlevered FCF</t>
  </si>
  <si>
    <t>% growth</t>
  </si>
  <si>
    <t>Discount period (years, mid-year)</t>
  </si>
  <si>
    <t>Assume cash flows are generated at:</t>
  </si>
  <si>
    <t>Middle of period</t>
  </si>
  <si>
    <t>Midperiod adjustment factor</t>
  </si>
  <si>
    <t>Present value of Unlevered FCF</t>
  </si>
  <si>
    <t>Perpetuity approach</t>
  </si>
  <si>
    <t>Exit EBITDA multiple approach</t>
  </si>
  <si>
    <t>Normalized FCFt+1</t>
  </si>
  <si>
    <t>Terminal year EBITDA</t>
  </si>
  <si>
    <t>Long term growth rate (g)</t>
  </si>
  <si>
    <t>Terminal value EBITDA multiple</t>
  </si>
  <si>
    <t>Terminal value</t>
  </si>
  <si>
    <t>Present value of terminal value</t>
  </si>
  <si>
    <t>Present value of stage 1 cash flows</t>
  </si>
  <si>
    <t>Implied TV exit EBITDA multiple</t>
  </si>
  <si>
    <t>Implied TV perpetual growth rate</t>
  </si>
  <si>
    <t>Net Debt</t>
  </si>
  <si>
    <t>Fair value per share</t>
  </si>
  <si>
    <t>Cash &amp; equivalents (LBO latest)</t>
  </si>
  <si>
    <t>LBO Offer</t>
  </si>
  <si>
    <t>Perpetuity</t>
  </si>
  <si>
    <t>EBITDA exit</t>
  </si>
  <si>
    <t>Gross debt (LBO latest filing)</t>
  </si>
  <si>
    <t>Net debt</t>
  </si>
  <si>
    <t>Less: Net debt</t>
  </si>
  <si>
    <t>Cost of capital assumptions</t>
  </si>
  <si>
    <t>Diluted shares</t>
  </si>
  <si>
    <t>Cost of debt (wtd TLA/TLB/Notes)</t>
  </si>
  <si>
    <t>Equity value per share</t>
  </si>
  <si>
    <t>cached exit $/sh</t>
  </si>
  <si>
    <t>Premium (discount) to LBO offer</t>
  </si>
  <si>
    <t>Debt (new LBO stack $m)</t>
  </si>
  <si>
    <t>Debt as a % of total capital</t>
  </si>
  <si>
    <t>Sponsor equity check ($m)</t>
  </si>
  <si>
    <t>Risk free rate (SOFR from Drivers)</t>
  </si>
  <si>
    <t>Beta (MODEL CONST — SaaS mid)</t>
  </si>
  <si>
    <t>Market risk premium</t>
  </si>
  <si>
    <t>Equity as % of total capital structure</t>
  </si>
  <si>
    <t>Cost of capital (WACC)</t>
  </si>
  <si>
    <t>Football field (chart removed so Excel can open this file)</t>
  </si>
  <si>
    <t>Low</t>
  </si>
  <si>
    <t>Diff.</t>
  </si>
  <si>
    <t>High</t>
  </si>
  <si>
    <t>DCF exit-multiple value / share (cached)</t>
  </si>
  <si>
    <t>DCF perpetuity value / share (cached)</t>
  </si>
  <si>
    <t>LBO Offer price / share</t>
  </si>
  <si>
    <t>52 Week Market High/Low (GTM from 52wkHL)</t>
  </si>
  <si>
    <t>Diluted shares for ZoomInfo (GTM)</t>
  </si>
  <si>
    <t>$ mm except per share / share counts in millions</t>
  </si>
  <si>
    <t>Offer price (LBO)</t>
  </si>
  <si>
    <t>cached (formulas in E)</t>
  </si>
  <si>
    <t>Latest close (LBO)</t>
  </si>
  <si>
    <t>In-the-money exercisable options (mm)</t>
  </si>
  <si>
    <t>Total proceeds ($mm)</t>
  </si>
  <si>
    <t>Total shares repurchased (mm)</t>
  </si>
  <si>
    <t>Net dilutive options</t>
  </si>
  <si>
    <t>Dilutive impact of other securities</t>
  </si>
  <si>
    <t>Net diluted shares outstanding (mm)</t>
  </si>
  <si>
    <t>Options note</t>
  </si>
  <si>
    <t>LBO!H18 stores diluted shares for offer value/share. No GTM option lattice — options left at 0.</t>
  </si>
  <si>
    <t>GTM ONLY — prices are ~$2.54–$12.51, not BMC $45s</t>
  </si>
  <si>
    <t>52 week high/low — ZoomInfo Technologies (ticker GTM)</t>
  </si>
  <si>
    <t>52 week high</t>
  </si>
  <si>
    <t>52 week low</t>
  </si>
  <si>
    <t>GTM daily OHLC (Yahoo 1y). Last close 4.05 matches LBO!D8. Not BMC.</t>
  </si>
  <si>
    <t>Date</t>
  </si>
  <si>
    <t>Open</t>
  </si>
  <si>
    <t>Close</t>
  </si>
  <si>
    <t>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</si>
</sst>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0.0%"/>
    <numFmt numFmtId="165" formatCode="0.0"/>
    <numFmt numFmtId="166" formatCode="#,##0.0"/>
    <numFmt numFmtId="167" formatCode="0.00\x"/>
    <numFmt numFmtId="168" formatCode="&quot;Approach &quot;0"/>
    <numFmt numFmtId="169" formatCode="0.0\x_);\(0.0&quot;x)&quot;;@_)"/>
    <numFmt numFmtId="170" formatCode="yyyy\-mm\-dd"/>
    <numFmt numFmtId="171" formatCode="#,##0.0_);\(#,##0.0\);@_)"/>
    <numFmt numFmtId="172" formatCode="#,##0.0_);\(#,##0.0\)"/>
    <numFmt numFmtId="173" formatCode="0%&quot; _)&quot;;\(0%\);@_)"/>
    <numFmt numFmtId="174" formatCode="0.0%&quot; _)&quot;;\(0.0%\);@_)"/>
    <numFmt numFmtId="175" formatCode="0.00\x__"/>
    <numFmt numFmtId="176" formatCode="0&quot; yrs&quot;"/>
    <numFmt numFmtId="177" formatCode="0\A;[Red]0\A"/>
    <numFmt numFmtId="178" formatCode="0\A"/>
    <numFmt numFmtId="179" formatCode="0\P_);\(0&quot;P)&quot;"/>
    <numFmt numFmtId="180" formatCode="m/d/yy;@"/>
    <numFmt numFmtId="181" formatCode="\$#,##0.0_);&quot;($&quot;#,##0.0\)"/>
    <numFmt numFmtId="182" formatCode="0.00%&quot; _)&quot;;\(0.00%\);@_)"/>
    <numFmt numFmtId="183" formatCode="&quot;L + &quot;0%"/>
    <numFmt numFmtId="184" formatCode="0.000%&quot; _)&quot;;\(0.000%\);@_)"/>
    <numFmt numFmtId="185" formatCode="&quot;Assumed exit on &quot;[$-409]&quot;mmmm d, yyyy&quot;;@"/>
    <numFmt numFmtId="186" formatCode="0.00\x_);\(0.00&quot;x)&quot;;@_)"/>
    <numFmt numFmtId="187" formatCode="0.000"/>
    <numFmt numFmtId="188" formatCode="0.0000"/>
    <numFmt numFmtId="189" formatCode="General&quot; yrs&quot;"/>
    <numFmt numFmtId="190" formatCode="\$#,##0.00_);&quot;($&quot;#,##0.00\);@_)"/>
    <numFmt numFmtId="191" formatCode="#,##0.0_);\(#,##0.0\);&quot;- _)&quot;;@_)"/>
    <numFmt numFmtId="192" formatCode="&quot;Tranche &quot;0"/>
  </numFmts>
  <fonts count="61" x14ac:knownFonts="1">
    <font>
      <sz val="11"/>
      <color theme="1"/>
      <name val="Calibri"/>
      <family val="2"/>
    </font>
    <font>
      <b/>
      <sz val="14"/>
      <color theme="1"/>
      <name val="Calibri"/>
    </font>
    <font>
      <sz val="10"/>
      <color theme="1"/>
      <name val="Calibri"/>
    </font>
    <font>
      <b/>
      <sz val="9"/>
      <color theme="1"/>
      <name val="Calibri"/>
    </font>
    <font>
      <b/>
      <sz val="10"/>
      <color theme="1"/>
      <name val="Calibri"/>
    </font>
    <font>
      <b/>
      <sz val="9"/>
      <color theme="1"/>
      <name val="Calibri"/>
    </font>
    <font>
      <sz val="9"/>
      <color theme="1"/>
      <name val="Calibri"/>
    </font>
    <font>
      <b/>
      <sz val="11"/>
      <color theme="1"/>
      <name val="Calibri"/>
    </font>
    <font>
      <u/>
      <sz val="9"/>
      <color theme="1"/>
      <name val="Calibri"/>
    </font>
    <font>
      <sz val="9"/>
      <color theme="1"/>
      <name val="Calibri"/>
    </font>
    <font>
      <b/>
      <sz val="10"/>
      <color theme="1"/>
      <name val="Calibri"/>
    </font>
    <font>
      <sz val="10"/>
      <color theme="1"/>
      <name val="Calibri"/>
    </font>
    <font>
      <i/>
      <sz val="9"/>
      <color theme="1"/>
      <name val="Calibri"/>
    </font>
    <font>
      <b/>
      <sz val="14"/>
      <color theme="1"/>
      <name val="Calibri"/>
    </font>
    <font>
      <b/>
      <sz val="11"/>
      <color theme="1"/>
      <name val="Calibri"/>
    </font>
    <font>
      <i/>
      <sz val="9"/>
      <color theme="1"/>
      <name val="Calibri"/>
    </font>
    <font>
      <b/>
      <sz val="11"/>
      <color theme="1"/>
      <name val="Calibri"/>
    </font>
    <font>
      <u/>
      <sz val="10"/>
      <color theme="1"/>
      <name val="Calibri"/>
    </font>
    <font>
      <b/>
      <sz val="10"/>
      <color theme="1"/>
      <name val="Calibri"/>
    </font>
    <font>
      <b/>
      <sz val="14"/>
      <color theme="1"/>
      <name val="Calibri"/>
    </font>
    <font>
      <b/>
      <sz val="12"/>
      <color theme="1"/>
      <name val="Calibri"/>
    </font>
    <font>
      <b/>
      <sz val="12"/>
      <color theme="1"/>
      <name val="Calibri"/>
    </font>
    <font>
      <i/>
      <sz val="10"/>
      <color theme="1"/>
      <name val="Calibri"/>
    </font>
    <font>
      <i/>
      <sz val="11"/>
      <color theme="1"/>
      <name val="Calibri"/>
    </font>
    <font>
      <b/>
      <sz val="20"/>
      <color theme="1"/>
      <name val="Calibri"/>
      <family val="2"/>
    </font>
    <font>
      <i/>
      <sz val="8"/>
      <color theme="1"/>
      <name val="Cambria"/>
    </font>
    <font>
      <b/>
      <sz val="14"/>
      <color theme="1"/>
      <name val="Cambria"/>
    </font>
    <font>
      <i/>
      <sz val="11"/>
      <color theme="1"/>
      <name val="Calibri"/>
      <family val="2"/>
    </font>
    <font>
      <b/>
      <sz val="11"/>
      <color theme="1"/>
      <name val="Calibri"/>
      <family val="2"/>
    </font>
    <font>
      <b/>
      <sz val="11"/>
      <color theme="1"/>
      <name val="Calibri"/>
      <family val="2"/>
    </font>
    <font>
      <b/>
      <sz val="11"/>
      <color theme="1"/>
      <name val="Calibri"/>
      <family val="2"/>
    </font>
    <font>
      <sz val="11"/>
      <color theme="1"/>
      <name val="Calibri"/>
      <family val="2"/>
    </font>
    <font>
      <i/>
      <sz val="10"/>
      <color theme="1"/>
      <name val="Calibri"/>
      <family val="2"/>
    </font>
    <font>
      <sz val="11"/>
      <color theme="1"/>
      <name val="Calibri"/>
      <family val="2"/>
    </font>
    <font>
      <i/>
      <sz val="9"/>
      <color theme="1"/>
      <name val="Cambria"/>
    </font>
    <font>
      <u/>
      <sz val="10"/>
      <color theme="1"/>
      <name val="Calibri"/>
      <family val="2"/>
    </font>
    <font>
      <i/>
      <sz val="11"/>
      <color theme="1"/>
      <name val="Calibri"/>
      <family val="2"/>
    </font>
    <font>
      <b/>
      <i/>
      <sz val="11"/>
      <color theme="1"/>
      <name val="Calibri"/>
      <family val="2"/>
    </font>
    <font>
      <b/>
      <sz val="10"/>
      <color theme="1"/>
      <name val="Cambria"/>
    </font>
    <font>
      <i/>
      <sz val="8"/>
      <color theme="1"/>
      <name val="Cambria"/>
    </font>
    <font>
      <u/>
      <sz val="11"/>
      <color theme="1"/>
      <name val="Calibri"/>
      <family val="2"/>
    </font>
    <font>
      <i/>
      <u/>
      <sz val="11"/>
      <color theme="1"/>
      <name val="Calibri"/>
      <family val="2"/>
    </font>
    <font>
      <b/>
      <sz val="11"/>
      <color theme="1"/>
      <name val="Calibri"/>
      <family val="2"/>
    </font>
    <font>
      <sz val="10"/>
      <color theme="1"/>
      <name val="Calibri"/>
      <family val="2"/>
    </font>
    <font>
      <i/>
      <sz val="10"/>
      <color theme="1"/>
      <name val="Calibri"/>
      <family val="2"/>
    </font>
    <font>
      <b/>
      <i/>
      <sz val="10"/>
      <color theme="1"/>
      <name val="Calibri"/>
      <family val="2"/>
    </font>
    <font>
      <b/>
      <sz val="11"/>
      <color theme="1"/>
      <name val="Cambria"/>
    </font>
    <font>
      <i/>
      <sz val="11"/>
      <color theme="1"/>
      <name val="Calibri"/>
      <family val="2"/>
    </font>
    <font>
      <b/>
      <sz val="8"/>
      <color theme="1"/>
      <name val="Calibri"/>
      <family val="2"/>
    </font>
    <font>
      <sz val="8"/>
      <color theme="1"/>
      <name val="Calibri"/>
      <family val="2"/>
    </font>
    <font>
      <sz val="11"/>
      <color theme="1"/>
      <name val="Calibri"/>
      <family val="2"/>
    </font>
    <font>
      <b/>
      <sz val="13"/>
      <color theme="1"/>
      <name val="Calibri"/>
      <family val="2"/>
    </font>
    <font>
      <b/>
      <sz val="10"/>
      <color rgb="FFFFFFFF"/>
      <name val="Calibri"/>
    </font>
    <font>
      <u/>
      <sz val="9"/>
      <color rgb="FF0563C1"/>
      <name val="Calibri"/>
    </font>
    <font>
      <sz val="9"/>
      <name val="Calibri"/>
    </font>
    <font>
      <i/>
      <sz val="9"/>
      <name val="Calibri"/>
    </font>
    <font>
      <i/>
      <sz val="9"/>
      <color rgb="FFC00000"/>
      <name val="Calibri"/>
    </font>
    <font>
      <i/>
      <sz val="8"/>
      <name val="Calibri"/>
    </font>
    <font>
      <b/>
      <i/>
      <sz val="9"/>
      <name val="Calibri"/>
    </font>
    <font>
      <b/>
      <sz val="9"/>
      <name val="Calibri"/>
    </font>
    <font>
      <i/>
      <sz val="8"/>
      <color rgb="FFC00000"/>
      <name val="Calibri"/>
    </font>
  </fonts>
  <fills count="23">
    <fill>
      <patternFill patternType="none"/>
    </fill>
    <fill>
      <patternFill patternType="gray125"/>
    </fill>
    <fill>
      <patternFill patternType="solid">
        <fgColor rgb="FF1F4E79"/>
        <bgColor rgb="FF334455"/>
      </patternFill>
    </fill>
    <fill>
      <patternFill patternType="solid">
        <fgColor rgb="FF0B3D5C"/>
        <bgColor rgb="FF1F4E79"/>
      </patternFill>
    </fill>
    <fill>
      <patternFill patternType="solid">
        <fgColor rgb="FFFCE4D6"/>
        <bgColor rgb="FFFFF2CC"/>
      </patternFill>
    </fill>
    <fill>
      <patternFill patternType="solid">
        <fgColor rgb="FFC6EFCE"/>
        <bgColor rgb="FFE2EFDA"/>
      </patternFill>
    </fill>
    <fill>
      <patternFill patternType="solid">
        <fgColor rgb="FFE8F1F8"/>
        <bgColor rgb="FFE7F3FF"/>
      </patternFill>
    </fill>
    <fill>
      <patternFill patternType="solid">
        <fgColor rgb="FFFFF2CC"/>
        <bgColor rgb="FFFCE4D6"/>
      </patternFill>
    </fill>
    <fill>
      <patternFill patternType="solid">
        <fgColor rgb="FFF7FAFC"/>
        <bgColor rgb="FFFFFFFF"/>
      </patternFill>
    </fill>
    <fill>
      <patternFill patternType="solid">
        <fgColor rgb="FFF2F2F2"/>
        <bgColor rgb="FFE8F1F8"/>
      </patternFill>
    </fill>
    <fill>
      <patternFill patternType="solid">
        <fgColor rgb="FFE2EFDA"/>
        <bgColor rgb="FFE8F1F8"/>
      </patternFill>
    </fill>
    <fill>
      <patternFill patternType="solid">
        <fgColor rgb="FFFFE8A3"/>
        <bgColor rgb="FFFFF2CC"/>
      </patternFill>
    </fill>
    <fill>
      <patternFill patternType="solid">
        <fgColor rgb="FFE7F3FF"/>
        <bgColor rgb="FFE8F1F8"/>
      </patternFill>
    </fill>
    <fill>
      <patternFill patternType="solid">
        <fgColor rgb="FFFFFF99"/>
        <bgColor rgb="FFFFE8A3"/>
      </patternFill>
    </fill>
    <fill>
      <patternFill patternType="solid">
        <fgColor rgb="FFCCFFFF"/>
        <bgColor rgb="FFE7F3FF"/>
      </patternFill>
    </fill>
    <fill>
      <patternFill patternType="solid">
        <fgColor rgb="FF1F4E79"/>
      </patternFill>
    </fill>
    <fill>
      <patternFill patternType="solid">
        <fgColor rgb="FFE2EFDA"/>
      </patternFill>
    </fill>
    <fill>
      <patternFill patternType="solid">
        <fgColor rgb="FFFFF2CC"/>
      </patternFill>
    </fill>
    <fill>
      <patternFill patternType="solid">
        <fgColor rgb="FFFCE4D6"/>
      </patternFill>
    </fill>
    <fill>
      <patternFill patternType="solid">
        <fgColor rgb="FFC6EFCE"/>
      </patternFill>
    </fill>
    <fill>
      <patternFill patternType="solid">
        <fgColor rgb="FFD9E2F3"/>
      </patternFill>
    </fill>
    <fill>
      <patternFill patternType="solid">
        <fgColor rgb="FFE2F0D9"/>
      </patternFill>
    </fill>
    <fill>
      <patternFill patternType="solid">
        <fgColor rgb="FFFFC7CE"/>
      </patternFill>
    </fill>
  </fills>
  <borders count="22">
    <border>
      <left/>
      <right/>
      <top/>
      <bottom/>
      <diagonal/>
    </border>
    <border>
      <left style="thin">
        <color rgb="FFC5D0DA"/>
      </left>
      <right style="thin">
        <color rgb="FFC5D0DA"/>
      </right>
      <top style="thin">
        <color rgb="FFC5D0DA"/>
      </top>
      <bottom style="thin">
        <color rgb="FFC5D0DA"/>
      </bottom>
      <diagonal/>
    </border>
    <border>
      <left style="thin">
        <color rgb="FFD0D0D0"/>
      </left>
      <right style="thin">
        <color rgb="FFD0D0D0"/>
      </right>
      <top style="thin">
        <color rgb="FFD0D0D0"/>
      </top>
      <bottom style="thin">
        <color rgb="FFD0D0D0"/>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411">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5" fillId="2" borderId="1" xfId="0" applyFont="1" applyFill="1" applyBorder="1" applyAlignment="1">
      <alignment vertical="top" wrapText="1"/>
    </xf>
    <xf numFmtId="0" fontId="3" fillId="2" borderId="0" xfId="0" applyFont="1" applyFill="1" applyAlignment="1">
      <alignment vertical="top" wrapText="1"/>
    </xf>
    <xf numFmtId="0" fontId="6" fillId="4" borderId="2" xfId="0" applyFont="1" applyFill="1" applyBorder="1" applyAlignment="1">
      <alignment vertical="top" wrapText="1"/>
    </xf>
    <xf numFmtId="0" fontId="6" fillId="0" borderId="2" xfId="0" applyFont="1" applyBorder="1" applyAlignment="1">
      <alignment vertical="top" wrapText="1"/>
    </xf>
    <xf numFmtId="164" fontId="7" fillId="5" borderId="2" xfId="0" applyNumberFormat="1" applyFont="1" applyFill="1" applyBorder="1" applyAlignment="1">
      <alignment vertical="top" wrapText="1"/>
    </xf>
    <xf numFmtId="0" fontId="6" fillId="6" borderId="2" xfId="0" applyFont="1" applyFill="1" applyBorder="1" applyAlignment="1">
      <alignment vertical="top" wrapText="1"/>
    </xf>
    <xf numFmtId="0" fontId="8" fillId="5" borderId="2" xfId="0" applyFont="1" applyFill="1" applyBorder="1" applyAlignment="1">
      <alignment vertical="top" wrapText="1"/>
    </xf>
    <xf numFmtId="0" fontId="6" fillId="7" borderId="2" xfId="0" applyFont="1" applyFill="1" applyBorder="1" applyAlignment="1">
      <alignment vertical="top" wrapText="1"/>
    </xf>
    <xf numFmtId="0" fontId="6" fillId="8" borderId="2" xfId="0" applyFont="1" applyFill="1" applyBorder="1" applyAlignment="1">
      <alignment vertical="top" wrapText="1"/>
    </xf>
    <xf numFmtId="0" fontId="8" fillId="0" borderId="3" xfId="0" applyFont="1" applyBorder="1" applyAlignment="1">
      <alignment vertical="top" wrapText="1"/>
    </xf>
    <xf numFmtId="0" fontId="6" fillId="5" borderId="2" xfId="0" applyFont="1" applyFill="1" applyBorder="1" applyAlignment="1">
      <alignment vertical="top" wrapText="1"/>
    </xf>
    <xf numFmtId="0" fontId="6" fillId="9" borderId="3" xfId="0" applyFont="1" applyFill="1" applyBorder="1" applyAlignment="1">
      <alignment vertical="top" wrapText="1"/>
    </xf>
    <xf numFmtId="0" fontId="6" fillId="9" borderId="2" xfId="0" applyFont="1" applyFill="1" applyBorder="1" applyAlignment="1">
      <alignment vertical="top" wrapText="1"/>
    </xf>
    <xf numFmtId="165" fontId="7" fillId="5" borderId="2" xfId="0" applyNumberFormat="1" applyFont="1" applyFill="1" applyBorder="1" applyAlignment="1">
      <alignment vertical="top" wrapText="1"/>
    </xf>
    <xf numFmtId="0" fontId="9" fillId="0" borderId="2" xfId="0" applyFont="1" applyBorder="1" applyAlignment="1">
      <alignment vertical="top" wrapText="1"/>
    </xf>
    <xf numFmtId="0" fontId="8" fillId="7" borderId="2" xfId="0" applyFont="1" applyFill="1" applyBorder="1" applyAlignment="1">
      <alignment vertical="top" wrapText="1"/>
    </xf>
    <xf numFmtId="0" fontId="8" fillId="0" borderId="2" xfId="0" applyFont="1" applyBorder="1" applyAlignment="1">
      <alignment vertical="top" wrapText="1"/>
    </xf>
    <xf numFmtId="166" fontId="7" fillId="5" borderId="2" xfId="0" applyNumberFormat="1" applyFont="1" applyFill="1" applyBorder="1" applyAlignment="1">
      <alignment vertical="top" wrapText="1"/>
    </xf>
    <xf numFmtId="164" fontId="0" fillId="5" borderId="2" xfId="0" applyNumberFormat="1" applyFill="1" applyBorder="1" applyAlignment="1">
      <alignment vertical="top" wrapText="1"/>
    </xf>
    <xf numFmtId="0" fontId="10" fillId="4" borderId="3" xfId="0" applyFont="1" applyFill="1" applyBorder="1" applyAlignment="1">
      <alignment horizontal="center" vertical="center" wrapText="1"/>
    </xf>
    <xf numFmtId="0" fontId="10" fillId="8" borderId="1" xfId="0" applyFont="1" applyFill="1" applyBorder="1" applyAlignment="1">
      <alignment vertical="top" wrapText="1"/>
    </xf>
    <xf numFmtId="10" fontId="11" fillId="10" borderId="1" xfId="0" applyNumberFormat="1" applyFont="1" applyFill="1" applyBorder="1" applyAlignment="1">
      <alignment horizontal="center" vertical="center"/>
    </xf>
    <xf numFmtId="0" fontId="11" fillId="6" borderId="1" xfId="0" applyFont="1" applyFill="1" applyBorder="1" applyAlignment="1">
      <alignment vertical="top" wrapText="1"/>
    </xf>
    <xf numFmtId="0" fontId="6" fillId="5" borderId="3" xfId="0" applyFont="1" applyFill="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0" fontId="10" fillId="0" borderId="0" xfId="0" applyFont="1"/>
    <xf numFmtId="0" fontId="0" fillId="11" borderId="1" xfId="0" applyFill="1" applyBorder="1" applyAlignment="1">
      <alignment vertical="top" wrapText="1"/>
    </xf>
    <xf numFmtId="0" fontId="12" fillId="0" borderId="0" xfId="0" applyFont="1"/>
    <xf numFmtId="0" fontId="8" fillId="0" borderId="0" xfId="0" applyFont="1" applyAlignment="1">
      <alignment vertical="top" wrapText="1"/>
    </xf>
    <xf numFmtId="0" fontId="6" fillId="0" borderId="0" xfId="0" applyFont="1" applyAlignment="1">
      <alignment vertical="top" wrapText="1"/>
    </xf>
    <xf numFmtId="0" fontId="0" fillId="0" borderId="0" xfId="0" applyAlignment="1">
      <alignment vertical="top" wrapText="1"/>
    </xf>
    <xf numFmtId="0" fontId="13" fillId="0" borderId="0" xfId="0" applyFont="1"/>
    <xf numFmtId="0" fontId="14" fillId="0" borderId="0" xfId="0" applyFont="1"/>
    <xf numFmtId="0" fontId="11" fillId="0" borderId="0" xfId="0" applyFont="1"/>
    <xf numFmtId="166" fontId="0" fillId="10" borderId="3" xfId="0" applyNumberFormat="1" applyFill="1" applyBorder="1"/>
    <xf numFmtId="0" fontId="15" fillId="0" borderId="0" xfId="0" applyFont="1"/>
    <xf numFmtId="0" fontId="0" fillId="10" borderId="3" xfId="0" applyFill="1" applyBorder="1"/>
    <xf numFmtId="164" fontId="0" fillId="10" borderId="3" xfId="0" applyNumberFormat="1" applyFill="1" applyBorder="1"/>
    <xf numFmtId="0" fontId="16" fillId="2" borderId="0" xfId="0" applyFont="1" applyFill="1"/>
    <xf numFmtId="164" fontId="0" fillId="10" borderId="1" xfId="0" applyNumberFormat="1" applyFill="1" applyBorder="1"/>
    <xf numFmtId="0" fontId="0" fillId="6" borderId="1" xfId="0" applyFill="1" applyBorder="1" applyAlignment="1">
      <alignment vertical="top" wrapText="1"/>
    </xf>
    <xf numFmtId="166" fontId="0" fillId="10" borderId="1" xfId="0" applyNumberFormat="1" applyFill="1" applyBorder="1"/>
    <xf numFmtId="167" fontId="0" fillId="10" borderId="1" xfId="0" applyNumberFormat="1" applyFill="1" applyBorder="1"/>
    <xf numFmtId="0" fontId="0" fillId="5" borderId="0" xfId="0" applyFill="1"/>
    <xf numFmtId="0" fontId="17" fillId="0" borderId="0" xfId="0" applyFont="1"/>
    <xf numFmtId="0" fontId="16" fillId="2" borderId="0" xfId="0" applyFont="1" applyFill="1" applyAlignment="1">
      <alignment horizontal="center" wrapText="1"/>
    </xf>
    <xf numFmtId="0" fontId="3" fillId="2" borderId="0" xfId="0" applyFont="1" applyFill="1"/>
    <xf numFmtId="0" fontId="11" fillId="0" borderId="3" xfId="0" applyFont="1" applyBorder="1" applyAlignment="1">
      <alignment vertical="top" wrapText="1"/>
    </xf>
    <xf numFmtId="0" fontId="17" fillId="0" borderId="3" xfId="0" applyFont="1" applyBorder="1" applyAlignment="1">
      <alignment vertical="top" wrapText="1"/>
    </xf>
    <xf numFmtId="0" fontId="11" fillId="12" borderId="3" xfId="0" applyFont="1" applyFill="1" applyBorder="1" applyAlignment="1">
      <alignment vertical="top" wrapText="1"/>
    </xf>
    <xf numFmtId="0" fontId="10" fillId="5" borderId="3" xfId="0" applyFont="1" applyFill="1" applyBorder="1"/>
    <xf numFmtId="0" fontId="10" fillId="4" borderId="3" xfId="0" applyFont="1" applyFill="1" applyBorder="1"/>
    <xf numFmtId="0" fontId="17" fillId="0" borderId="0" xfId="0" applyFont="1" applyAlignment="1">
      <alignment vertical="top" wrapText="1"/>
    </xf>
    <xf numFmtId="0" fontId="18" fillId="0" borderId="0" xfId="0" applyFont="1" applyAlignment="1">
      <alignment vertical="top" wrapText="1"/>
    </xf>
    <xf numFmtId="0" fontId="14" fillId="0" borderId="0" xfId="0" applyFont="1" applyAlignment="1">
      <alignment vertical="top" wrapText="1"/>
    </xf>
    <xf numFmtId="1" fontId="0" fillId="10" borderId="1" xfId="0" applyNumberFormat="1" applyFill="1" applyBorder="1"/>
    <xf numFmtId="0" fontId="5" fillId="0" borderId="2" xfId="0" applyFont="1" applyBorder="1" applyAlignment="1">
      <alignment vertical="top" wrapText="1"/>
    </xf>
    <xf numFmtId="0" fontId="16" fillId="2" borderId="4" xfId="0" applyFont="1" applyFill="1" applyBorder="1" applyAlignment="1">
      <alignment horizontal="center" vertical="center"/>
    </xf>
    <xf numFmtId="10" fontId="6" fillId="0" borderId="2" xfId="0" applyNumberFormat="1" applyFont="1" applyBorder="1" applyAlignment="1">
      <alignment vertical="top" wrapText="1"/>
    </xf>
    <xf numFmtId="0" fontId="14" fillId="7" borderId="4" xfId="0" applyFont="1" applyFill="1" applyBorder="1" applyAlignment="1">
      <alignment vertical="center"/>
    </xf>
    <xf numFmtId="4" fontId="14" fillId="7" borderId="4" xfId="0" applyNumberFormat="1" applyFont="1" applyFill="1" applyBorder="1" applyAlignment="1">
      <alignment vertical="center"/>
    </xf>
    <xf numFmtId="0" fontId="19" fillId="0" borderId="0" xfId="0" applyFont="1"/>
    <xf numFmtId="0" fontId="20" fillId="0" borderId="0" xfId="0" applyFont="1" applyAlignment="1">
      <alignment horizontal="center"/>
    </xf>
    <xf numFmtId="0" fontId="14" fillId="5" borderId="4" xfId="0" applyFont="1" applyFill="1" applyBorder="1" applyAlignment="1">
      <alignment vertical="center"/>
    </xf>
    <xf numFmtId="4" fontId="14" fillId="5" borderId="4" xfId="0" applyNumberFormat="1" applyFont="1" applyFill="1" applyBorder="1" applyAlignment="1">
      <alignment vertical="center"/>
    </xf>
    <xf numFmtId="0" fontId="21" fillId="0" borderId="0" xfId="0" applyFont="1" applyAlignment="1">
      <alignment vertical="center"/>
    </xf>
    <xf numFmtId="4" fontId="21" fillId="0" borderId="0" xfId="0" applyNumberFormat="1" applyFont="1" applyAlignment="1">
      <alignment horizontal="right" vertical="center"/>
    </xf>
    <xf numFmtId="0" fontId="22" fillId="0" borderId="0" xfId="0" applyFont="1"/>
    <xf numFmtId="0" fontId="10" fillId="0" borderId="0" xfId="0" applyFont="1" applyAlignment="1">
      <alignment vertical="center"/>
    </xf>
    <xf numFmtId="4" fontId="10" fillId="0" borderId="0" xfId="0" applyNumberFormat="1" applyFont="1" applyAlignment="1">
      <alignment vertical="center"/>
    </xf>
    <xf numFmtId="0" fontId="23" fillId="0" borderId="0" xfId="0" applyFont="1"/>
    <xf numFmtId="166" fontId="0" fillId="10" borderId="0" xfId="0" applyNumberFormat="1" applyFill="1"/>
    <xf numFmtId="164" fontId="0" fillId="10" borderId="0" xfId="0" applyNumberFormat="1" applyFill="1"/>
    <xf numFmtId="0" fontId="24" fillId="0" borderId="5" xfId="0" applyFont="1" applyBorder="1"/>
    <xf numFmtId="0" fontId="0" fillId="0" borderId="5" xfId="0" applyBorder="1"/>
    <xf numFmtId="0" fontId="0" fillId="0" borderId="0" xfId="0" applyAlignment="1">
      <alignment horizontal="left" wrapText="1"/>
    </xf>
    <xf numFmtId="0" fontId="25" fillId="0" borderId="0" xfId="0" applyFont="1"/>
    <xf numFmtId="0" fontId="26" fillId="0" borderId="6" xfId="0" applyFont="1" applyBorder="1"/>
    <xf numFmtId="0" fontId="0" fillId="0" borderId="6" xfId="0" applyBorder="1"/>
    <xf numFmtId="14" fontId="27" fillId="0" borderId="0" xfId="0" applyNumberFormat="1" applyFont="1" applyAlignment="1">
      <alignment horizontal="left"/>
    </xf>
    <xf numFmtId="0" fontId="28" fillId="0" borderId="0" xfId="0" applyFont="1"/>
    <xf numFmtId="14" fontId="27" fillId="0" borderId="0" xfId="0" applyNumberFormat="1" applyFont="1"/>
    <xf numFmtId="0" fontId="29" fillId="0" borderId="5" xfId="0" applyFont="1" applyBorder="1"/>
    <xf numFmtId="0" fontId="0" fillId="0" borderId="0" xfId="0" applyAlignment="1">
      <alignment horizontal="left" indent="1"/>
    </xf>
    <xf numFmtId="0" fontId="0" fillId="0" borderId="0" xfId="0" applyAlignment="1">
      <alignment horizontal="right"/>
    </xf>
    <xf numFmtId="0" fontId="27" fillId="0" borderId="0" xfId="0" applyFont="1"/>
    <xf numFmtId="168" fontId="30" fillId="13" borderId="4" xfId="0" applyNumberFormat="1" applyFont="1" applyFill="1" applyBorder="1" applyAlignment="1">
      <alignment horizontal="center"/>
    </xf>
    <xf numFmtId="168" fontId="29" fillId="0" borderId="0" xfId="0" applyNumberFormat="1" applyFont="1"/>
    <xf numFmtId="168" fontId="29" fillId="0" borderId="0" xfId="0" applyNumberFormat="1" applyFont="1" applyAlignment="1">
      <alignment horizontal="right"/>
    </xf>
    <xf numFmtId="39" fontId="31" fillId="0" borderId="0" xfId="0" applyNumberFormat="1" applyFont="1"/>
    <xf numFmtId="169" fontId="32" fillId="0" borderId="0" xfId="0" applyNumberFormat="1" applyFont="1" applyAlignment="1">
      <alignment horizontal="center"/>
    </xf>
    <xf numFmtId="0" fontId="32" fillId="0" borderId="0" xfId="0" applyFont="1" applyAlignment="1">
      <alignment horizontal="right"/>
    </xf>
    <xf numFmtId="170" fontId="31" fillId="0" borderId="0" xfId="0" applyNumberFormat="1" applyFont="1"/>
    <xf numFmtId="0" fontId="25" fillId="0" borderId="0" xfId="0" applyFont="1" applyAlignment="1">
      <alignment wrapText="1"/>
    </xf>
    <xf numFmtId="171" fontId="31" fillId="0" borderId="0" xfId="0" applyNumberFormat="1" applyFont="1" applyAlignment="1">
      <alignment horizontal="right"/>
    </xf>
    <xf numFmtId="37" fontId="0" fillId="0" borderId="0" xfId="0" applyNumberFormat="1"/>
    <xf numFmtId="2" fontId="0" fillId="0" borderId="0" xfId="0" applyNumberFormat="1"/>
    <xf numFmtId="2" fontId="31" fillId="0" borderId="0" xfId="0" applyNumberFormat="1" applyFont="1"/>
    <xf numFmtId="0" fontId="29" fillId="0" borderId="0" xfId="0" applyFont="1"/>
    <xf numFmtId="166" fontId="29" fillId="0" borderId="0" xfId="0" applyNumberFormat="1" applyFont="1"/>
    <xf numFmtId="172" fontId="0" fillId="0" borderId="0" xfId="0" applyNumberFormat="1"/>
    <xf numFmtId="37" fontId="31" fillId="0" borderId="0" xfId="0" applyNumberFormat="1" applyFont="1"/>
    <xf numFmtId="166" fontId="0" fillId="0" borderId="0" xfId="0" applyNumberFormat="1"/>
    <xf numFmtId="169" fontId="31" fillId="0" borderId="0" xfId="0" applyNumberFormat="1" applyFont="1"/>
    <xf numFmtId="164" fontId="31" fillId="0" borderId="0" xfId="0" applyNumberFormat="1" applyFont="1"/>
    <xf numFmtId="172" fontId="33" fillId="0" borderId="0" xfId="0" applyNumberFormat="1" applyFont="1"/>
    <xf numFmtId="173" fontId="0" fillId="0" borderId="0" xfId="0" applyNumberFormat="1" applyAlignment="1">
      <alignment horizontal="right"/>
    </xf>
    <xf numFmtId="174" fontId="0" fillId="0" borderId="0" xfId="0" applyNumberFormat="1"/>
    <xf numFmtId="39" fontId="29" fillId="0" borderId="0" xfId="0" applyNumberFormat="1" applyFont="1"/>
    <xf numFmtId="2" fontId="30" fillId="0" borderId="0" xfId="0" applyNumberFormat="1" applyFont="1"/>
    <xf numFmtId="0" fontId="27" fillId="0" borderId="0" xfId="0" applyFont="1" applyAlignment="1">
      <alignment horizontal="left" indent="1"/>
    </xf>
    <xf numFmtId="166" fontId="0" fillId="0" borderId="5" xfId="0" applyNumberFormat="1" applyBorder="1"/>
    <xf numFmtId="0" fontId="34" fillId="0" borderId="0" xfId="0" applyFont="1" applyAlignment="1">
      <alignment wrapText="1"/>
    </xf>
    <xf numFmtId="173" fontId="0" fillId="0" borderId="0" xfId="0" applyNumberFormat="1"/>
    <xf numFmtId="0" fontId="35" fillId="0" borderId="0" xfId="0" applyFont="1"/>
    <xf numFmtId="0" fontId="35" fillId="0" borderId="0" xfId="0" applyFont="1" applyAlignment="1">
      <alignment horizontal="right"/>
    </xf>
    <xf numFmtId="2" fontId="27" fillId="0" borderId="0" xfId="0" applyNumberFormat="1" applyFont="1" applyAlignment="1">
      <alignment horizontal="center"/>
    </xf>
    <xf numFmtId="0" fontId="34" fillId="0" borderId="0" xfId="0" applyFont="1" applyAlignment="1">
      <alignment vertical="top" wrapText="1"/>
    </xf>
    <xf numFmtId="175" fontId="36" fillId="0" borderId="0" xfId="0" applyNumberFormat="1" applyFont="1" applyAlignment="1">
      <alignment horizontal="center"/>
    </xf>
    <xf numFmtId="174" fontId="31" fillId="0" borderId="0" xfId="0" applyNumberFormat="1" applyFont="1"/>
    <xf numFmtId="176" fontId="31" fillId="0" borderId="0" xfId="0" applyNumberFormat="1" applyFont="1"/>
    <xf numFmtId="4" fontId="0" fillId="0" borderId="0" xfId="0" applyNumberFormat="1" applyAlignment="1">
      <alignment horizontal="right"/>
    </xf>
    <xf numFmtId="172" fontId="29" fillId="0" borderId="0" xfId="0" applyNumberFormat="1" applyFont="1"/>
    <xf numFmtId="172" fontId="0" fillId="0" borderId="5" xfId="0" applyNumberFormat="1" applyBorder="1" applyAlignment="1">
      <alignment horizontal="right"/>
    </xf>
    <xf numFmtId="0" fontId="29" fillId="0" borderId="0" xfId="0" applyFont="1" applyAlignment="1">
      <alignment horizontal="left" indent="2"/>
    </xf>
    <xf numFmtId="4" fontId="0" fillId="0" borderId="0" xfId="0" applyNumberFormat="1"/>
    <xf numFmtId="0" fontId="29" fillId="0" borderId="0" xfId="0" applyFont="1" applyAlignment="1">
      <alignment horizontal="left"/>
    </xf>
    <xf numFmtId="2" fontId="37" fillId="0" borderId="0" xfId="0" applyNumberFormat="1" applyFont="1" applyAlignment="1">
      <alignment horizontal="center"/>
    </xf>
    <xf numFmtId="0" fontId="28" fillId="0" borderId="5" xfId="0" applyFont="1" applyBorder="1"/>
    <xf numFmtId="0" fontId="38" fillId="0" borderId="0" xfId="0" applyFont="1"/>
    <xf numFmtId="177" fontId="29" fillId="0" borderId="0" xfId="0" applyNumberFormat="1" applyFont="1"/>
    <xf numFmtId="178" fontId="29" fillId="0" borderId="0" xfId="0" applyNumberFormat="1" applyFont="1"/>
    <xf numFmtId="179" fontId="29" fillId="0" borderId="0" xfId="0" applyNumberFormat="1" applyFont="1"/>
    <xf numFmtId="0" fontId="27" fillId="0" borderId="5" xfId="0" applyFont="1" applyBorder="1"/>
    <xf numFmtId="170" fontId="36" fillId="0" borderId="5" xfId="0" applyNumberFormat="1" applyFont="1" applyBorder="1"/>
    <xf numFmtId="170" fontId="27" fillId="0" borderId="5" xfId="0" applyNumberFormat="1" applyFont="1" applyBorder="1"/>
    <xf numFmtId="180" fontId="36" fillId="0" borderId="0" xfId="0" applyNumberFormat="1" applyFont="1"/>
    <xf numFmtId="180" fontId="27" fillId="0" borderId="0" xfId="0" applyNumberFormat="1" applyFont="1"/>
    <xf numFmtId="172" fontId="31" fillId="0" borderId="0" xfId="0" applyNumberFormat="1" applyFont="1"/>
    <xf numFmtId="0" fontId="39" fillId="0" borderId="0" xfId="0" applyFont="1" applyAlignment="1">
      <alignment vertical="top" wrapText="1"/>
    </xf>
    <xf numFmtId="0" fontId="40" fillId="0" borderId="0" xfId="0" applyFont="1"/>
    <xf numFmtId="37" fontId="33" fillId="0" borderId="0" xfId="0" applyNumberFormat="1" applyFont="1"/>
    <xf numFmtId="0" fontId="29" fillId="0" borderId="0" xfId="0" applyFont="1" applyAlignment="1">
      <alignment horizontal="left" indent="1"/>
    </xf>
    <xf numFmtId="0" fontId="40" fillId="0" borderId="0" xfId="0" applyFont="1" applyAlignment="1">
      <alignment horizontal="right"/>
    </xf>
    <xf numFmtId="0" fontId="0" fillId="0" borderId="0" xfId="0" applyAlignment="1">
      <alignment horizontal="left"/>
    </xf>
    <xf numFmtId="164" fontId="31" fillId="13" borderId="0" xfId="0" applyNumberFormat="1" applyFont="1" applyFill="1"/>
    <xf numFmtId="164" fontId="0" fillId="13" borderId="0" xfId="0" applyNumberFormat="1" applyFill="1"/>
    <xf numFmtId="164" fontId="0" fillId="0" borderId="0" xfId="0" applyNumberFormat="1"/>
    <xf numFmtId="3" fontId="29" fillId="0" borderId="0" xfId="0" applyNumberFormat="1" applyFont="1"/>
    <xf numFmtId="0" fontId="29" fillId="0" borderId="5" xfId="0" applyFont="1" applyBorder="1" applyAlignment="1">
      <alignment horizontal="left"/>
    </xf>
    <xf numFmtId="3" fontId="29" fillId="0" borderId="5" xfId="0" applyNumberFormat="1" applyFont="1" applyBorder="1"/>
    <xf numFmtId="181" fontId="29" fillId="0" borderId="0" xfId="0" applyNumberFormat="1" applyFont="1"/>
    <xf numFmtId="172" fontId="30" fillId="0" borderId="0" xfId="0" applyNumberFormat="1" applyFont="1"/>
    <xf numFmtId="0" fontId="0" fillId="0" borderId="0" xfId="0" applyAlignment="1">
      <alignment horizontal="left" indent="2"/>
    </xf>
    <xf numFmtId="174" fontId="29" fillId="0" borderId="0" xfId="0" applyNumberFormat="1" applyFont="1"/>
    <xf numFmtId="172" fontId="27" fillId="0" borderId="0" xfId="0" applyNumberFormat="1" applyFont="1"/>
    <xf numFmtId="172" fontId="31" fillId="0" borderId="5" xfId="0" applyNumberFormat="1" applyFont="1" applyBorder="1"/>
    <xf numFmtId="37" fontId="0" fillId="0" borderId="5" xfId="0" applyNumberFormat="1" applyBorder="1"/>
    <xf numFmtId="0" fontId="27" fillId="0" borderId="0" xfId="0" applyFont="1" applyAlignment="1">
      <alignment horizontal="left" indent="3"/>
    </xf>
    <xf numFmtId="174" fontId="36" fillId="0" borderId="0" xfId="0" applyNumberFormat="1" applyFont="1" applyAlignment="1">
      <alignment horizontal="right"/>
    </xf>
    <xf numFmtId="174" fontId="27" fillId="0" borderId="0" xfId="0" applyNumberFormat="1" applyFont="1"/>
    <xf numFmtId="37" fontId="29" fillId="0" borderId="0" xfId="0" applyNumberFormat="1" applyFont="1"/>
    <xf numFmtId="165" fontId="31" fillId="0" borderId="0" xfId="0" applyNumberFormat="1" applyFont="1"/>
    <xf numFmtId="180" fontId="27" fillId="0" borderId="5" xfId="0" applyNumberFormat="1" applyFont="1" applyBorder="1"/>
    <xf numFmtId="3" fontId="0" fillId="0" borderId="0" xfId="0" applyNumberFormat="1"/>
    <xf numFmtId="171" fontId="0" fillId="0" borderId="0" xfId="0" applyNumberFormat="1"/>
    <xf numFmtId="0" fontId="37" fillId="0" borderId="0" xfId="0" applyFont="1" applyAlignment="1">
      <alignment horizontal="left" indent="1"/>
    </xf>
    <xf numFmtId="172" fontId="0" fillId="0" borderId="4" xfId="0" applyNumberFormat="1" applyBorder="1"/>
    <xf numFmtId="182" fontId="0" fillId="0" borderId="0" xfId="0" applyNumberFormat="1"/>
    <xf numFmtId="10" fontId="0" fillId="0" borderId="0" xfId="0" applyNumberFormat="1"/>
    <xf numFmtId="0" fontId="40" fillId="0" borderId="0" xfId="0" applyFont="1" applyAlignment="1">
      <alignment horizontal="left" indent="2"/>
    </xf>
    <xf numFmtId="172" fontId="40" fillId="0" borderId="0" xfId="0" applyNumberFormat="1" applyFont="1"/>
    <xf numFmtId="0" fontId="27" fillId="0" borderId="0" xfId="0" applyFont="1" applyAlignment="1">
      <alignment horizontal="left" indent="2"/>
    </xf>
    <xf numFmtId="173" fontId="31" fillId="0" borderId="0" xfId="0" applyNumberFormat="1" applyFont="1" applyAlignment="1">
      <alignment horizontal="right"/>
    </xf>
    <xf numFmtId="9" fontId="36" fillId="0" borderId="0" xfId="0" applyNumberFormat="1" applyFont="1" applyAlignment="1">
      <alignment horizontal="right"/>
    </xf>
    <xf numFmtId="0" fontId="27" fillId="0" borderId="0" xfId="0" applyFont="1" applyAlignment="1">
      <alignment horizontal="right"/>
    </xf>
    <xf numFmtId="0" fontId="29" fillId="0" borderId="0" xfId="0" applyFont="1" applyAlignment="1">
      <alignment horizontal="center"/>
    </xf>
    <xf numFmtId="173" fontId="36" fillId="0" borderId="0" xfId="0" applyNumberFormat="1" applyFont="1"/>
    <xf numFmtId="9" fontId="36" fillId="0" borderId="0" xfId="0" applyNumberFormat="1" applyFont="1"/>
    <xf numFmtId="172" fontId="27" fillId="0" borderId="0" xfId="0" applyNumberFormat="1" applyFont="1" applyAlignment="1">
      <alignment horizontal="right"/>
    </xf>
    <xf numFmtId="37" fontId="27" fillId="0" borderId="0" xfId="0" applyNumberFormat="1" applyFont="1"/>
    <xf numFmtId="173" fontId="31" fillId="0" borderId="0" xfId="0" applyNumberFormat="1" applyFont="1"/>
    <xf numFmtId="9" fontId="31" fillId="0" borderId="0" xfId="0" applyNumberFormat="1" applyFont="1"/>
    <xf numFmtId="0" fontId="0" fillId="0" borderId="0" xfId="0" applyAlignment="1">
      <alignment horizontal="center"/>
    </xf>
    <xf numFmtId="0" fontId="40" fillId="0" borderId="0" xfId="0" applyFont="1" applyAlignment="1">
      <alignment horizontal="left"/>
    </xf>
    <xf numFmtId="0" fontId="41" fillId="0" borderId="0" xfId="0" applyFont="1" applyAlignment="1">
      <alignment horizontal="right"/>
    </xf>
    <xf numFmtId="37" fontId="36" fillId="0" borderId="0" xfId="0" applyNumberFormat="1" applyFont="1"/>
    <xf numFmtId="183" fontId="31" fillId="0" borderId="0" xfId="0" applyNumberFormat="1" applyFont="1" applyAlignment="1">
      <alignment horizontal="right"/>
    </xf>
    <xf numFmtId="184" fontId="31" fillId="0" borderId="0" xfId="0" applyNumberFormat="1" applyFont="1"/>
    <xf numFmtId="184" fontId="0" fillId="0" borderId="0" xfId="0" applyNumberFormat="1"/>
    <xf numFmtId="165" fontId="29" fillId="0" borderId="4" xfId="0" applyNumberFormat="1" applyFont="1" applyBorder="1"/>
    <xf numFmtId="165" fontId="29" fillId="0" borderId="0" xfId="0" applyNumberFormat="1" applyFont="1"/>
    <xf numFmtId="169" fontId="31" fillId="0" borderId="0" xfId="0" applyNumberFormat="1" applyFont="1" applyAlignment="1">
      <alignment horizontal="right"/>
    </xf>
    <xf numFmtId="0" fontId="40" fillId="0" borderId="0" xfId="0" applyFont="1" applyAlignment="1">
      <alignment horizontal="left" indent="1"/>
    </xf>
    <xf numFmtId="9" fontId="31" fillId="0" borderId="0" xfId="0" applyNumberFormat="1" applyFont="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9" xfId="0" applyFont="1" applyBorder="1" applyAlignment="1">
      <alignment horizontal="center"/>
    </xf>
    <xf numFmtId="166" fontId="0" fillId="0" borderId="10" xfId="0" applyNumberFormat="1" applyBorder="1" applyAlignment="1">
      <alignment horizontal="center"/>
    </xf>
    <xf numFmtId="174" fontId="0" fillId="0" borderId="0" xfId="0" applyNumberFormat="1" applyAlignment="1">
      <alignment horizontal="center"/>
    </xf>
    <xf numFmtId="174" fontId="0" fillId="0" borderId="11" xfId="0" applyNumberFormat="1" applyBorder="1" applyAlignment="1">
      <alignment horizontal="center"/>
    </xf>
    <xf numFmtId="172" fontId="0" fillId="0" borderId="10" xfId="0" applyNumberFormat="1" applyBorder="1" applyAlignment="1">
      <alignment horizontal="center"/>
    </xf>
    <xf numFmtId="37" fontId="31" fillId="0" borderId="10" xfId="0" applyNumberFormat="1" applyFont="1" applyBorder="1" applyAlignment="1">
      <alignment horizontal="center"/>
    </xf>
    <xf numFmtId="174" fontId="31" fillId="13" borderId="11" xfId="0" applyNumberFormat="1" applyFont="1" applyFill="1" applyBorder="1" applyAlignment="1">
      <alignment horizontal="center"/>
    </xf>
    <xf numFmtId="37" fontId="31" fillId="0" borderId="12" xfId="0" applyNumberFormat="1" applyFont="1" applyBorder="1" applyAlignment="1">
      <alignment horizontal="center"/>
    </xf>
    <xf numFmtId="174" fontId="0" fillId="0" borderId="5" xfId="0" applyNumberFormat="1" applyBorder="1" applyAlignment="1">
      <alignment horizontal="center"/>
    </xf>
    <xf numFmtId="174" fontId="31" fillId="13" borderId="13" xfId="0" applyNumberFormat="1" applyFont="1" applyFill="1" applyBorder="1" applyAlignment="1">
      <alignment horizontal="center"/>
    </xf>
    <xf numFmtId="0" fontId="29" fillId="0" borderId="14" xfId="0" applyFont="1" applyBorder="1" applyAlignment="1">
      <alignment horizontal="center"/>
    </xf>
    <xf numFmtId="0" fontId="29" fillId="0" borderId="14" xfId="0" applyFont="1" applyBorder="1" applyAlignment="1">
      <alignment horizontal="right"/>
    </xf>
    <xf numFmtId="179" fontId="29" fillId="0" borderId="14" xfId="0" applyNumberFormat="1" applyFont="1" applyBorder="1"/>
    <xf numFmtId="186" fontId="0" fillId="0" borderId="0" xfId="0" applyNumberFormat="1" applyAlignment="1">
      <alignment horizontal="center"/>
    </xf>
    <xf numFmtId="9" fontId="0" fillId="0" borderId="0" xfId="0" applyNumberFormat="1" applyAlignment="1">
      <alignment horizontal="center"/>
    </xf>
    <xf numFmtId="169" fontId="0" fillId="0" borderId="0" xfId="0" applyNumberFormat="1" applyAlignment="1">
      <alignment horizontal="left" indent="1"/>
    </xf>
    <xf numFmtId="169" fontId="0" fillId="0" borderId="0" xfId="0" applyNumberFormat="1" applyAlignment="1">
      <alignment horizontal="center"/>
    </xf>
    <xf numFmtId="9" fontId="29" fillId="0" borderId="0" xfId="0" applyNumberFormat="1" applyFont="1" applyAlignment="1">
      <alignment horizontal="center"/>
    </xf>
    <xf numFmtId="37" fontId="28" fillId="0" borderId="0" xfId="0" applyNumberFormat="1" applyFont="1"/>
    <xf numFmtId="172" fontId="0" fillId="0" borderId="0" xfId="0" applyNumberFormat="1" applyAlignment="1">
      <alignment horizontal="center"/>
    </xf>
    <xf numFmtId="164" fontId="0" fillId="0" borderId="0" xfId="0" applyNumberFormat="1" applyAlignment="1">
      <alignment horizontal="center"/>
    </xf>
    <xf numFmtId="166" fontId="0" fillId="0" borderId="0" xfId="0" applyNumberFormat="1" applyAlignment="1">
      <alignment horizontal="center"/>
    </xf>
    <xf numFmtId="172" fontId="29" fillId="0" borderId="0" xfId="0" applyNumberFormat="1" applyFont="1" applyAlignment="1">
      <alignment horizontal="center"/>
    </xf>
    <xf numFmtId="174" fontId="29" fillId="0" borderId="0" xfId="0" applyNumberFormat="1" applyFont="1" applyAlignment="1">
      <alignment horizontal="center"/>
    </xf>
    <xf numFmtId="37" fontId="29" fillId="0" borderId="0" xfId="0" applyNumberFormat="1" applyFont="1" applyAlignment="1">
      <alignment horizontal="center"/>
    </xf>
    <xf numFmtId="0" fontId="27" fillId="0" borderId="5" xfId="0" applyFont="1" applyBorder="1" applyAlignment="1">
      <alignment horizontal="center"/>
    </xf>
    <xf numFmtId="182" fontId="36" fillId="0" borderId="5" xfId="0" applyNumberFormat="1" applyFont="1" applyBorder="1" applyAlignment="1">
      <alignment horizontal="center"/>
    </xf>
    <xf numFmtId="0" fontId="37" fillId="0" borderId="0" xfId="0" applyFont="1" applyAlignment="1">
      <alignment horizontal="center"/>
    </xf>
    <xf numFmtId="0" fontId="27" fillId="0" borderId="0" xfId="0" applyFont="1" applyAlignment="1">
      <alignment horizontal="center"/>
    </xf>
    <xf numFmtId="182" fontId="36" fillId="0" borderId="0" xfId="0" applyNumberFormat="1" applyFont="1" applyAlignment="1">
      <alignment horizontal="center"/>
    </xf>
    <xf numFmtId="0" fontId="29" fillId="0" borderId="4" xfId="0" applyFont="1" applyBorder="1" applyAlignment="1">
      <alignment horizontal="center"/>
    </xf>
    <xf numFmtId="182" fontId="0" fillId="0" borderId="16" xfId="0" applyNumberFormat="1" applyBorder="1" applyAlignment="1">
      <alignment horizontal="center"/>
    </xf>
    <xf numFmtId="182" fontId="31" fillId="0" borderId="7" xfId="0" applyNumberFormat="1" applyFont="1" applyBorder="1"/>
    <xf numFmtId="182" fontId="0" fillId="0" borderId="8" xfId="0" applyNumberFormat="1" applyBorder="1"/>
    <xf numFmtId="182" fontId="0" fillId="0" borderId="9" xfId="0" applyNumberFormat="1" applyBorder="1"/>
    <xf numFmtId="166" fontId="0" fillId="0" borderId="16" xfId="0" applyNumberFormat="1" applyBorder="1" applyAlignment="1">
      <alignment horizontal="center"/>
    </xf>
    <xf numFmtId="166" fontId="29" fillId="0" borderId="10" xfId="0" applyNumberFormat="1" applyFont="1" applyBorder="1"/>
    <xf numFmtId="166" fontId="29" fillId="0" borderId="11" xfId="0" applyNumberFormat="1" applyFont="1" applyBorder="1"/>
    <xf numFmtId="187" fontId="0" fillId="0" borderId="16" xfId="0" applyNumberFormat="1" applyBorder="1" applyAlignment="1">
      <alignment horizontal="center"/>
    </xf>
    <xf numFmtId="187" fontId="0" fillId="0" borderId="10" xfId="0" applyNumberFormat="1" applyBorder="1"/>
    <xf numFmtId="187" fontId="0" fillId="0" borderId="0" xfId="0" applyNumberFormat="1"/>
    <xf numFmtId="187" fontId="0" fillId="0" borderId="11" xfId="0" applyNumberFormat="1" applyBorder="1"/>
    <xf numFmtId="188" fontId="0" fillId="0" borderId="16" xfId="0" applyNumberFormat="1" applyBorder="1" applyAlignment="1">
      <alignment horizontal="center"/>
    </xf>
    <xf numFmtId="2" fontId="0" fillId="0" borderId="10" xfId="0" applyNumberFormat="1" applyBorder="1"/>
    <xf numFmtId="2" fontId="0" fillId="0" borderId="11" xfId="0" applyNumberFormat="1" applyBorder="1"/>
    <xf numFmtId="164" fontId="27" fillId="0" borderId="16" xfId="0" applyNumberFormat="1" applyFont="1" applyBorder="1" applyAlignment="1">
      <alignment horizontal="center"/>
    </xf>
    <xf numFmtId="164" fontId="27" fillId="0" borderId="10" xfId="0" applyNumberFormat="1" applyFont="1" applyBorder="1"/>
    <xf numFmtId="164" fontId="27" fillId="0" borderId="0" xfId="0" applyNumberFormat="1" applyFont="1"/>
    <xf numFmtId="164" fontId="27" fillId="0" borderId="11" xfId="0" applyNumberFormat="1" applyFont="1" applyBorder="1"/>
    <xf numFmtId="0" fontId="27" fillId="0" borderId="16" xfId="0" applyFont="1" applyBorder="1" applyAlignment="1">
      <alignment horizontal="center"/>
    </xf>
    <xf numFmtId="173" fontId="27" fillId="0" borderId="10" xfId="0" applyNumberFormat="1" applyFont="1" applyBorder="1"/>
    <xf numFmtId="173" fontId="27" fillId="0" borderId="0" xfId="0" applyNumberFormat="1" applyFont="1"/>
    <xf numFmtId="173" fontId="27" fillId="0" borderId="11" xfId="0" applyNumberFormat="1" applyFont="1" applyBorder="1"/>
    <xf numFmtId="166" fontId="29" fillId="0" borderId="16" xfId="0" applyNumberFormat="1" applyFont="1" applyBorder="1" applyAlignment="1">
      <alignment horizontal="center"/>
    </xf>
    <xf numFmtId="2" fontId="0" fillId="0" borderId="17" xfId="0" applyNumberFormat="1" applyBorder="1" applyAlignment="1">
      <alignment horizontal="center"/>
    </xf>
    <xf numFmtId="2" fontId="0" fillId="0" borderId="12" xfId="0" applyNumberFormat="1" applyBorder="1"/>
    <xf numFmtId="2" fontId="0" fillId="0" borderId="5" xfId="0" applyNumberFormat="1" applyBorder="1"/>
    <xf numFmtId="2" fontId="0" fillId="0" borderId="13" xfId="0" applyNumberFormat="1" applyBorder="1"/>
    <xf numFmtId="182" fontId="31" fillId="0" borderId="0" xfId="0" applyNumberFormat="1" applyFont="1" applyAlignment="1">
      <alignment horizontal="right"/>
    </xf>
    <xf numFmtId="0" fontId="29" fillId="0" borderId="15" xfId="0" applyFont="1" applyBorder="1" applyAlignment="1">
      <alignment horizontal="left"/>
    </xf>
    <xf numFmtId="182" fontId="30" fillId="0" borderId="17" xfId="0" applyNumberFormat="1" applyFont="1" applyBorder="1" applyAlignment="1">
      <alignment horizontal="left"/>
    </xf>
    <xf numFmtId="9" fontId="27" fillId="0" borderId="0" xfId="0" applyNumberFormat="1" applyFont="1"/>
    <xf numFmtId="186" fontId="30" fillId="0" borderId="0" xfId="0" applyNumberFormat="1" applyFont="1"/>
    <xf numFmtId="186" fontId="29" fillId="0" borderId="0" xfId="0" applyNumberFormat="1" applyFont="1"/>
    <xf numFmtId="0" fontId="27" fillId="0" borderId="0" xfId="0" applyFont="1" applyAlignment="1">
      <alignment horizontal="right" vertical="center" wrapText="1"/>
    </xf>
    <xf numFmtId="186" fontId="29" fillId="0" borderId="0" xfId="0" applyNumberFormat="1" applyFont="1" applyAlignment="1">
      <alignment horizontal="right"/>
    </xf>
    <xf numFmtId="2" fontId="29" fillId="0" borderId="0" xfId="0" applyNumberFormat="1" applyFont="1" applyAlignment="1">
      <alignment horizontal="right"/>
    </xf>
    <xf numFmtId="173" fontId="30" fillId="0" borderId="0" xfId="0" applyNumberFormat="1" applyFont="1"/>
    <xf numFmtId="9" fontId="29" fillId="0" borderId="0" xfId="0" applyNumberFormat="1" applyFont="1"/>
    <xf numFmtId="173" fontId="29" fillId="0" borderId="0" xfId="0" applyNumberFormat="1" applyFont="1" applyAlignment="1">
      <alignment horizontal="right"/>
    </xf>
    <xf numFmtId="0" fontId="37" fillId="0" borderId="0" xfId="0" applyFont="1" applyAlignment="1">
      <alignment horizontal="right"/>
    </xf>
    <xf numFmtId="180" fontId="0" fillId="0" borderId="5" xfId="0" applyNumberFormat="1" applyBorder="1"/>
    <xf numFmtId="0" fontId="43" fillId="0" borderId="14" xfId="0" applyFont="1" applyBorder="1" applyAlignment="1">
      <alignment horizontal="center"/>
    </xf>
    <xf numFmtId="172" fontId="0" fillId="0" borderId="5" xfId="0" applyNumberFormat="1" applyBorder="1"/>
    <xf numFmtId="0" fontId="0" fillId="0" borderId="5" xfId="0" applyBorder="1" applyAlignment="1">
      <alignment horizontal="center"/>
    </xf>
    <xf numFmtId="172" fontId="0" fillId="0" borderId="5" xfId="0" applyNumberFormat="1" applyBorder="1" applyAlignment="1">
      <alignment horizontal="center"/>
    </xf>
    <xf numFmtId="39" fontId="0" fillId="0" borderId="5" xfId="0" applyNumberFormat="1" applyBorder="1" applyAlignment="1">
      <alignment horizontal="center"/>
    </xf>
    <xf numFmtId="0" fontId="31" fillId="0" borderId="0" xfId="0" applyFont="1"/>
    <xf numFmtId="37" fontId="0" fillId="0" borderId="0" xfId="0" applyNumberFormat="1" applyAlignment="1">
      <alignment horizontal="center"/>
    </xf>
    <xf numFmtId="37" fontId="0" fillId="0" borderId="0" xfId="0" applyNumberFormat="1" applyAlignment="1">
      <alignment horizontal="right"/>
    </xf>
    <xf numFmtId="172" fontId="27" fillId="0" borderId="5" xfId="0" applyNumberFormat="1" applyFont="1" applyBorder="1"/>
    <xf numFmtId="0" fontId="0" fillId="0" borderId="8" xfId="0" applyBorder="1"/>
    <xf numFmtId="171" fontId="0" fillId="0" borderId="5" xfId="0" applyNumberFormat="1" applyBorder="1"/>
    <xf numFmtId="171" fontId="29" fillId="0" borderId="0" xfId="0" applyNumberFormat="1" applyFont="1"/>
    <xf numFmtId="172" fontId="0" fillId="0" borderId="0" xfId="0" applyNumberFormat="1" applyAlignment="1">
      <alignment horizontal="right"/>
    </xf>
    <xf numFmtId="0" fontId="30" fillId="13" borderId="4" xfId="0" applyFont="1" applyFill="1" applyBorder="1" applyAlignment="1">
      <alignment horizontal="center" vertical="center"/>
    </xf>
    <xf numFmtId="0" fontId="29" fillId="0" borderId="18" xfId="0" applyFont="1" applyBorder="1" applyAlignment="1">
      <alignment horizontal="left"/>
    </xf>
    <xf numFmtId="0" fontId="29" fillId="0" borderId="18" xfId="0" applyFont="1" applyBorder="1" applyAlignment="1">
      <alignment horizontal="center"/>
    </xf>
    <xf numFmtId="171" fontId="31" fillId="0" borderId="0" xfId="0" applyNumberFormat="1" applyFont="1"/>
    <xf numFmtId="189" fontId="44" fillId="0" borderId="0" xfId="0" applyNumberFormat="1" applyFont="1"/>
    <xf numFmtId="171" fontId="40" fillId="0" borderId="0" xfId="0" applyNumberFormat="1" applyFont="1"/>
    <xf numFmtId="171" fontId="45" fillId="0" borderId="0" xfId="0" applyNumberFormat="1" applyFont="1"/>
    <xf numFmtId="0" fontId="43" fillId="0" borderId="0" xfId="0" applyFont="1" applyAlignment="1">
      <alignment horizontal="right"/>
    </xf>
    <xf numFmtId="171" fontId="32" fillId="0" borderId="0" xfId="0" applyNumberFormat="1" applyFont="1"/>
    <xf numFmtId="172" fontId="32" fillId="0" borderId="0" xfId="0" applyNumberFormat="1" applyFont="1"/>
    <xf numFmtId="14" fontId="0" fillId="0" borderId="0" xfId="0" applyNumberFormat="1"/>
    <xf numFmtId="0" fontId="46" fillId="0" borderId="18" xfId="0" applyFont="1" applyBorder="1"/>
    <xf numFmtId="0" fontId="0" fillId="0" borderId="18" xfId="0" applyBorder="1"/>
    <xf numFmtId="2" fontId="33" fillId="13" borderId="0" xfId="0" applyNumberFormat="1" applyFont="1" applyFill="1"/>
    <xf numFmtId="170" fontId="0" fillId="13" borderId="0" xfId="0" applyNumberFormat="1" applyFill="1"/>
    <xf numFmtId="187" fontId="33" fillId="13" borderId="0" xfId="0" applyNumberFormat="1" applyFont="1" applyFill="1"/>
    <xf numFmtId="14" fontId="46" fillId="0" borderId="18" xfId="0" applyNumberFormat="1" applyFont="1" applyBorder="1"/>
    <xf numFmtId="0" fontId="27" fillId="0" borderId="0" xfId="0" applyFont="1" applyAlignment="1">
      <alignment horizontal="left"/>
    </xf>
    <xf numFmtId="166" fontId="33" fillId="0" borderId="0" xfId="0" applyNumberFormat="1" applyFont="1"/>
    <xf numFmtId="164" fontId="47" fillId="0" borderId="0" xfId="0" applyNumberFormat="1" applyFont="1"/>
    <xf numFmtId="174" fontId="47" fillId="0" borderId="0" xfId="0" applyNumberFormat="1" applyFont="1"/>
    <xf numFmtId="0" fontId="46" fillId="0" borderId="0" xfId="0" applyFont="1"/>
    <xf numFmtId="166" fontId="46" fillId="0" borderId="0" xfId="0" applyNumberFormat="1" applyFont="1"/>
    <xf numFmtId="165" fontId="0" fillId="0" borderId="0" xfId="0" applyNumberFormat="1"/>
    <xf numFmtId="0" fontId="48" fillId="13" borderId="15" xfId="0" applyFont="1" applyFill="1" applyBorder="1" applyAlignment="1">
      <alignment horizontal="center"/>
    </xf>
    <xf numFmtId="188" fontId="49" fillId="0" borderId="4" xfId="0" applyNumberFormat="1" applyFont="1" applyBorder="1" applyAlignment="1">
      <alignment horizontal="center"/>
    </xf>
    <xf numFmtId="166" fontId="29" fillId="0" borderId="0" xfId="0" applyNumberFormat="1" applyFont="1" applyAlignment="1">
      <alignment vertical="center"/>
    </xf>
    <xf numFmtId="37" fontId="29" fillId="0" borderId="0" xfId="0" applyNumberFormat="1" applyFont="1" applyAlignment="1">
      <alignment vertical="center"/>
    </xf>
    <xf numFmtId="165" fontId="0" fillId="13" borderId="0" xfId="0" applyNumberFormat="1" applyFill="1"/>
    <xf numFmtId="169" fontId="0" fillId="0" borderId="0" xfId="0" applyNumberFormat="1"/>
    <xf numFmtId="2" fontId="27" fillId="0" borderId="0" xfId="0" applyNumberFormat="1" applyFont="1"/>
    <xf numFmtId="10" fontId="27" fillId="0" borderId="0" xfId="0" applyNumberFormat="1" applyFont="1"/>
    <xf numFmtId="166" fontId="33" fillId="13" borderId="0" xfId="0" applyNumberFormat="1" applyFont="1" applyFill="1"/>
    <xf numFmtId="166" fontId="28" fillId="0" borderId="0" xfId="0" applyNumberFormat="1" applyFont="1"/>
    <xf numFmtId="187" fontId="33" fillId="0" borderId="0" xfId="0" applyNumberFormat="1" applyFont="1"/>
    <xf numFmtId="0" fontId="50" fillId="0" borderId="0" xfId="0" applyFont="1"/>
    <xf numFmtId="10" fontId="31" fillId="0" borderId="0" xfId="0" applyNumberFormat="1" applyFont="1"/>
    <xf numFmtId="2" fontId="29" fillId="0" borderId="0" xfId="0" applyNumberFormat="1" applyFont="1"/>
    <xf numFmtId="174" fontId="0" fillId="0" borderId="0" xfId="0" applyNumberFormat="1" applyAlignment="1">
      <alignment horizontal="right"/>
    </xf>
    <xf numFmtId="164" fontId="33" fillId="0" borderId="0" xfId="0" applyNumberFormat="1" applyFont="1"/>
    <xf numFmtId="10" fontId="31" fillId="13" borderId="0" xfId="0" applyNumberFormat="1" applyFont="1" applyFill="1"/>
    <xf numFmtId="2" fontId="31" fillId="13" borderId="0" xfId="0" applyNumberFormat="1" applyFont="1" applyFill="1"/>
    <xf numFmtId="10" fontId="46" fillId="0" borderId="0" xfId="0" applyNumberFormat="1" applyFont="1"/>
    <xf numFmtId="0" fontId="29" fillId="0" borderId="18" xfId="0" applyFont="1" applyBorder="1"/>
    <xf numFmtId="0" fontId="40" fillId="0" borderId="0" xfId="0" applyFont="1" applyAlignment="1">
      <alignment horizontal="center"/>
    </xf>
    <xf numFmtId="190" fontId="0" fillId="0" borderId="5" xfId="0" applyNumberFormat="1" applyBorder="1" applyAlignment="1">
      <alignment horizontal="right"/>
    </xf>
    <xf numFmtId="164" fontId="0" fillId="14" borderId="19" xfId="0" applyNumberFormat="1" applyFill="1" applyBorder="1"/>
    <xf numFmtId="164" fontId="0" fillId="14" borderId="14" xfId="0" applyNumberFormat="1" applyFill="1" applyBorder="1"/>
    <xf numFmtId="164" fontId="31" fillId="14" borderId="14" xfId="0" applyNumberFormat="1" applyFont="1" applyFill="1" applyBorder="1"/>
    <xf numFmtId="164" fontId="0" fillId="14" borderId="20" xfId="0" applyNumberFormat="1" applyFill="1" applyBorder="1"/>
    <xf numFmtId="9" fontId="31" fillId="14" borderId="16" xfId="0" applyNumberFormat="1" applyFont="1" applyFill="1" applyBorder="1" applyAlignment="1">
      <alignment horizontal="right"/>
    </xf>
    <xf numFmtId="191" fontId="0" fillId="0" borderId="0" xfId="0" applyNumberFormat="1"/>
    <xf numFmtId="9" fontId="0" fillId="14" borderId="16" xfId="0" applyNumberFormat="1" applyFill="1" applyBorder="1" applyAlignment="1">
      <alignment horizontal="right"/>
    </xf>
    <xf numFmtId="9" fontId="0" fillId="14" borderId="17" xfId="0" applyNumberFormat="1" applyFill="1" applyBorder="1" applyAlignment="1">
      <alignment horizontal="right"/>
    </xf>
    <xf numFmtId="190" fontId="0" fillId="0" borderId="13" xfId="0" applyNumberFormat="1" applyBorder="1"/>
    <xf numFmtId="169" fontId="0" fillId="14" borderId="14" xfId="0" applyNumberFormat="1" applyFill="1" applyBorder="1"/>
    <xf numFmtId="169" fontId="31" fillId="14" borderId="14" xfId="0" applyNumberFormat="1" applyFont="1" applyFill="1" applyBorder="1"/>
    <xf numFmtId="169" fontId="0" fillId="14" borderId="20" xfId="0" applyNumberFormat="1" applyFill="1" applyBorder="1"/>
    <xf numFmtId="9" fontId="31" fillId="14" borderId="16" xfId="0" applyNumberFormat="1" applyFont="1" applyFill="1" applyBorder="1"/>
    <xf numFmtId="9" fontId="0" fillId="14" borderId="16" xfId="0" applyNumberFormat="1" applyFill="1" applyBorder="1"/>
    <xf numFmtId="9" fontId="0" fillId="14" borderId="17" xfId="0" applyNumberFormat="1" applyFill="1" applyBorder="1"/>
    <xf numFmtId="190" fontId="0" fillId="0" borderId="0" xfId="0" applyNumberFormat="1"/>
    <xf numFmtId="169" fontId="0" fillId="14" borderId="19" xfId="0" applyNumberFormat="1" applyFill="1" applyBorder="1"/>
    <xf numFmtId="9" fontId="44" fillId="0" borderId="0" xfId="0" applyNumberFormat="1" applyFont="1" applyAlignment="1">
      <alignment horizontal="right"/>
    </xf>
    <xf numFmtId="37" fontId="0" fillId="14" borderId="15" xfId="0" applyNumberFormat="1" applyFill="1" applyBorder="1"/>
    <xf numFmtId="9" fontId="32" fillId="0" borderId="0" xfId="0" applyNumberFormat="1" applyFont="1" applyAlignment="1">
      <alignment horizontal="right"/>
    </xf>
    <xf numFmtId="37" fontId="0" fillId="14" borderId="16" xfId="0" applyNumberFormat="1" applyFill="1" applyBorder="1"/>
    <xf numFmtId="37" fontId="31" fillId="14" borderId="16" xfId="0" applyNumberFormat="1" applyFont="1" applyFill="1" applyBorder="1"/>
    <xf numFmtId="37" fontId="0" fillId="14" borderId="17" xfId="0" applyNumberFormat="1" applyFill="1" applyBorder="1"/>
    <xf numFmtId="0" fontId="0" fillId="0" borderId="19" xfId="0" applyBorder="1"/>
    <xf numFmtId="0" fontId="0" fillId="0" borderId="14" xfId="0" applyBorder="1"/>
    <xf numFmtId="0" fontId="0" fillId="0" borderId="20" xfId="0" applyBorder="1"/>
    <xf numFmtId="0" fontId="0" fillId="0" borderId="10" xfId="0" applyBorder="1"/>
    <xf numFmtId="0" fontId="0" fillId="0" borderId="12" xfId="0" applyBorder="1"/>
    <xf numFmtId="188" fontId="30" fillId="13" borderId="0" xfId="0" applyNumberFormat="1" applyFont="1" applyFill="1"/>
    <xf numFmtId="188" fontId="0" fillId="0" borderId="0" xfId="0" applyNumberFormat="1"/>
    <xf numFmtId="0" fontId="47" fillId="0" borderId="0" xfId="0" applyFont="1" applyAlignment="1">
      <alignment horizontal="left" indent="1"/>
    </xf>
    <xf numFmtId="2" fontId="47" fillId="13" borderId="0" xfId="0" applyNumberFormat="1" applyFont="1" applyFill="1" applyAlignment="1">
      <alignment horizontal="right"/>
    </xf>
    <xf numFmtId="187" fontId="31" fillId="13" borderId="0" xfId="0" applyNumberFormat="1" applyFont="1" applyFill="1"/>
    <xf numFmtId="0" fontId="46" fillId="0" borderId="0" xfId="0" applyFont="1" applyAlignment="1">
      <alignment horizontal="left"/>
    </xf>
    <xf numFmtId="187" fontId="46" fillId="0" borderId="0" xfId="0" applyNumberFormat="1" applyFont="1"/>
    <xf numFmtId="192" fontId="0" fillId="0" borderId="0" xfId="0" applyNumberFormat="1" applyAlignment="1">
      <alignment horizontal="left"/>
    </xf>
    <xf numFmtId="0" fontId="31" fillId="0" borderId="0" xfId="0" applyFont="1" applyAlignment="1">
      <alignment horizontal="right" indent="1"/>
    </xf>
    <xf numFmtId="0" fontId="0" fillId="0" borderId="0" xfId="0" applyAlignment="1">
      <alignment horizontal="right" indent="1"/>
    </xf>
    <xf numFmtId="0" fontId="0" fillId="0" borderId="5" xfId="0" applyBorder="1" applyAlignment="1">
      <alignment horizontal="right" indent="1"/>
    </xf>
    <xf numFmtId="0" fontId="29" fillId="0" borderId="0" xfId="0" applyFont="1" applyAlignment="1">
      <alignment horizontal="right" indent="1"/>
    </xf>
    <xf numFmtId="0" fontId="51" fillId="0" borderId="18" xfId="0" applyFont="1" applyBorder="1"/>
    <xf numFmtId="2" fontId="29" fillId="13" borderId="0" xfId="0" applyNumberFormat="1" applyFont="1" applyFill="1"/>
    <xf numFmtId="170" fontId="0" fillId="0" borderId="0" xfId="0" applyNumberFormat="1"/>
    <xf numFmtId="0" fontId="52" fillId="15" borderId="0" xfId="0" applyFont="1" applyFill="1" applyAlignment="1">
      <alignment vertical="top" wrapText="1"/>
    </xf>
    <xf numFmtId="0" fontId="53" fillId="16" borderId="21" xfId="0" applyFont="1" applyFill="1" applyBorder="1" applyAlignment="1">
      <alignment vertical="top" wrapText="1"/>
    </xf>
    <xf numFmtId="0" fontId="54" fillId="16" borderId="21" xfId="0" applyFont="1" applyFill="1" applyBorder="1" applyAlignment="1">
      <alignment vertical="top" wrapText="1"/>
    </xf>
    <xf numFmtId="0" fontId="53" fillId="17" borderId="21" xfId="0" applyFont="1" applyFill="1" applyBorder="1" applyAlignment="1">
      <alignment vertical="top" wrapText="1"/>
    </xf>
    <xf numFmtId="0" fontId="54" fillId="17" borderId="21" xfId="0" applyFont="1" applyFill="1" applyBorder="1" applyAlignment="1">
      <alignment vertical="top" wrapText="1"/>
    </xf>
    <xf numFmtId="0" fontId="0" fillId="18" borderId="0" xfId="0" applyFill="1"/>
    <xf numFmtId="164" fontId="0" fillId="19" borderId="0" xfId="0" applyNumberFormat="1" applyFill="1"/>
    <xf numFmtId="0" fontId="0" fillId="0" borderId="0" xfId="0" applyAlignment="1">
      <alignment vertical="center" wrapText="1"/>
    </xf>
    <xf numFmtId="0" fontId="53" fillId="19" borderId="0" xfId="0" applyFont="1" applyFill="1"/>
    <xf numFmtId="0" fontId="0" fillId="19" borderId="0" xfId="0" applyFill="1"/>
    <xf numFmtId="0" fontId="55" fillId="0" borderId="0" xfId="0" applyFont="1" applyAlignment="1">
      <alignment vertical="top" wrapText="1"/>
    </xf>
    <xf numFmtId="0" fontId="56" fillId="0" borderId="0" xfId="0" applyFont="1" applyAlignment="1">
      <alignment vertical="top" wrapText="1"/>
    </xf>
    <xf numFmtId="0" fontId="57" fillId="0" borderId="0" xfId="0" applyFont="1"/>
    <xf numFmtId="0" fontId="55" fillId="0" borderId="0" xfId="0" applyFont="1"/>
    <xf numFmtId="0" fontId="58" fillId="0" borderId="0" xfId="0" applyFont="1" applyAlignment="1">
      <alignment vertical="top" wrapText="1"/>
    </xf>
    <xf numFmtId="0" fontId="54" fillId="20" borderId="21" xfId="0" applyFont="1" applyFill="1" applyBorder="1" applyAlignment="1">
      <alignment vertical="top" wrapText="1"/>
    </xf>
    <xf numFmtId="0" fontId="59" fillId="18" borderId="0" xfId="0" applyFont="1" applyFill="1" applyAlignment="1">
      <alignment vertical="top" wrapText="1"/>
    </xf>
    <xf numFmtId="0" fontId="54" fillId="21" borderId="21" xfId="0" applyFont="1" applyFill="1" applyBorder="1" applyAlignment="1">
      <alignment vertical="top" wrapText="1"/>
    </xf>
    <xf numFmtId="172" fontId="54" fillId="21" borderId="21" xfId="0" applyNumberFormat="1" applyFont="1" applyFill="1" applyBorder="1" applyAlignment="1">
      <alignment vertical="top" wrapText="1"/>
    </xf>
    <xf numFmtId="165" fontId="30" fillId="0" borderId="0" xfId="0" applyNumberFormat="1" applyFont="1"/>
    <xf numFmtId="0" fontId="57" fillId="0" borderId="0" xfId="0" applyFont="1" applyAlignment="1">
      <alignment wrapText="1"/>
    </xf>
    <xf numFmtId="0" fontId="59" fillId="22" borderId="21" xfId="0" applyFont="1" applyFill="1" applyBorder="1" applyAlignment="1">
      <alignment vertical="top" wrapText="1"/>
    </xf>
    <xf numFmtId="0" fontId="59" fillId="19" borderId="21" xfId="0" applyFont="1" applyFill="1" applyBorder="1" applyAlignment="1">
      <alignment vertical="top" wrapText="1"/>
    </xf>
    <xf numFmtId="0" fontId="60" fillId="0" borderId="0" xfId="0" applyFont="1" applyAlignment="1">
      <alignment wrapText="1"/>
    </xf>
    <xf numFmtId="0" fontId="37" fillId="0" borderId="0" xfId="0" applyFont="1" applyAlignment="1">
      <alignment horizontal="center"/>
    </xf>
    <xf numFmtId="0" fontId="0" fillId="0" borderId="0" xfId="0"/>
    <xf numFmtId="0" fontId="0" fillId="0" borderId="0" xfId="0" applyAlignment="1">
      <alignment horizontal="center"/>
    </xf>
    <xf numFmtId="0" fontId="42" fillId="0" borderId="0" xfId="0" applyFont="1" applyAlignment="1">
      <alignment horizontal="center"/>
    </xf>
    <xf numFmtId="0" fontId="37" fillId="0" borderId="5" xfId="0" applyFont="1" applyBorder="1" applyAlignment="1">
      <alignment horizontal="center"/>
    </xf>
    <xf numFmtId="0" fontId="0" fillId="0" borderId="5" xfId="0" applyBorder="1"/>
    <xf numFmtId="185" fontId="27" fillId="0" borderId="5" xfId="0" applyNumberFormat="1" applyFont="1" applyBorder="1" applyAlignment="1">
      <alignment horizontal="center"/>
    </xf>
    <xf numFmtId="0" fontId="37" fillId="0" borderId="15" xfId="0" applyFont="1" applyBorder="1" applyAlignment="1">
      <alignment horizontal="center"/>
    </xf>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C00000"/>
      <rgbColor rgb="FF008000"/>
      <rgbColor rgb="FF000080"/>
      <rgbColor rgb="FF808000"/>
      <rgbColor rgb="FF800080"/>
      <rgbColor rgb="FF008080"/>
      <rgbColor rgb="FFB0B0B0"/>
      <rgbColor rgb="FF666666"/>
      <rgbColor rgb="FFE8F1F8"/>
      <rgbColor rgb="FF993366"/>
      <rgbColor rgb="FFFFF2CC"/>
      <rgbColor rgb="FFCCFFFF"/>
      <rgbColor rgb="FF660066"/>
      <rgbColor rgb="FFFF8080"/>
      <rgbColor rgb="FF0563C1"/>
      <rgbColor rgb="FFC5D0DA"/>
      <rgbColor rgb="FF000080"/>
      <rgbColor rgb="FFFF00FF"/>
      <rgbColor rgb="FFF7FAFC"/>
      <rgbColor rgb="FF00FFFF"/>
      <rgbColor rgb="FF800080"/>
      <rgbColor rgb="FF800000"/>
      <rgbColor rgb="FF008080"/>
      <rgbColor rgb="FF0000FF"/>
      <rgbColor rgb="FF00CCFF"/>
      <rgbColor rgb="FFE7F3FF"/>
      <rgbColor rgb="FFC6EFCE"/>
      <rgbColor rgb="FFFFFF99"/>
      <rgbColor rgb="FFD0D0D0"/>
      <rgbColor rgb="FFFCE4D6"/>
      <rgbColor rgb="FFE2EFDA"/>
      <rgbColor rgb="FFFFE8A3"/>
      <rgbColor rgb="FF3366FF"/>
      <rgbColor rgb="FF33CCCC"/>
      <rgbColor rgb="FF99CC00"/>
      <rgbColor rgb="FFFFCC00"/>
      <rgbColor rgb="FFFF9900"/>
      <rgbColor rgb="FFFF6600"/>
      <rgbColor rgb="FF556677"/>
      <rgbColor rgb="FF969696"/>
      <rgbColor rgb="FF0B3D5C"/>
      <rgbColor rgb="FF339966"/>
      <rgbColor rgb="FF003300"/>
      <rgbColor rgb="FF334455"/>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c.gov/Archives/edgar/data/1794515/000179451525000045/zi-20241231.htm" TargetMode="External"/><Relationship Id="rId3" Type="http://schemas.openxmlformats.org/officeDocument/2006/relationships/hyperlink" Target="https://ctacquisitions.com/debt-financing/" TargetMode="External"/><Relationship Id="rId7" Type="http://schemas.openxmlformats.org/officeDocument/2006/relationships/hyperlink" Target="https://syncgtm.com/blog/how-to-pay-sales-development-rep" TargetMode="External"/><Relationship Id="rId2" Type="http://schemas.openxmlformats.org/officeDocument/2006/relationships/hyperlink" Target="https://www.newyorkfed.org/markets/reference-rates/sofr" TargetMode="External"/><Relationship Id="rId1" Type="http://schemas.openxmlformats.org/officeDocument/2006/relationships/hyperlink" Target="https://www.federalreserve.gov/monetarypolicy/files/FOMC_LongerRunGoals.pdf" TargetMode="External"/><Relationship Id="rId6" Type="http://schemas.openxmlformats.org/officeDocument/2006/relationships/hyperlink" Target="https://tradingeconomics.com/united-states/corporate-tax-rate" TargetMode="External"/><Relationship Id="rId5" Type="http://schemas.openxmlformats.org/officeDocument/2006/relationships/hyperlink" Target="https://ibinterviewquestions.com/guides/debt-capital-markets/term-loan-b-tlb-mechanics-and-why-it-dominates-lev-lending" TargetMode="External"/><Relationship Id="rId10" Type="http://schemas.openxmlformats.org/officeDocument/2006/relationships/hyperlink" Target="https://raw.githubusercontent.com/vengeanceaiUSC/Rainmaker/cursor/vengeanceaiusclbomodel2-44dc/LBO/output/LBOMODEL2_DRIVER_SOURCES.pdf" TargetMode="External"/><Relationship Id="rId4" Type="http://schemas.openxmlformats.org/officeDocument/2006/relationships/hyperlink" Target="https://ibinterviewquestions.com/guides/valuation-investment-banking/lbo-debt-structures-senior-subordinated-mezzanine" TargetMode="External"/><Relationship Id="rId9" Type="http://schemas.openxmlformats.org/officeDocument/2006/relationships/hyperlink" Target="https://www.11x.ai/products/alice/pricin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ec.gov/Archives/edgar/data/1794515/000179451525000045/zi-20241231.htm" TargetMode="External"/><Relationship Id="rId7" Type="http://schemas.openxmlformats.org/officeDocument/2006/relationships/hyperlink" Target="https://raw.githubusercontent.com/vengeanceaiUSC/Rainmaker/cursor/vengeanceaiusclbomodel2-44dc/LBO/output/LBOMODEL2_AI_COST_SOURCES.pdf" TargetMode="External"/><Relationship Id="rId2" Type="http://schemas.openxmlformats.org/officeDocument/2006/relationships/hyperlink" Target="https://www.salesforce.com/news/press-releases/2025/05/15/agentforce-flexible-pricing-news/" TargetMode="External"/><Relationship Id="rId1" Type="http://schemas.openxmlformats.org/officeDocument/2006/relationships/hyperlink" Target="https://raw.githubusercontent.com/vengeanceaiUSC/Rainmaker/cursor/vengeanceaiusclbomodel1-44dc/LBO/output/LBOMODEL1_ASSUMPTIONS_LIST.pdf" TargetMode="External"/><Relationship Id="rId6" Type="http://schemas.openxmlformats.org/officeDocument/2006/relationships/hyperlink" Target="https://raw.githubusercontent.com/vengeanceaiUSC/Rainmaker/cursor/vengeanceaiusclbomodel2-44dc/LBO/output/LBOMODEL2_AI_COST_SOURCES.pdf" TargetMode="External"/><Relationship Id="rId5" Type="http://schemas.openxmlformats.org/officeDocument/2006/relationships/hyperlink" Target="https://raw.githubusercontent.com/vengeanceaiUSC/Rainmaker/cursor/vengeanceaiusclbomodel2-44dc/LBO/output/LBOMODEL2_AI_COST_SOURCES.pdf" TargetMode="External"/><Relationship Id="rId4" Type="http://schemas.openxmlformats.org/officeDocument/2006/relationships/hyperlink" Target="https://raw.githubusercontent.com/vengeanceaiUSC/Rainmaker/cursor/vengeanceaiusclbomodel2-44dc/LBO/output/LBOMODEL2_AI_COST_SOURC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topLeftCell="A4" zoomScale="94" zoomScaleNormal="100" workbookViewId="0"/>
  </sheetViews>
  <sheetFormatPr defaultColWidth="8.6328125" defaultRowHeight="14.5" x14ac:dyDescent="0.35"/>
  <cols>
    <col min="1" max="1" width="16" customWidth="1"/>
    <col min="2" max="2" width="26" customWidth="1"/>
    <col min="3" max="3" width="11" customWidth="1"/>
    <col min="4" max="4" width="52" customWidth="1"/>
    <col min="5" max="5" width="42" customWidth="1"/>
    <col min="6" max="6" width="44" customWidth="1"/>
    <col min="7" max="7" width="34" customWidth="1"/>
    <col min="8" max="8" width="38" customWidth="1"/>
    <col min="9" max="9" width="48" customWidth="1"/>
  </cols>
  <sheetData>
    <row r="1" spans="1:11" ht="13.75" customHeight="1" x14ac:dyDescent="0.35"/>
    <row r="2" spans="1:11" ht="18" customHeight="1" x14ac:dyDescent="0.45">
      <c r="B2" s="1" t="s">
        <v>0</v>
      </c>
    </row>
    <row r="3" spans="1:11" ht="48" customHeight="1" x14ac:dyDescent="0.35">
      <c r="B3" s="2" t="s">
        <v>1</v>
      </c>
    </row>
    <row r="4" spans="1:11" ht="39.75" customHeight="1" x14ac:dyDescent="0.35">
      <c r="A4" s="3" t="s">
        <v>2</v>
      </c>
      <c r="B4" s="4" t="s">
        <v>3</v>
      </c>
      <c r="C4" s="4" t="s">
        <v>4</v>
      </c>
      <c r="D4" s="4" t="s">
        <v>5</v>
      </c>
      <c r="E4" s="4" t="s">
        <v>6</v>
      </c>
      <c r="F4" s="5" t="s">
        <v>7</v>
      </c>
      <c r="G4" s="4" t="s">
        <v>8</v>
      </c>
      <c r="H4" s="4" t="s">
        <v>9</v>
      </c>
      <c r="I4" s="6" t="s">
        <v>10</v>
      </c>
      <c r="J4" s="6" t="s">
        <v>11</v>
      </c>
      <c r="K4" s="6" t="s">
        <v>12</v>
      </c>
    </row>
    <row r="5" spans="1:11" ht="96" customHeight="1" x14ac:dyDescent="0.35">
      <c r="A5" s="7" t="s">
        <v>13</v>
      </c>
      <c r="B5" s="8" t="s">
        <v>14</v>
      </c>
      <c r="C5" s="9">
        <v>0.05</v>
      </c>
      <c r="D5" s="10" t="s">
        <v>15</v>
      </c>
      <c r="E5" s="11" t="str">
        <f>HYPERLINK("https://www.sec.gov/Archives/edgar/data/1794515/000179451526000012/zi-20251231.htm","IN EQ: C5=+5% ≈ mature CAGR CY2022→CY2025 (~4.4%). FY24 −2% = outlier; FY25 +3% recovery.")</f>
        <v>IN EQ: C5=+5% ≈ mature CAGR CY2022→CY2025 (~4.4%). FY24 −2% = outlier; FY25 +3% recovery.</v>
      </c>
      <c r="F5" s="8" t="s">
        <v>16</v>
      </c>
      <c r="G5" s="8" t="s">
        <v>17</v>
      </c>
      <c r="H5" s="11" t="str">
        <f>HYPERLINK("https://markets.financialcontent.com/stocks/article/bizwire-2025-2-25-zoominfo-announces-fourth-quarter-and-full-year-2024-financial-results","FY24 −2% outlier: decrease of 2% YoY")</f>
        <v>FY24 −2% outlier: decrease of 2% YoY</v>
      </c>
      <c r="I5" s="12" t="s">
        <v>18</v>
      </c>
      <c r="J5" s="12" t="s">
        <v>19</v>
      </c>
      <c r="K5" s="12" t="s">
        <v>20</v>
      </c>
    </row>
    <row r="6" spans="1:11" ht="96" customHeight="1" x14ac:dyDescent="0.35">
      <c r="A6" s="7" t="s">
        <v>13</v>
      </c>
      <c r="B6" s="13" t="s">
        <v>21</v>
      </c>
      <c r="C6" s="9">
        <v>0.8</v>
      </c>
      <c r="D6" s="10" t="s">
        <v>22</v>
      </c>
      <c r="E6" s="11" t="str">
        <f>HYPERLINK("https://www.getaleph.com/answers/saas-gross-margin-2026","IN EQ: software median GM=80% → C6=0.80 (Aleph × Benchmarkit)")</f>
        <v>IN EQ: software median GM=80% → C6=0.80 (Aleph × Benchmarkit)</v>
      </c>
      <c r="F6" s="8" t="s">
        <v>23</v>
      </c>
      <c r="G6" s="8" t="s">
        <v>24</v>
      </c>
      <c r="H6" s="14"/>
      <c r="I6" s="15" t="s">
        <v>25</v>
      </c>
      <c r="J6" s="16"/>
      <c r="K6" s="17" t="s">
        <v>26</v>
      </c>
    </row>
    <row r="7" spans="1:11" ht="96" customHeight="1" x14ac:dyDescent="0.35">
      <c r="A7" s="7" t="s">
        <v>13</v>
      </c>
      <c r="B7" s="8" t="s">
        <v>27</v>
      </c>
      <c r="C7" s="9">
        <v>0.18</v>
      </c>
      <c r="D7" s="10" t="s">
        <v>28</v>
      </c>
      <c r="E7" s="11" t="str">
        <f>HYPERLINK("https://www.digitalapplied.com/blog/ai-sdr-statistics-2026-outbound-sales-data-points","IN EQ: C7=18% = US B2B SaaS net SDR headcount down 18% YoY")</f>
        <v>IN EQ: C7=18% = US B2B SaaS net SDR headcount down 18% YoY</v>
      </c>
      <c r="F7" s="8" t="s">
        <v>29</v>
      </c>
      <c r="G7" s="8" t="s">
        <v>30</v>
      </c>
      <c r="H7" s="14"/>
      <c r="I7" s="15" t="s">
        <v>31</v>
      </c>
      <c r="J7" s="16"/>
      <c r="K7" s="16"/>
    </row>
    <row r="8" spans="1:11" ht="96" customHeight="1" x14ac:dyDescent="0.35">
      <c r="A8" s="7" t="s">
        <v>13</v>
      </c>
      <c r="B8" s="13" t="s">
        <v>32</v>
      </c>
      <c r="C8" s="9">
        <v>0.18</v>
      </c>
      <c r="D8" s="10" t="s">
        <v>33</v>
      </c>
      <c r="E8" s="11" t="str">
        <f>HYPERLINK("https://www.digitalapplied.com/blog/ai-sdr-statistics-2026-outbound-sales-data-points","IN EQ: C8=18% cut = same SDR HC down 18% YoY (Digital Applied)")</f>
        <v>IN EQ: C8=18% cut = same SDR HC down 18% YoY (Digital Applied)</v>
      </c>
      <c r="F8" s="8" t="s">
        <v>34</v>
      </c>
      <c r="G8" s="8" t="s">
        <v>35</v>
      </c>
      <c r="H8" s="11" t="str">
        <f>HYPERLINK("https://syncgtm.com/blog/how-to-pay-sales-development-rep","Pay mix context only: 70/30 base/variable")</f>
        <v>Pay mix context only: 70/30 base/variable</v>
      </c>
      <c r="I8" s="12" t="s">
        <v>31</v>
      </c>
      <c r="J8" s="12" t="s">
        <v>36</v>
      </c>
      <c r="K8" s="12" t="s">
        <v>37</v>
      </c>
    </row>
    <row r="9" spans="1:11" ht="96" customHeight="1" x14ac:dyDescent="0.35">
      <c r="A9" s="7" t="s">
        <v>13</v>
      </c>
      <c r="B9" s="8" t="s">
        <v>38</v>
      </c>
      <c r="C9" s="18">
        <v>24.5</v>
      </c>
      <c r="D9" s="10" t="s">
        <v>39</v>
      </c>
      <c r="E9" s="11" t="str">
        <f>HYPERLINK("https://www.whitespacesolutions.ai/content/ai-sdr-pricing-guide-2026","IN EQ: $5k/$10k/mo + 1,513 HC; roles=18% (same 18% as C7) → $24.5m")</f>
        <v>IN EQ: $5k/$10k/mo + 1,513 HC; roles=18% (same 18% as C7) → $24.5m</v>
      </c>
      <c r="F9" s="8" t="s">
        <v>40</v>
      </c>
      <c r="G9" s="8" t="s">
        <v>41</v>
      </c>
      <c r="H9" s="11" t="str">
        <f>HYPERLINK("https://www.miniloop.ai/blog/11x-pricing","Miniloop Enterprise $10,000+")</f>
        <v>Miniloop Enterprise $10,000+</v>
      </c>
      <c r="I9" s="15" t="s">
        <v>42</v>
      </c>
      <c r="J9" s="15" t="s">
        <v>43</v>
      </c>
      <c r="K9" s="15" t="s">
        <v>44</v>
      </c>
    </row>
    <row r="10" spans="1:11" ht="96" customHeight="1" x14ac:dyDescent="0.35">
      <c r="A10" s="7" t="s">
        <v>13</v>
      </c>
      <c r="B10" s="13" t="s">
        <v>45</v>
      </c>
      <c r="C10" s="9">
        <v>0.02</v>
      </c>
      <c r="D10" s="10" t="s">
        <v>46</v>
      </c>
      <c r="E10" s="11" t="str">
        <f>HYPERLINK("https://www.federalreserve.gov/faqs/economy_14400.htm","IN EQ: C10=2% = Fed longer-run inflation goal of 2 percent")</f>
        <v>IN EQ: C10=2% = Fed longer-run inflation goal of 2 percent</v>
      </c>
      <c r="F10" s="8" t="s">
        <v>47</v>
      </c>
      <c r="G10" s="8" t="s">
        <v>48</v>
      </c>
      <c r="H10" s="19" t="s">
        <v>49</v>
      </c>
      <c r="I10" s="15" t="s">
        <v>50</v>
      </c>
      <c r="J10" s="16"/>
      <c r="K10" s="17" t="s">
        <v>51</v>
      </c>
    </row>
    <row r="11" spans="1:11" ht="96" customHeight="1" x14ac:dyDescent="0.35">
      <c r="A11" s="7" t="s">
        <v>13</v>
      </c>
      <c r="B11" s="8" t="s">
        <v>52</v>
      </c>
      <c r="C11" s="9">
        <v>0.18</v>
      </c>
      <c r="D11" s="10" t="s">
        <v>53</v>
      </c>
      <c r="E11" s="11" t="str">
        <f>HYPERLINK("https://blossomstreetventures.medium.com/what-should-saas-spend-on-cogs-s-m-r-d-and-g-a-the-data-from-57-public-cos-8e88eabe99ca","IN EQ: C11=18% = Blossom Street 2025 public SaaS median G&amp;A")</f>
        <v>IN EQ: C11=18% = Blossom Street 2025 public SaaS median G&amp;A</v>
      </c>
      <c r="F11" s="8" t="s">
        <v>54</v>
      </c>
      <c r="G11" s="8" t="s">
        <v>55</v>
      </c>
      <c r="H11" s="11" t="str">
        <f>HYPERLINK("https://www.blossomstreetventures.com/saas-metric/2025-annual-percent-of-revenue","Table MEDIAN G&amp;A as % of Revenue = 18%")</f>
        <v>Table MEDIAN G&amp;A as % of Revenue = 18%</v>
      </c>
      <c r="I11" s="15" t="s">
        <v>56</v>
      </c>
      <c r="J11" s="15" t="s">
        <v>57</v>
      </c>
      <c r="K11" s="17" t="s">
        <v>58</v>
      </c>
    </row>
    <row r="12" spans="1:11" ht="96" customHeight="1" x14ac:dyDescent="0.35">
      <c r="A12" s="7" t="s">
        <v>13</v>
      </c>
      <c r="B12" s="13" t="s">
        <v>59</v>
      </c>
      <c r="C12" s="9">
        <v>0.08</v>
      </c>
      <c r="D12" s="10" t="s">
        <v>60</v>
      </c>
      <c r="E12" s="20" t="str">
        <f>HYPERLINK("https://saasdb.app/learn/financials/fcf-margin/","IN EQ: C12=8% ≈ 18% SDR cut × S&amp;M 43% of HC; SaaS CapEx primarily laptops/office gear")</f>
        <v>IN EQ: C12=8% ≈ 18% SDR cut × S&amp;M 43% of HC; SaaS CapEx primarily laptops/office gear</v>
      </c>
      <c r="F12" s="8" t="s">
        <v>61</v>
      </c>
      <c r="G12" s="8" t="s">
        <v>62</v>
      </c>
      <c r="H12" s="21" t="str">
        <f>HYPERLINK("https://www.sec.gov/Archives/edgar/data/1794515/000179451525000045/zi-20241231.htm","ZI 10-K: 1,513 S&amp;M / 3,508 employees")</f>
        <v>ZI 10-K: 1,513 S&amp;M / 3,508 employees</v>
      </c>
      <c r="I12" s="12" t="s">
        <v>63</v>
      </c>
      <c r="J12" s="17" t="s">
        <v>44</v>
      </c>
      <c r="K12" s="17" t="s">
        <v>64</v>
      </c>
    </row>
    <row r="13" spans="1:11" ht="96" customHeight="1" x14ac:dyDescent="0.35">
      <c r="A13" s="7" t="s">
        <v>13</v>
      </c>
      <c r="B13" s="8" t="s">
        <v>65</v>
      </c>
      <c r="C13" s="9">
        <v>0.1</v>
      </c>
      <c r="D13" s="10" t="s">
        <v>66</v>
      </c>
      <c r="E13" s="20" t="str">
        <f>HYPERLINK("https://getfairview.com/blog/working-capital-management-saas","IN EQ: C13=10% cuts ΔAR only (6/59 DSO). NWC% change ≠10% once deferred revenue is netted.")</f>
        <v>IN EQ: C13=10% cuts ΔAR only (6/59 DSO). NWC% change ≠10% once deferred revenue is netted.</v>
      </c>
      <c r="F13" s="8" t="s">
        <v>67</v>
      </c>
      <c r="G13" s="8" t="s">
        <v>68</v>
      </c>
      <c r="H13" s="21" t="str">
        <f>HYPERLINK("https://globalpayex.com/resources/blogs/fortune-500-cfo-ar-automation-dso-reduction/","Global PayEx: DSO reduced by 6 days (AR automation)")</f>
        <v>Global PayEx: DSO reduced by 6 days (AR automation)</v>
      </c>
      <c r="I13" s="12" t="s">
        <v>69</v>
      </c>
      <c r="J13" s="17" t="s">
        <v>70</v>
      </c>
      <c r="K13" s="17" t="s">
        <v>71</v>
      </c>
    </row>
    <row r="14" spans="1:11" ht="96" customHeight="1" x14ac:dyDescent="0.35">
      <c r="A14" s="7" t="s">
        <v>13</v>
      </c>
      <c r="B14" s="13" t="s">
        <v>72</v>
      </c>
      <c r="C14" s="9">
        <v>4.2999999999999997E-2</v>
      </c>
      <c r="D14" s="10" t="s">
        <v>73</v>
      </c>
      <c r="E14" s="11" t="str">
        <f>HYPERLINK("https://www.global-rates.com/en/interest-rates/sofr/historical/2024/","IN EQ: C14=4.30% = SOFR 2024 calendar-year Lowest")</f>
        <v>IN EQ: C14=4.30% = SOFR 2024 calendar-year Lowest</v>
      </c>
      <c r="F14" s="8" t="s">
        <v>74</v>
      </c>
      <c r="G14" s="8" t="s">
        <v>75</v>
      </c>
      <c r="H14" s="19" t="s">
        <v>76</v>
      </c>
      <c r="I14" s="15" t="s">
        <v>77</v>
      </c>
      <c r="J14" s="16"/>
      <c r="K14" s="17" t="s">
        <v>78</v>
      </c>
    </row>
    <row r="15" spans="1:11" ht="96" customHeight="1" x14ac:dyDescent="0.35">
      <c r="A15" s="7" t="s">
        <v>13</v>
      </c>
      <c r="B15" s="8" t="s">
        <v>79</v>
      </c>
      <c r="C15" s="9">
        <v>0.04</v>
      </c>
      <c r="D15" s="10" t="s">
        <v>80</v>
      </c>
      <c r="E15" s="11" t="str">
        <f>HYPERLINK("https://ctacquisitions.com/acquisition-financing/","IN EQ: C15=+400bps = floor of senior TLA SOFR+400-500 bps")</f>
        <v>IN EQ: C15=+400bps = floor of senior TLA SOFR+400-500 bps</v>
      </c>
      <c r="F15" s="8" t="s">
        <v>81</v>
      </c>
      <c r="G15" s="8" t="s">
        <v>82</v>
      </c>
      <c r="H15" s="19" t="s">
        <v>83</v>
      </c>
      <c r="I15" s="15" t="s">
        <v>84</v>
      </c>
      <c r="J15" s="16"/>
      <c r="K15" s="16"/>
    </row>
    <row r="16" spans="1:11" ht="96" customHeight="1" x14ac:dyDescent="0.35">
      <c r="A16" s="7" t="s">
        <v>13</v>
      </c>
      <c r="B16" s="13" t="s">
        <v>85</v>
      </c>
      <c r="C16" s="9">
        <v>0.05</v>
      </c>
      <c r="D16" s="10" t="s">
        <v>86</v>
      </c>
      <c r="E16" s="11" t="str">
        <f>HYPERLINK("https://ibinterviewquestions.com/guides/valuation-investment-banking/lbo-debt-structures-senior-subordinated-mezzanine","IN EQ: TLB SOFR+300-500 bps → C16=+500bps = upper bound")</f>
        <v>IN EQ: TLB SOFR+300-500 bps → C16=+500bps = upper bound</v>
      </c>
      <c r="F16" s="8" t="s">
        <v>87</v>
      </c>
      <c r="G16" s="8" t="s">
        <v>88</v>
      </c>
      <c r="H16" s="19" t="s">
        <v>89</v>
      </c>
      <c r="I16" s="15" t="s">
        <v>90</v>
      </c>
      <c r="J16" s="16"/>
      <c r="K16" s="16"/>
    </row>
    <row r="17" spans="1:11" ht="96" customHeight="1" x14ac:dyDescent="0.35">
      <c r="A17" s="7" t="s">
        <v>13</v>
      </c>
      <c r="B17" s="8" t="s">
        <v>91</v>
      </c>
      <c r="C17" s="9">
        <v>0.01</v>
      </c>
      <c r="D17" s="10" t="s">
        <v>92</v>
      </c>
      <c r="E17" s="11" t="str">
        <f>HYPERLINK("https://clearvaluelending.com/glossary/term-loan-b","IN EQ: ~1%/yr TLB amort → C17=1%")</f>
        <v>IN EQ: ~1%/yr TLB amort → C17=1%</v>
      </c>
      <c r="F17" s="8" t="s">
        <v>93</v>
      </c>
      <c r="G17" s="8" t="s">
        <v>94</v>
      </c>
      <c r="H17" s="19" t="s">
        <v>95</v>
      </c>
      <c r="I17" s="15" t="s">
        <v>96</v>
      </c>
      <c r="J17" s="16"/>
      <c r="K17" s="16"/>
    </row>
    <row r="18" spans="1:11" ht="96" customHeight="1" x14ac:dyDescent="0.35">
      <c r="A18" s="7" t="s">
        <v>13</v>
      </c>
      <c r="B18" s="13" t="s">
        <v>97</v>
      </c>
      <c r="C18" s="9">
        <v>1</v>
      </c>
      <c r="D18" s="10" t="s">
        <v>98</v>
      </c>
      <c r="E18" s="11" t="str">
        <f>HYPERLINK("https://ryanoconnellfinance.com/lbo-model-fundamentals/","IN EQ: C18=100% = upper bound of ECF sweep 50-100%")</f>
        <v>IN EQ: C18=100% = upper bound of ECF sweep 50-100%</v>
      </c>
      <c r="F18" s="8" t="s">
        <v>99</v>
      </c>
      <c r="G18" s="8" t="s">
        <v>100</v>
      </c>
      <c r="H18" s="11" t="str">
        <f>HYPERLINK("https://ryanoconnellfinance.com/lbo-model-fundamentals/","Also: typically modeled at 100%")</f>
        <v>Also: typically modeled at 100%</v>
      </c>
      <c r="I18" s="15" t="s">
        <v>101</v>
      </c>
      <c r="J18" s="15" t="s">
        <v>102</v>
      </c>
      <c r="K18" s="16"/>
    </row>
    <row r="19" spans="1:11" ht="96" customHeight="1" x14ac:dyDescent="0.35">
      <c r="A19" s="7" t="s">
        <v>13</v>
      </c>
      <c r="B19" s="8" t="s">
        <v>103</v>
      </c>
      <c r="C19" s="9">
        <v>0.21</v>
      </c>
      <c r="D19" s="10" t="s">
        <v>104</v>
      </c>
      <c r="E19" s="11" t="str">
        <f>HYPERLINK("https://taxsummaries.pwc.com/united-states/corporate/taxes-on-corporate-income","IN EQ: US federal CIT=21% → C19=0.21 (PwC)")</f>
        <v>IN EQ: US federal CIT=21% → C19=0.21 (PwC)</v>
      </c>
      <c r="F19" s="8" t="s">
        <v>105</v>
      </c>
      <c r="G19" s="8" t="s">
        <v>106</v>
      </c>
      <c r="H19" s="19" t="s">
        <v>107</v>
      </c>
      <c r="I19" s="15" t="s">
        <v>108</v>
      </c>
      <c r="J19" s="16"/>
      <c r="K19" s="16"/>
    </row>
    <row r="20" spans="1:11" ht="96" customHeight="1" x14ac:dyDescent="0.35">
      <c r="A20" s="7" t="s">
        <v>13</v>
      </c>
      <c r="B20" s="13" t="s">
        <v>109</v>
      </c>
      <c r="C20" s="18">
        <v>12.9</v>
      </c>
      <c r="D20" s="10" t="s">
        <v>110</v>
      </c>
      <c r="E20" s="11" t="str">
        <f>HYPERLINK("https://aventis-advisors.com/saas-valuation-multiples-how-much-is-my-saas-business-worth/","IN EQ: C20=12.9x = Aventis private SaaS EV/EBITDA 1st quartile")</f>
        <v>IN EQ: C20=12.9x = Aventis private SaaS EV/EBITDA 1st quartile</v>
      </c>
      <c r="F20" s="8" t="s">
        <v>111</v>
      </c>
      <c r="G20" s="8" t="s">
        <v>112</v>
      </c>
      <c r="H20" s="14"/>
      <c r="I20" s="15" t="s">
        <v>113</v>
      </c>
      <c r="J20" s="16"/>
      <c r="K20" s="16"/>
    </row>
    <row r="21" spans="1:11" ht="96" customHeight="1" x14ac:dyDescent="0.35">
      <c r="A21" s="15" t="s">
        <v>114</v>
      </c>
      <c r="B21" s="8" t="s">
        <v>115</v>
      </c>
      <c r="C21" s="22">
        <v>414.1</v>
      </c>
      <c r="D21" s="10" t="s">
        <v>116</v>
      </c>
      <c r="E21" s="11" t="str">
        <f>HYPERLINK("https://markets.financialcontent.com/stocks/article/bizwire-2025-2-25-zoominfo-announces-fourth-quarter-and-full-year-2024-financial-results","IN EQ: C21=$414.1m = ZI FY24 Sales and marketing")</f>
        <v>IN EQ: C21=$414.1m = ZI FY24 Sales and marketing</v>
      </c>
      <c r="F21" s="8" t="s">
        <v>117</v>
      </c>
      <c r="G21" s="8" t="s">
        <v>118</v>
      </c>
      <c r="H21" s="11" t="str">
        <f>HYPERLINK("https://www.sec.gov/Archives/edgar/data/1794515/000179451525000045/zi-20241231.htm","SEC 10-K")</f>
        <v>SEC 10-K</v>
      </c>
      <c r="I21" s="15" t="s">
        <v>119</v>
      </c>
      <c r="J21" s="15" t="s">
        <v>120</v>
      </c>
      <c r="K21" s="15" t="s">
        <v>121</v>
      </c>
    </row>
    <row r="22" spans="1:11" ht="96" customHeight="1" x14ac:dyDescent="0.35">
      <c r="A22" s="15" t="s">
        <v>114</v>
      </c>
      <c r="B22" s="13" t="s">
        <v>122</v>
      </c>
      <c r="C22" s="22">
        <v>289.89999999999998</v>
      </c>
      <c r="D22" s="10" t="s">
        <v>123</v>
      </c>
      <c r="E22" s="11" t="str">
        <f>HYPERLINK("https://syncgtm.com/blog/how-to-pay-sales-development-rep","IN EQ: ~70% base × $414.1m S&amp;M → C22=$289.9m")</f>
        <v>IN EQ: ~70% base × $414.1m S&amp;M → C22=$289.9m</v>
      </c>
      <c r="F22" s="8" t="s">
        <v>124</v>
      </c>
      <c r="G22" s="8" t="s">
        <v>125</v>
      </c>
      <c r="H22" s="14"/>
      <c r="I22" s="15" t="s">
        <v>36</v>
      </c>
      <c r="J22" s="15" t="s">
        <v>126</v>
      </c>
      <c r="K22" s="17" t="s">
        <v>127</v>
      </c>
    </row>
    <row r="23" spans="1:11" ht="96" customHeight="1" x14ac:dyDescent="0.35">
      <c r="A23" s="15" t="s">
        <v>114</v>
      </c>
      <c r="B23" s="8" t="s">
        <v>128</v>
      </c>
      <c r="C23" s="22">
        <v>124.2</v>
      </c>
      <c r="D23" s="10" t="s">
        <v>129</v>
      </c>
      <c r="E23" s="11" t="str">
        <f>HYPERLINK("https://syncgtm.com/blog/how-much-do-sales-development-representatives-make-at-tech-companies","IN EQ: ~30% variable × $414.1m → C23=$124.2m")</f>
        <v>IN EQ: ~30% variable × $414.1m → C23=$124.2m</v>
      </c>
      <c r="F23" s="8" t="s">
        <v>130</v>
      </c>
      <c r="G23" s="8" t="s">
        <v>131</v>
      </c>
      <c r="H23" s="21" t="str">
        <f>HYPERLINK("https://syncgtm.com/blog/how-to-pay-sales-development-rep","70/30 pay article")</f>
        <v>70/30 pay article</v>
      </c>
      <c r="I23" s="15" t="s">
        <v>132</v>
      </c>
      <c r="J23" s="15" t="s">
        <v>36</v>
      </c>
      <c r="K23" s="17" t="s">
        <v>133</v>
      </c>
    </row>
    <row r="24" spans="1:11" ht="96" customHeight="1" x14ac:dyDescent="0.35">
      <c r="A24" s="7" t="s">
        <v>13</v>
      </c>
      <c r="B24" s="13" t="s">
        <v>134</v>
      </c>
      <c r="C24" s="9">
        <v>0.02</v>
      </c>
      <c r="D24" s="10" t="s">
        <v>135</v>
      </c>
      <c r="E24" s="11" t="str">
        <f>HYPERLINK("https://saasdb.app/learn/financials/fcf-margin/","IN EQ band: SaaS CapEx 1–3% of rev → C24=2% midpoint")</f>
        <v>IN EQ band: SaaS CapEx 1–3% of rev → C24=2% midpoint</v>
      </c>
      <c r="F24" s="8" t="s">
        <v>136</v>
      </c>
      <c r="G24" s="8" t="s">
        <v>62</v>
      </c>
      <c r="H24" s="14"/>
      <c r="I24" s="15" t="s">
        <v>137</v>
      </c>
      <c r="J24" s="15" t="s">
        <v>138</v>
      </c>
      <c r="K24" s="15" t="s">
        <v>139</v>
      </c>
    </row>
    <row r="25" spans="1:11" ht="96" customHeight="1" x14ac:dyDescent="0.35">
      <c r="A25" s="7" t="s">
        <v>13</v>
      </c>
      <c r="B25" s="8" t="s">
        <v>140</v>
      </c>
      <c r="C25" s="9">
        <v>0.161643835616438</v>
      </c>
      <c r="D25" s="10" t="s">
        <v>141</v>
      </c>
      <c r="E25" s="20" t="str">
        <f>HYPERLINK("https://getfairview.com/blog/working-capital-management-saas","IN EQ: C25=59/365≈16.2% AR intensity; ΔAR=ΔRev×C25 before the 10% AI cut on row 13")</f>
        <v>IN EQ: C25=59/365≈16.2% AR intensity; ΔAR=ΔRev×C25 before the 10% AI cut on row 13</v>
      </c>
      <c r="F25" s="8" t="s">
        <v>142</v>
      </c>
      <c r="G25" s="8" t="s">
        <v>68</v>
      </c>
      <c r="H25" s="21" t="str">
        <f>HYPERLINK("https://www.sec.gov/Archives/edgar/data/1794515/000179451525000045/zi-20241231.htm","ZI FY24 AR $246.1m (~20% of sales; we use median DSO 16.2%)")</f>
        <v>ZI FY24 AR $246.1m (~20% of sales; we use median DSO 16.2%)</v>
      </c>
      <c r="I25" s="12" t="s">
        <v>69</v>
      </c>
      <c r="J25" s="17" t="s">
        <v>143</v>
      </c>
      <c r="K25" s="17" t="s">
        <v>144</v>
      </c>
    </row>
    <row r="26" spans="1:11" ht="36" customHeight="1" x14ac:dyDescent="0.35">
      <c r="A26" s="8" t="s">
        <v>114</v>
      </c>
      <c r="B26" s="8" t="s">
        <v>145</v>
      </c>
      <c r="C26" s="23">
        <v>0.39018364489829499</v>
      </c>
      <c r="D26" s="8" t="s">
        <v>146</v>
      </c>
      <c r="E26" s="21" t="str">
        <f>HYPERLINK("https://www.sec.gov/Archives/edgar/data/1794515/000179451525000045/zi-20241231.htm","IN EQ: C26≈39% = ZI FY24 unearned revenue current $473.8m / revenue $1,214.3m")</f>
        <v>IN EQ: C26≈39% = ZI FY24 unearned revenue current $473.8m / revenue $1,214.3m</v>
      </c>
      <c r="F26" s="8" t="s">
        <v>147</v>
      </c>
      <c r="G26" s="8" t="s">
        <v>68</v>
      </c>
      <c r="H26" s="21" t="str">
        <f>HYPERLINK("https://markets.financialcontent.com/stocks/article/bizwire-2025-2-25-zoominfo-announces-fourth-quarter-and-full-year-2024-financial-results","FY24 results balance sheet: Unearned revenue")</f>
        <v>FY24 results balance sheet: Unearned revenue</v>
      </c>
      <c r="I26" s="8" t="s">
        <v>148</v>
      </c>
      <c r="J26" s="8" t="s">
        <v>149</v>
      </c>
      <c r="K26" s="8" t="s">
        <v>150</v>
      </c>
    </row>
    <row r="27" spans="1:11" ht="96" customHeight="1" x14ac:dyDescent="0.35">
      <c r="A27" s="24" t="s">
        <v>13</v>
      </c>
      <c r="B27" s="25" t="s">
        <v>151</v>
      </c>
      <c r="C27" s="26">
        <f>C14+C15</f>
        <v>8.299999999999999E-2</v>
      </c>
      <c r="D27" s="27" t="s">
        <v>152</v>
      </c>
      <c r="E27" s="28" t="s">
        <v>153</v>
      </c>
      <c r="F27" s="8" t="s">
        <v>154</v>
      </c>
      <c r="G27" s="29" t="s">
        <v>155</v>
      </c>
      <c r="H27" s="14"/>
      <c r="I27" s="28" t="s">
        <v>156</v>
      </c>
      <c r="J27" s="16"/>
      <c r="K27" s="16"/>
    </row>
    <row r="28" spans="1:11" ht="96" customHeight="1" x14ac:dyDescent="0.35">
      <c r="A28" s="24" t="s">
        <v>13</v>
      </c>
      <c r="B28" s="30" t="s">
        <v>157</v>
      </c>
      <c r="C28" s="26">
        <f>C14+C16</f>
        <v>9.2999999999999999E-2</v>
      </c>
      <c r="D28" s="27" t="s">
        <v>158</v>
      </c>
      <c r="E28" s="28" t="s">
        <v>159</v>
      </c>
      <c r="F28" s="8" t="s">
        <v>160</v>
      </c>
      <c r="G28" s="29" t="s">
        <v>161</v>
      </c>
      <c r="H28" s="14"/>
      <c r="I28" s="28" t="s">
        <v>162</v>
      </c>
      <c r="J28" s="16"/>
      <c r="K28" s="16"/>
    </row>
    <row r="29" spans="1:11" ht="48" customHeight="1" x14ac:dyDescent="0.35">
      <c r="A29" s="382" t="s">
        <v>13</v>
      </c>
      <c r="B29" t="s">
        <v>163</v>
      </c>
      <c r="C29" s="383">
        <v>0.14099999999999999</v>
      </c>
      <c r="D29" s="384" t="s">
        <v>164</v>
      </c>
      <c r="E29" s="385" t="str">
        <f>HYPERLINK("https://www.sec.gov/Archives/edgar/data/1794515/000179451526000012/zi-20251231.htm","IN EQ: FY25 SBC $116.2 ÷ opex $824.2 = 14.1% → C29")</f>
        <v>IN EQ: FY25 SBC $116.2 ÷ opex $824.2 = 14.1% → C29</v>
      </c>
      <c r="F29" s="384" t="s">
        <v>165</v>
      </c>
      <c r="G29" t="s">
        <v>166</v>
      </c>
      <c r="I29" s="386" t="s">
        <v>167</v>
      </c>
      <c r="J29" s="386" t="s">
        <v>168</v>
      </c>
      <c r="K29" t="s">
        <v>169</v>
      </c>
    </row>
    <row r="30" spans="1:11" ht="84" customHeight="1" x14ac:dyDescent="0.35">
      <c r="B30" s="31" t="s">
        <v>170</v>
      </c>
      <c r="C30" s="32" t="s">
        <v>171</v>
      </c>
    </row>
    <row r="31" spans="1:11" ht="36" customHeight="1" x14ac:dyDescent="0.35">
      <c r="B31" s="31" t="s">
        <v>172</v>
      </c>
      <c r="C31" s="14" t="s">
        <v>173</v>
      </c>
    </row>
    <row r="32" spans="1:11" ht="132" customHeight="1" x14ac:dyDescent="0.35">
      <c r="B32" s="33" t="s">
        <v>174</v>
      </c>
      <c r="C32" s="34" t="s">
        <v>175</v>
      </c>
    </row>
    <row r="33" spans="2:3" ht="216" customHeight="1" x14ac:dyDescent="0.35">
      <c r="B33" t="s">
        <v>176</v>
      </c>
      <c r="C33" s="34" t="s">
        <v>177</v>
      </c>
    </row>
    <row r="34" spans="2:3" ht="217.5" customHeight="1" x14ac:dyDescent="0.35">
      <c r="B34" t="s">
        <v>178</v>
      </c>
      <c r="C34" s="35" t="s">
        <v>179</v>
      </c>
    </row>
    <row r="35" spans="2:3" ht="231.75" customHeight="1" x14ac:dyDescent="0.35">
      <c r="B35" t="s">
        <v>180</v>
      </c>
      <c r="C35" s="36" t="s">
        <v>181</v>
      </c>
    </row>
    <row r="36" spans="2:3" ht="232" x14ac:dyDescent="0.35">
      <c r="B36" t="s">
        <v>182</v>
      </c>
      <c r="C36" s="36" t="s">
        <v>183</v>
      </c>
    </row>
  </sheetData>
  <hyperlinks>
    <hyperlink ref="H10" r:id="rId1" xr:uid="{00000000-0004-0000-0000-000000000000}"/>
    <hyperlink ref="H14" r:id="rId2" xr:uid="{00000000-0004-0000-0000-000001000000}"/>
    <hyperlink ref="H15" r:id="rId3" xr:uid="{00000000-0004-0000-0000-000002000000}"/>
    <hyperlink ref="H16" r:id="rId4" xr:uid="{00000000-0004-0000-0000-000003000000}"/>
    <hyperlink ref="H17" r:id="rId5" xr:uid="{00000000-0004-0000-0000-000004000000}"/>
    <hyperlink ref="H19" r:id="rId6" xr:uid="{00000000-0004-0000-0000-000005000000}"/>
    <hyperlink ref="H23" r:id="rId7" display="https://syncgtm.com/blog/how-to-pay-sales-development-rep" xr:uid="{00000000-0004-0000-0000-000006000000}"/>
    <hyperlink ref="C30" r:id="rId8" display="https://www.sec.gov/Archives/edgar/data/1794515/000179451525000045/zi-20241231.htm" xr:uid="{00000000-0004-0000-0000-000007000000}"/>
    <hyperlink ref="C31" r:id="rId9" display="https://www.11x.ai/products/alice/pricing" xr:uid="{00000000-0004-0000-0000-000008000000}"/>
    <hyperlink ref="C32" r:id="rId10" display="https://raw.githubusercontent.com/vengeanceaiUSC/Rainmaker/cursor/vengeanceaiusclbomodel2-44dc/LBO/output/LBOMODEL2_DRIVER_SOURCES.pdf" xr:uid="{00000000-0004-0000-0000-000009000000}"/>
  </hyperlinks>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55"/>
  <sheetViews>
    <sheetView zoomScaleNormal="100" zoomScalePageLayoutView="60" workbookViewId="0"/>
  </sheetViews>
  <sheetFormatPr defaultColWidth="8.6328125" defaultRowHeight="14.5" x14ac:dyDescent="0.35"/>
  <cols>
    <col min="2" max="2" width="34" customWidth="1"/>
    <col min="3" max="3" width="14" customWidth="1"/>
    <col min="6" max="6" width="78" customWidth="1"/>
  </cols>
  <sheetData>
    <row r="1" spans="2:4" ht="13.75" customHeight="1" x14ac:dyDescent="0.35"/>
    <row r="2" spans="2:4" ht="18" customHeight="1" x14ac:dyDescent="0.45">
      <c r="B2" s="37" t="s">
        <v>184</v>
      </c>
    </row>
    <row r="3" spans="2:4" ht="31.5" customHeight="1" x14ac:dyDescent="0.35">
      <c r="B3" s="36" t="s">
        <v>185</v>
      </c>
    </row>
    <row r="4" spans="2:4" ht="13.75" customHeight="1" x14ac:dyDescent="0.35"/>
    <row r="5" spans="2:4" ht="15" customHeight="1" x14ac:dyDescent="0.35">
      <c r="B5" s="38" t="s">
        <v>186</v>
      </c>
    </row>
    <row r="6" spans="2:4" ht="15" customHeight="1" x14ac:dyDescent="0.35">
      <c r="B6" t="s">
        <v>187</v>
      </c>
    </row>
    <row r="7" spans="2:4" ht="15" customHeight="1" x14ac:dyDescent="0.35">
      <c r="B7" t="s">
        <v>188</v>
      </c>
    </row>
    <row r="8" spans="2:4" ht="13.75" customHeight="1" x14ac:dyDescent="0.35"/>
    <row r="9" spans="2:4" ht="15" customHeight="1" x14ac:dyDescent="0.35">
      <c r="B9" s="38" t="s">
        <v>189</v>
      </c>
    </row>
    <row r="10" spans="2:4" ht="15" customHeight="1" x14ac:dyDescent="0.35">
      <c r="B10" s="39" t="s">
        <v>190</v>
      </c>
      <c r="C10" s="40">
        <v>1214.3</v>
      </c>
      <c r="D10" s="41" t="s">
        <v>191</v>
      </c>
    </row>
    <row r="11" spans="2:4" ht="15" customHeight="1" x14ac:dyDescent="0.35">
      <c r="B11" s="39" t="s">
        <v>192</v>
      </c>
      <c r="C11" s="42" t="s">
        <v>193</v>
      </c>
      <c r="D11" s="41" t="s">
        <v>191</v>
      </c>
    </row>
    <row r="12" spans="2:4" ht="15" customHeight="1" x14ac:dyDescent="0.35">
      <c r="B12" s="39" t="s">
        <v>194</v>
      </c>
      <c r="C12" s="40">
        <v>97.4</v>
      </c>
      <c r="D12" s="41" t="s">
        <v>191</v>
      </c>
    </row>
    <row r="13" spans="2:4" ht="15" customHeight="1" x14ac:dyDescent="0.35">
      <c r="B13" s="39" t="s">
        <v>195</v>
      </c>
      <c r="C13" s="40">
        <v>85.7</v>
      </c>
      <c r="D13" s="41" t="s">
        <v>196</v>
      </c>
    </row>
    <row r="14" spans="2:4" ht="15" customHeight="1" x14ac:dyDescent="0.35">
      <c r="B14" s="39" t="s">
        <v>197</v>
      </c>
      <c r="C14" s="40">
        <v>183.1</v>
      </c>
      <c r="D14" s="41" t="s">
        <v>198</v>
      </c>
    </row>
    <row r="15" spans="2:4" ht="15" customHeight="1" x14ac:dyDescent="0.35">
      <c r="B15" s="39" t="s">
        <v>199</v>
      </c>
      <c r="C15" s="43">
        <v>0.15079999999999999</v>
      </c>
      <c r="D15" s="41" t="s">
        <v>198</v>
      </c>
    </row>
    <row r="16" spans="2:4" ht="15" customHeight="1" x14ac:dyDescent="0.35">
      <c r="B16" s="39" t="s">
        <v>200</v>
      </c>
      <c r="C16" s="40">
        <v>414.1</v>
      </c>
      <c r="D16" s="41" t="s">
        <v>201</v>
      </c>
    </row>
    <row r="17" spans="2:6" ht="15" customHeight="1" x14ac:dyDescent="0.35">
      <c r="B17" s="39" t="s">
        <v>202</v>
      </c>
      <c r="C17" s="42" t="s">
        <v>203</v>
      </c>
      <c r="D17" s="41" t="s">
        <v>204</v>
      </c>
    </row>
    <row r="18" spans="2:6" ht="15" customHeight="1" x14ac:dyDescent="0.35">
      <c r="B18" s="39" t="s">
        <v>205</v>
      </c>
      <c r="C18" s="42" t="s">
        <v>206</v>
      </c>
      <c r="D18" s="41" t="s">
        <v>207</v>
      </c>
    </row>
    <row r="19" spans="2:6" ht="15" customHeight="1" x14ac:dyDescent="0.35">
      <c r="B19" s="39" t="s">
        <v>208</v>
      </c>
      <c r="C19" s="42" t="s">
        <v>209</v>
      </c>
      <c r="D19" s="41" t="s">
        <v>210</v>
      </c>
    </row>
    <row r="20" spans="2:6" ht="15" customHeight="1" x14ac:dyDescent="0.35">
      <c r="B20" s="39" t="s">
        <v>211</v>
      </c>
      <c r="C20" s="40">
        <v>1884</v>
      </c>
      <c r="D20" s="41" t="s">
        <v>212</v>
      </c>
    </row>
    <row r="21" spans="2:6" ht="15" customHeight="1" x14ac:dyDescent="0.35">
      <c r="B21" s="39" t="s">
        <v>213</v>
      </c>
      <c r="C21" s="40">
        <v>915.5</v>
      </c>
      <c r="D21" s="41" t="s">
        <v>214</v>
      </c>
    </row>
    <row r="22" spans="2:6" ht="15" customHeight="1" x14ac:dyDescent="0.35">
      <c r="B22" s="39" t="s">
        <v>215</v>
      </c>
      <c r="C22" s="42">
        <v>12.9</v>
      </c>
      <c r="D22" s="41" t="s">
        <v>216</v>
      </c>
    </row>
    <row r="23" spans="2:6" ht="13.75" customHeight="1" x14ac:dyDescent="0.35"/>
    <row r="24" spans="2:6" ht="15" customHeight="1" x14ac:dyDescent="0.35">
      <c r="B24" s="38" t="s">
        <v>217</v>
      </c>
    </row>
    <row r="25" spans="2:6" ht="15" customHeight="1" x14ac:dyDescent="0.35">
      <c r="B25" t="s">
        <v>218</v>
      </c>
    </row>
    <row r="26" spans="2:6" ht="15" customHeight="1" x14ac:dyDescent="0.35">
      <c r="B26" t="s">
        <v>219</v>
      </c>
    </row>
    <row r="27" spans="2:6" ht="15" customHeight="1" x14ac:dyDescent="0.35">
      <c r="B27" t="s">
        <v>220</v>
      </c>
    </row>
    <row r="28" spans="2:6" ht="13.75" customHeight="1" x14ac:dyDescent="0.35"/>
    <row r="29" spans="2:6" ht="15" customHeight="1" x14ac:dyDescent="0.35">
      <c r="B29" s="38" t="s">
        <v>221</v>
      </c>
    </row>
    <row r="30" spans="2:6" ht="15" customHeight="1" x14ac:dyDescent="0.35">
      <c r="B30" s="44" t="s">
        <v>222</v>
      </c>
      <c r="C30" s="44" t="s">
        <v>223</v>
      </c>
      <c r="D30" s="44" t="s">
        <v>224</v>
      </c>
      <c r="E30" s="44" t="s">
        <v>225</v>
      </c>
      <c r="F30" s="44" t="s">
        <v>226</v>
      </c>
    </row>
    <row r="31" spans="2:6" ht="42" customHeight="1" x14ac:dyDescent="0.35">
      <c r="B31" s="39" t="s">
        <v>227</v>
      </c>
      <c r="C31" s="45">
        <v>0.11748826484394299</v>
      </c>
      <c r="D31" s="45">
        <v>0.18149648286117301</v>
      </c>
      <c r="E31" s="45">
        <v>6.4008218017229807E-2</v>
      </c>
      <c r="F31" s="46" t="s">
        <v>228</v>
      </c>
    </row>
    <row r="32" spans="2:6" ht="42" customHeight="1" x14ac:dyDescent="0.35">
      <c r="B32" s="39" t="s">
        <v>229</v>
      </c>
      <c r="C32" s="47">
        <v>-332.98196491805999</v>
      </c>
      <c r="D32" s="47">
        <v>307.100215254239</v>
      </c>
      <c r="E32" s="47">
        <v>640.08218017229797</v>
      </c>
      <c r="F32" s="46" t="s">
        <v>230</v>
      </c>
    </row>
    <row r="33" spans="2:6" ht="42" customHeight="1" x14ac:dyDescent="0.35">
      <c r="B33" s="39" t="s">
        <v>231</v>
      </c>
      <c r="C33" s="47">
        <v>182.081985395625</v>
      </c>
      <c r="D33" s="47">
        <v>318.53735131295502</v>
      </c>
      <c r="E33" s="47">
        <v>136.45536591733</v>
      </c>
      <c r="F33" s="46" t="s">
        <v>232</v>
      </c>
    </row>
    <row r="34" spans="2:6" ht="42" customHeight="1" x14ac:dyDescent="0.35">
      <c r="B34" s="39" t="s">
        <v>233</v>
      </c>
      <c r="C34" s="47">
        <v>2348.8576116035701</v>
      </c>
      <c r="D34" s="47">
        <v>4109.1318319371203</v>
      </c>
      <c r="E34" s="47">
        <v>1760.2742203335599</v>
      </c>
      <c r="F34" s="46" t="s">
        <v>234</v>
      </c>
    </row>
    <row r="35" spans="2:6" ht="42" customHeight="1" x14ac:dyDescent="0.35">
      <c r="B35" s="39" t="s">
        <v>235</v>
      </c>
      <c r="C35" s="47">
        <v>487.14039922126699</v>
      </c>
      <c r="D35" s="47">
        <v>6.3604672006630398</v>
      </c>
      <c r="E35" s="47">
        <v>-480.77993202060401</v>
      </c>
      <c r="F35" s="46" t="s">
        <v>236</v>
      </c>
    </row>
    <row r="36" spans="2:6" ht="42" customHeight="1" x14ac:dyDescent="0.35">
      <c r="B36" s="39" t="s">
        <v>237</v>
      </c>
      <c r="C36" s="47">
        <v>1861.7172123823</v>
      </c>
      <c r="D36" s="47">
        <v>4102.7713647364599</v>
      </c>
      <c r="E36" s="47">
        <v>2241.0541523541601</v>
      </c>
      <c r="F36" s="46" t="s">
        <v>238</v>
      </c>
    </row>
    <row r="37" spans="2:6" ht="42" customHeight="1" x14ac:dyDescent="0.35">
      <c r="B37" s="39" t="s">
        <v>239</v>
      </c>
      <c r="C37" s="48">
        <v>0.99488471416764002</v>
      </c>
      <c r="D37" s="48">
        <v>2.1924836325049899</v>
      </c>
      <c r="E37" s="48">
        <v>1.1975989183373501</v>
      </c>
      <c r="F37" s="46" t="s">
        <v>240</v>
      </c>
    </row>
    <row r="38" spans="2:6" ht="42" customHeight="1" x14ac:dyDescent="0.35">
      <c r="B38" s="39" t="s">
        <v>241</v>
      </c>
      <c r="C38" s="45">
        <v>-1.0251569061703999E-3</v>
      </c>
      <c r="D38" s="45">
        <v>0.17000379922266601</v>
      </c>
      <c r="E38" s="45">
        <v>0.17102895612883701</v>
      </c>
      <c r="F38" s="46" t="s">
        <v>242</v>
      </c>
    </row>
    <row r="39" spans="2:6" ht="15" customHeight="1" x14ac:dyDescent="0.35">
      <c r="B39" t="s">
        <v>243</v>
      </c>
    </row>
    <row r="40" spans="2:6" ht="15" customHeight="1" x14ac:dyDescent="0.35">
      <c r="B40" s="38" t="s">
        <v>244</v>
      </c>
    </row>
    <row r="41" spans="2:6" ht="15" customHeight="1" x14ac:dyDescent="0.35">
      <c r="B41" s="49" t="s">
        <v>245</v>
      </c>
    </row>
    <row r="42" spans="2:6" ht="15" customHeight="1" x14ac:dyDescent="0.35">
      <c r="B42" s="49" t="s">
        <v>246</v>
      </c>
    </row>
    <row r="43" spans="2:6" ht="15" customHeight="1" x14ac:dyDescent="0.35">
      <c r="B43" t="s">
        <v>247</v>
      </c>
    </row>
    <row r="44" spans="2:6" ht="15" customHeight="1" x14ac:dyDescent="0.35">
      <c r="B44" t="s">
        <v>248</v>
      </c>
    </row>
    <row r="45" spans="2:6" ht="15" customHeight="1" x14ac:dyDescent="0.35">
      <c r="B45" t="s">
        <v>249</v>
      </c>
    </row>
    <row r="46" spans="2:6" ht="15" customHeight="1" x14ac:dyDescent="0.35">
      <c r="B46" t="s">
        <v>250</v>
      </c>
    </row>
    <row r="47" spans="2:6" ht="13.75" customHeight="1" x14ac:dyDescent="0.35">
      <c r="B47" s="390" t="s">
        <v>251</v>
      </c>
    </row>
    <row r="48" spans="2:6" ht="15" customHeight="1" x14ac:dyDescent="0.35">
      <c r="B48" s="38" t="s">
        <v>252</v>
      </c>
    </row>
    <row r="49" spans="2:4" ht="15" customHeight="1" x14ac:dyDescent="0.35">
      <c r="B49" s="44" t="s">
        <v>222</v>
      </c>
      <c r="C49" s="44" t="s">
        <v>253</v>
      </c>
      <c r="D49" s="44" t="s">
        <v>254</v>
      </c>
    </row>
    <row r="50" spans="2:4" ht="15" customHeight="1" x14ac:dyDescent="0.35">
      <c r="B50" t="s">
        <v>255</v>
      </c>
      <c r="C50">
        <v>10.85</v>
      </c>
      <c r="D50">
        <v>18.829999999999998</v>
      </c>
    </row>
    <row r="51" spans="2:4" ht="15" customHeight="1" x14ac:dyDescent="0.35">
      <c r="B51" t="s">
        <v>256</v>
      </c>
      <c r="C51">
        <v>-422.75</v>
      </c>
      <c r="D51">
        <v>374.85</v>
      </c>
    </row>
    <row r="52" spans="2:4" ht="15" customHeight="1" x14ac:dyDescent="0.35">
      <c r="B52" t="s">
        <v>231</v>
      </c>
      <c r="C52">
        <v>212.21</v>
      </c>
      <c r="D52">
        <v>477.4</v>
      </c>
    </row>
    <row r="53" spans="2:4" ht="15" customHeight="1" x14ac:dyDescent="0.35">
      <c r="B53" t="s">
        <v>257</v>
      </c>
      <c r="C53">
        <v>2201.62</v>
      </c>
      <c r="D53">
        <v>6206.15</v>
      </c>
    </row>
    <row r="54" spans="2:4" ht="15" customHeight="1" x14ac:dyDescent="0.35">
      <c r="B54" t="s">
        <v>258</v>
      </c>
      <c r="C54">
        <v>1.18</v>
      </c>
      <c r="D54">
        <v>3.32</v>
      </c>
    </row>
    <row r="55" spans="2:4" ht="15" customHeight="1" x14ac:dyDescent="0.35">
      <c r="B55" s="390" t="s">
        <v>259</v>
      </c>
      <c r="C55">
        <v>3.3</v>
      </c>
      <c r="D55">
        <v>27.1</v>
      </c>
    </row>
  </sheetData>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56"/>
  <sheetViews>
    <sheetView zoomScaleNormal="100" zoomScalePageLayoutView="60" workbookViewId="0"/>
  </sheetViews>
  <sheetFormatPr defaultColWidth="8.6328125" defaultRowHeight="14.5" x14ac:dyDescent="0.35"/>
  <cols>
    <col min="2" max="2" width="4" customWidth="1"/>
    <col min="3" max="3" width="22" customWidth="1"/>
    <col min="4" max="4" width="26" customWidth="1"/>
    <col min="5" max="5" width="18" customWidth="1"/>
    <col min="6" max="6" width="20" customWidth="1"/>
    <col min="7" max="7" width="12" customWidth="1"/>
    <col min="8" max="8" width="28" customWidth="1"/>
    <col min="9" max="9" width="16" customWidth="1"/>
    <col min="10" max="10" width="32" customWidth="1"/>
    <col min="11" max="11" width="28" customWidth="1"/>
    <col min="12" max="12" width="40" customWidth="1"/>
    <col min="13" max="13" width="70" customWidth="1"/>
    <col min="14" max="14" width="14" customWidth="1"/>
  </cols>
  <sheetData>
    <row r="1" spans="2:14" ht="13.75" customHeight="1" x14ac:dyDescent="0.35"/>
    <row r="2" spans="2:14" ht="18" customHeight="1" x14ac:dyDescent="0.45">
      <c r="B2" s="37" t="s">
        <v>260</v>
      </c>
    </row>
    <row r="3" spans="2:14" ht="15" customHeight="1" x14ac:dyDescent="0.35">
      <c r="B3" t="s">
        <v>261</v>
      </c>
    </row>
    <row r="4" spans="2:14" ht="15" customHeight="1" x14ac:dyDescent="0.35">
      <c r="B4" s="50" t="s">
        <v>262</v>
      </c>
    </row>
    <row r="5" spans="2:14" ht="13.75" customHeight="1" x14ac:dyDescent="0.35"/>
    <row r="6" spans="2:14" ht="28.5" customHeight="1" x14ac:dyDescent="0.35">
      <c r="B6" s="51" t="s">
        <v>263</v>
      </c>
      <c r="C6" s="51" t="s">
        <v>207</v>
      </c>
      <c r="D6" s="51" t="s">
        <v>4</v>
      </c>
      <c r="E6" s="51" t="s">
        <v>264</v>
      </c>
      <c r="F6" s="51" t="s">
        <v>265</v>
      </c>
      <c r="G6" s="51" t="s">
        <v>266</v>
      </c>
      <c r="H6" s="51" t="s">
        <v>267</v>
      </c>
      <c r="I6" s="51" t="s">
        <v>268</v>
      </c>
      <c r="J6" s="51" t="s">
        <v>269</v>
      </c>
      <c r="K6" s="51" t="s">
        <v>270</v>
      </c>
      <c r="L6" s="51" t="s">
        <v>271</v>
      </c>
      <c r="M6" s="51" t="s">
        <v>272</v>
      </c>
      <c r="N6" s="52" t="s">
        <v>2</v>
      </c>
    </row>
    <row r="7" spans="2:14" ht="78" customHeight="1" x14ac:dyDescent="0.35">
      <c r="B7" s="53">
        <v>1</v>
      </c>
      <c r="C7" s="53" t="s">
        <v>273</v>
      </c>
      <c r="D7" s="53" t="s">
        <v>274</v>
      </c>
      <c r="E7" s="53" t="s">
        <v>275</v>
      </c>
      <c r="F7" s="53" t="s">
        <v>276</v>
      </c>
      <c r="G7" s="53" t="s">
        <v>277</v>
      </c>
      <c r="H7" s="54" t="s">
        <v>278</v>
      </c>
      <c r="I7" s="53" t="s">
        <v>279</v>
      </c>
      <c r="J7" s="53" t="s">
        <v>280</v>
      </c>
      <c r="K7" s="54" t="s">
        <v>281</v>
      </c>
      <c r="L7" s="53" t="s">
        <v>282</v>
      </c>
      <c r="M7" s="55" t="s">
        <v>283</v>
      </c>
      <c r="N7" s="24" t="s">
        <v>13</v>
      </c>
    </row>
    <row r="8" spans="2:14" ht="78" customHeight="1" x14ac:dyDescent="0.35">
      <c r="B8" s="53">
        <v>2</v>
      </c>
      <c r="C8" s="53" t="s">
        <v>284</v>
      </c>
      <c r="D8" s="53" t="s">
        <v>285</v>
      </c>
      <c r="E8" s="53" t="s">
        <v>275</v>
      </c>
      <c r="F8" s="53" t="s">
        <v>276</v>
      </c>
      <c r="G8" s="53" t="s">
        <v>286</v>
      </c>
      <c r="H8" s="54" t="s">
        <v>287</v>
      </c>
      <c r="I8" s="53" t="s">
        <v>279</v>
      </c>
      <c r="J8" s="53" t="s">
        <v>288</v>
      </c>
      <c r="K8" s="54" t="s">
        <v>289</v>
      </c>
      <c r="L8" s="53" t="s">
        <v>290</v>
      </c>
      <c r="M8" s="55" t="s">
        <v>291</v>
      </c>
      <c r="N8" s="24" t="s">
        <v>13</v>
      </c>
    </row>
    <row r="9" spans="2:14" ht="78" customHeight="1" x14ac:dyDescent="0.35">
      <c r="B9" s="53">
        <v>3</v>
      </c>
      <c r="C9" s="53" t="s">
        <v>292</v>
      </c>
      <c r="D9" s="53" t="s">
        <v>293</v>
      </c>
      <c r="E9" s="53" t="s">
        <v>275</v>
      </c>
      <c r="F9" s="53" t="s">
        <v>276</v>
      </c>
      <c r="G9" s="53" t="s">
        <v>294</v>
      </c>
      <c r="H9" s="54" t="s">
        <v>295</v>
      </c>
      <c r="I9" s="53" t="s">
        <v>279</v>
      </c>
      <c r="J9" s="53" t="s">
        <v>296</v>
      </c>
      <c r="K9" s="54" t="s">
        <v>297</v>
      </c>
      <c r="L9" s="53" t="s">
        <v>298</v>
      </c>
      <c r="M9" s="55" t="s">
        <v>299</v>
      </c>
      <c r="N9" s="24" t="s">
        <v>13</v>
      </c>
    </row>
    <row r="10" spans="2:14" ht="78" customHeight="1" x14ac:dyDescent="0.35">
      <c r="B10" s="53">
        <v>4</v>
      </c>
      <c r="C10" s="53" t="s">
        <v>300</v>
      </c>
      <c r="D10" s="53" t="s">
        <v>301</v>
      </c>
      <c r="E10" s="53" t="s">
        <v>275</v>
      </c>
      <c r="F10" s="53" t="s">
        <v>276</v>
      </c>
      <c r="G10" s="53" t="s">
        <v>302</v>
      </c>
      <c r="H10" s="54" t="s">
        <v>303</v>
      </c>
      <c r="I10" s="53" t="s">
        <v>279</v>
      </c>
      <c r="J10" s="53" t="s">
        <v>304</v>
      </c>
      <c r="K10" s="54" t="s">
        <v>305</v>
      </c>
      <c r="L10" s="53" t="s">
        <v>306</v>
      </c>
      <c r="M10" s="55" t="s">
        <v>307</v>
      </c>
      <c r="N10" s="24" t="s">
        <v>13</v>
      </c>
    </row>
    <row r="11" spans="2:14" ht="78" customHeight="1" x14ac:dyDescent="0.35">
      <c r="B11" s="53">
        <v>5</v>
      </c>
      <c r="C11" s="53" t="s">
        <v>308</v>
      </c>
      <c r="D11" s="53" t="s">
        <v>309</v>
      </c>
      <c r="E11" s="53" t="s">
        <v>275</v>
      </c>
      <c r="F11" s="53" t="s">
        <v>276</v>
      </c>
      <c r="G11" s="53" t="s">
        <v>310</v>
      </c>
      <c r="H11" s="54" t="s">
        <v>311</v>
      </c>
      <c r="I11" s="53" t="s">
        <v>279</v>
      </c>
      <c r="J11" s="53" t="s">
        <v>312</v>
      </c>
      <c r="K11" s="54" t="s">
        <v>313</v>
      </c>
      <c r="L11" s="53" t="s">
        <v>314</v>
      </c>
      <c r="M11" s="55" t="s">
        <v>315</v>
      </c>
      <c r="N11" s="24" t="s">
        <v>13</v>
      </c>
    </row>
    <row r="12" spans="2:14" ht="78" customHeight="1" x14ac:dyDescent="0.35">
      <c r="B12" s="53">
        <v>6</v>
      </c>
      <c r="C12" s="53" t="s">
        <v>316</v>
      </c>
      <c r="D12" s="53" t="s">
        <v>317</v>
      </c>
      <c r="E12" s="53" t="s">
        <v>275</v>
      </c>
      <c r="F12" s="53" t="s">
        <v>276</v>
      </c>
      <c r="G12" s="53" t="s">
        <v>318</v>
      </c>
      <c r="H12" s="54" t="s">
        <v>319</v>
      </c>
      <c r="I12" s="53" t="s">
        <v>279</v>
      </c>
      <c r="J12" s="53" t="s">
        <v>320</v>
      </c>
      <c r="K12" s="54" t="s">
        <v>321</v>
      </c>
      <c r="L12" s="53" t="s">
        <v>322</v>
      </c>
      <c r="M12" s="55" t="s">
        <v>323</v>
      </c>
      <c r="N12" s="24" t="s">
        <v>13</v>
      </c>
    </row>
    <row r="13" spans="2:14" ht="78" customHeight="1" x14ac:dyDescent="0.35">
      <c r="B13" s="53">
        <v>7</v>
      </c>
      <c r="C13" s="53" t="s">
        <v>324</v>
      </c>
      <c r="D13" s="53" t="s">
        <v>325</v>
      </c>
      <c r="E13" s="53" t="s">
        <v>275</v>
      </c>
      <c r="F13" s="53" t="s">
        <v>276</v>
      </c>
      <c r="G13" s="53" t="s">
        <v>326</v>
      </c>
      <c r="H13" s="54" t="s">
        <v>327</v>
      </c>
      <c r="I13" s="53" t="s">
        <v>279</v>
      </c>
      <c r="J13" s="53" t="s">
        <v>328</v>
      </c>
      <c r="K13" s="54" t="s">
        <v>329</v>
      </c>
      <c r="L13" s="53" t="s">
        <v>330</v>
      </c>
      <c r="M13" s="55" t="s">
        <v>331</v>
      </c>
      <c r="N13" s="24" t="s">
        <v>13</v>
      </c>
    </row>
    <row r="14" spans="2:14" ht="78" customHeight="1" x14ac:dyDescent="0.35">
      <c r="B14" s="53">
        <v>8</v>
      </c>
      <c r="C14" s="53" t="s">
        <v>332</v>
      </c>
      <c r="D14" s="53" t="s">
        <v>333</v>
      </c>
      <c r="E14" s="53" t="s">
        <v>275</v>
      </c>
      <c r="F14" s="53" t="s">
        <v>276</v>
      </c>
      <c r="G14" s="53" t="s">
        <v>334</v>
      </c>
      <c r="H14" s="54" t="s">
        <v>335</v>
      </c>
      <c r="I14" s="53" t="s">
        <v>279</v>
      </c>
      <c r="J14" s="53" t="s">
        <v>336</v>
      </c>
      <c r="K14" s="54" t="s">
        <v>337</v>
      </c>
      <c r="L14" s="53" t="s">
        <v>338</v>
      </c>
      <c r="M14" s="55" t="s">
        <v>339</v>
      </c>
      <c r="N14" s="24" t="s">
        <v>13</v>
      </c>
    </row>
    <row r="15" spans="2:14" ht="78" customHeight="1" x14ac:dyDescent="0.35">
      <c r="B15" s="53">
        <v>9</v>
      </c>
      <c r="C15" s="53" t="s">
        <v>65</v>
      </c>
      <c r="D15" s="53" t="s">
        <v>340</v>
      </c>
      <c r="E15" s="53" t="s">
        <v>275</v>
      </c>
      <c r="F15" s="53" t="s">
        <v>276</v>
      </c>
      <c r="G15" s="53" t="s">
        <v>341</v>
      </c>
      <c r="H15" s="54" t="s">
        <v>342</v>
      </c>
      <c r="I15" s="53" t="s">
        <v>279</v>
      </c>
      <c r="J15" s="53" t="s">
        <v>343</v>
      </c>
      <c r="K15" s="54" t="s">
        <v>344</v>
      </c>
      <c r="L15" s="53" t="s">
        <v>345</v>
      </c>
      <c r="M15" s="55" t="s">
        <v>346</v>
      </c>
      <c r="N15" s="24" t="s">
        <v>13</v>
      </c>
    </row>
    <row r="16" spans="2:14" ht="78" customHeight="1" x14ac:dyDescent="0.35">
      <c r="B16" s="53">
        <v>10</v>
      </c>
      <c r="C16" s="53" t="s">
        <v>347</v>
      </c>
      <c r="D16" s="53" t="s">
        <v>348</v>
      </c>
      <c r="E16" s="53" t="s">
        <v>275</v>
      </c>
      <c r="F16" s="53" t="s">
        <v>276</v>
      </c>
      <c r="G16" s="53" t="s">
        <v>349</v>
      </c>
      <c r="H16" s="54" t="s">
        <v>350</v>
      </c>
      <c r="I16" s="53" t="s">
        <v>351</v>
      </c>
      <c r="J16" s="53" t="s">
        <v>352</v>
      </c>
      <c r="K16" s="54" t="s">
        <v>353</v>
      </c>
      <c r="L16" s="53" t="s">
        <v>354</v>
      </c>
      <c r="M16" s="55" t="s">
        <v>355</v>
      </c>
      <c r="N16" s="24" t="s">
        <v>13</v>
      </c>
    </row>
    <row r="17" spans="2:14" ht="78" customHeight="1" x14ac:dyDescent="0.35">
      <c r="B17" s="53">
        <v>11</v>
      </c>
      <c r="C17" s="53" t="s">
        <v>356</v>
      </c>
      <c r="D17" s="53" t="s">
        <v>357</v>
      </c>
      <c r="E17" s="53" t="s">
        <v>275</v>
      </c>
      <c r="F17" s="53" t="s">
        <v>276</v>
      </c>
      <c r="G17" s="53" t="s">
        <v>358</v>
      </c>
      <c r="H17" s="54" t="s">
        <v>350</v>
      </c>
      <c r="I17" s="53" t="s">
        <v>351</v>
      </c>
      <c r="J17" s="53" t="s">
        <v>359</v>
      </c>
      <c r="K17" s="54" t="s">
        <v>360</v>
      </c>
      <c r="L17" s="53" t="s">
        <v>361</v>
      </c>
      <c r="M17" s="55" t="s">
        <v>362</v>
      </c>
      <c r="N17" s="24" t="s">
        <v>13</v>
      </c>
    </row>
    <row r="18" spans="2:14" ht="78" customHeight="1" x14ac:dyDescent="0.35">
      <c r="B18" s="53">
        <v>12</v>
      </c>
      <c r="C18" s="53" t="s">
        <v>363</v>
      </c>
      <c r="D18" s="53" t="s">
        <v>364</v>
      </c>
      <c r="E18" s="53" t="s">
        <v>275</v>
      </c>
      <c r="F18" s="53" t="s">
        <v>276</v>
      </c>
      <c r="G18" s="53" t="s">
        <v>365</v>
      </c>
      <c r="H18" s="54" t="s">
        <v>366</v>
      </c>
      <c r="I18" s="53" t="s">
        <v>351</v>
      </c>
      <c r="J18" s="53" t="s">
        <v>367</v>
      </c>
      <c r="K18" s="54" t="s">
        <v>368</v>
      </c>
      <c r="L18" s="53" t="s">
        <v>369</v>
      </c>
      <c r="M18" s="55" t="s">
        <v>370</v>
      </c>
      <c r="N18" s="24" t="s">
        <v>13</v>
      </c>
    </row>
    <row r="19" spans="2:14" ht="78" customHeight="1" x14ac:dyDescent="0.35">
      <c r="B19" s="53">
        <v>13</v>
      </c>
      <c r="C19" s="53" t="s">
        <v>371</v>
      </c>
      <c r="D19" s="53" t="s">
        <v>372</v>
      </c>
      <c r="E19" s="53" t="s">
        <v>275</v>
      </c>
      <c r="F19" s="53" t="s">
        <v>276</v>
      </c>
      <c r="G19" s="53" t="s">
        <v>373</v>
      </c>
      <c r="H19" s="54" t="s">
        <v>374</v>
      </c>
      <c r="I19" s="53" t="s">
        <v>351</v>
      </c>
      <c r="J19" s="53" t="s">
        <v>375</v>
      </c>
      <c r="K19" s="54" t="s">
        <v>376</v>
      </c>
      <c r="L19" s="53" t="s">
        <v>377</v>
      </c>
      <c r="M19" s="55" t="s">
        <v>378</v>
      </c>
      <c r="N19" s="24" t="s">
        <v>13</v>
      </c>
    </row>
    <row r="20" spans="2:14" ht="78" customHeight="1" x14ac:dyDescent="0.35">
      <c r="B20" s="53">
        <v>14</v>
      </c>
      <c r="C20" s="53" t="s">
        <v>379</v>
      </c>
      <c r="D20" s="53" t="s">
        <v>380</v>
      </c>
      <c r="E20" s="53" t="s">
        <v>275</v>
      </c>
      <c r="F20" s="53" t="s">
        <v>276</v>
      </c>
      <c r="G20" s="53" t="s">
        <v>381</v>
      </c>
      <c r="H20" s="54" t="s">
        <v>382</v>
      </c>
      <c r="I20" s="53" t="s">
        <v>279</v>
      </c>
      <c r="J20" s="53" t="s">
        <v>383</v>
      </c>
      <c r="K20" s="54" t="s">
        <v>384</v>
      </c>
      <c r="L20" s="53" t="s">
        <v>385</v>
      </c>
      <c r="M20" s="55" t="s">
        <v>386</v>
      </c>
      <c r="N20" s="24" t="s">
        <v>13</v>
      </c>
    </row>
    <row r="21" spans="2:14" ht="78" customHeight="1" x14ac:dyDescent="0.35">
      <c r="B21" s="53">
        <v>15</v>
      </c>
      <c r="C21" s="53" t="s">
        <v>387</v>
      </c>
      <c r="D21" s="53" t="s">
        <v>388</v>
      </c>
      <c r="E21" s="53" t="s">
        <v>389</v>
      </c>
      <c r="F21" s="53" t="s">
        <v>276</v>
      </c>
      <c r="G21" s="53" t="s">
        <v>390</v>
      </c>
      <c r="H21" s="54" t="s">
        <v>391</v>
      </c>
      <c r="I21" s="53" t="s">
        <v>392</v>
      </c>
      <c r="J21" s="53" t="s">
        <v>393</v>
      </c>
      <c r="K21" s="54" t="s">
        <v>394</v>
      </c>
      <c r="L21" s="53" t="s">
        <v>395</v>
      </c>
      <c r="M21" s="55" t="s">
        <v>396</v>
      </c>
      <c r="N21" s="24" t="s">
        <v>13</v>
      </c>
    </row>
    <row r="22" spans="2:14" ht="15" customHeight="1" x14ac:dyDescent="0.35">
      <c r="B22">
        <v>16</v>
      </c>
      <c r="C22" t="s">
        <v>163</v>
      </c>
      <c r="D22" t="s">
        <v>397</v>
      </c>
      <c r="E22" t="s">
        <v>398</v>
      </c>
      <c r="F22" t="s">
        <v>276</v>
      </c>
      <c r="G22" t="s">
        <v>399</v>
      </c>
    </row>
    <row r="23" spans="2:14" ht="15" customHeight="1" x14ac:dyDescent="0.35">
      <c r="B23" s="31" t="s">
        <v>400</v>
      </c>
    </row>
    <row r="24" spans="2:14" ht="15.75" customHeight="1" x14ac:dyDescent="0.35">
      <c r="B24" s="38">
        <v>17</v>
      </c>
      <c r="C24" t="s">
        <v>115</v>
      </c>
      <c r="D24" t="s">
        <v>401</v>
      </c>
      <c r="E24" t="s">
        <v>275</v>
      </c>
      <c r="F24" t="s">
        <v>276</v>
      </c>
      <c r="G24" t="s">
        <v>402</v>
      </c>
      <c r="H24" t="s">
        <v>403</v>
      </c>
      <c r="M24" t="s">
        <v>404</v>
      </c>
      <c r="N24" s="56" t="s">
        <v>114</v>
      </c>
    </row>
    <row r="25" spans="2:14" ht="15" customHeight="1" x14ac:dyDescent="0.35">
      <c r="B25" s="36">
        <v>18</v>
      </c>
      <c r="C25" t="s">
        <v>122</v>
      </c>
      <c r="D25" t="s">
        <v>405</v>
      </c>
      <c r="E25" t="s">
        <v>275</v>
      </c>
      <c r="F25" t="s">
        <v>276</v>
      </c>
      <c r="G25" t="s">
        <v>406</v>
      </c>
      <c r="H25" t="s">
        <v>407</v>
      </c>
      <c r="M25" t="s">
        <v>408</v>
      </c>
      <c r="N25" s="56" t="s">
        <v>114</v>
      </c>
    </row>
    <row r="26" spans="2:14" ht="15" customHeight="1" x14ac:dyDescent="0.35">
      <c r="B26">
        <v>19</v>
      </c>
      <c r="C26" t="s">
        <v>128</v>
      </c>
      <c r="D26" t="s">
        <v>409</v>
      </c>
      <c r="E26" t="s">
        <v>275</v>
      </c>
      <c r="F26" t="s">
        <v>276</v>
      </c>
      <c r="G26" t="s">
        <v>410</v>
      </c>
      <c r="H26" t="s">
        <v>411</v>
      </c>
      <c r="M26" t="s">
        <v>412</v>
      </c>
      <c r="N26" s="56" t="s">
        <v>114</v>
      </c>
    </row>
    <row r="27" spans="2:14" ht="15" customHeight="1" x14ac:dyDescent="0.35">
      <c r="B27">
        <v>20</v>
      </c>
      <c r="C27" t="s">
        <v>134</v>
      </c>
      <c r="D27" t="s">
        <v>413</v>
      </c>
      <c r="E27" t="s">
        <v>275</v>
      </c>
      <c r="F27" t="s">
        <v>276</v>
      </c>
      <c r="G27" t="s">
        <v>414</v>
      </c>
      <c r="H27" t="s">
        <v>415</v>
      </c>
      <c r="M27" t="s">
        <v>416</v>
      </c>
      <c r="N27" s="57" t="s">
        <v>13</v>
      </c>
    </row>
    <row r="28" spans="2:14" ht="90.75" customHeight="1" x14ac:dyDescent="0.35">
      <c r="B28" s="38">
        <v>21</v>
      </c>
      <c r="C28" t="s">
        <v>417</v>
      </c>
      <c r="D28" t="s">
        <v>418</v>
      </c>
      <c r="E28" t="s">
        <v>275</v>
      </c>
      <c r="F28" t="s">
        <v>276</v>
      </c>
      <c r="G28" t="s">
        <v>419</v>
      </c>
      <c r="H28" t="s">
        <v>420</v>
      </c>
      <c r="J28" t="s">
        <v>421</v>
      </c>
      <c r="L28" t="s">
        <v>422</v>
      </c>
      <c r="M28" t="s">
        <v>423</v>
      </c>
      <c r="N28" s="57" t="s">
        <v>13</v>
      </c>
    </row>
    <row r="29" spans="2:14" ht="25.5" customHeight="1" x14ac:dyDescent="0.35">
      <c r="B29" s="58" t="s">
        <v>424</v>
      </c>
      <c r="C29" t="s">
        <v>425</v>
      </c>
      <c r="D29" t="s">
        <v>426</v>
      </c>
      <c r="F29" t="s">
        <v>392</v>
      </c>
      <c r="G29" t="s">
        <v>427</v>
      </c>
    </row>
    <row r="30" spans="2:14" ht="409.5" customHeight="1" x14ac:dyDescent="0.35">
      <c r="B30" s="59" t="s">
        <v>428</v>
      </c>
    </row>
    <row r="31" spans="2:14" ht="409.5" customHeight="1" x14ac:dyDescent="0.35">
      <c r="B31" s="58" t="s">
        <v>429</v>
      </c>
    </row>
    <row r="32" spans="2:14" ht="15" customHeight="1" x14ac:dyDescent="0.35">
      <c r="B32" s="58" t="s">
        <v>430</v>
      </c>
    </row>
    <row r="33" spans="2:2" ht="409.5" customHeight="1" x14ac:dyDescent="0.35">
      <c r="B33" s="31" t="s">
        <v>431</v>
      </c>
    </row>
    <row r="34" spans="2:2" ht="84" customHeight="1" x14ac:dyDescent="0.35">
      <c r="B34" s="60" t="s">
        <v>432</v>
      </c>
    </row>
    <row r="35" spans="2:2" ht="409.5" customHeight="1" x14ac:dyDescent="0.35">
      <c r="B35" s="14" t="s">
        <v>433</v>
      </c>
    </row>
    <row r="36" spans="2:2" ht="13.75" customHeight="1" x14ac:dyDescent="0.35">
      <c r="B36" s="14" t="s">
        <v>430</v>
      </c>
    </row>
    <row r="37" spans="2:2" ht="15" customHeight="1" x14ac:dyDescent="0.35"/>
    <row r="38" spans="2:2" ht="84" customHeight="1" x14ac:dyDescent="0.35">
      <c r="B38" s="38"/>
    </row>
    <row r="39" spans="2:2" ht="409.5" customHeight="1" x14ac:dyDescent="0.35">
      <c r="B39" s="14" t="s">
        <v>433</v>
      </c>
    </row>
    <row r="40" spans="2:2" ht="13.75" customHeight="1" x14ac:dyDescent="0.35">
      <c r="B40" s="14" t="s">
        <v>430</v>
      </c>
    </row>
    <row r="41" spans="2:2" ht="15" customHeight="1" x14ac:dyDescent="0.35"/>
    <row r="42" spans="2:2" ht="84" customHeight="1" x14ac:dyDescent="0.35">
      <c r="B42" s="38"/>
    </row>
    <row r="43" spans="2:2" ht="409.5" customHeight="1" x14ac:dyDescent="0.35">
      <c r="B43" s="14" t="s">
        <v>433</v>
      </c>
    </row>
    <row r="44" spans="2:2" ht="409.5" x14ac:dyDescent="0.35">
      <c r="B44" s="14" t="s">
        <v>430</v>
      </c>
    </row>
    <row r="56" spans="2:7" x14ac:dyDescent="0.35">
      <c r="B56" t="s">
        <v>434</v>
      </c>
      <c r="C56" t="s">
        <v>435</v>
      </c>
      <c r="G56" t="s">
        <v>436</v>
      </c>
    </row>
  </sheetData>
  <hyperlinks>
    <hyperlink ref="B4" r:id="rId1" xr:uid="{00000000-0004-0000-0200-000000000000}"/>
    <hyperlink ref="B29" r:id="rId2" display="NOTE" xr:uid="{00000000-0004-0000-0200-000001000000}"/>
    <hyperlink ref="B30" r:id="rId3" display="NWC FIX: C13=10% cuts AR only (not entire NWC). ΔNWC≈ΔAR(C25)−ΔDeferred(C26). Old formula ΔRev×WCbase×(1−C13) removed from ops." xr:uid="{00000000-0004-0000-0200-000002000000}"/>
    <hyperlink ref="B31" r:id="rId4" display="https://raw.githubusercontent.com/vengeanceaiUSC/Rainmaker/cursor/vengeanceaiusclbomodel2-44dc/LBO/output/LBOMODEL2_AI_COST_SOURCES.pdf" xr:uid="{00000000-0004-0000-0200-000003000000}"/>
    <hyperlink ref="B35" r:id="rId5" display="https://raw.githubusercontent.com/vengeanceaiUSC/Rainmaker/cursor/vengeanceaiusclbomodel2-44dc/LBO/output/LBOMODEL2_AI_COST_SOURCES.pdf" xr:uid="{00000000-0004-0000-0200-000004000000}"/>
    <hyperlink ref="B39" r:id="rId6" display="https://raw.githubusercontent.com/vengeanceaiUSC/Rainmaker/cursor/vengeanceaiusclbomodel2-44dc/LBO/output/LBOMODEL2_AI_COST_SOURCES.pdf" xr:uid="{00000000-0004-0000-0200-000005000000}"/>
    <hyperlink ref="B43" r:id="rId7" display="https://raw.githubusercontent.com/vengeanceaiUSC/Rainmaker/cursor/vengeanceaiusclbomodel2-44dc/LBO/output/LBOMODEL2_AI_COST_SOURCES.pdf" xr:uid="{00000000-0004-0000-0200-000006000000}"/>
  </hyperlink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zoomScaleNormal="100" zoomScalePageLayoutView="60" workbookViewId="0"/>
  </sheetViews>
  <sheetFormatPr defaultColWidth="8.6328125" defaultRowHeight="14.5" x14ac:dyDescent="0.35"/>
  <cols>
    <col min="2" max="2" width="28" customWidth="1"/>
    <col min="3" max="3" width="16" customWidth="1"/>
    <col min="4" max="4" width="36" customWidth="1"/>
    <col min="6" max="6" width="26" customWidth="1"/>
    <col min="7" max="7" width="14" customWidth="1"/>
  </cols>
  <sheetData>
    <row r="1" spans="2:8" ht="13.75" customHeight="1" x14ac:dyDescent="0.35"/>
    <row r="2" spans="2:8" ht="18" customHeight="1" x14ac:dyDescent="0.45">
      <c r="B2" s="37" t="s">
        <v>437</v>
      </c>
    </row>
    <row r="3" spans="2:8" ht="15" customHeight="1" x14ac:dyDescent="0.35">
      <c r="B3" t="s">
        <v>438</v>
      </c>
    </row>
    <row r="4" spans="2:8" ht="15" customHeight="1" x14ac:dyDescent="0.35">
      <c r="B4" s="44" t="s">
        <v>439</v>
      </c>
      <c r="C4" s="44" t="s">
        <v>440</v>
      </c>
      <c r="D4" s="44" t="s">
        <v>441</v>
      </c>
      <c r="E4" s="44" t="s">
        <v>442</v>
      </c>
      <c r="F4" s="44" t="s">
        <v>443</v>
      </c>
      <c r="G4" s="44" t="s">
        <v>444</v>
      </c>
      <c r="H4" s="44" t="s">
        <v>445</v>
      </c>
    </row>
    <row r="5" spans="2:8" ht="15" customHeight="1" x14ac:dyDescent="0.35">
      <c r="B5" s="61">
        <v>2025</v>
      </c>
      <c r="C5" s="47">
        <v>123.04638106849301</v>
      </c>
      <c r="D5" s="47">
        <v>9.1549999999999994</v>
      </c>
      <c r="E5" s="47">
        <v>123.04638106849301</v>
      </c>
      <c r="F5" s="47">
        <v>792.45361893150698</v>
      </c>
      <c r="G5" s="47">
        <v>855.14270547945205</v>
      </c>
      <c r="H5" s="47">
        <v>62.689086547945202</v>
      </c>
    </row>
    <row r="6" spans="2:8" ht="15" customHeight="1" x14ac:dyDescent="0.35">
      <c r="B6" s="61">
        <v>2026</v>
      </c>
      <c r="C6" s="47">
        <v>149.35601197857901</v>
      </c>
      <c r="D6" s="47">
        <v>9.1549999999999994</v>
      </c>
      <c r="E6" s="47">
        <v>149.35601197857901</v>
      </c>
      <c r="F6" s="47">
        <v>643.097606952928</v>
      </c>
      <c r="G6" s="47">
        <v>782.86701578767099</v>
      </c>
      <c r="H6" s="47">
        <v>139.76940883474299</v>
      </c>
    </row>
    <row r="7" spans="2:8" ht="15" customHeight="1" x14ac:dyDescent="0.35">
      <c r="B7" s="61">
        <v>2027</v>
      </c>
      <c r="C7" s="47">
        <v>178.46379176061001</v>
      </c>
      <c r="D7" s="47">
        <v>9.1549999999999994</v>
      </c>
      <c r="E7" s="47">
        <v>178.46379176061001</v>
      </c>
      <c r="F7" s="47">
        <v>464.633815192317</v>
      </c>
      <c r="G7" s="47">
        <v>697.338267139143</v>
      </c>
      <c r="H7" s="47">
        <v>232.704451946826</v>
      </c>
    </row>
    <row r="8" spans="2:8" ht="15" customHeight="1" x14ac:dyDescent="0.35">
      <c r="B8" s="61">
        <v>2028</v>
      </c>
      <c r="C8" s="47">
        <v>210.61006540253899</v>
      </c>
      <c r="D8" s="47">
        <v>9.1549999999999994</v>
      </c>
      <c r="E8" s="47">
        <v>210.61006540253899</v>
      </c>
      <c r="F8" s="47">
        <v>254.02374978977801</v>
      </c>
      <c r="G8" s="47">
        <v>599.09556190648198</v>
      </c>
      <c r="H8" s="47">
        <v>345.07181211670502</v>
      </c>
    </row>
    <row r="9" spans="2:8" ht="15" customHeight="1" x14ac:dyDescent="0.35">
      <c r="B9" s="61">
        <v>2029</v>
      </c>
      <c r="C9" s="47">
        <v>247.663282589115</v>
      </c>
      <c r="D9" s="47">
        <v>9.1549999999999994</v>
      </c>
      <c r="E9" s="47">
        <v>247.663282589115</v>
      </c>
      <c r="F9" s="47">
        <v>6.3604672006630398</v>
      </c>
      <c r="G9" s="47">
        <v>487.14039922126699</v>
      </c>
      <c r="H9" s="47">
        <v>480.77993202060401</v>
      </c>
    </row>
    <row r="10" spans="2:8" ht="13.75" customHeight="1" x14ac:dyDescent="0.35"/>
    <row r="11" spans="2:8" ht="54.75" customHeight="1" x14ac:dyDescent="0.35">
      <c r="B11" s="62" t="s">
        <v>446</v>
      </c>
      <c r="C11" s="8" t="s">
        <v>447</v>
      </c>
      <c r="D11" s="8" t="s">
        <v>448</v>
      </c>
      <c r="E11" s="8" t="s">
        <v>449</v>
      </c>
      <c r="F11" s="63" t="s">
        <v>450</v>
      </c>
      <c r="G11" s="63" t="s">
        <v>451</v>
      </c>
    </row>
    <row r="12" spans="2:8" ht="54.75" customHeight="1" x14ac:dyDescent="0.35">
      <c r="B12" s="62" t="s">
        <v>452</v>
      </c>
      <c r="C12" s="64" t="s">
        <v>453</v>
      </c>
      <c r="D12" s="64" t="s">
        <v>454</v>
      </c>
      <c r="E12" s="64" t="s">
        <v>455</v>
      </c>
      <c r="F12" s="65" t="s">
        <v>456</v>
      </c>
      <c r="G12" s="66">
        <v>457.75</v>
      </c>
    </row>
    <row r="13" spans="2:8" ht="54.75" customHeight="1" x14ac:dyDescent="0.35">
      <c r="B13" s="62" t="s">
        <v>457</v>
      </c>
      <c r="C13" s="8" t="s">
        <v>458</v>
      </c>
      <c r="D13" s="8" t="s">
        <v>459</v>
      </c>
      <c r="E13" s="8" t="s">
        <v>460</v>
      </c>
      <c r="F13" s="65" t="s">
        <v>461</v>
      </c>
      <c r="G13" s="66">
        <v>274.64999999999998</v>
      </c>
    </row>
    <row r="14" spans="2:8" ht="21.75" customHeight="1" x14ac:dyDescent="0.45">
      <c r="B14" s="67"/>
      <c r="F14" s="65" t="s">
        <v>462</v>
      </c>
      <c r="G14" s="66">
        <v>183.1</v>
      </c>
    </row>
    <row r="15" spans="2:8" ht="19.5" customHeight="1" x14ac:dyDescent="0.35">
      <c r="B15" s="68"/>
      <c r="C15" s="68"/>
      <c r="F15" s="69" t="s">
        <v>463</v>
      </c>
      <c r="G15" s="70">
        <v>915.5</v>
      </c>
    </row>
    <row r="16" spans="2:8" ht="19.5" customHeight="1" x14ac:dyDescent="0.35">
      <c r="B16" s="71"/>
      <c r="C16" s="72"/>
      <c r="F16" s="73" t="s">
        <v>464</v>
      </c>
    </row>
    <row r="17" spans="2:3" ht="19.5" customHeight="1" x14ac:dyDescent="0.35">
      <c r="B17" s="71"/>
      <c r="C17" s="72"/>
    </row>
    <row r="18" spans="2:3" ht="19.5" customHeight="1" x14ac:dyDescent="0.35">
      <c r="B18" s="71"/>
      <c r="C18" s="72"/>
    </row>
    <row r="19" spans="2:3" ht="19.5" customHeight="1" x14ac:dyDescent="0.35">
      <c r="B19" s="71"/>
      <c r="C19" s="72"/>
    </row>
    <row r="20" spans="2:3" ht="15" customHeight="1" x14ac:dyDescent="0.35">
      <c r="B20" s="74"/>
      <c r="C20" s="75"/>
    </row>
    <row r="21" spans="2:3" ht="15" customHeight="1" x14ac:dyDescent="0.35">
      <c r="B21" s="76"/>
    </row>
  </sheetData>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4"/>
  <sheetViews>
    <sheetView zoomScaleNormal="100" zoomScalePageLayoutView="60" workbookViewId="0"/>
  </sheetViews>
  <sheetFormatPr defaultColWidth="8.6328125" defaultRowHeight="14.5" x14ac:dyDescent="0.35"/>
  <cols>
    <col min="2" max="2" width="26" customWidth="1"/>
    <col min="3" max="3" width="12" customWidth="1"/>
  </cols>
  <sheetData>
    <row r="1" spans="2:8" ht="13.75" customHeight="1" x14ac:dyDescent="0.35"/>
    <row r="2" spans="2:8" ht="18" customHeight="1" x14ac:dyDescent="0.45">
      <c r="B2" s="37" t="s">
        <v>465</v>
      </c>
    </row>
    <row r="3" spans="2:8" ht="15" customHeight="1" x14ac:dyDescent="0.35">
      <c r="B3" t="s">
        <v>466</v>
      </c>
    </row>
    <row r="4" spans="2:8" ht="15" customHeight="1" x14ac:dyDescent="0.35">
      <c r="B4" s="44" t="s">
        <v>222</v>
      </c>
      <c r="C4" s="44" t="s">
        <v>467</v>
      </c>
      <c r="D4" s="44" t="s">
        <v>468</v>
      </c>
      <c r="E4" s="44" t="s">
        <v>469</v>
      </c>
      <c r="F4" s="44" t="s">
        <v>470</v>
      </c>
      <c r="G4" s="44" t="s">
        <v>471</v>
      </c>
      <c r="H4" s="44" t="s">
        <v>472</v>
      </c>
    </row>
    <row r="5" spans="2:8" ht="15" customHeight="1" x14ac:dyDescent="0.35">
      <c r="B5" s="39" t="s">
        <v>473</v>
      </c>
      <c r="C5" s="77">
        <v>1214.3</v>
      </c>
      <c r="D5" s="47">
        <v>1275.0150000000001</v>
      </c>
      <c r="E5" s="47">
        <v>1338.76575</v>
      </c>
      <c r="F5" s="47">
        <v>1405.7040374999999</v>
      </c>
      <c r="G5" s="47">
        <v>1475.9892393749999</v>
      </c>
      <c r="H5" s="47">
        <v>1549.7887013437501</v>
      </c>
    </row>
    <row r="6" spans="2:8" ht="15" customHeight="1" x14ac:dyDescent="0.35">
      <c r="B6" s="39" t="s">
        <v>474</v>
      </c>
      <c r="C6" s="77">
        <v>242.86</v>
      </c>
      <c r="D6" s="47">
        <v>255.00299999999999</v>
      </c>
      <c r="E6" s="47">
        <v>267.75315000000001</v>
      </c>
      <c r="F6" s="47">
        <v>281.14080749999999</v>
      </c>
      <c r="G6" s="47">
        <v>295.19784787499998</v>
      </c>
      <c r="H6" s="47">
        <v>309.95774026875</v>
      </c>
    </row>
    <row r="7" spans="2:8" ht="15" customHeight="1" x14ac:dyDescent="0.35">
      <c r="B7" s="39" t="s">
        <v>475</v>
      </c>
      <c r="C7" s="77">
        <v>289.89999999999998</v>
      </c>
      <c r="D7" s="47">
        <v>304.39499999999998</v>
      </c>
      <c r="E7" s="47">
        <v>319.61475000000002</v>
      </c>
      <c r="F7" s="47">
        <v>335.59548749999999</v>
      </c>
      <c r="G7" s="47">
        <v>352.37526187499998</v>
      </c>
      <c r="H7" s="47">
        <v>369.99402496875001</v>
      </c>
    </row>
    <row r="8" spans="2:8" ht="15" customHeight="1" x14ac:dyDescent="0.35">
      <c r="B8" s="39" t="s">
        <v>476</v>
      </c>
      <c r="C8" s="77">
        <v>124.2</v>
      </c>
      <c r="D8" s="47">
        <v>130.41</v>
      </c>
      <c r="E8" s="47">
        <v>136.93049999999999</v>
      </c>
      <c r="F8" s="47">
        <v>143.77702500000001</v>
      </c>
      <c r="G8" s="47">
        <v>150.96587625000001</v>
      </c>
      <c r="H8" s="47">
        <v>158.5141700625</v>
      </c>
    </row>
    <row r="9" spans="2:8" ht="15" customHeight="1" x14ac:dyDescent="0.35">
      <c r="B9" s="39" t="s">
        <v>477</v>
      </c>
      <c r="C9" s="77">
        <v>414.1</v>
      </c>
      <c r="D9" s="47">
        <v>434.80500000000001</v>
      </c>
      <c r="E9" s="47">
        <v>456.54525000000001</v>
      </c>
      <c r="F9" s="47">
        <v>479.37251250000003</v>
      </c>
      <c r="G9" s="47">
        <v>503.34113812499999</v>
      </c>
      <c r="H9" s="47">
        <v>528.50819503125001</v>
      </c>
    </row>
    <row r="10" spans="2:8" ht="15" customHeight="1" x14ac:dyDescent="0.35">
      <c r="B10" s="39" t="s">
        <v>478</v>
      </c>
      <c r="C10" s="77">
        <v>0</v>
      </c>
      <c r="D10" s="47">
        <v>0</v>
      </c>
      <c r="E10" s="47">
        <v>0</v>
      </c>
      <c r="F10" s="47">
        <v>0</v>
      </c>
      <c r="G10" s="47">
        <v>0</v>
      </c>
      <c r="H10" s="47">
        <v>0</v>
      </c>
    </row>
    <row r="11" spans="2:8" ht="15" customHeight="1" x14ac:dyDescent="0.35">
      <c r="B11" s="39" t="s">
        <v>479</v>
      </c>
      <c r="C11" s="77">
        <v>196.1</v>
      </c>
      <c r="D11" s="47">
        <v>205.905</v>
      </c>
      <c r="E11" s="47">
        <v>216.20025000000001</v>
      </c>
      <c r="F11" s="47">
        <v>227.01026250000001</v>
      </c>
      <c r="G11" s="47">
        <v>238.360775625</v>
      </c>
      <c r="H11" s="47">
        <v>250.27881440625001</v>
      </c>
    </row>
    <row r="12" spans="2:8" ht="15" customHeight="1" x14ac:dyDescent="0.35">
      <c r="B12" s="39" t="s">
        <v>480</v>
      </c>
      <c r="C12" s="77">
        <v>218.57400000000001</v>
      </c>
      <c r="D12" s="47">
        <v>229.5027</v>
      </c>
      <c r="E12" s="47">
        <v>240.977835</v>
      </c>
      <c r="F12" s="47">
        <v>253.02672674999999</v>
      </c>
      <c r="G12" s="47">
        <v>265.67806308749999</v>
      </c>
      <c r="H12" s="47">
        <v>278.96196624187502</v>
      </c>
    </row>
    <row r="13" spans="2:8" ht="15" customHeight="1" x14ac:dyDescent="0.35">
      <c r="B13" s="39" t="s">
        <v>481</v>
      </c>
      <c r="C13" s="77">
        <v>183.1</v>
      </c>
      <c r="D13" s="47">
        <v>149.79929999999999</v>
      </c>
      <c r="E13" s="47">
        <v>157.289265</v>
      </c>
      <c r="F13" s="47">
        <v>165.15372825</v>
      </c>
      <c r="G13" s="47">
        <v>173.41141466249999</v>
      </c>
      <c r="H13" s="47">
        <v>182.081985395625</v>
      </c>
    </row>
    <row r="14" spans="2:8" ht="15" customHeight="1" x14ac:dyDescent="0.35">
      <c r="B14" s="39" t="s">
        <v>482</v>
      </c>
      <c r="C14" s="78">
        <v>0.15078646133574899</v>
      </c>
      <c r="D14" s="45">
        <v>0.11748826484394299</v>
      </c>
      <c r="E14" s="45">
        <v>0.11748826484394299</v>
      </c>
      <c r="F14" s="45">
        <v>0.11748826484394299</v>
      </c>
      <c r="G14" s="45">
        <v>0.11748826484394299</v>
      </c>
      <c r="H14" s="45">
        <v>0.11748826484394299</v>
      </c>
    </row>
    <row r="15" spans="2:8" ht="15" customHeight="1" x14ac:dyDescent="0.35">
      <c r="B15" s="39" t="s">
        <v>195</v>
      </c>
      <c r="C15" s="77">
        <v>85.7</v>
      </c>
      <c r="D15" s="47">
        <f>C15*(1+Assumptions_Drivers!$C$5)</f>
        <v>89.985000000000014</v>
      </c>
      <c r="E15" s="47">
        <f>D15*(1+Assumptions_Drivers!$C$5)</f>
        <v>94.484250000000017</v>
      </c>
      <c r="F15" s="47">
        <f>E15*(1+Assumptions_Drivers!$C$5)</f>
        <v>99.208462500000024</v>
      </c>
      <c r="G15" s="47">
        <f>F15*(1+Assumptions_Drivers!$C$5)</f>
        <v>104.16888562500003</v>
      </c>
      <c r="H15" s="47">
        <f>G15*(1+Assumptions_Drivers!$C$5)</f>
        <v>109.37732990625004</v>
      </c>
    </row>
    <row r="16" spans="2:8" ht="15" customHeight="1" x14ac:dyDescent="0.35">
      <c r="B16" s="39" t="s">
        <v>483</v>
      </c>
      <c r="C16" s="77">
        <v>97.4</v>
      </c>
      <c r="D16" s="47">
        <v>59.814300000000102</v>
      </c>
      <c r="E16" s="47">
        <v>62.805014999999997</v>
      </c>
      <c r="F16" s="47">
        <v>65.945265750000203</v>
      </c>
      <c r="G16" s="47">
        <v>69.242529037500105</v>
      </c>
      <c r="H16" s="47">
        <v>72.704655489375199</v>
      </c>
    </row>
    <row r="17" spans="2:8" ht="15" customHeight="1" x14ac:dyDescent="0.35">
      <c r="B17" s="39" t="s">
        <v>484</v>
      </c>
      <c r="D17" s="47">
        <v>77.817499999999995</v>
      </c>
      <c r="E17" s="47">
        <v>72.807844554794499</v>
      </c>
      <c r="F17" s="47">
        <v>66.8089623103767</v>
      </c>
      <c r="G17" s="47">
        <v>59.710076172548902</v>
      </c>
      <c r="H17" s="47">
        <v>51.555931638238</v>
      </c>
    </row>
    <row r="18" spans="2:8" ht="15" customHeight="1" x14ac:dyDescent="0.35">
      <c r="B18" s="39" t="s">
        <v>485</v>
      </c>
      <c r="D18" s="47">
        <v>-18.0031999999999</v>
      </c>
      <c r="E18" s="47">
        <v>-10.0028295547945</v>
      </c>
      <c r="F18" s="47">
        <v>-0.86369656037648201</v>
      </c>
      <c r="G18" s="47">
        <v>7.5306377633114696</v>
      </c>
      <c r="H18" s="47">
        <v>16.707491842398301</v>
      </c>
    </row>
    <row r="19" spans="2:8" ht="15" customHeight="1" x14ac:dyDescent="0.35">
      <c r="B19" s="39" t="s">
        <v>486</v>
      </c>
      <c r="D19" s="47">
        <f>D5*Assumptions_Drivers!$C$24</f>
        <v>25.500300000000003</v>
      </c>
      <c r="E19" s="47">
        <f>E5*Assumptions_Drivers!$C$24</f>
        <v>26.775315000000003</v>
      </c>
      <c r="F19" s="47">
        <f>F5*Assumptions_Drivers!$C$24</f>
        <v>28.114080749999999</v>
      </c>
      <c r="G19" s="47">
        <f>G5*Assumptions_Drivers!$C$24</f>
        <v>29.519784787499997</v>
      </c>
      <c r="H19" s="47">
        <f>H5*Assumptions_Drivers!$C$24</f>
        <v>30.995774026875001</v>
      </c>
    </row>
    <row r="20" spans="2:8" ht="15" customHeight="1" x14ac:dyDescent="0.35">
      <c r="B20" s="39" t="s">
        <v>487</v>
      </c>
      <c r="D20" s="47">
        <v>-13.875794520548</v>
      </c>
      <c r="E20" s="47">
        <v>-14.569584246575401</v>
      </c>
      <c r="F20" s="47">
        <v>-15.2980634589041</v>
      </c>
      <c r="G20" s="47">
        <v>-16.062966631849299</v>
      </c>
      <c r="H20" s="47">
        <v>-16.866114963441799</v>
      </c>
    </row>
    <row r="21" spans="2:8" ht="15" customHeight="1" x14ac:dyDescent="0.35">
      <c r="B21" s="39" t="s">
        <v>488</v>
      </c>
      <c r="D21" s="47">
        <v>60.357294520548102</v>
      </c>
      <c r="E21" s="47">
        <v>72.275689691780897</v>
      </c>
      <c r="F21" s="47">
        <v>85.528748648527696</v>
      </c>
      <c r="G21" s="47">
        <v>98.242705232660796</v>
      </c>
      <c r="H21" s="47">
        <v>111.955162685215</v>
      </c>
    </row>
    <row r="22" spans="2:8" ht="15" customHeight="1" x14ac:dyDescent="0.35">
      <c r="B22" s="39" t="s">
        <v>489</v>
      </c>
      <c r="D22" s="47">
        <v>9.1549999999999994</v>
      </c>
      <c r="E22" s="47">
        <v>9.1549999999999994</v>
      </c>
      <c r="F22" s="47">
        <v>9.1549999999999994</v>
      </c>
      <c r="G22" s="47">
        <v>9.1549999999999994</v>
      </c>
      <c r="H22" s="47">
        <v>9.1549999999999994</v>
      </c>
    </row>
    <row r="23" spans="2:8" ht="15" customHeight="1" x14ac:dyDescent="0.35">
      <c r="B23" s="39" t="s">
        <v>490</v>
      </c>
      <c r="D23" s="47">
        <v>60.357294520548102</v>
      </c>
      <c r="E23" s="47">
        <v>72.275689691780897</v>
      </c>
      <c r="F23" s="47">
        <v>85.528748648527696</v>
      </c>
      <c r="G23" s="47">
        <v>98.242705232660796</v>
      </c>
      <c r="H23" s="47">
        <v>111.955162685215</v>
      </c>
    </row>
    <row r="24" spans="2:8" ht="15" customHeight="1" x14ac:dyDescent="0.35">
      <c r="B24" s="39" t="s">
        <v>491</v>
      </c>
      <c r="C24" s="77">
        <v>1329.9</v>
      </c>
      <c r="D24" s="47">
        <v>855.14270547945205</v>
      </c>
      <c r="E24" s="47">
        <v>782.86701578767099</v>
      </c>
      <c r="F24" s="47">
        <v>697.338267139143</v>
      </c>
      <c r="G24" s="47">
        <v>599.09556190648198</v>
      </c>
      <c r="H24" s="47">
        <v>487.14039922126699</v>
      </c>
    </row>
  </sheetData>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24"/>
  <sheetViews>
    <sheetView zoomScaleNormal="100" zoomScalePageLayoutView="60" workbookViewId="0"/>
  </sheetViews>
  <sheetFormatPr defaultColWidth="8.6328125" defaultRowHeight="14.5" x14ac:dyDescent="0.35"/>
  <cols>
    <col min="2" max="2" width="26" customWidth="1"/>
    <col min="3" max="3" width="12" customWidth="1"/>
  </cols>
  <sheetData>
    <row r="1" spans="2:8" ht="13.75" customHeight="1" x14ac:dyDescent="0.35"/>
    <row r="2" spans="2:8" ht="18" customHeight="1" x14ac:dyDescent="0.45">
      <c r="B2" s="37" t="s">
        <v>492</v>
      </c>
    </row>
    <row r="3" spans="2:8" ht="15" customHeight="1" x14ac:dyDescent="0.35">
      <c r="B3" t="s">
        <v>466</v>
      </c>
    </row>
    <row r="4" spans="2:8" ht="15" customHeight="1" x14ac:dyDescent="0.35">
      <c r="B4" s="44" t="s">
        <v>222</v>
      </c>
      <c r="C4" s="44" t="s">
        <v>467</v>
      </c>
      <c r="D4" s="44" t="s">
        <v>468</v>
      </c>
      <c r="E4" s="44" t="s">
        <v>469</v>
      </c>
      <c r="F4" s="44" t="s">
        <v>470</v>
      </c>
      <c r="G4" s="44" t="s">
        <v>471</v>
      </c>
      <c r="H4" s="44" t="s">
        <v>472</v>
      </c>
    </row>
    <row r="5" spans="2:8" ht="15" customHeight="1" x14ac:dyDescent="0.35">
      <c r="B5" s="39" t="s">
        <v>473</v>
      </c>
      <c r="C5" s="77">
        <v>1214.3</v>
      </c>
      <c r="D5" s="47">
        <v>1275.0150000000001</v>
      </c>
      <c r="E5" s="47">
        <v>1338.76575</v>
      </c>
      <c r="F5" s="47">
        <v>1405.7040374999999</v>
      </c>
      <c r="G5" s="47">
        <v>1475.9892393749999</v>
      </c>
      <c r="H5" s="47">
        <v>1549.7887013437501</v>
      </c>
    </row>
    <row r="6" spans="2:8" ht="15" customHeight="1" x14ac:dyDescent="0.35">
      <c r="B6" s="39" t="s">
        <v>474</v>
      </c>
      <c r="C6" s="77">
        <v>242.86</v>
      </c>
      <c r="D6" s="47">
        <v>255.00299999999999</v>
      </c>
      <c r="E6" s="47">
        <v>267.75315000000001</v>
      </c>
      <c r="F6" s="47">
        <v>281.14080749999999</v>
      </c>
      <c r="G6" s="47">
        <v>295.19784787499998</v>
      </c>
      <c r="H6" s="47">
        <v>309.95774026875</v>
      </c>
    </row>
    <row r="7" spans="2:8" ht="15" customHeight="1" x14ac:dyDescent="0.35">
      <c r="B7" s="39" t="s">
        <v>475</v>
      </c>
      <c r="C7" s="77">
        <v>289.89999999999998</v>
      </c>
      <c r="D7" s="47">
        <v>237.71799999999999</v>
      </c>
      <c r="E7" s="47">
        <v>242.47236000000001</v>
      </c>
      <c r="F7" s="47">
        <v>247.32180719999999</v>
      </c>
      <c r="G7" s="47">
        <v>252.26824334400001</v>
      </c>
      <c r="H7" s="47">
        <v>257.31360821087998</v>
      </c>
    </row>
    <row r="8" spans="2:8" ht="15" customHeight="1" x14ac:dyDescent="0.35">
      <c r="B8" s="39" t="s">
        <v>476</v>
      </c>
      <c r="C8" s="77">
        <v>124.2</v>
      </c>
      <c r="D8" s="47">
        <v>101.84399999999999</v>
      </c>
      <c r="E8" s="47">
        <v>103.88088</v>
      </c>
      <c r="F8" s="47">
        <v>105.9584976</v>
      </c>
      <c r="G8" s="47">
        <v>108.07766755199999</v>
      </c>
      <c r="H8" s="47">
        <v>110.23922090304001</v>
      </c>
    </row>
    <row r="9" spans="2:8" ht="15" customHeight="1" x14ac:dyDescent="0.35">
      <c r="B9" s="39" t="s">
        <v>477</v>
      </c>
      <c r="C9" s="77">
        <v>414.1</v>
      </c>
      <c r="D9" s="47">
        <v>339.56200000000001</v>
      </c>
      <c r="E9" s="47">
        <v>346.35324000000003</v>
      </c>
      <c r="F9" s="47">
        <v>353.28030480000001</v>
      </c>
      <c r="G9" s="47">
        <v>360.34591089600002</v>
      </c>
      <c r="H9" s="47">
        <v>367.55282911391998</v>
      </c>
    </row>
    <row r="10" spans="2:8" ht="15" customHeight="1" x14ac:dyDescent="0.35">
      <c r="B10" s="39" t="s">
        <v>478</v>
      </c>
      <c r="C10" s="77">
        <v>0</v>
      </c>
      <c r="D10" s="47">
        <v>24.5</v>
      </c>
      <c r="E10" s="47">
        <v>24.5</v>
      </c>
      <c r="F10" s="47">
        <v>24.5</v>
      </c>
      <c r="G10" s="47">
        <v>24.5</v>
      </c>
      <c r="H10" s="47">
        <v>24.5</v>
      </c>
    </row>
    <row r="11" spans="2:8" ht="15" customHeight="1" x14ac:dyDescent="0.35">
      <c r="B11" s="39" t="s">
        <v>479</v>
      </c>
      <c r="C11" s="77">
        <v>196.1</v>
      </c>
      <c r="D11" s="47">
        <v>205.905</v>
      </c>
      <c r="E11" s="47">
        <v>216.20025000000001</v>
      </c>
      <c r="F11" s="47">
        <v>227.01026250000001</v>
      </c>
      <c r="G11" s="47">
        <v>238.360775625</v>
      </c>
      <c r="H11" s="47">
        <v>250.27881440625001</v>
      </c>
    </row>
    <row r="12" spans="2:8" ht="15" customHeight="1" x14ac:dyDescent="0.35">
      <c r="B12" s="39" t="s">
        <v>480</v>
      </c>
      <c r="C12" s="77">
        <v>218.57400000000001</v>
      </c>
      <c r="D12" s="47">
        <v>229.5027</v>
      </c>
      <c r="E12" s="47">
        <v>240.977835</v>
      </c>
      <c r="F12" s="47">
        <v>253.02672674999999</v>
      </c>
      <c r="G12" s="47">
        <v>265.67806308749999</v>
      </c>
      <c r="H12" s="47">
        <v>278.96196624187502</v>
      </c>
    </row>
    <row r="13" spans="2:8" ht="15" customHeight="1" x14ac:dyDescent="0.35">
      <c r="B13" s="39" t="s">
        <v>481</v>
      </c>
      <c r="C13" s="77">
        <v>183.1</v>
      </c>
      <c r="D13" s="47">
        <v>220.54230000000001</v>
      </c>
      <c r="E13" s="47">
        <v>242.98127500000001</v>
      </c>
      <c r="F13" s="47">
        <v>266.74593594999999</v>
      </c>
      <c r="G13" s="47">
        <v>291.90664189149999</v>
      </c>
      <c r="H13" s="47">
        <v>318.53735131295502</v>
      </c>
    </row>
    <row r="14" spans="2:8" ht="15" customHeight="1" x14ac:dyDescent="0.35">
      <c r="B14" s="39" t="s">
        <v>482</v>
      </c>
      <c r="C14" s="78">
        <v>0.15078646133574899</v>
      </c>
      <c r="D14" s="45">
        <v>0.17297231797272999</v>
      </c>
      <c r="E14" s="45">
        <v>0.18149648286117301</v>
      </c>
      <c r="F14" s="45">
        <v>0.18975967119252199</v>
      </c>
      <c r="G14" s="45">
        <v>0.19777016939168601</v>
      </c>
      <c r="H14" s="45">
        <v>0.20553598760706299</v>
      </c>
    </row>
    <row r="15" spans="2:8" ht="15" customHeight="1" x14ac:dyDescent="0.35">
      <c r="B15" s="39" t="s">
        <v>195</v>
      </c>
      <c r="C15" s="77">
        <v>85.7</v>
      </c>
      <c r="D15" s="47">
        <f>C15*(1+Assumptions_Drivers!$C$5)</f>
        <v>89.985000000000014</v>
      </c>
      <c r="E15" s="47">
        <f>D15*(1+Assumptions_Drivers!$C$5)</f>
        <v>94.484250000000017</v>
      </c>
      <c r="F15" s="47">
        <f>E15*(1+Assumptions_Drivers!$C$5)</f>
        <v>99.208462500000024</v>
      </c>
      <c r="G15" s="47">
        <f>F15*(1+Assumptions_Drivers!$C$5)</f>
        <v>104.16888562500003</v>
      </c>
      <c r="H15" s="47">
        <f>G15*(1+Assumptions_Drivers!$C$5)</f>
        <v>109.37732990625004</v>
      </c>
    </row>
    <row r="16" spans="2:8" ht="15" customHeight="1" x14ac:dyDescent="0.35">
      <c r="B16" s="39" t="s">
        <v>483</v>
      </c>
      <c r="C16" s="77">
        <v>97.4</v>
      </c>
      <c r="D16" s="47">
        <v>130.5573</v>
      </c>
      <c r="E16" s="47">
        <v>148.49702500000001</v>
      </c>
      <c r="F16" s="47">
        <v>167.53747344999999</v>
      </c>
      <c r="G16" s="47">
        <v>187.73775626650001</v>
      </c>
      <c r="H16" s="47">
        <v>209.160021406705</v>
      </c>
    </row>
    <row r="17" spans="2:10" ht="15" customHeight="1" x14ac:dyDescent="0.35">
      <c r="B17" s="39" t="s">
        <v>484</v>
      </c>
      <c r="D17" s="47">
        <v>77.817499999999995</v>
      </c>
      <c r="E17" s="47">
        <v>67.604650371315103</v>
      </c>
      <c r="F17" s="47">
        <v>55.208101377093001</v>
      </c>
      <c r="G17" s="47">
        <v>40.395606660962301</v>
      </c>
      <c r="H17" s="47">
        <v>20.877708730449299</v>
      </c>
    </row>
    <row r="18" spans="2:10" ht="15" customHeight="1" x14ac:dyDescent="0.35">
      <c r="B18" s="39" t="s">
        <v>485</v>
      </c>
      <c r="D18" s="47">
        <v>41.664442000000101</v>
      </c>
      <c r="E18" s="47">
        <v>63.904975956661303</v>
      </c>
      <c r="F18" s="47">
        <v>88.740203937596704</v>
      </c>
      <c r="G18" s="47">
        <v>116.400298188375</v>
      </c>
      <c r="H18" s="47">
        <v>148.74302701424199</v>
      </c>
    </row>
    <row r="19" spans="2:10" ht="15" customHeight="1" x14ac:dyDescent="0.35">
      <c r="B19" s="39" t="s">
        <v>486</v>
      </c>
      <c r="D19" s="47">
        <f>D5*Assumptions_Drivers!$C$24*(1-Assumptions_Drivers!$C$12)</f>
        <v>23.460276000000004</v>
      </c>
      <c r="E19" s="47">
        <f>E5*Assumptions_Drivers!$C$24*(1-Assumptions_Drivers!$C$12)</f>
        <v>24.633289800000004</v>
      </c>
      <c r="F19" s="47">
        <f>F5*Assumptions_Drivers!$C$24*(1-Assumptions_Drivers!$C$12)</f>
        <v>25.86495429</v>
      </c>
      <c r="G19" s="47">
        <f>G5*Assumptions_Drivers!$C$24*(1-Assumptions_Drivers!$C$12)</f>
        <v>27.158202004499998</v>
      </c>
      <c r="H19" s="47">
        <f>H5*Assumptions_Drivers!$C$24*(1-Assumptions_Drivers!$C$12)</f>
        <v>28.516112104725003</v>
      </c>
    </row>
    <row r="20" spans="2:10" ht="15" customHeight="1" x14ac:dyDescent="0.35">
      <c r="B20" s="39" t="s">
        <v>487</v>
      </c>
      <c r="D20" s="47">
        <v>-14.857215068493201</v>
      </c>
      <c r="E20" s="47">
        <v>-15.6000758219178</v>
      </c>
      <c r="F20" s="47">
        <v>-16.380079613013699</v>
      </c>
      <c r="G20" s="47">
        <v>-17.199083593664401</v>
      </c>
      <c r="H20" s="47">
        <v>-18.059037773347601</v>
      </c>
    </row>
    <row r="21" spans="2:10" ht="15" customHeight="1" x14ac:dyDescent="0.35">
      <c r="B21" s="39" t="s">
        <v>488</v>
      </c>
      <c r="D21" s="47">
        <v>123.04638106849301</v>
      </c>
      <c r="E21" s="47">
        <v>149.35601197857901</v>
      </c>
      <c r="F21" s="47">
        <v>178.46379176061001</v>
      </c>
      <c r="G21" s="47">
        <v>210.61006540253899</v>
      </c>
      <c r="H21" s="47">
        <v>247.663282589115</v>
      </c>
      <c r="J21" s="400" t="s">
        <v>493</v>
      </c>
    </row>
    <row r="22" spans="2:10" ht="15" customHeight="1" x14ac:dyDescent="0.35">
      <c r="B22" s="39" t="s">
        <v>489</v>
      </c>
      <c r="D22" s="47">
        <v>9.1549999999999994</v>
      </c>
      <c r="E22" s="47">
        <v>9.1549999999999994</v>
      </c>
      <c r="F22" s="47">
        <v>9.1549999999999994</v>
      </c>
      <c r="G22" s="47">
        <v>9.1549999999999994</v>
      </c>
      <c r="H22" s="47">
        <v>9.1549999999999994</v>
      </c>
    </row>
    <row r="23" spans="2:10" ht="15" customHeight="1" x14ac:dyDescent="0.35">
      <c r="B23" s="39" t="s">
        <v>490</v>
      </c>
      <c r="D23" s="47">
        <v>123.04638106849301</v>
      </c>
      <c r="E23" s="47">
        <v>149.35601197857901</v>
      </c>
      <c r="F23" s="47">
        <v>178.46379176061001</v>
      </c>
      <c r="G23" s="47">
        <v>210.61006540253899</v>
      </c>
      <c r="H23" s="47">
        <v>247.663282589115</v>
      </c>
    </row>
    <row r="24" spans="2:10" ht="15" customHeight="1" x14ac:dyDescent="0.35">
      <c r="B24" s="39" t="s">
        <v>491</v>
      </c>
      <c r="C24" s="77">
        <v>1329.9</v>
      </c>
      <c r="D24" s="47">
        <v>792.45361893150698</v>
      </c>
      <c r="E24" s="47">
        <v>643.097606952928</v>
      </c>
      <c r="F24" s="47">
        <v>464.633815192317</v>
      </c>
      <c r="G24" s="47">
        <v>254.02374978977801</v>
      </c>
      <c r="H24" s="47">
        <v>6.3604672006630398</v>
      </c>
    </row>
  </sheetData>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42"/>
  <sheetViews>
    <sheetView zoomScaleNormal="100" zoomScalePageLayoutView="60" workbookViewId="0"/>
  </sheetViews>
  <sheetFormatPr defaultColWidth="8.6328125" defaultRowHeight="14.5" x14ac:dyDescent="0.35"/>
  <sheetData>
    <row r="1" spans="2:13" ht="13.75" customHeight="1" x14ac:dyDescent="0.35"/>
    <row r="2" spans="2:13" ht="15" customHeight="1" x14ac:dyDescent="0.35">
      <c r="B2" t="s">
        <v>494</v>
      </c>
    </row>
    <row r="3" spans="2:13" ht="13.75" customHeight="1" x14ac:dyDescent="0.35"/>
    <row r="4" spans="2:13" ht="13.75" customHeight="1" x14ac:dyDescent="0.35"/>
    <row r="5" spans="2:13" ht="13.75" customHeight="1" x14ac:dyDescent="0.35"/>
    <row r="6" spans="2:13" ht="13.75" customHeight="1" x14ac:dyDescent="0.35"/>
    <row r="7" spans="2:13" ht="13.75" customHeight="1" x14ac:dyDescent="0.35"/>
    <row r="8" spans="2:13" ht="26.25" customHeight="1" x14ac:dyDescent="0.6">
      <c r="B8" s="79" t="s">
        <v>495</v>
      </c>
      <c r="C8" s="80"/>
      <c r="D8" s="80"/>
      <c r="E8" s="80"/>
      <c r="F8" s="80"/>
      <c r="G8" s="80"/>
      <c r="H8" s="80"/>
      <c r="I8" s="80"/>
      <c r="J8" s="80"/>
      <c r="K8" s="80"/>
      <c r="L8" s="80"/>
      <c r="M8" s="80"/>
    </row>
    <row r="9" spans="2:13" ht="13.75" customHeight="1" x14ac:dyDescent="0.35"/>
    <row r="10" spans="2:13" ht="13.75" customHeight="1" x14ac:dyDescent="0.35"/>
    <row r="11" spans="2:13" ht="409.6" customHeight="1" x14ac:dyDescent="0.35">
      <c r="B11" s="81" t="s">
        <v>496</v>
      </c>
    </row>
    <row r="12" spans="2:13" ht="13.75" customHeight="1" x14ac:dyDescent="0.35"/>
    <row r="13" spans="2:13" ht="13.75" customHeight="1" x14ac:dyDescent="0.35"/>
    <row r="14" spans="2:13" ht="13.75" customHeight="1" x14ac:dyDescent="0.35"/>
    <row r="15" spans="2:13" ht="13.75" customHeight="1" x14ac:dyDescent="0.35"/>
    <row r="16" spans="2:13" ht="13.75" customHeight="1" x14ac:dyDescent="0.35"/>
    <row r="17" ht="13.75" customHeight="1" x14ac:dyDescent="0.35"/>
    <row r="18" ht="13.75" customHeight="1" x14ac:dyDescent="0.35"/>
    <row r="19" ht="13.75" customHeight="1" x14ac:dyDescent="0.35"/>
    <row r="20" ht="13.75" customHeight="1" x14ac:dyDescent="0.35"/>
    <row r="21" ht="13.75" customHeight="1" x14ac:dyDescent="0.35"/>
    <row r="22" ht="13.75" customHeight="1" x14ac:dyDescent="0.35"/>
    <row r="23" ht="13.75" customHeight="1" x14ac:dyDescent="0.35"/>
    <row r="24" ht="13.75" customHeight="1" x14ac:dyDescent="0.35"/>
    <row r="25" ht="13.75" customHeight="1" x14ac:dyDescent="0.35"/>
    <row r="26" ht="13.75" customHeight="1" x14ac:dyDescent="0.35"/>
    <row r="27" ht="13.75" customHeight="1" x14ac:dyDescent="0.35"/>
    <row r="28" ht="13.75" customHeight="1" x14ac:dyDescent="0.35"/>
    <row r="29" ht="13.75" customHeight="1" x14ac:dyDescent="0.35"/>
    <row r="30" ht="13.75" customHeight="1" x14ac:dyDescent="0.35"/>
    <row r="31" ht="13.75" customHeight="1" x14ac:dyDescent="0.35"/>
    <row r="32" ht="13.75" customHeight="1" x14ac:dyDescent="0.35"/>
    <row r="33" spans="2:2" ht="13.75" customHeight="1" x14ac:dyDescent="0.35"/>
    <row r="34" spans="2:2" ht="13.75" customHeight="1" x14ac:dyDescent="0.35"/>
    <row r="35" spans="2:2" ht="13.75" customHeight="1" x14ac:dyDescent="0.35"/>
    <row r="36" spans="2:2" ht="13.75" customHeight="1" x14ac:dyDescent="0.35"/>
    <row r="37" spans="2:2" ht="13.75" customHeight="1" x14ac:dyDescent="0.35"/>
    <row r="38" spans="2:2" ht="13.75" customHeight="1" x14ac:dyDescent="0.35"/>
    <row r="39" spans="2:2" ht="13.75" customHeight="1" x14ac:dyDescent="0.35"/>
    <row r="40" spans="2:2" ht="15" customHeight="1" x14ac:dyDescent="0.35">
      <c r="B40" t="s">
        <v>497</v>
      </c>
    </row>
    <row r="41" spans="2:2" ht="15" customHeight="1" x14ac:dyDescent="0.35">
      <c r="B41" t="s">
        <v>498</v>
      </c>
    </row>
    <row r="42" spans="2:2" ht="15" customHeight="1" x14ac:dyDescent="0.35">
      <c r="B42" t="s">
        <v>499</v>
      </c>
    </row>
  </sheetData>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93"/>
  <sheetViews>
    <sheetView tabSelected="1" topLeftCell="A112" zoomScale="55" zoomScaleNormal="100" zoomScalePageLayoutView="60" workbookViewId="0">
      <selection activeCell="F158" sqref="F158:J159"/>
    </sheetView>
  </sheetViews>
  <sheetFormatPr defaultColWidth="8.6328125" defaultRowHeight="14.5" x14ac:dyDescent="0.35"/>
  <cols>
    <col min="1" max="1" width="1.7265625" customWidth="1"/>
    <col min="2" max="2" width="44.1796875" customWidth="1"/>
    <col min="3" max="3" width="15.7265625" customWidth="1"/>
    <col min="4" max="4" width="13.26953125" bestFit="1" customWidth="1"/>
    <col min="5" max="5" width="48" customWidth="1"/>
    <col min="6" max="7" width="13.26953125" bestFit="1" customWidth="1"/>
    <col min="8" max="9" width="16.54296875" bestFit="1" customWidth="1"/>
    <col min="10" max="10" width="17.1796875" bestFit="1" customWidth="1"/>
    <col min="11" max="11" width="12.81640625" customWidth="1"/>
    <col min="12" max="12" width="40" customWidth="1"/>
    <col min="13" max="13" width="42" customWidth="1"/>
    <col min="14" max="14" width="52" customWidth="1"/>
    <col min="15" max="15" width="34" customWidth="1"/>
    <col min="16" max="16" width="38" customWidth="1"/>
  </cols>
  <sheetData>
    <row r="1" spans="1:10" ht="15.75" customHeight="1" x14ac:dyDescent="0.35">
      <c r="A1" s="82" t="s">
        <v>500</v>
      </c>
    </row>
    <row r="2" spans="1:10" ht="27" customHeight="1" x14ac:dyDescent="0.35">
      <c r="B2" s="83" t="s">
        <v>501</v>
      </c>
      <c r="C2" s="84"/>
      <c r="D2" s="84"/>
      <c r="E2" s="84"/>
      <c r="F2" s="84"/>
      <c r="G2" s="84"/>
      <c r="H2" s="84"/>
      <c r="I2" s="84"/>
      <c r="J2" s="84"/>
    </row>
    <row r="3" spans="1:10" ht="15" customHeight="1" x14ac:dyDescent="0.35">
      <c r="B3" s="85" t="s">
        <v>502</v>
      </c>
      <c r="C3" s="86"/>
    </row>
    <row r="4" spans="1:10" ht="15" customHeight="1" x14ac:dyDescent="0.35">
      <c r="B4" s="87"/>
      <c r="D4" s="86"/>
    </row>
    <row r="5" spans="1:10" ht="15" customHeight="1" x14ac:dyDescent="0.35">
      <c r="B5" s="88" t="s">
        <v>503</v>
      </c>
      <c r="C5" s="80"/>
      <c r="D5" s="80"/>
      <c r="F5" s="88" t="s">
        <v>504</v>
      </c>
      <c r="G5" s="80"/>
      <c r="H5" s="80"/>
      <c r="I5" s="80"/>
      <c r="J5" s="80"/>
    </row>
    <row r="6" spans="1:10" ht="15" customHeight="1" x14ac:dyDescent="0.35">
      <c r="B6" s="89" t="s">
        <v>505</v>
      </c>
      <c r="D6" s="90" t="s">
        <v>506</v>
      </c>
    </row>
    <row r="7" spans="1:10" ht="15" customHeight="1" x14ac:dyDescent="0.35">
      <c r="B7" s="89" t="s">
        <v>507</v>
      </c>
      <c r="D7" s="90" t="s">
        <v>508</v>
      </c>
      <c r="F7" s="91" t="s">
        <v>509</v>
      </c>
      <c r="H7" s="92">
        <v>1</v>
      </c>
      <c r="I7" s="93">
        <v>1</v>
      </c>
      <c r="J7" s="94">
        <v>2</v>
      </c>
    </row>
    <row r="8" spans="1:10" ht="15" customHeight="1" x14ac:dyDescent="0.35">
      <c r="B8" s="89" t="s">
        <v>510</v>
      </c>
      <c r="D8" s="95">
        <v>4.05</v>
      </c>
      <c r="H8" s="96" t="s">
        <v>511</v>
      </c>
      <c r="I8" s="97" t="s">
        <v>512</v>
      </c>
      <c r="J8" s="97" t="s">
        <v>511</v>
      </c>
    </row>
    <row r="9" spans="1:10" ht="15" customHeight="1" x14ac:dyDescent="0.35">
      <c r="B9" s="89" t="s">
        <v>513</v>
      </c>
      <c r="D9" s="98">
        <v>45884</v>
      </c>
      <c r="E9" s="99" t="s">
        <v>514</v>
      </c>
    </row>
    <row r="10" spans="1:10" ht="15" customHeight="1" x14ac:dyDescent="0.35">
      <c r="B10" s="89" t="s">
        <v>515</v>
      </c>
      <c r="D10" s="100" t="s">
        <v>516</v>
      </c>
      <c r="F10" t="s">
        <v>517</v>
      </c>
      <c r="H10" s="101">
        <v>183.1</v>
      </c>
      <c r="I10" s="101">
        <v>183.1</v>
      </c>
      <c r="J10" s="101">
        <v>183.1</v>
      </c>
    </row>
    <row r="11" spans="1:10" ht="15" customHeight="1" x14ac:dyDescent="0.35">
      <c r="F11" t="s">
        <v>518</v>
      </c>
      <c r="H11" s="102">
        <v>14.78</v>
      </c>
      <c r="I11" s="103">
        <v>14.78</v>
      </c>
      <c r="J11" s="102">
        <v>14.78</v>
      </c>
    </row>
    <row r="12" spans="1:10" ht="15" customHeight="1" x14ac:dyDescent="0.35">
      <c r="B12" s="88" t="s">
        <v>519</v>
      </c>
      <c r="C12" s="80"/>
      <c r="D12" s="88"/>
      <c r="F12" s="104" t="s">
        <v>520</v>
      </c>
      <c r="H12" s="105">
        <v>2705.6759000000002</v>
      </c>
      <c r="I12" s="105">
        <v>2705.6759000000002</v>
      </c>
      <c r="J12" s="105">
        <v>2705.6759000000002</v>
      </c>
    </row>
    <row r="13" spans="1:10" ht="15" customHeight="1" x14ac:dyDescent="0.35">
      <c r="B13" s="89" t="s">
        <v>521</v>
      </c>
      <c r="D13" s="106">
        <v>183.1</v>
      </c>
    </row>
    <row r="14" spans="1:10" ht="15" customHeight="1" x14ac:dyDescent="0.35">
      <c r="B14" s="89" t="s">
        <v>522</v>
      </c>
      <c r="D14" s="107">
        <v>-1329.9</v>
      </c>
      <c r="F14" s="89" t="s">
        <v>523</v>
      </c>
      <c r="H14" s="108">
        <v>-1329.9</v>
      </c>
      <c r="I14" s="108">
        <v>-1329.9</v>
      </c>
      <c r="J14" s="108">
        <v>-1329.9</v>
      </c>
    </row>
    <row r="15" spans="1:10" ht="15" customHeight="1" x14ac:dyDescent="0.35">
      <c r="B15" s="89" t="s">
        <v>524</v>
      </c>
      <c r="D15" s="107">
        <v>179.9</v>
      </c>
      <c r="F15" s="89" t="s">
        <v>525</v>
      </c>
      <c r="H15" s="108">
        <v>179.9</v>
      </c>
      <c r="I15" s="108">
        <v>179.9</v>
      </c>
      <c r="J15" s="108">
        <v>179.9</v>
      </c>
    </row>
    <row r="16" spans="1:10" ht="15" customHeight="1" x14ac:dyDescent="0.35">
      <c r="B16" s="89" t="s">
        <v>526</v>
      </c>
      <c r="D16" s="107">
        <v>50</v>
      </c>
    </row>
    <row r="17" spans="2:18" ht="15" customHeight="1" x14ac:dyDescent="0.35">
      <c r="B17" s="89" t="s">
        <v>527</v>
      </c>
      <c r="D17" s="109">
        <v>12.9</v>
      </c>
      <c r="F17" s="104" t="s">
        <v>528</v>
      </c>
      <c r="H17" s="105">
        <v>1555.6759</v>
      </c>
      <c r="I17" s="105">
        <v>1555.6759</v>
      </c>
      <c r="J17" s="105">
        <v>1555.6759</v>
      </c>
    </row>
    <row r="18" spans="2:18" ht="15" customHeight="1" x14ac:dyDescent="0.35">
      <c r="C18" s="110"/>
      <c r="F18" t="s">
        <v>529</v>
      </c>
      <c r="H18" s="111">
        <v>307.29399999999998</v>
      </c>
      <c r="I18" s="106">
        <v>307.29399999999998</v>
      </c>
      <c r="J18" s="106">
        <v>307.29399999999998</v>
      </c>
      <c r="K18" s="112"/>
      <c r="L18" s="112"/>
    </row>
    <row r="19" spans="2:18" ht="15" customHeight="1" x14ac:dyDescent="0.35">
      <c r="B19" s="88" t="s">
        <v>530</v>
      </c>
      <c r="C19" s="80"/>
      <c r="D19" s="80"/>
      <c r="K19" s="112"/>
      <c r="L19" s="112"/>
    </row>
    <row r="20" spans="2:18" ht="15" customHeight="1" x14ac:dyDescent="0.35">
      <c r="B20" s="89" t="s">
        <v>531</v>
      </c>
      <c r="D20" s="106">
        <v>1555.7</v>
      </c>
      <c r="E20" s="113"/>
      <c r="F20" s="104" t="s">
        <v>532</v>
      </c>
      <c r="H20" s="114">
        <v>5.0625</v>
      </c>
      <c r="I20" s="114">
        <v>5.0625</v>
      </c>
      <c r="J20" s="115">
        <v>5.0625</v>
      </c>
      <c r="K20" s="112"/>
      <c r="L20" s="112"/>
    </row>
    <row r="21" spans="2:18" ht="15" customHeight="1" x14ac:dyDescent="0.35">
      <c r="B21" s="89" t="s">
        <v>533</v>
      </c>
      <c r="D21" s="106">
        <v>1329.9</v>
      </c>
      <c r="E21" s="113"/>
      <c r="F21" s="116" t="s">
        <v>534</v>
      </c>
      <c r="H21" s="113">
        <v>0.25</v>
      </c>
      <c r="I21" s="113">
        <v>0.25</v>
      </c>
      <c r="J21" s="113">
        <v>0.25</v>
      </c>
      <c r="K21" s="112"/>
      <c r="L21" s="112"/>
    </row>
    <row r="22" spans="2:18" ht="15" customHeight="1" x14ac:dyDescent="0.35">
      <c r="B22" s="89" t="s">
        <v>535</v>
      </c>
      <c r="D22" s="117">
        <f>H33+H36</f>
        <v>43.932017999999999</v>
      </c>
      <c r="E22" s="118" t="s">
        <v>536</v>
      </c>
      <c r="H22" s="116"/>
      <c r="J22" s="119"/>
      <c r="K22" s="112"/>
      <c r="L22" s="112"/>
    </row>
    <row r="23" spans="2:18" ht="15" customHeight="1" x14ac:dyDescent="0.35">
      <c r="B23" s="104" t="s">
        <v>537</v>
      </c>
      <c r="D23" s="105">
        <f>D20+D21+D22</f>
        <v>2929.5320180000003</v>
      </c>
      <c r="H23" s="116"/>
      <c r="J23" s="119"/>
      <c r="K23" s="112"/>
      <c r="L23" s="112"/>
    </row>
    <row r="24" spans="2:18" ht="15" customHeight="1" x14ac:dyDescent="0.35">
      <c r="C24" s="110"/>
      <c r="H24" s="116"/>
      <c r="J24" s="119"/>
      <c r="K24" s="112"/>
      <c r="L24" s="112"/>
    </row>
    <row r="25" spans="2:18" ht="15" customHeight="1" x14ac:dyDescent="0.35">
      <c r="B25" s="88" t="s">
        <v>538</v>
      </c>
      <c r="C25" s="80"/>
      <c r="D25" s="80"/>
      <c r="E25" s="106"/>
      <c r="F25" s="88" t="s">
        <v>539</v>
      </c>
      <c r="G25" s="80"/>
      <c r="H25" s="80"/>
      <c r="I25" s="80"/>
      <c r="J25" s="80"/>
    </row>
    <row r="26" spans="2:18" ht="16.5" customHeight="1" x14ac:dyDescent="0.35">
      <c r="C26" s="120" t="s">
        <v>540</v>
      </c>
      <c r="D26" s="120" t="s">
        <v>541</v>
      </c>
      <c r="G26" s="121" t="s">
        <v>542</v>
      </c>
      <c r="H26" s="121" t="s">
        <v>543</v>
      </c>
      <c r="I26" s="121" t="s">
        <v>544</v>
      </c>
      <c r="J26" s="121" t="s">
        <v>545</v>
      </c>
    </row>
    <row r="27" spans="2:18" ht="48" customHeight="1" x14ac:dyDescent="0.35">
      <c r="B27" s="89" t="s">
        <v>546</v>
      </c>
      <c r="C27" s="122">
        <v>0.70940000000000003</v>
      </c>
      <c r="D27" s="106">
        <v>129.9</v>
      </c>
      <c r="E27" s="123" t="s">
        <v>547</v>
      </c>
      <c r="F27" s="91" t="s">
        <v>548</v>
      </c>
    </row>
    <row r="28" spans="2:18" ht="15" customHeight="1" x14ac:dyDescent="0.35">
      <c r="B28" s="89" t="s">
        <v>549</v>
      </c>
      <c r="C28" s="124">
        <v>0</v>
      </c>
      <c r="D28" s="106">
        <v>0</v>
      </c>
      <c r="F28" s="89" t="s">
        <v>549</v>
      </c>
      <c r="G28" s="125">
        <v>0.01</v>
      </c>
      <c r="H28" s="108">
        <f>G28*D28</f>
        <v>0</v>
      </c>
      <c r="I28" s="126">
        <v>5</v>
      </c>
      <c r="J28" s="127">
        <f>IF(OR(I28="",I28=0),0,H28/I28)</f>
        <v>0</v>
      </c>
    </row>
    <row r="29" spans="2:18" ht="15" customHeight="1" x14ac:dyDescent="0.35">
      <c r="B29" s="89" t="s">
        <v>550</v>
      </c>
      <c r="C29" s="124">
        <v>2.5</v>
      </c>
      <c r="D29" s="106">
        <v>457.8</v>
      </c>
      <c r="F29" s="89" t="s">
        <v>550</v>
      </c>
      <c r="G29" s="125">
        <v>1.4999999999999999E-2</v>
      </c>
      <c r="H29" s="108">
        <f>G29*D29</f>
        <v>6.867</v>
      </c>
      <c r="I29" s="126">
        <v>7</v>
      </c>
      <c r="J29" s="127">
        <f>IF(OR(I29="",I29=0),0,H29/I29)</f>
        <v>0.98099999999999998</v>
      </c>
    </row>
    <row r="30" spans="2:18" ht="15" customHeight="1" x14ac:dyDescent="0.35">
      <c r="B30" s="89" t="s">
        <v>551</v>
      </c>
      <c r="C30" s="124">
        <v>1.5</v>
      </c>
      <c r="D30" s="106">
        <v>274.7</v>
      </c>
      <c r="F30" s="89" t="s">
        <v>551</v>
      </c>
      <c r="G30" s="125">
        <v>1.4999999999999999E-2</v>
      </c>
      <c r="H30" s="108">
        <f>G30*D30</f>
        <v>4.1204999999999998</v>
      </c>
      <c r="I30" s="126">
        <v>7</v>
      </c>
      <c r="J30" s="127">
        <f>IF(OR(I30="",I30=0),0,H30/I30)</f>
        <v>0.58864285714285713</v>
      </c>
      <c r="P30" s="104"/>
      <c r="R30" s="128"/>
    </row>
    <row r="31" spans="2:18" ht="15" customHeight="1" x14ac:dyDescent="0.35">
      <c r="B31" s="89" t="s">
        <v>552</v>
      </c>
      <c r="C31" s="124">
        <v>1</v>
      </c>
      <c r="D31" s="106">
        <v>183.1</v>
      </c>
      <c r="F31" s="89" t="s">
        <v>552</v>
      </c>
      <c r="G31" s="125">
        <v>0.01</v>
      </c>
      <c r="H31" s="108">
        <f>G31*D31</f>
        <v>1.831</v>
      </c>
      <c r="I31" s="126">
        <v>8</v>
      </c>
      <c r="J31" s="127">
        <f>IF(OR(I31="",I31=0),0,H31/I31)</f>
        <v>0.228875</v>
      </c>
      <c r="P31" s="104"/>
      <c r="R31" s="128"/>
    </row>
    <row r="32" spans="2:18" ht="15" customHeight="1" x14ac:dyDescent="0.35">
      <c r="B32" s="89" t="s">
        <v>553</v>
      </c>
      <c r="C32" s="124">
        <v>0</v>
      </c>
      <c r="D32" s="106">
        <v>0</v>
      </c>
      <c r="F32" s="89" t="s">
        <v>553</v>
      </c>
      <c r="G32" s="125">
        <v>0</v>
      </c>
      <c r="H32" s="117">
        <f>G32*D32</f>
        <v>0</v>
      </c>
      <c r="I32" s="126"/>
      <c r="J32" s="129" t="s">
        <v>554</v>
      </c>
      <c r="P32" s="104"/>
      <c r="R32" s="128"/>
    </row>
    <row r="33" spans="1:18" ht="15" customHeight="1" x14ac:dyDescent="0.35">
      <c r="B33" s="89" t="s">
        <v>555</v>
      </c>
      <c r="C33" s="124">
        <v>0</v>
      </c>
      <c r="D33" s="106">
        <v>0</v>
      </c>
      <c r="F33" s="130" t="s">
        <v>548</v>
      </c>
      <c r="H33" s="105">
        <f>SUM(H28:H32)</f>
        <v>12.8185</v>
      </c>
      <c r="I33" s="116"/>
      <c r="J33" s="131">
        <f>SUM(J28:J32)</f>
        <v>1.7985178571428571</v>
      </c>
      <c r="P33" s="104"/>
      <c r="R33" s="128"/>
    </row>
    <row r="34" spans="1:18" ht="15" customHeight="1" x14ac:dyDescent="0.35">
      <c r="B34" s="89" t="s">
        <v>556</v>
      </c>
      <c r="C34" s="124">
        <v>0</v>
      </c>
      <c r="D34" s="106">
        <v>0</v>
      </c>
      <c r="H34" s="128"/>
      <c r="P34" s="104"/>
      <c r="R34" s="128"/>
    </row>
    <row r="35" spans="1:18" ht="54.75" customHeight="1" x14ac:dyDescent="0.35">
      <c r="B35" s="89" t="s">
        <v>557</v>
      </c>
      <c r="C35" s="122">
        <f>IF(D13=0,0,D35/D13)</f>
        <v>10.289634178044787</v>
      </c>
      <c r="D35" s="117">
        <f>D23-SUM(D27:D34)</f>
        <v>1884.0320180000003</v>
      </c>
      <c r="E35" s="123" t="s">
        <v>558</v>
      </c>
      <c r="F35" s="89"/>
      <c r="G35" s="121" t="s">
        <v>559</v>
      </c>
      <c r="H35" s="121" t="s">
        <v>543</v>
      </c>
      <c r="P35" s="104"/>
      <c r="R35" s="128"/>
    </row>
    <row r="36" spans="1:18" ht="15" customHeight="1" x14ac:dyDescent="0.35">
      <c r="B36" s="132" t="s">
        <v>560</v>
      </c>
      <c r="C36" s="133">
        <f>SUM(C27:C35)</f>
        <v>15.999034178044788</v>
      </c>
      <c r="D36" s="105">
        <f>SUM(D27:D35)</f>
        <v>2929.5320180000003</v>
      </c>
      <c r="F36" s="130" t="s">
        <v>561</v>
      </c>
      <c r="G36" s="110">
        <v>0.02</v>
      </c>
      <c r="H36" s="105">
        <f>G36*H17</f>
        <v>31.113517999999999</v>
      </c>
    </row>
    <row r="37" spans="1:18" ht="15" customHeight="1" x14ac:dyDescent="0.35">
      <c r="E37" t="str">
        <f>IF(ABS(H37)&lt;0.01,"BALANCED","MISMATCH")</f>
        <v>BALANCED</v>
      </c>
      <c r="F37" t="s">
        <v>562</v>
      </c>
      <c r="H37" s="102">
        <f>D36-D23</f>
        <v>0</v>
      </c>
    </row>
    <row r="38" spans="1:18" ht="15" customHeight="1" x14ac:dyDescent="0.35">
      <c r="A38" t="s">
        <v>563</v>
      </c>
      <c r="B38" s="88" t="s">
        <v>564</v>
      </c>
      <c r="C38" s="134"/>
      <c r="D38" s="80"/>
      <c r="E38" s="80"/>
      <c r="F38" s="80"/>
      <c r="G38" s="80"/>
      <c r="H38" s="80"/>
      <c r="I38" s="80"/>
      <c r="J38" s="80"/>
      <c r="L38" s="135" t="s">
        <v>565</v>
      </c>
    </row>
    <row r="39" spans="1:18" ht="15" customHeight="1" x14ac:dyDescent="0.35">
      <c r="B39" t="s">
        <v>566</v>
      </c>
      <c r="C39" s="136">
        <v>2022</v>
      </c>
      <c r="D39" s="136">
        <v>2023</v>
      </c>
      <c r="E39" s="137">
        <v>2024</v>
      </c>
      <c r="F39" s="138">
        <v>2025</v>
      </c>
      <c r="G39" s="138">
        <v>2026</v>
      </c>
      <c r="H39" s="138">
        <v>2027</v>
      </c>
      <c r="I39" s="138">
        <v>2028</v>
      </c>
      <c r="J39" s="138">
        <v>2029</v>
      </c>
    </row>
    <row r="40" spans="1:18" ht="15" customHeight="1" x14ac:dyDescent="0.35">
      <c r="B40" s="139" t="s">
        <v>567</v>
      </c>
      <c r="C40" s="140">
        <v>44926</v>
      </c>
      <c r="D40" s="140">
        <v>45291</v>
      </c>
      <c r="E40" s="140">
        <v>45657</v>
      </c>
      <c r="F40" s="141">
        <v>46022</v>
      </c>
      <c r="G40" s="141">
        <v>46387</v>
      </c>
      <c r="H40" s="141">
        <v>46752</v>
      </c>
      <c r="I40" s="141">
        <v>47118</v>
      </c>
      <c r="J40" s="141">
        <v>47483</v>
      </c>
    </row>
    <row r="41" spans="1:18" ht="15" customHeight="1" x14ac:dyDescent="0.35">
      <c r="B41" s="91"/>
      <c r="C41" s="142"/>
      <c r="D41" s="142"/>
      <c r="E41" s="143"/>
      <c r="F41" s="143"/>
      <c r="G41" s="143"/>
      <c r="H41" s="143"/>
      <c r="I41" s="143"/>
      <c r="J41" s="143"/>
    </row>
    <row r="42" spans="1:18" ht="48" customHeight="1" x14ac:dyDescent="0.35">
      <c r="B42" t="s">
        <v>473</v>
      </c>
      <c r="C42" s="144">
        <v>2065.3000000000002</v>
      </c>
      <c r="D42" s="144">
        <v>2172</v>
      </c>
      <c r="E42" s="144">
        <v>2201.4</v>
      </c>
      <c r="F42" s="106">
        <v>1250.7</v>
      </c>
      <c r="G42" s="106">
        <v>1300.8</v>
      </c>
      <c r="H42" s="106">
        <v>1352.8</v>
      </c>
      <c r="I42" s="106">
        <v>1393.4</v>
      </c>
      <c r="J42" s="106">
        <v>1435.2</v>
      </c>
      <c r="L42" s="145" t="s">
        <v>568</v>
      </c>
    </row>
    <row r="43" spans="1:18" ht="15" customHeight="1" x14ac:dyDescent="0.35">
      <c r="B43" t="s">
        <v>569</v>
      </c>
      <c r="C43" s="144">
        <v>-485.2</v>
      </c>
      <c r="D43" s="144">
        <v>-568.9</v>
      </c>
      <c r="E43" s="144">
        <v>-592</v>
      </c>
      <c r="F43" s="106">
        <v>-195.5</v>
      </c>
      <c r="G43" s="106">
        <v>-203.3</v>
      </c>
      <c r="H43" s="106">
        <v>-211.4</v>
      </c>
      <c r="I43" s="106">
        <v>-217.8</v>
      </c>
      <c r="J43" s="106">
        <v>-224.3</v>
      </c>
    </row>
    <row r="44" spans="1:18" ht="48" customHeight="1" x14ac:dyDescent="0.35">
      <c r="B44" s="104" t="s">
        <v>570</v>
      </c>
      <c r="C44" s="128">
        <v>1580.1</v>
      </c>
      <c r="D44" s="128">
        <v>1603.1</v>
      </c>
      <c r="E44" s="128">
        <v>1609.4</v>
      </c>
      <c r="F44" s="128">
        <v>1696.8568002976499</v>
      </c>
      <c r="G44" s="128">
        <v>1802.20274278902</v>
      </c>
      <c r="H44" s="128">
        <v>1923.07485493986</v>
      </c>
      <c r="I44" s="128">
        <v>2032.60554264953</v>
      </c>
      <c r="J44" s="128">
        <v>2144.1896470175898</v>
      </c>
      <c r="L44" s="145" t="s">
        <v>571</v>
      </c>
    </row>
    <row r="45" spans="1:18" ht="15" customHeight="1" x14ac:dyDescent="0.35">
      <c r="B45" t="s">
        <v>572</v>
      </c>
      <c r="C45" s="144">
        <v>-181.6</v>
      </c>
      <c r="D45" s="144">
        <v>-165.2</v>
      </c>
      <c r="E45" s="144">
        <v>-174.6</v>
      </c>
      <c r="F45" s="106">
        <v>-202</v>
      </c>
      <c r="G45" s="106">
        <v>-210.1</v>
      </c>
      <c r="H45" s="106">
        <v>-218.5</v>
      </c>
      <c r="I45" s="106">
        <v>-225</v>
      </c>
      <c r="J45" s="106">
        <v>-231.8</v>
      </c>
    </row>
    <row r="46" spans="1:18" ht="48" customHeight="1" x14ac:dyDescent="0.35">
      <c r="B46" t="s">
        <v>573</v>
      </c>
      <c r="C46" s="144">
        <v>-865.7</v>
      </c>
      <c r="D46" s="144">
        <v>-894</v>
      </c>
      <c r="E46" s="144">
        <v>-969.4</v>
      </c>
      <c r="F46" s="106">
        <v>-601.4</v>
      </c>
      <c r="G46" s="106">
        <v>-617.6</v>
      </c>
      <c r="H46" s="106">
        <v>-634.29999999999995</v>
      </c>
      <c r="I46" s="106">
        <v>-649.20000000000005</v>
      </c>
      <c r="J46" s="106">
        <v>-664.4</v>
      </c>
      <c r="L46" s="145" t="s">
        <v>574</v>
      </c>
    </row>
    <row r="47" spans="1:18" ht="15" customHeight="1" x14ac:dyDescent="0.35">
      <c r="B47" t="s">
        <v>575</v>
      </c>
      <c r="C47" s="144"/>
      <c r="D47" s="144"/>
      <c r="E47" s="144"/>
      <c r="F47" s="106">
        <v>-52.997322083333302</v>
      </c>
      <c r="G47" s="106">
        <v>-52.997322083333302</v>
      </c>
      <c r="H47" s="106">
        <v>-52.997322083333302</v>
      </c>
      <c r="I47" s="106">
        <v>-52.997322083333302</v>
      </c>
      <c r="J47" s="106">
        <v>-52.997322083333302</v>
      </c>
    </row>
    <row r="48" spans="1:18" ht="48" customHeight="1" x14ac:dyDescent="0.35">
      <c r="B48" s="104" t="s">
        <v>576</v>
      </c>
      <c r="C48" s="128">
        <v>532.79999999999995</v>
      </c>
      <c r="D48" s="128">
        <v>543.9</v>
      </c>
      <c r="E48" s="128">
        <v>465.4</v>
      </c>
      <c r="F48" s="128">
        <v>163.6</v>
      </c>
      <c r="G48" s="128">
        <v>178</v>
      </c>
      <c r="H48" s="128">
        <v>193.1</v>
      </c>
      <c r="I48" s="128">
        <v>203.1</v>
      </c>
      <c r="J48" s="128">
        <v>213.4</v>
      </c>
      <c r="K48" s="101"/>
      <c r="L48" s="145" t="s">
        <v>577</v>
      </c>
    </row>
    <row r="49" spans="2:16" ht="15" customHeight="1" x14ac:dyDescent="0.35">
      <c r="B49" t="s">
        <v>578</v>
      </c>
      <c r="C49" s="144">
        <v>15</v>
      </c>
      <c r="D49" s="144">
        <v>10.6</v>
      </c>
      <c r="E49" s="144">
        <v>8.3000000000000007</v>
      </c>
      <c r="F49" s="106">
        <v>0.92867132867132896</v>
      </c>
      <c r="G49" s="106">
        <v>0.92867132867132896</v>
      </c>
      <c r="H49" s="106">
        <v>0.92867132867132896</v>
      </c>
      <c r="I49" s="106">
        <v>0.92867132867132896</v>
      </c>
      <c r="J49" s="106">
        <v>0.92867132867132796</v>
      </c>
    </row>
    <row r="50" spans="2:16" ht="48" customHeight="1" x14ac:dyDescent="0.35">
      <c r="B50" t="s">
        <v>579</v>
      </c>
      <c r="C50" s="144">
        <v>-19.8</v>
      </c>
      <c r="D50" s="144">
        <v>-23.3</v>
      </c>
      <c r="E50" s="144">
        <v>-47.8</v>
      </c>
      <c r="F50" s="106">
        <v>-68.7</v>
      </c>
      <c r="G50" s="106">
        <v>-58.3</v>
      </c>
      <c r="H50" s="106">
        <v>-46.4</v>
      </c>
      <c r="I50" s="106">
        <v>-32.700000000000003</v>
      </c>
      <c r="J50" s="106">
        <v>-17.3</v>
      </c>
      <c r="L50" s="145" t="s">
        <v>580</v>
      </c>
    </row>
    <row r="51" spans="2:16" ht="15" customHeight="1" x14ac:dyDescent="0.35">
      <c r="B51" t="s">
        <v>581</v>
      </c>
      <c r="C51" s="144">
        <v>3.3</v>
      </c>
      <c r="D51" s="144">
        <v>-1.2</v>
      </c>
      <c r="E51" s="144">
        <v>2</v>
      </c>
      <c r="F51" s="144">
        <v>0</v>
      </c>
      <c r="G51" s="144">
        <v>0</v>
      </c>
      <c r="H51" s="144">
        <v>0</v>
      </c>
      <c r="I51" s="144">
        <v>0</v>
      </c>
      <c r="J51" s="144">
        <v>0</v>
      </c>
    </row>
    <row r="52" spans="2:16" ht="15" customHeight="1" x14ac:dyDescent="0.35">
      <c r="B52" s="104" t="s">
        <v>582</v>
      </c>
      <c r="C52" s="128">
        <v>531.29999999999995</v>
      </c>
      <c r="D52" s="128">
        <v>530</v>
      </c>
      <c r="E52" s="128">
        <v>427.9</v>
      </c>
      <c r="F52" s="128">
        <v>197.66772471260199</v>
      </c>
      <c r="G52" s="128">
        <v>284.77782600293199</v>
      </c>
      <c r="H52" s="128">
        <v>378.81300849048898</v>
      </c>
      <c r="I52" s="128">
        <v>479.27034980421797</v>
      </c>
      <c r="J52" s="128">
        <v>596.38266332833496</v>
      </c>
    </row>
    <row r="53" spans="2:16" ht="15" customHeight="1" x14ac:dyDescent="0.35">
      <c r="B53" t="s">
        <v>583</v>
      </c>
      <c r="C53" s="144">
        <v>-75.099999999999994</v>
      </c>
      <c r="D53" s="144">
        <v>-129</v>
      </c>
      <c r="E53" s="144">
        <v>-96.9</v>
      </c>
      <c r="F53" s="106">
        <v>-44.7628009456675</v>
      </c>
      <c r="G53" s="106">
        <v>-64.489299695452502</v>
      </c>
      <c r="H53" s="106">
        <v>-85.784016178379005</v>
      </c>
      <c r="I53" s="106">
        <v>-108.53306121997799</v>
      </c>
      <c r="J53" s="106">
        <v>-135.05370431529701</v>
      </c>
    </row>
    <row r="54" spans="2:16" ht="48" customHeight="1" x14ac:dyDescent="0.35">
      <c r="B54" s="104" t="s">
        <v>485</v>
      </c>
      <c r="C54" s="128">
        <v>456.2</v>
      </c>
      <c r="D54" s="128">
        <v>401</v>
      </c>
      <c r="E54" s="128">
        <v>331</v>
      </c>
      <c r="F54" s="128">
        <v>75</v>
      </c>
      <c r="G54" s="128">
        <v>94.5</v>
      </c>
      <c r="H54" s="128">
        <v>115.9</v>
      </c>
      <c r="I54" s="128">
        <v>134.6</v>
      </c>
      <c r="J54" s="128">
        <v>154.9</v>
      </c>
      <c r="L54" s="145" t="s">
        <v>584</v>
      </c>
    </row>
    <row r="55" spans="2:16" ht="15" customHeight="1" x14ac:dyDescent="0.35">
      <c r="C55" s="101"/>
      <c r="D55" s="101"/>
      <c r="E55" s="101"/>
      <c r="F55" s="106"/>
      <c r="G55" s="101"/>
      <c r="H55" s="101"/>
      <c r="I55" s="101"/>
      <c r="J55" s="101"/>
    </row>
    <row r="56" spans="2:16" ht="15" customHeight="1" x14ac:dyDescent="0.35">
      <c r="B56" s="146" t="s">
        <v>585</v>
      </c>
      <c r="C56" s="101"/>
      <c r="D56" s="101"/>
      <c r="E56" s="101"/>
      <c r="L56" s="147"/>
      <c r="M56" s="147"/>
      <c r="N56" s="147"/>
      <c r="O56" s="147"/>
      <c r="P56" s="147"/>
    </row>
    <row r="57" spans="2:16" ht="15" customHeight="1" x14ac:dyDescent="0.35">
      <c r="B57" s="132" t="s">
        <v>586</v>
      </c>
      <c r="C57" s="128">
        <v>532.79999999999995</v>
      </c>
      <c r="D57" s="128">
        <v>543.9</v>
      </c>
      <c r="E57" s="128">
        <v>465.4</v>
      </c>
      <c r="F57" s="128">
        <v>493.68031418041102</v>
      </c>
      <c r="G57" s="128">
        <v>559.80403959991702</v>
      </c>
      <c r="H57" s="128">
        <v>634.79196405141204</v>
      </c>
      <c r="I57" s="128">
        <v>709.31226324617398</v>
      </c>
      <c r="J57" s="128">
        <v>787.96023830464105</v>
      </c>
    </row>
    <row r="58" spans="2:16" ht="15" customHeight="1" x14ac:dyDescent="0.35">
      <c r="B58" s="89" t="s">
        <v>587</v>
      </c>
      <c r="C58" s="144">
        <v>190</v>
      </c>
      <c r="D58" s="144">
        <v>224.6</v>
      </c>
      <c r="E58" s="144">
        <v>229</v>
      </c>
      <c r="F58" s="311">
        <f>AI_Operating!D15</f>
        <v>89.985000000000014</v>
      </c>
      <c r="G58" s="311">
        <f>AI_Operating!E15</f>
        <v>94.484250000000017</v>
      </c>
      <c r="H58" s="311">
        <f>AI_Operating!F15</f>
        <v>99.208462500000024</v>
      </c>
      <c r="I58" s="311">
        <f>AI_Operating!G15</f>
        <v>104.16888562500003</v>
      </c>
      <c r="J58" s="311">
        <f>AI_Operating!H15</f>
        <v>109.37732990625004</v>
      </c>
    </row>
    <row r="59" spans="2:16" ht="15" customHeight="1" x14ac:dyDescent="0.35">
      <c r="B59" s="89" t="s">
        <v>588</v>
      </c>
      <c r="C59" s="144"/>
      <c r="D59" s="144"/>
      <c r="E59" s="144"/>
      <c r="F59" s="106">
        <v>52.997322083333302</v>
      </c>
      <c r="G59" s="106">
        <v>52.997322083333302</v>
      </c>
      <c r="H59" s="106">
        <v>52.997322083333302</v>
      </c>
      <c r="I59" s="106">
        <v>52.997322083333302</v>
      </c>
      <c r="J59" s="106">
        <v>52.997322083333302</v>
      </c>
    </row>
    <row r="60" spans="2:16" ht="15" customHeight="1" x14ac:dyDescent="0.35">
      <c r="B60" s="89" t="s">
        <v>589</v>
      </c>
      <c r="C60" s="144">
        <v>106.5</v>
      </c>
      <c r="D60" s="144">
        <v>127.2</v>
      </c>
      <c r="E60" s="144">
        <v>147.4</v>
      </c>
      <c r="F60" s="311">
        <f>F70*(-F43-F45-F46)</f>
        <v>140.8449</v>
      </c>
      <c r="G60" s="311">
        <f>G70*(-G43-G45-G46)</f>
        <v>145.37099999999998</v>
      </c>
      <c r="H60" s="311">
        <f>H70*(-H43-H45-H46)</f>
        <v>150.05219999999997</v>
      </c>
      <c r="I60" s="311">
        <f>I70*(-I43-I45-I46)</f>
        <v>153.97199999999998</v>
      </c>
      <c r="J60" s="311">
        <f>J70*(-J43-J45-J46)</f>
        <v>157.9905</v>
      </c>
      <c r="L60" s="387" t="s">
        <v>590</v>
      </c>
    </row>
    <row r="61" spans="2:16" ht="15" customHeight="1" x14ac:dyDescent="0.35">
      <c r="B61" s="89" t="s">
        <v>591</v>
      </c>
      <c r="C61" s="144">
        <v>14.3</v>
      </c>
      <c r="D61" s="144">
        <v>10.8</v>
      </c>
      <c r="E61" s="144">
        <v>40.9</v>
      </c>
      <c r="F61" s="144">
        <v>16</v>
      </c>
      <c r="G61" s="144">
        <v>5</v>
      </c>
      <c r="H61" s="144">
        <v>5</v>
      </c>
      <c r="I61" s="144">
        <v>0</v>
      </c>
      <c r="J61" s="144">
        <v>0</v>
      </c>
    </row>
    <row r="62" spans="2:16" ht="48" customHeight="1" x14ac:dyDescent="0.35">
      <c r="B62" s="132" t="s">
        <v>481</v>
      </c>
      <c r="C62" s="128">
        <v>843.6</v>
      </c>
      <c r="D62" s="128">
        <v>906.5</v>
      </c>
      <c r="E62" s="128">
        <v>882.7</v>
      </c>
      <c r="F62" s="105">
        <f>AI_Operating!D13</f>
        <v>220.54230000000001</v>
      </c>
      <c r="G62" s="105">
        <f>AI_Operating!E13</f>
        <v>242.98127500000001</v>
      </c>
      <c r="H62" s="105">
        <f>AI_Operating!F13</f>
        <v>266.74593594999999</v>
      </c>
      <c r="I62" s="105">
        <f>AI_Operating!G13</f>
        <v>291.90664189149999</v>
      </c>
      <c r="J62" s="105">
        <f>AI_Operating!H13</f>
        <v>318.53735131295502</v>
      </c>
      <c r="L62" s="145" t="s">
        <v>592</v>
      </c>
    </row>
    <row r="63" spans="2:16" ht="15" customHeight="1" x14ac:dyDescent="0.35">
      <c r="B63" s="148"/>
      <c r="L63" s="377" t="s">
        <v>593</v>
      </c>
      <c r="M63" s="377" t="s">
        <v>594</v>
      </c>
      <c r="N63" s="377" t="s">
        <v>595</v>
      </c>
      <c r="O63" s="377" t="s">
        <v>596</v>
      </c>
    </row>
    <row r="64" spans="2:16" ht="15" customHeight="1" x14ac:dyDescent="0.35">
      <c r="B64" s="146" t="s">
        <v>597</v>
      </c>
      <c r="F64" s="106"/>
      <c r="K64" s="149" t="s">
        <v>598</v>
      </c>
      <c r="L64" s="391" t="s">
        <v>599</v>
      </c>
      <c r="M64" s="387" t="s">
        <v>600</v>
      </c>
    </row>
    <row r="65" spans="2:16" ht="72" customHeight="1" x14ac:dyDescent="0.35">
      <c r="B65" s="150" t="s">
        <v>14</v>
      </c>
      <c r="C65" s="113"/>
      <c r="D65" s="113">
        <v>5.1663196630029398E-2</v>
      </c>
      <c r="E65" s="113">
        <v>1.353591160221E-2</v>
      </c>
      <c r="F65" s="151">
        <f>Assumptions_Drivers!$C$5</f>
        <v>0.05</v>
      </c>
      <c r="G65" s="151">
        <f>Assumptions_Drivers!$C$5</f>
        <v>0.05</v>
      </c>
      <c r="H65" s="151">
        <f>Assumptions_Drivers!$C$5</f>
        <v>0.05</v>
      </c>
      <c r="I65" s="151">
        <f>Assumptions_Drivers!$C$5</f>
        <v>0.05</v>
      </c>
      <c r="J65" s="151">
        <f>Assumptions_Drivers!$C$5</f>
        <v>0.05</v>
      </c>
      <c r="K65" s="110">
        <v>0</v>
      </c>
      <c r="L65" s="394" t="s">
        <v>601</v>
      </c>
      <c r="M65" s="378" t="str">
        <f>HYPERLINK("https://www.sec.gov/Archives/edgar/data/1794515/000179451526000012/zi-20251231.htm","REASONABLE: ZI FY25 10-K — Drivers C5=+5% (rounded CAGR, not raw +3%)")</f>
        <v>REASONABLE: ZI FY25 10-K — Drivers C5=+5% (rounded CAGR, not raw +3%)</v>
      </c>
      <c r="N65" s="379" t="s">
        <v>602</v>
      </c>
      <c r="O65" s="379" t="s">
        <v>603</v>
      </c>
    </row>
    <row r="66" spans="2:16" ht="72" customHeight="1" x14ac:dyDescent="0.35">
      <c r="B66" s="150" t="s">
        <v>604</v>
      </c>
      <c r="C66" s="113">
        <v>0.76507044981358596</v>
      </c>
      <c r="D66" s="113">
        <v>0.73807550644567199</v>
      </c>
      <c r="E66" s="113">
        <v>0.73108022167711495</v>
      </c>
      <c r="F66" s="152">
        <f>Assumptions_Drivers!$C$6</f>
        <v>0.8</v>
      </c>
      <c r="G66" s="152">
        <f>Assumptions_Drivers!$C$6</f>
        <v>0.8</v>
      </c>
      <c r="H66" s="152">
        <f>Assumptions_Drivers!$C$6</f>
        <v>0.8</v>
      </c>
      <c r="I66" s="152">
        <f>Assumptions_Drivers!$C$6</f>
        <v>0.8</v>
      </c>
      <c r="J66" s="152">
        <f>Assumptions_Drivers!$C$6</f>
        <v>0.8</v>
      </c>
      <c r="K66" s="110">
        <v>0</v>
      </c>
      <c r="L66" s="394" t="s">
        <v>605</v>
      </c>
      <c r="M66" s="378" t="str">
        <f>HYPERLINK("https://www.getaleph.com/answers/saas-gross-margin-2026","REASONABLE: Aleph × Benchmarkit — median GM 80% → Drivers C6")</f>
        <v>REASONABLE: Aleph × Benchmarkit — median GM 80% → Drivers C6</v>
      </c>
      <c r="N66" s="379" t="s">
        <v>606</v>
      </c>
      <c r="O66" s="379" t="s">
        <v>607</v>
      </c>
    </row>
    <row r="67" spans="2:16" ht="72" customHeight="1" x14ac:dyDescent="0.35">
      <c r="B67" s="150" t="s">
        <v>608</v>
      </c>
      <c r="C67" s="113">
        <v>8.7929114414370804E-2</v>
      </c>
      <c r="D67" s="113">
        <v>7.6058931860036802E-2</v>
      </c>
      <c r="E67" s="113">
        <v>7.9313164349959095E-2</v>
      </c>
      <c r="F67" s="153">
        <f>IF(AI_Operating!F5=0,0,AI_Operating!F11/AI_Operating!F5)</f>
        <v>0.16149221773861486</v>
      </c>
      <c r="G67" s="153">
        <f>IF(AI_Operating!G5=0,0,AI_Operating!G11/AI_Operating!G5)</f>
        <v>0.16149221773861486</v>
      </c>
      <c r="H67" s="153">
        <f>IF(AI_Operating!H5=0,0,AI_Operating!H11/AI_Operating!H5)</f>
        <v>0.16149221773861483</v>
      </c>
      <c r="I67" s="153">
        <f>IF(AI_Operating!I5=0,0,AI_Operating!I11/AI_Operating!I5)</f>
        <v>0</v>
      </c>
      <c r="J67" s="153">
        <f>IF(AI_Operating!J5=0,0,AI_Operating!J11/AI_Operating!J5)</f>
        <v>0</v>
      </c>
      <c r="K67" s="110">
        <v>0</v>
      </c>
      <c r="L67" s="394" t="s">
        <v>609</v>
      </c>
      <c r="M67" s="378" t="str">
        <f>HYPERLINK("https://www.sec.gov/Archives/edgar/data/1794515/000179451525000045/zi-20241231.htm","REASONABLE: ZI FY24 10-K — R&amp;D $196.1m / Rev $1,214.3m ≈16.15%")</f>
        <v>REASONABLE: ZI FY24 10-K — R&amp;D $196.1m / Rev $1,214.3m ≈16.15%</v>
      </c>
      <c r="N67" s="379" t="s">
        <v>610</v>
      </c>
      <c r="O67" s="379" t="s">
        <v>611</v>
      </c>
    </row>
    <row r="68" spans="2:16" ht="72" customHeight="1" x14ac:dyDescent="0.35">
      <c r="B68" s="150" t="s">
        <v>612</v>
      </c>
      <c r="C68" s="113">
        <v>0.419164286060136</v>
      </c>
      <c r="D68" s="113">
        <v>0.411602209944751</v>
      </c>
      <c r="E68" s="113">
        <v>0.440356137003725</v>
      </c>
      <c r="F68" s="153">
        <f>IF(AI_Operating!F5=0,0,(AI_Operating!F9+AI_Operating!F10+AI_Operating!F12)/AI_Operating!F5)</f>
        <v>0.44874811106886364</v>
      </c>
      <c r="G68" s="153">
        <f>IF(AI_Operating!G5=0,0,(AI_Operating!G9+AI_Operating!G10+AI_Operating!G12)/AI_Operating!G5)</f>
        <v>0.44073761286969887</v>
      </c>
      <c r="H68" s="153">
        <f>IF(AI_Operating!H5=0,0,(AI_Operating!H9+AI_Operating!H10+AI_Operating!H12)/AI_Operating!H5)</f>
        <v>0.43297179465432234</v>
      </c>
      <c r="I68" s="153">
        <f>IF(AI_Operating!I5=0,0,(AI_Operating!I9+AI_Operating!I10+AI_Operating!I12)/AI_Operating!I5)</f>
        <v>0</v>
      </c>
      <c r="J68" s="153">
        <f>IF(AI_Operating!J5=0,0,(AI_Operating!J9+AI_Operating!J10+AI_Operating!J12)/AI_Operating!J5)</f>
        <v>0</v>
      </c>
      <c r="K68" s="110">
        <v>0</v>
      </c>
      <c r="L68" s="394" t="s">
        <v>613</v>
      </c>
      <c r="M68" s="378" t="str">
        <f>HYPERLINK("https://www.digitalapplied.com/blog/ai-sdr-statistics-2026-outbound-sales-data-points","REASONABLE: Built %, not one page — 18% SDR cut (Digital Applied) + G&amp;A 18% (Blossom) + $24.5m AI")</f>
        <v>REASONABLE: Built %, not one page — 18% SDR cut (Digital Applied) + G&amp;A 18% (Blossom) + $24.5m AI</v>
      </c>
      <c r="N68" s="379" t="s">
        <v>614</v>
      </c>
      <c r="O68" s="379" t="s">
        <v>615</v>
      </c>
    </row>
    <row r="69" spans="2:16" ht="72" customHeight="1" x14ac:dyDescent="0.35">
      <c r="B69" s="150" t="s">
        <v>103</v>
      </c>
      <c r="C69" s="113">
        <v>0.14135140222096701</v>
      </c>
      <c r="D69" s="113">
        <v>0.24339622641509401</v>
      </c>
      <c r="E69" s="113">
        <v>0.226454779154008</v>
      </c>
      <c r="F69" s="151">
        <f>Assumptions_Drivers!$C$19</f>
        <v>0.21</v>
      </c>
      <c r="G69" s="152">
        <f>Assumptions_Drivers!$C$19</f>
        <v>0.21</v>
      </c>
      <c r="H69" s="152">
        <f>Assumptions_Drivers!$C$19</f>
        <v>0.21</v>
      </c>
      <c r="I69" s="152">
        <f>Assumptions_Drivers!$C$19</f>
        <v>0.21</v>
      </c>
      <c r="J69" s="152">
        <f>Assumptions_Drivers!$C$19</f>
        <v>0.21</v>
      </c>
      <c r="K69" s="110">
        <v>0</v>
      </c>
      <c r="L69" s="394" t="s">
        <v>616</v>
      </c>
      <c r="M69" s="378" t="str">
        <f>HYPERLINK("https://taxsummaries.pwc.com/united-states/corporate/taxes-on-corporate-income","REASONABLE: PwC — flat 21% → Drivers C19")</f>
        <v>REASONABLE: PwC — flat 21% → Drivers C19</v>
      </c>
      <c r="N69" s="379" t="s">
        <v>617</v>
      </c>
      <c r="O69" s="379" t="s">
        <v>618</v>
      </c>
    </row>
    <row r="70" spans="2:16" ht="72" customHeight="1" x14ac:dyDescent="0.35">
      <c r="B70" s="150" t="s">
        <v>619</v>
      </c>
      <c r="C70" s="113">
        <v>6.9494290375203896E-2</v>
      </c>
      <c r="D70" s="113">
        <v>7.8127879122904004E-2</v>
      </c>
      <c r="E70" s="113">
        <v>8.4907834101382501E-2</v>
      </c>
      <c r="F70" s="110">
        <f>Assumptions_Drivers!$C$29</f>
        <v>0.14099999999999999</v>
      </c>
      <c r="G70" s="153">
        <f>Assumptions_Drivers!$C$29</f>
        <v>0.14099999999999999</v>
      </c>
      <c r="H70" s="153">
        <f>Assumptions_Drivers!$C$29</f>
        <v>0.14099999999999999</v>
      </c>
      <c r="I70" s="153">
        <f>Assumptions_Drivers!$C$29</f>
        <v>0.14099999999999999</v>
      </c>
      <c r="J70" s="153">
        <f>Assumptions_Drivers!$C$29</f>
        <v>0.14099999999999999</v>
      </c>
      <c r="K70" s="110">
        <v>0</v>
      </c>
      <c r="L70" s="394" t="s">
        <v>620</v>
      </c>
      <c r="M70" s="380" t="str">
        <f>HYPERLINK("https://www.sec.gov/Archives/edgar/data/1794515/000179451526000012/zi-20251231.htm","CAUTION — Drivers C29: FY25 SBC $116.2m ÷ opex $824.2m = 14.1%; LBO $ = %×opex")</f>
        <v>CAUTION — Drivers C29: FY25 SBC $116.2m ÷ opex $824.2m = 14.1%; LBO $ = %×opex</v>
      </c>
      <c r="N70" s="381" t="s">
        <v>621</v>
      </c>
      <c r="O70" s="381" t="s">
        <v>622</v>
      </c>
    </row>
    <row r="71" spans="2:16" ht="15" customHeight="1" x14ac:dyDescent="0.35">
      <c r="B71" s="148"/>
      <c r="C71" s="154"/>
      <c r="D71" s="154"/>
      <c r="E71" s="154"/>
      <c r="F71" s="154"/>
      <c r="G71" s="154"/>
      <c r="H71" s="154"/>
      <c r="I71" s="154"/>
      <c r="J71" s="154"/>
    </row>
    <row r="72" spans="2:16" ht="15" customHeight="1" x14ac:dyDescent="0.35">
      <c r="B72" s="155" t="s">
        <v>623</v>
      </c>
      <c r="C72" s="156"/>
      <c r="D72" s="156"/>
      <c r="E72" s="156"/>
      <c r="F72" s="156"/>
      <c r="G72" s="156"/>
      <c r="H72" s="156"/>
      <c r="I72" s="156"/>
      <c r="J72" s="156"/>
      <c r="L72" s="391" t="s">
        <v>624</v>
      </c>
      <c r="M72" s="391" t="s">
        <v>625</v>
      </c>
    </row>
    <row r="73" spans="2:16" ht="15" customHeight="1" x14ac:dyDescent="0.35">
      <c r="B73" t="s">
        <v>566</v>
      </c>
      <c r="C73" s="154">
        <v>2022</v>
      </c>
      <c r="D73" s="136">
        <v>2023</v>
      </c>
      <c r="E73" s="136">
        <v>2024</v>
      </c>
      <c r="F73" s="138">
        <v>2025</v>
      </c>
      <c r="G73" s="138">
        <v>2026</v>
      </c>
      <c r="H73" s="138">
        <v>2027</v>
      </c>
      <c r="I73" s="138">
        <v>2028</v>
      </c>
      <c r="J73" s="138">
        <v>2029</v>
      </c>
    </row>
    <row r="74" spans="2:16" ht="15" customHeight="1" x14ac:dyDescent="0.35">
      <c r="B74" s="139" t="s">
        <v>567</v>
      </c>
      <c r="C74" s="156"/>
      <c r="D74" s="141">
        <v>45291</v>
      </c>
      <c r="E74" s="141">
        <v>45657</v>
      </c>
      <c r="F74" s="141">
        <v>46022</v>
      </c>
      <c r="G74" s="141">
        <v>46387</v>
      </c>
      <c r="H74" s="141">
        <v>46752</v>
      </c>
      <c r="I74" s="141">
        <v>47118</v>
      </c>
      <c r="J74" s="141">
        <v>47483</v>
      </c>
    </row>
    <row r="75" spans="2:16" ht="30" customHeight="1" x14ac:dyDescent="0.35">
      <c r="B75" s="91"/>
      <c r="C75" s="154"/>
      <c r="D75" s="154"/>
      <c r="E75" s="154"/>
      <c r="F75" s="154"/>
      <c r="G75" s="154"/>
      <c r="H75" s="154"/>
      <c r="I75" s="154"/>
      <c r="J75" s="154"/>
      <c r="L75" s="377" t="s">
        <v>593</v>
      </c>
      <c r="M75" s="377" t="s">
        <v>594</v>
      </c>
      <c r="N75" s="377" t="s">
        <v>626</v>
      </c>
      <c r="O75" s="377" t="s">
        <v>627</v>
      </c>
      <c r="P75" s="377" t="s">
        <v>628</v>
      </c>
    </row>
    <row r="76" spans="2:16" ht="78" customHeight="1" x14ac:dyDescent="0.35">
      <c r="B76" s="148" t="s">
        <v>629</v>
      </c>
      <c r="C76" s="157"/>
      <c r="D76" s="158">
        <v>484.8</v>
      </c>
      <c r="E76" s="158">
        <v>443.7</v>
      </c>
      <c r="F76" s="197">
        <f>F77*F42</f>
        <v>202.16794520547901</v>
      </c>
      <c r="G76" s="197">
        <f>G77*G42</f>
        <v>210.26630136986253</v>
      </c>
      <c r="H76" s="197">
        <f>H77*H42</f>
        <v>218.67178082191731</v>
      </c>
      <c r="I76" s="197">
        <f>I77*I42</f>
        <v>225.23452054794473</v>
      </c>
      <c r="J76" s="197">
        <f>J77*J42</f>
        <v>231.99123287671182</v>
      </c>
      <c r="L76" s="394" t="s">
        <v>630</v>
      </c>
      <c r="M76" s="378" t="str">
        <f>HYPERLINK("https://www.sec.gov/Archives/edgar/data/1794515/000179451525000045/zi-20241231.htm","REASONABLE: EOP AR = Drivers C25 × Revenue (stock from intensity)")</f>
        <v>REASONABLE: EOP AR = Drivers C25 × Revenue (stock from intensity)</v>
      </c>
      <c r="N76" s="379" t="s">
        <v>631</v>
      </c>
      <c r="O76" s="379" t="s">
        <v>632</v>
      </c>
      <c r="P76" s="398" t="s">
        <v>633</v>
      </c>
    </row>
    <row r="77" spans="2:16" ht="78" customHeight="1" x14ac:dyDescent="0.35">
      <c r="B77" s="159" t="s">
        <v>634</v>
      </c>
      <c r="C77" s="113"/>
      <c r="D77" s="113">
        <v>0.22320441988950299</v>
      </c>
      <c r="E77" s="113">
        <v>0.201553556827473</v>
      </c>
      <c r="F77" s="110">
        <f>Assumptions_Drivers!$C$25</f>
        <v>0.161643835616438</v>
      </c>
      <c r="G77" s="110">
        <f>Assumptions_Drivers!$C$25</f>
        <v>0.161643835616438</v>
      </c>
      <c r="H77" s="110">
        <f>Assumptions_Drivers!$C$25</f>
        <v>0.161643835616438</v>
      </c>
      <c r="I77" s="110">
        <f>Assumptions_Drivers!$C$25</f>
        <v>0.161643835616438</v>
      </c>
      <c r="J77" s="110">
        <f>Assumptions_Drivers!$C$25</f>
        <v>0.161643835616438</v>
      </c>
      <c r="L77" s="394" t="s">
        <v>635</v>
      </c>
      <c r="M77" s="378" t="str">
        <f>HYPERLINK("https://getfairview.com/blog/working-capital-management-saas","REASONABLE: Fairview median DSO 59d → C25=59/365≈16.2%")</f>
        <v>REASONABLE: Fairview median DSO 59d → C25=59/365≈16.2%</v>
      </c>
      <c r="N77" s="379" t="s">
        <v>636</v>
      </c>
      <c r="O77" s="379" t="s">
        <v>637</v>
      </c>
      <c r="P77" s="398" t="s">
        <v>638</v>
      </c>
    </row>
    <row r="78" spans="2:16" ht="78" customHeight="1" x14ac:dyDescent="0.35">
      <c r="B78" s="148" t="s">
        <v>639</v>
      </c>
      <c r="C78" s="157"/>
      <c r="D78" s="158">
        <v>195.1</v>
      </c>
      <c r="E78" s="158">
        <v>213.1</v>
      </c>
      <c r="F78" s="197">
        <f>F79*F42</f>
        <v>121.07030526028889</v>
      </c>
      <c r="G78" s="197">
        <f>G79*G42</f>
        <v>125.92008721722537</v>
      </c>
      <c r="H78" s="197">
        <f>H79*H42</f>
        <v>130.95379304079219</v>
      </c>
      <c r="I78" s="197">
        <f>I79*I42</f>
        <v>134.88395566457706</v>
      </c>
      <c r="J78" s="197">
        <f>J79*J42</f>
        <v>138.93028073044425</v>
      </c>
      <c r="L78" s="394" t="s">
        <v>640</v>
      </c>
      <c r="M78" s="380" t="str">
        <f>HYPERLINK("https://www.sec.gov/Archives/edgar/data/1794515/000179451525000045/zi-20241231.htm","CAUTION — not a Driver: other CA held at FY24 % of sales")</f>
        <v>CAUTION — not a Driver: other CA held at FY24 % of sales</v>
      </c>
      <c r="N78" s="381" t="s">
        <v>641</v>
      </c>
      <c r="O78" s="381" t="s">
        <v>642</v>
      </c>
      <c r="P78" s="392" t="s">
        <v>643</v>
      </c>
    </row>
    <row r="79" spans="2:16" ht="78" customHeight="1" x14ac:dyDescent="0.35">
      <c r="B79" s="159" t="s">
        <v>644</v>
      </c>
      <c r="C79" s="113"/>
      <c r="D79" s="113">
        <v>8.9825046040515694E-2</v>
      </c>
      <c r="E79" s="113">
        <v>9.6802035068592696E-2</v>
      </c>
      <c r="F79" s="110">
        <v>9.6802035068592696E-2</v>
      </c>
      <c r="G79" s="110">
        <v>9.6802035068592696E-2</v>
      </c>
      <c r="H79" s="110">
        <v>9.6802035068592696E-2</v>
      </c>
      <c r="I79" s="110">
        <v>9.6802035068592696E-2</v>
      </c>
      <c r="J79" s="110">
        <v>9.6802035068592696E-2</v>
      </c>
      <c r="L79" s="394" t="s">
        <v>645</v>
      </c>
      <c r="M79" s="380" t="str">
        <f>HYPERLINK("https://www.sec.gov/Archives/edgar/data/1794515/000179451525000045/zi-20241231.htm","CAUTION — not a Driver: other CA % held flat")</f>
        <v>CAUTION — not a Driver: other CA % held flat</v>
      </c>
      <c r="N79" s="381" t="s">
        <v>646</v>
      </c>
      <c r="O79" s="381" t="s">
        <v>647</v>
      </c>
      <c r="P79" s="392" t="s">
        <v>648</v>
      </c>
    </row>
    <row r="80" spans="2:16" ht="78" customHeight="1" x14ac:dyDescent="0.35">
      <c r="B80" s="148" t="s">
        <v>649</v>
      </c>
      <c r="C80" s="157"/>
      <c r="D80" s="158">
        <v>32.700000000000003</v>
      </c>
      <c r="E80" s="158">
        <v>42.1</v>
      </c>
      <c r="F80" s="197">
        <f>F81*(-F43)</f>
        <v>13.902956081081088</v>
      </c>
      <c r="G80" s="197">
        <f>G81*(-G43)</f>
        <v>14.457652027027036</v>
      </c>
      <c r="H80" s="197">
        <f>H81*(-H43)</f>
        <v>15.033682432432441</v>
      </c>
      <c r="I80" s="197">
        <f>I81*(-I43)</f>
        <v>15.488817567567576</v>
      </c>
      <c r="J80" s="197">
        <f>J81*(-J43)</f>
        <v>15.951064189189198</v>
      </c>
      <c r="L80" s="394" t="s">
        <v>650</v>
      </c>
      <c r="M80" s="380" t="str">
        <f>HYPERLINK("https://www.sec.gov/Archives/edgar/data/1794515/000179451525000045/zi-20241231.htm","CAUTION — ZI AP only $16.6m; hold hist AP/COGS %")</f>
        <v>CAUTION — ZI AP only $16.6m; hold hist AP/COGS %</v>
      </c>
      <c r="N80" s="381" t="s">
        <v>651</v>
      </c>
      <c r="O80" s="381" t="s">
        <v>652</v>
      </c>
      <c r="P80" s="392" t="s">
        <v>653</v>
      </c>
    </row>
    <row r="81" spans="2:16" ht="78" customHeight="1" x14ac:dyDescent="0.35">
      <c r="B81" s="159" t="s">
        <v>654</v>
      </c>
      <c r="C81" s="113"/>
      <c r="D81" s="113">
        <v>5.7479346106521403E-2</v>
      </c>
      <c r="E81" s="113">
        <v>7.1114864864864902E-2</v>
      </c>
      <c r="F81" s="110">
        <v>7.1114864864864902E-2</v>
      </c>
      <c r="G81" s="110">
        <v>7.1114864864864902E-2</v>
      </c>
      <c r="H81" s="110">
        <v>7.1114864864864902E-2</v>
      </c>
      <c r="I81" s="110">
        <v>7.1114864864864902E-2</v>
      </c>
      <c r="J81" s="110">
        <v>7.1114864864864902E-2</v>
      </c>
      <c r="L81" s="394" t="s">
        <v>655</v>
      </c>
      <c r="M81" s="380" t="str">
        <f>HYPERLINK("https://www.sec.gov/Archives/edgar/data/1794515/000179451525000045/zi-20241231.htm","CAUTION — not a Driver: AP/COGS % held flat")</f>
        <v>CAUTION — not a Driver: AP/COGS % held flat</v>
      </c>
      <c r="N81" s="381" t="s">
        <v>656</v>
      </c>
      <c r="O81" s="381" t="s">
        <v>657</v>
      </c>
      <c r="P81" s="392" t="s">
        <v>658</v>
      </c>
    </row>
    <row r="82" spans="2:16" ht="78" customHeight="1" x14ac:dyDescent="0.35">
      <c r="B82" s="148" t="s">
        <v>659</v>
      </c>
      <c r="C82" s="160"/>
      <c r="D82" s="158">
        <v>2313.3000000000002</v>
      </c>
      <c r="E82" s="158">
        <v>2301.6999999999998</v>
      </c>
      <c r="F82" s="197">
        <f>F83*F42</f>
        <v>488.00268467429754</v>
      </c>
      <c r="G82" s="197">
        <f>G83*G42</f>
        <v>507.55088528370209</v>
      </c>
      <c r="H82" s="197">
        <f>H83*H42</f>
        <v>527.84043481841343</v>
      </c>
      <c r="I82" s="197">
        <f>I83*I42</f>
        <v>543.68189080128423</v>
      </c>
      <c r="J82" s="197">
        <f>J83*J42</f>
        <v>559.99156715803304</v>
      </c>
      <c r="L82" s="394" t="s">
        <v>660</v>
      </c>
      <c r="M82" s="378" t="str">
        <f>HYPERLINK("https://www.sec.gov/Archives/edgar/data/1794515/000179451525000045/zi-20241231.htm","REASONABLE: EOP deferred/accrued ≈ Drivers C26 × Revenue")</f>
        <v>REASONABLE: EOP deferred/accrued ≈ Drivers C26 × Revenue</v>
      </c>
      <c r="N82" s="379" t="s">
        <v>661</v>
      </c>
      <c r="O82" s="379" t="s">
        <v>662</v>
      </c>
      <c r="P82" s="399" t="s">
        <v>663</v>
      </c>
    </row>
    <row r="83" spans="2:16" ht="78" customHeight="1" x14ac:dyDescent="0.35">
      <c r="B83" s="159" t="s">
        <v>664</v>
      </c>
      <c r="C83" s="113"/>
      <c r="D83" s="113">
        <v>1.0650552486187901</v>
      </c>
      <c r="E83" s="113">
        <v>1.04556191514491</v>
      </c>
      <c r="F83" s="110">
        <f>Assumptions_Drivers!$C$26</f>
        <v>0.39018364489829499</v>
      </c>
      <c r="G83" s="110">
        <f>Assumptions_Drivers!$C$26</f>
        <v>0.39018364489829499</v>
      </c>
      <c r="H83" s="110">
        <f>Assumptions_Drivers!$C$26</f>
        <v>0.39018364489829499</v>
      </c>
      <c r="I83" s="110">
        <f>Assumptions_Drivers!$C$26</f>
        <v>0.39018364489829499</v>
      </c>
      <c r="J83" s="110">
        <f>Assumptions_Drivers!$C$26</f>
        <v>0.39018364489829499</v>
      </c>
      <c r="L83" s="394" t="s">
        <v>665</v>
      </c>
      <c r="M83" s="378" t="str">
        <f>HYPERLINK("https://www.sec.gov/Archives/edgar/data/1794515/000179451525000045/zi-20241231.htm","REASONABLE: ZI FY24 unearned $473.8m / sales $1,214.3m → C26≈39%")</f>
        <v>REASONABLE: ZI FY24 unearned $473.8m / sales $1,214.3m → C26≈39%</v>
      </c>
      <c r="N83" s="379" t="s">
        <v>666</v>
      </c>
      <c r="O83" s="379" t="s">
        <v>667</v>
      </c>
      <c r="P83" s="399" t="s">
        <v>668</v>
      </c>
    </row>
    <row r="84" spans="2:16" ht="15" customHeight="1" x14ac:dyDescent="0.35">
      <c r="B84" s="159"/>
      <c r="C84" s="113"/>
      <c r="D84" s="113"/>
      <c r="E84" s="113"/>
    </row>
    <row r="85" spans="2:16" ht="78" customHeight="1" x14ac:dyDescent="0.35">
      <c r="B85" s="116" t="s">
        <v>669</v>
      </c>
      <c r="C85" s="91"/>
      <c r="D85" s="161">
        <v>-1666.1</v>
      </c>
      <c r="E85" s="161">
        <v>-1687</v>
      </c>
      <c r="F85" s="311">
        <f>F76+F78-F80-F82</f>
        <v>-178.66739028961069</v>
      </c>
      <c r="G85" s="311">
        <f>G76+G78-G80-G82</f>
        <v>-185.82214872364125</v>
      </c>
      <c r="H85" s="311">
        <f>H76+H78-H80-H82</f>
        <v>-193.24854338813634</v>
      </c>
      <c r="I85" s="311">
        <f>I76+I78-I80-I82</f>
        <v>-199.05223215633004</v>
      </c>
      <c r="J85" s="311">
        <f>J76+J78-J80-J82</f>
        <v>-205.02111774006619</v>
      </c>
      <c r="L85" s="394" t="s">
        <v>670</v>
      </c>
      <c r="M85" s="378" t="str">
        <f>HYPERLINK("https://getfairview.com/blog/working-capital-management-saas","REASONABLE: EOP NWC = AR+OCA−AP−Deferred; FCF uses AI ΔNWC")</f>
        <v>REASONABLE: EOP NWC = AR+OCA−AP−Deferred; FCF uses AI ΔNWC</v>
      </c>
      <c r="N85" s="379" t="s">
        <v>671</v>
      </c>
      <c r="O85" s="379" t="s">
        <v>672</v>
      </c>
      <c r="P85" s="399" t="s">
        <v>673</v>
      </c>
    </row>
    <row r="86" spans="2:16" ht="78" customHeight="1" x14ac:dyDescent="0.35">
      <c r="B86" t="s">
        <v>674</v>
      </c>
      <c r="D86" s="107"/>
      <c r="E86" s="107"/>
      <c r="F86" s="101"/>
      <c r="G86" s="101"/>
      <c r="H86" s="101"/>
      <c r="I86" s="101"/>
      <c r="J86" s="101"/>
      <c r="L86" s="394" t="s">
        <v>675</v>
      </c>
      <c r="M86" s="378" t="str">
        <f>HYPERLINK("https://getfairview.com/blog/working-capital-management-saas","RELATED Drivers C13: 10% AR/DSO improvement — MAJOR AI lever")</f>
        <v>RELATED Drivers C13: 10% AR/DSO improvement — MAJOR AI lever</v>
      </c>
      <c r="N86" s="379" t="s">
        <v>676</v>
      </c>
      <c r="O86" s="379" t="s">
        <v>677</v>
      </c>
      <c r="P86" s="399" t="s">
        <v>678</v>
      </c>
    </row>
    <row r="87" spans="2:16" ht="15" customHeight="1" x14ac:dyDescent="0.35">
      <c r="B87" s="155" t="s">
        <v>679</v>
      </c>
      <c r="C87" s="162"/>
      <c r="D87" s="162"/>
      <c r="E87" s="162"/>
      <c r="F87" s="163"/>
      <c r="G87" s="163"/>
      <c r="H87" s="163"/>
      <c r="I87" s="163"/>
      <c r="J87" s="163"/>
      <c r="L87" s="391" t="s">
        <v>680</v>
      </c>
    </row>
    <row r="88" spans="2:16" ht="15" customHeight="1" x14ac:dyDescent="0.35">
      <c r="B88" t="s">
        <v>566</v>
      </c>
      <c r="C88" s="136">
        <v>2022</v>
      </c>
      <c r="D88" s="136">
        <v>2023</v>
      </c>
      <c r="E88" s="136">
        <v>2024</v>
      </c>
      <c r="F88" s="138">
        <v>2025</v>
      </c>
      <c r="G88" s="138">
        <v>2026</v>
      </c>
      <c r="H88" s="138">
        <v>2027</v>
      </c>
      <c r="I88" s="138">
        <v>2028</v>
      </c>
      <c r="J88" s="138">
        <v>2029</v>
      </c>
    </row>
    <row r="89" spans="2:16" ht="15" customHeight="1" x14ac:dyDescent="0.35">
      <c r="B89" s="139" t="s">
        <v>567</v>
      </c>
      <c r="C89" s="141">
        <v>44926</v>
      </c>
      <c r="D89" s="141">
        <v>45291</v>
      </c>
      <c r="E89" s="141">
        <v>45657</v>
      </c>
      <c r="F89" s="141">
        <v>46022</v>
      </c>
      <c r="G89" s="141">
        <v>46387</v>
      </c>
      <c r="H89" s="141">
        <v>46752</v>
      </c>
      <c r="I89" s="141">
        <v>47118</v>
      </c>
      <c r="J89" s="141">
        <v>47483</v>
      </c>
    </row>
    <row r="90" spans="2:16" ht="15" customHeight="1" x14ac:dyDescent="0.35">
      <c r="B90" s="164"/>
      <c r="L90" s="377" t="s">
        <v>593</v>
      </c>
      <c r="M90" s="377" t="s">
        <v>594</v>
      </c>
      <c r="N90" s="377" t="s">
        <v>626</v>
      </c>
      <c r="O90" s="377" t="s">
        <v>681</v>
      </c>
      <c r="P90" s="377" t="s">
        <v>628</v>
      </c>
    </row>
    <row r="91" spans="2:16" ht="72" customHeight="1" x14ac:dyDescent="0.35">
      <c r="B91" s="148" t="s">
        <v>682</v>
      </c>
      <c r="C91" s="104"/>
      <c r="D91" s="158">
        <v>87.8</v>
      </c>
      <c r="E91" s="158">
        <v>85.2</v>
      </c>
      <c r="F91" s="197">
        <f>E91+F92+F93</f>
        <v>18.675275999999997</v>
      </c>
      <c r="G91" s="197">
        <f>F91+G92+G93</f>
        <v>-51.17568420000002</v>
      </c>
      <c r="H91" s="197">
        <f>G91+H92+H93</f>
        <v>-124.51919241000004</v>
      </c>
      <c r="I91" s="197">
        <f>H91+I92+I93</f>
        <v>-201.52987603050008</v>
      </c>
      <c r="J91" s="197">
        <f>I91+J92+J93</f>
        <v>-282.39109383202509</v>
      </c>
      <c r="L91" s="395" t="s">
        <v>683</v>
      </c>
      <c r="M91" s="380" t="str">
        <f>HYPERLINK("https://saasdb.app/learn/financials/fcf-margin/","REASONABLE: PPE roll follows CapEx/D&amp;A; SaaS is asset-light")</f>
        <v>REASONABLE: PPE roll follows CapEx/D&amp;A; SaaS is asset-light</v>
      </c>
      <c r="N91" s="381" t="s">
        <v>684</v>
      </c>
      <c r="O91" s="381" t="s">
        <v>685</v>
      </c>
      <c r="P91" s="392" t="s">
        <v>686</v>
      </c>
    </row>
    <row r="92" spans="2:16" ht="72" customHeight="1" x14ac:dyDescent="0.35">
      <c r="B92" s="159" t="s">
        <v>687</v>
      </c>
      <c r="C92" s="144">
        <v>22</v>
      </c>
      <c r="D92" s="144">
        <v>26.5</v>
      </c>
      <c r="E92" s="144">
        <v>24.5</v>
      </c>
      <c r="F92" s="168">
        <f>AI_Operating!D19</f>
        <v>23.460276000000004</v>
      </c>
      <c r="G92" s="168">
        <f>AI_Operating!E19</f>
        <v>24.633289800000004</v>
      </c>
      <c r="H92" s="168">
        <f>AI_Operating!F19</f>
        <v>25.86495429</v>
      </c>
      <c r="I92" s="168">
        <f>AI_Operating!G19</f>
        <v>27.158202004499998</v>
      </c>
      <c r="J92" s="168">
        <f>AI_Operating!H19</f>
        <v>28.516112104725003</v>
      </c>
      <c r="L92" s="395" t="s">
        <v>688</v>
      </c>
      <c r="M92" s="378" t="str">
        <f>HYPERLINK("https://saasdb.app/learn/financials/fcf-margin/","REASONABLE: Drivers C24=2% mid of 1–3%; AI cut C12=8% → 1.84%")</f>
        <v>REASONABLE: Drivers C24=2% mid of 1–3%; AI cut C12=8% → 1.84%</v>
      </c>
      <c r="N92" s="379" t="s">
        <v>689</v>
      </c>
      <c r="O92" s="379" t="s">
        <v>690</v>
      </c>
      <c r="P92" s="398" t="s">
        <v>691</v>
      </c>
    </row>
    <row r="93" spans="2:16" ht="95" customHeight="1" x14ac:dyDescent="0.35">
      <c r="B93" s="159" t="s">
        <v>692</v>
      </c>
      <c r="C93" s="144">
        <v>-39.1</v>
      </c>
      <c r="D93" s="144">
        <v>-37.799999999999997</v>
      </c>
      <c r="E93" s="144">
        <v>-38.700000000000003</v>
      </c>
      <c r="F93" s="311">
        <f>-AI_Operating!D15</f>
        <v>-89.985000000000014</v>
      </c>
      <c r="G93" s="311">
        <f>-AI_Operating!E15</f>
        <v>-94.484250000000017</v>
      </c>
      <c r="H93" s="311">
        <f>-AI_Operating!F15</f>
        <v>-99.208462500000024</v>
      </c>
      <c r="I93" s="311">
        <f>-AI_Operating!G15</f>
        <v>-104.16888562500003</v>
      </c>
      <c r="J93" s="311">
        <f>-AI_Operating!H15</f>
        <v>-109.37732990625004</v>
      </c>
      <c r="K93" s="149"/>
      <c r="L93" s="395" t="s">
        <v>693</v>
      </c>
      <c r="M93" s="378" t="str">
        <f>HYPERLINK("https://www.sec.gov/Archives/edgar/data/1794515/000179451525000045/zi-20241231.htm","REASONABLE: FY24 D&amp;A anchor $85.7m; grow at Drivers +5%")</f>
        <v>REASONABLE: FY24 D&amp;A anchor $85.7m; grow at Drivers +5%</v>
      </c>
      <c r="N93" s="379" t="s">
        <v>694</v>
      </c>
      <c r="O93" s="379" t="s">
        <v>695</v>
      </c>
      <c r="P93" s="399" t="s">
        <v>696</v>
      </c>
    </row>
    <row r="94" spans="2:16" ht="72" customHeight="1" x14ac:dyDescent="0.35">
      <c r="B94" s="164" t="s">
        <v>697</v>
      </c>
      <c r="C94" s="113">
        <v>1.0652205490727699E-2</v>
      </c>
      <c r="D94" s="113">
        <v>1.22007366482505E-2</v>
      </c>
      <c r="E94" s="113">
        <v>1.1129281366403201E-2</v>
      </c>
      <c r="F94" s="175">
        <f>Assumptions_Drivers!$C$24*(1-Assumptions_Drivers!$C$12)</f>
        <v>1.84E-2</v>
      </c>
      <c r="G94" s="175">
        <f>Assumptions_Drivers!$C$24*(1-Assumptions_Drivers!$C$12)</f>
        <v>1.84E-2</v>
      </c>
      <c r="H94" s="175">
        <f>Assumptions_Drivers!$C$24*(1-Assumptions_Drivers!$C$12)</f>
        <v>1.84E-2</v>
      </c>
      <c r="I94" s="175">
        <f>Assumptions_Drivers!$C$24*(1-Assumptions_Drivers!$C$12)</f>
        <v>1.84E-2</v>
      </c>
      <c r="J94" s="175">
        <f>Assumptions_Drivers!$C$24*(1-Assumptions_Drivers!$C$12)</f>
        <v>1.84E-2</v>
      </c>
      <c r="K94" s="165"/>
      <c r="L94" s="394" t="s">
        <v>698</v>
      </c>
      <c r="M94" s="378" t="str">
        <f>HYPERLINK("https://saasdb.app/learn/financials/fcf-margin/","REASONABLE: 2% midpoint × (1−8% AI cut) = 1.84% of sales")</f>
        <v>REASONABLE: 2% midpoint × (1−8% AI cut) = 1.84% of sales</v>
      </c>
      <c r="N94" s="379" t="s">
        <v>699</v>
      </c>
      <c r="O94" s="379" t="s">
        <v>700</v>
      </c>
      <c r="P94" s="398" t="s">
        <v>701</v>
      </c>
    </row>
    <row r="95" spans="2:16" ht="72" customHeight="1" x14ac:dyDescent="0.35">
      <c r="B95" s="164" t="s">
        <v>702</v>
      </c>
      <c r="C95" s="166">
        <v>1.77727272727273</v>
      </c>
      <c r="D95" s="166">
        <v>1.4264150943396201</v>
      </c>
      <c r="E95" s="166">
        <v>1.5795918367346899</v>
      </c>
      <c r="F95" s="250">
        <f>IF(F92=0,0,ABS(F93)/F92)</f>
        <v>3.8356326242709167</v>
      </c>
      <c r="G95" s="250">
        <f>IF(G92=0,0,ABS(G93)/G92)</f>
        <v>3.8356326242709167</v>
      </c>
      <c r="H95" s="250">
        <f>IF(H92=0,0,ABS(H93)/H92)</f>
        <v>3.8356326242709176</v>
      </c>
      <c r="I95" s="250">
        <f>IF(I92=0,0,ABS(I93)/I92)</f>
        <v>3.835632624270918</v>
      </c>
      <c r="J95" s="250">
        <f>IF(J92=0,0,ABS(J93)/J92)</f>
        <v>3.8356326242709176</v>
      </c>
      <c r="K95" s="119"/>
      <c r="L95" s="394" t="s">
        <v>703</v>
      </c>
      <c r="M95" s="380" t="str">
        <f>HYPERLINK("https://saasdb.app/learn/financials/fcf-margin/","CAUTION — diagnostic ratio only; not a yellow Driver")</f>
        <v>CAUTION — diagnostic ratio only; not a yellow Driver</v>
      </c>
      <c r="N95" s="381" t="s">
        <v>704</v>
      </c>
      <c r="O95" s="381" t="s">
        <v>705</v>
      </c>
      <c r="P95" s="392" t="s">
        <v>706</v>
      </c>
    </row>
    <row r="96" spans="2:16" ht="15" customHeight="1" x14ac:dyDescent="0.35">
      <c r="B96" s="164"/>
      <c r="C96" s="166"/>
      <c r="D96" s="166"/>
      <c r="E96" s="166"/>
    </row>
    <row r="97" spans="2:16" ht="72" customHeight="1" x14ac:dyDescent="0.35">
      <c r="B97" s="148" t="s">
        <v>707</v>
      </c>
      <c r="C97" s="167"/>
      <c r="D97" s="158">
        <v>244.7</v>
      </c>
      <c r="E97" s="158">
        <v>271.39999999999998</v>
      </c>
      <c r="F97" s="197">
        <f>E97</f>
        <v>271.39999999999998</v>
      </c>
      <c r="G97" s="197">
        <f>E97</f>
        <v>271.39999999999998</v>
      </c>
      <c r="H97" s="197">
        <f>E97</f>
        <v>271.39999999999998</v>
      </c>
      <c r="I97" s="197">
        <f>E97</f>
        <v>271.39999999999998</v>
      </c>
      <c r="J97" s="197">
        <f>E97</f>
        <v>271.39999999999998</v>
      </c>
      <c r="L97" s="394" t="s">
        <v>708</v>
      </c>
      <c r="M97" s="380" t="str">
        <f>HYPERLINK("https://saasdb.app/learn/financials/fcf-margin/","CAUTION — capitalized software not separately modeled; CapEx in C24")</f>
        <v>CAUTION — capitalized software not separately modeled; CapEx in C24</v>
      </c>
      <c r="N97" s="381" t="s">
        <v>709</v>
      </c>
      <c r="O97" s="381" t="s">
        <v>710</v>
      </c>
      <c r="P97" s="392" t="s">
        <v>711</v>
      </c>
    </row>
    <row r="98" spans="2:16" ht="72" customHeight="1" x14ac:dyDescent="0.35">
      <c r="B98" s="159" t="s">
        <v>712</v>
      </c>
      <c r="C98" s="144">
        <v>115.8</v>
      </c>
      <c r="D98" s="144">
        <v>132.5</v>
      </c>
      <c r="E98" s="144">
        <v>129.6</v>
      </c>
      <c r="F98" s="144">
        <v>0</v>
      </c>
      <c r="G98" s="144">
        <v>0</v>
      </c>
      <c r="H98" s="144">
        <v>0</v>
      </c>
      <c r="I98" s="144">
        <v>0</v>
      </c>
      <c r="J98" s="144">
        <v>0</v>
      </c>
      <c r="L98" s="394" t="s">
        <v>713</v>
      </c>
      <c r="M98" s="378" t="str">
        <f>HYPERLINK("https://saasdb.app/learn/financials/fcf-margin/","FIXED inaccuracy: BMC software purchases wiped; CapEx is Drivers 1.84%")</f>
        <v>FIXED inaccuracy: BMC software purchases wiped; CapEx is Drivers 1.84%</v>
      </c>
      <c r="N98" s="379" t="s">
        <v>714</v>
      </c>
      <c r="O98" s="379" t="s">
        <v>715</v>
      </c>
      <c r="P98" s="399" t="s">
        <v>716</v>
      </c>
    </row>
    <row r="99" spans="2:16" ht="15" customHeight="1" x14ac:dyDescent="0.35">
      <c r="B99" s="159" t="s">
        <v>717</v>
      </c>
      <c r="C99" s="144">
        <v>-75.7</v>
      </c>
      <c r="D99" s="144">
        <v>-93.6</v>
      </c>
      <c r="E99" s="144">
        <v>-108.5</v>
      </c>
      <c r="F99" s="106">
        <v>0</v>
      </c>
      <c r="G99" s="106">
        <v>0</v>
      </c>
      <c r="H99" s="106">
        <v>0</v>
      </c>
      <c r="I99" s="106">
        <v>0</v>
      </c>
      <c r="J99" s="106">
        <v>0</v>
      </c>
      <c r="K99" s="149"/>
    </row>
    <row r="100" spans="2:16" ht="15" customHeight="1" x14ac:dyDescent="0.35">
      <c r="B100" s="164" t="s">
        <v>718</v>
      </c>
      <c r="C100" s="113">
        <v>5.60693361739215E-2</v>
      </c>
      <c r="D100" s="113">
        <v>6.1003683241252299E-2</v>
      </c>
      <c r="E100" s="113">
        <v>5.8871627146361398E-2</v>
      </c>
      <c r="F100" s="153">
        <v>0</v>
      </c>
      <c r="G100" s="153">
        <v>0</v>
      </c>
      <c r="H100" s="153">
        <v>0</v>
      </c>
      <c r="I100" s="153">
        <v>0</v>
      </c>
      <c r="J100" s="153">
        <v>0</v>
      </c>
      <c r="K100" s="165"/>
    </row>
    <row r="101" spans="2:16" ht="15" customHeight="1" x14ac:dyDescent="0.35">
      <c r="B101" s="164" t="s">
        <v>719</v>
      </c>
      <c r="C101" s="166">
        <v>0.65371329879101903</v>
      </c>
      <c r="D101" s="166">
        <v>0.70641509433962302</v>
      </c>
      <c r="E101" s="166">
        <v>0.83719135802469102</v>
      </c>
      <c r="F101" s="166">
        <v>0</v>
      </c>
      <c r="G101" s="166">
        <v>0</v>
      </c>
      <c r="H101" s="166">
        <v>0</v>
      </c>
      <c r="I101" s="166">
        <v>0</v>
      </c>
      <c r="J101" s="166">
        <v>0</v>
      </c>
      <c r="K101" s="119"/>
    </row>
    <row r="102" spans="2:16" ht="15" customHeight="1" x14ac:dyDescent="0.35">
      <c r="B102" s="164"/>
      <c r="C102" s="166"/>
      <c r="D102" s="166"/>
      <c r="E102" s="166"/>
    </row>
    <row r="103" spans="2:16" ht="72" customHeight="1" x14ac:dyDescent="0.35">
      <c r="B103" s="148" t="s">
        <v>720</v>
      </c>
      <c r="D103" s="158">
        <v>257.5</v>
      </c>
      <c r="E103" s="158">
        <v>189.8</v>
      </c>
      <c r="F103" s="197">
        <f>E103</f>
        <v>189.8</v>
      </c>
      <c r="G103" s="197">
        <f>E103</f>
        <v>189.8</v>
      </c>
      <c r="H103" s="197">
        <f>E103</f>
        <v>189.8</v>
      </c>
      <c r="I103" s="197">
        <f>E103</f>
        <v>189.8</v>
      </c>
      <c r="J103" s="197">
        <f>E103</f>
        <v>189.8</v>
      </c>
      <c r="L103" s="394" t="s">
        <v>721</v>
      </c>
      <c r="M103" s="380" t="str">
        <f>HYPERLINK("https://www.sec.gov/Archives/edgar/data/1794515/000179451525000045/zi-20241231.htm","CAUTION — hold flat; no forecast M&amp;A")</f>
        <v>CAUTION — hold flat; no forecast M&amp;A</v>
      </c>
      <c r="N103" s="381" t="s">
        <v>722</v>
      </c>
      <c r="O103" s="381" t="s">
        <v>723</v>
      </c>
      <c r="P103" s="392" t="s">
        <v>724</v>
      </c>
    </row>
    <row r="104" spans="2:16" ht="72" customHeight="1" x14ac:dyDescent="0.35">
      <c r="B104" s="159" t="s">
        <v>712</v>
      </c>
      <c r="C104" s="168">
        <v>0</v>
      </c>
      <c r="D104" s="144">
        <v>0</v>
      </c>
      <c r="E104" s="144">
        <v>0</v>
      </c>
      <c r="F104" s="144">
        <v>0</v>
      </c>
      <c r="G104" s="144">
        <v>0</v>
      </c>
      <c r="H104" s="144">
        <v>0</v>
      </c>
      <c r="I104" s="144">
        <v>0</v>
      </c>
      <c r="J104" s="144">
        <v>0</v>
      </c>
      <c r="L104" s="394" t="s">
        <v>725</v>
      </c>
      <c r="M104" s="378" t="str">
        <f>HYPERLINK("https://saasdb.app/learn/financials/fcf-margin/","FIXED: intangible purchases → $0 to match DCF!D26:H26")</f>
        <v>FIXED: intangible purchases → $0 to match DCF!D26:H26</v>
      </c>
      <c r="N104" s="379" t="s">
        <v>726</v>
      </c>
      <c r="O104" s="379" t="s">
        <v>727</v>
      </c>
      <c r="P104" s="399" t="s">
        <v>728</v>
      </c>
    </row>
    <row r="105" spans="2:16" ht="15" customHeight="1" x14ac:dyDescent="0.35">
      <c r="B105" s="159" t="s">
        <v>717</v>
      </c>
      <c r="C105" s="144">
        <v>-79.099999999999994</v>
      </c>
      <c r="D105" s="144">
        <v>-97.7</v>
      </c>
      <c r="E105" s="144">
        <v>-86.9</v>
      </c>
      <c r="F105" s="144">
        <v>0</v>
      </c>
      <c r="G105" s="144">
        <v>0</v>
      </c>
      <c r="H105" s="144">
        <v>0</v>
      </c>
      <c r="I105" s="144">
        <v>0</v>
      </c>
      <c r="J105" s="144">
        <v>0</v>
      </c>
    </row>
    <row r="106" spans="2:16" ht="15" customHeight="1" x14ac:dyDescent="0.35">
      <c r="B106" s="89"/>
      <c r="C106" s="106"/>
      <c r="D106" s="106"/>
      <c r="E106" s="106"/>
    </row>
    <row r="107" spans="2:16" ht="72" customHeight="1" x14ac:dyDescent="0.35">
      <c r="B107" s="148" t="s">
        <v>729</v>
      </c>
      <c r="D107" s="158">
        <v>1940.3</v>
      </c>
      <c r="E107" s="158">
        <v>1935.2</v>
      </c>
      <c r="F107" s="396">
        <f>E107</f>
        <v>1935.2</v>
      </c>
      <c r="G107" s="396">
        <f>E107</f>
        <v>1935.2</v>
      </c>
      <c r="H107" s="396">
        <f>E107</f>
        <v>1935.2</v>
      </c>
      <c r="I107" s="396">
        <f>E107</f>
        <v>1935.2</v>
      </c>
      <c r="J107" s="396">
        <f>E107</f>
        <v>1935.2</v>
      </c>
      <c r="L107" s="394" t="s">
        <v>730</v>
      </c>
      <c r="M107" s="380" t="str">
        <f>HYPERLINK("https://www.sec.gov/Archives/edgar/data/1794515/000179451525000045/zi-20241231.htm","CAUTION — flat goodwill; non-cash for FCF")</f>
        <v>CAUTION — flat goodwill; non-cash for FCF</v>
      </c>
      <c r="N107" s="381" t="s">
        <v>731</v>
      </c>
      <c r="O107" s="381" t="s">
        <v>732</v>
      </c>
      <c r="P107" s="392" t="s">
        <v>733</v>
      </c>
    </row>
    <row r="108" spans="2:16" ht="15" customHeight="1" x14ac:dyDescent="0.35">
      <c r="B108" s="148"/>
      <c r="D108" s="158"/>
      <c r="E108" s="158"/>
      <c r="F108" s="158"/>
      <c r="G108" s="158"/>
      <c r="H108" s="158"/>
      <c r="I108" s="158"/>
      <c r="J108" s="158"/>
    </row>
    <row r="109" spans="2:16" ht="15" customHeight="1" x14ac:dyDescent="0.35">
      <c r="B109" s="148" t="s">
        <v>734</v>
      </c>
      <c r="D109" s="158">
        <v>232.4</v>
      </c>
      <c r="E109" s="158">
        <v>252</v>
      </c>
      <c r="F109" s="128">
        <v>252</v>
      </c>
      <c r="G109" s="128">
        <v>252</v>
      </c>
      <c r="H109" s="128">
        <v>252</v>
      </c>
      <c r="I109" s="128">
        <v>252</v>
      </c>
      <c r="J109" s="128">
        <v>252</v>
      </c>
    </row>
    <row r="110" spans="2:16" ht="15" customHeight="1" x14ac:dyDescent="0.35">
      <c r="B110" s="89"/>
      <c r="C110" s="107"/>
      <c r="D110" s="107"/>
      <c r="E110" s="107"/>
      <c r="F110" s="101"/>
      <c r="G110" s="101"/>
      <c r="H110" s="101"/>
      <c r="I110" s="101"/>
      <c r="J110" s="101"/>
    </row>
    <row r="111" spans="2:16" ht="15" customHeight="1" x14ac:dyDescent="0.35">
      <c r="B111" s="88" t="s">
        <v>735</v>
      </c>
      <c r="C111" s="169"/>
      <c r="D111" s="169"/>
      <c r="E111" s="169"/>
      <c r="F111" s="169"/>
      <c r="G111" s="169"/>
      <c r="H111" s="169"/>
      <c r="I111" s="169"/>
      <c r="J111" s="169"/>
    </row>
    <row r="112" spans="2:16" ht="15" customHeight="1" x14ac:dyDescent="0.35">
      <c r="B112" s="87" t="s">
        <v>566</v>
      </c>
      <c r="C112" s="136">
        <v>2022</v>
      </c>
      <c r="D112" s="136">
        <v>2023</v>
      </c>
      <c r="E112" s="136">
        <v>2024</v>
      </c>
      <c r="F112" s="138">
        <v>2025</v>
      </c>
      <c r="G112" s="138">
        <v>2026</v>
      </c>
      <c r="H112" s="138">
        <v>2027</v>
      </c>
      <c r="I112" s="138">
        <v>2028</v>
      </c>
      <c r="J112" s="138">
        <v>2029</v>
      </c>
    </row>
    <row r="113" spans="2:16" ht="15" customHeight="1" x14ac:dyDescent="0.35">
      <c r="B113" s="80" t="s">
        <v>567</v>
      </c>
      <c r="C113" s="169"/>
      <c r="D113" s="169"/>
      <c r="E113" s="169"/>
      <c r="F113" s="141">
        <v>46022</v>
      </c>
      <c r="G113" s="141">
        <v>46387</v>
      </c>
      <c r="H113" s="141">
        <v>46752</v>
      </c>
      <c r="I113" s="141">
        <v>47118</v>
      </c>
      <c r="J113" s="141">
        <v>47483</v>
      </c>
    </row>
    <row r="114" spans="2:16" ht="13.75" customHeight="1" x14ac:dyDescent="0.35"/>
    <row r="115" spans="2:16" ht="15" customHeight="1" x14ac:dyDescent="0.35">
      <c r="B115" t="s">
        <v>485</v>
      </c>
      <c r="C115" s="170"/>
      <c r="D115" s="170"/>
      <c r="E115" s="170"/>
      <c r="F115" s="106">
        <v>152.90492376693399</v>
      </c>
      <c r="G115" s="106">
        <v>220.28852630748</v>
      </c>
      <c r="H115" s="106">
        <v>293.02899231211001</v>
      </c>
      <c r="I115" s="106">
        <v>370.73728858423999</v>
      </c>
      <c r="J115" s="106">
        <v>461.328959013038</v>
      </c>
    </row>
    <row r="116" spans="2:16" ht="15" customHeight="1" x14ac:dyDescent="0.35">
      <c r="B116" t="s">
        <v>587</v>
      </c>
      <c r="C116" s="170"/>
      <c r="D116" s="170"/>
      <c r="E116" s="170"/>
      <c r="F116" s="311">
        <f>AI_Operating!D15</f>
        <v>89.985000000000014</v>
      </c>
      <c r="G116" s="311">
        <f>AI_Operating!E15</f>
        <v>94.484250000000017</v>
      </c>
      <c r="H116" s="311">
        <f>AI_Operating!F15</f>
        <v>99.208462500000024</v>
      </c>
      <c r="I116" s="311">
        <f>AI_Operating!G15</f>
        <v>104.16888562500003</v>
      </c>
      <c r="J116" s="311">
        <f>AI_Operating!H15</f>
        <v>109.37732990625004</v>
      </c>
    </row>
    <row r="117" spans="2:16" ht="15" customHeight="1" x14ac:dyDescent="0.35">
      <c r="B117" s="150" t="s">
        <v>588</v>
      </c>
      <c r="C117" s="170"/>
      <c r="D117" s="170"/>
      <c r="E117" s="170"/>
      <c r="F117" s="171">
        <v>52.997322083333302</v>
      </c>
      <c r="G117" s="171">
        <v>52.997322083333302</v>
      </c>
      <c r="H117" s="171">
        <v>52.997322083333302</v>
      </c>
      <c r="I117" s="171">
        <v>52.997322083333302</v>
      </c>
      <c r="J117" s="171">
        <v>52.997322083333302</v>
      </c>
    </row>
    <row r="118" spans="2:16" ht="15" customHeight="1" x14ac:dyDescent="0.35">
      <c r="B118" t="s">
        <v>589</v>
      </c>
      <c r="C118" s="170"/>
      <c r="D118" s="170"/>
      <c r="E118" s="170"/>
      <c r="F118" s="311">
        <f>F60</f>
        <v>140.8449</v>
      </c>
      <c r="G118" s="311">
        <f>G60</f>
        <v>145.37099999999998</v>
      </c>
      <c r="H118" s="311">
        <f>H60</f>
        <v>150.05219999999997</v>
      </c>
      <c r="I118" s="311">
        <f>I60</f>
        <v>153.97199999999998</v>
      </c>
      <c r="J118" s="311">
        <f>J60</f>
        <v>157.9905</v>
      </c>
    </row>
    <row r="119" spans="2:16" ht="70" customHeight="1" x14ac:dyDescent="0.35">
      <c r="B119" t="s">
        <v>736</v>
      </c>
      <c r="C119" s="101"/>
      <c r="D119" s="101"/>
      <c r="E119" s="101"/>
      <c r="F119" s="311">
        <f>AI_Operating!D20</f>
        <v>-14.857215068493201</v>
      </c>
      <c r="G119" s="311">
        <f>AI_Operating!E20</f>
        <v>-15.6000758219178</v>
      </c>
      <c r="H119" s="311">
        <f>AI_Operating!F20</f>
        <v>-16.380079613013699</v>
      </c>
      <c r="I119" s="311">
        <f>AI_Operating!G20</f>
        <v>-17.199083593664401</v>
      </c>
      <c r="J119" s="311">
        <f>AI_Operating!H20</f>
        <v>-18.059037773347601</v>
      </c>
      <c r="L119" s="394" t="s">
        <v>737</v>
      </c>
      <c r="M119" s="388" t="s">
        <v>738</v>
      </c>
      <c r="O119" s="393"/>
      <c r="P119" s="399" t="s">
        <v>739</v>
      </c>
    </row>
    <row r="120" spans="2:16" ht="15" customHeight="1" x14ac:dyDescent="0.35">
      <c r="B120" t="s">
        <v>740</v>
      </c>
      <c r="C120" s="101"/>
      <c r="D120" s="101"/>
      <c r="E120" s="101"/>
      <c r="F120" s="106">
        <v>0</v>
      </c>
      <c r="G120" s="106">
        <v>0</v>
      </c>
      <c r="H120" s="106">
        <v>0</v>
      </c>
      <c r="I120" s="106">
        <v>0</v>
      </c>
      <c r="J120" s="106">
        <v>0</v>
      </c>
    </row>
    <row r="121" spans="2:16" ht="15" customHeight="1" x14ac:dyDescent="0.35">
      <c r="B121" t="s">
        <v>741</v>
      </c>
      <c r="C121" s="101"/>
      <c r="D121" s="101"/>
      <c r="E121" s="101"/>
      <c r="F121" s="106">
        <v>-9.8130404300070104</v>
      </c>
      <c r="G121" s="106">
        <v>-9.8130404300070104</v>
      </c>
      <c r="H121" s="106">
        <v>-9.8130404300070104</v>
      </c>
      <c r="I121" s="106">
        <v>-9.8130404300070104</v>
      </c>
      <c r="J121" s="106">
        <v>-9.8130404300070104</v>
      </c>
    </row>
    <row r="122" spans="2:16" ht="15" customHeight="1" x14ac:dyDescent="0.35">
      <c r="B122" t="s">
        <v>742</v>
      </c>
      <c r="C122" s="101"/>
      <c r="D122" s="101"/>
      <c r="E122" s="101"/>
      <c r="F122" s="106">
        <v>0</v>
      </c>
      <c r="G122" s="106">
        <v>0</v>
      </c>
      <c r="H122" s="106">
        <v>0</v>
      </c>
      <c r="I122" s="106">
        <v>0</v>
      </c>
      <c r="J122" s="106">
        <v>0</v>
      </c>
    </row>
    <row r="123" spans="2:16" ht="15" customHeight="1" x14ac:dyDescent="0.35">
      <c r="B123" s="104" t="s">
        <v>743</v>
      </c>
      <c r="F123" s="128">
        <v>637.92216116479699</v>
      </c>
      <c r="G123" s="128">
        <v>741.21193850817394</v>
      </c>
      <c r="H123" s="128">
        <v>831.73891715702302</v>
      </c>
      <c r="I123" s="128">
        <v>898.14802134746105</v>
      </c>
      <c r="J123" s="128">
        <v>987.58223073142904</v>
      </c>
    </row>
    <row r="124" spans="2:16" ht="13.75" customHeight="1" x14ac:dyDescent="0.35"/>
    <row r="125" spans="2:16" ht="70" customHeight="1" x14ac:dyDescent="0.35">
      <c r="B125" t="s">
        <v>687</v>
      </c>
      <c r="F125" s="311">
        <f>-AI_Operating!D19</f>
        <v>-23.460276000000004</v>
      </c>
      <c r="G125" s="311">
        <f>-AI_Operating!E19</f>
        <v>-24.633289800000004</v>
      </c>
      <c r="H125" s="311">
        <f>-AI_Operating!F19</f>
        <v>-25.86495429</v>
      </c>
      <c r="I125" s="311">
        <f>-AI_Operating!G19</f>
        <v>-27.158202004499998</v>
      </c>
      <c r="J125" s="311">
        <f>-AI_Operating!H19</f>
        <v>-28.516112104725003</v>
      </c>
      <c r="L125" s="394" t="s">
        <v>744</v>
      </c>
      <c r="P125" s="398" t="s">
        <v>745</v>
      </c>
    </row>
    <row r="126" spans="2:16" ht="70" customHeight="1" x14ac:dyDescent="0.35">
      <c r="B126" t="s">
        <v>746</v>
      </c>
      <c r="F126" s="311">
        <v>0</v>
      </c>
      <c r="G126" s="311">
        <v>0</v>
      </c>
      <c r="H126" s="311">
        <v>0</v>
      </c>
      <c r="I126" s="311">
        <v>0</v>
      </c>
      <c r="J126" s="311">
        <v>0</v>
      </c>
      <c r="L126" s="394" t="s">
        <v>747</v>
      </c>
      <c r="P126" s="399" t="s">
        <v>748</v>
      </c>
    </row>
    <row r="127" spans="2:16" ht="15" customHeight="1" x14ac:dyDescent="0.35">
      <c r="B127" s="104" t="s">
        <v>749</v>
      </c>
      <c r="F127" s="128">
        <v>-227</v>
      </c>
      <c r="G127" s="128">
        <v>-222</v>
      </c>
      <c r="H127" s="128">
        <v>-223</v>
      </c>
      <c r="I127" s="128">
        <v>-225</v>
      </c>
      <c r="J127" s="128">
        <v>-223</v>
      </c>
    </row>
    <row r="128" spans="2:16" ht="13.75" customHeight="1" x14ac:dyDescent="0.35"/>
    <row r="129" spans="2:10" ht="15" customHeight="1" x14ac:dyDescent="0.35">
      <c r="B129" t="s">
        <v>750</v>
      </c>
      <c r="F129" s="106">
        <v>-322.18549999999999</v>
      </c>
      <c r="G129" s="106">
        <v>-177.86404999999999</v>
      </c>
      <c r="H129" s="106">
        <v>-177.86404999999999</v>
      </c>
      <c r="I129" s="106">
        <v>-177.86404999999999</v>
      </c>
      <c r="J129" s="106">
        <v>-177.86404999999999</v>
      </c>
    </row>
    <row r="130" spans="2:10" ht="15" customHeight="1" x14ac:dyDescent="0.35">
      <c r="B130" t="s">
        <v>751</v>
      </c>
      <c r="F130" s="106">
        <v>0</v>
      </c>
      <c r="G130" s="106">
        <v>0</v>
      </c>
      <c r="H130" s="106">
        <v>0</v>
      </c>
      <c r="I130" s="106">
        <v>0</v>
      </c>
      <c r="J130" s="106">
        <v>0</v>
      </c>
    </row>
    <row r="131" spans="2:10" ht="15" customHeight="1" x14ac:dyDescent="0.35">
      <c r="B131" s="172" t="s">
        <v>752</v>
      </c>
      <c r="C131" s="104"/>
      <c r="D131" s="104"/>
      <c r="E131" s="104"/>
      <c r="F131" s="128">
        <v>88.736661164797297</v>
      </c>
      <c r="G131" s="128">
        <v>341.34788850817398</v>
      </c>
      <c r="H131" s="128">
        <v>430.874867157023</v>
      </c>
      <c r="I131" s="128">
        <v>495.28397134746098</v>
      </c>
      <c r="J131" s="128">
        <v>586.71818073142799</v>
      </c>
    </row>
    <row r="132" spans="2:10" ht="15" customHeight="1" x14ac:dyDescent="0.35">
      <c r="B132" t="s">
        <v>549</v>
      </c>
      <c r="F132" s="106">
        <v>0</v>
      </c>
      <c r="G132" s="106">
        <v>0</v>
      </c>
      <c r="H132" s="106">
        <v>0</v>
      </c>
      <c r="I132" s="106">
        <v>0</v>
      </c>
      <c r="J132" s="106">
        <v>0</v>
      </c>
    </row>
    <row r="133" spans="2:10" ht="15" customHeight="1" x14ac:dyDescent="0.35">
      <c r="B133" s="172" t="s">
        <v>753</v>
      </c>
      <c r="C133" s="104"/>
      <c r="D133" s="104"/>
      <c r="E133" s="104"/>
      <c r="F133" s="128">
        <v>88.736661164797297</v>
      </c>
      <c r="G133" s="128">
        <v>341.34788850817398</v>
      </c>
      <c r="H133" s="128">
        <v>430.874867157023</v>
      </c>
      <c r="I133" s="128">
        <v>495.28397134746098</v>
      </c>
      <c r="J133" s="128">
        <v>586.71818073142799</v>
      </c>
    </row>
    <row r="134" spans="2:10" ht="15" customHeight="1" x14ac:dyDescent="0.35">
      <c r="B134" s="150" t="s">
        <v>754</v>
      </c>
      <c r="F134" s="106">
        <v>-88.736661164797297</v>
      </c>
      <c r="G134" s="106">
        <v>-341.34788850817398</v>
      </c>
      <c r="H134" s="106">
        <v>-430.874867157023</v>
      </c>
      <c r="I134" s="106">
        <v>-495.28397134746098</v>
      </c>
      <c r="J134" s="106">
        <v>-586.71818073142799</v>
      </c>
    </row>
    <row r="135" spans="2:10" ht="15" customHeight="1" x14ac:dyDescent="0.35">
      <c r="B135" s="150" t="s">
        <v>755</v>
      </c>
      <c r="F135" s="106">
        <v>0</v>
      </c>
      <c r="G135" s="106">
        <v>0</v>
      </c>
      <c r="H135" s="106">
        <v>0</v>
      </c>
      <c r="I135" s="106">
        <v>0</v>
      </c>
      <c r="J135" s="106">
        <v>2.2737367544323201E-13</v>
      </c>
    </row>
    <row r="136" spans="2:10" ht="15" customHeight="1" x14ac:dyDescent="0.35">
      <c r="B136" s="104" t="s">
        <v>756</v>
      </c>
      <c r="F136" s="128">
        <v>0</v>
      </c>
      <c r="G136" s="128">
        <v>0</v>
      </c>
      <c r="H136" s="128">
        <v>0</v>
      </c>
      <c r="I136" s="128">
        <v>0</v>
      </c>
      <c r="J136" s="128">
        <v>2.2737367544323201E-13</v>
      </c>
    </row>
    <row r="137" spans="2:10" ht="15" customHeight="1" x14ac:dyDescent="0.35">
      <c r="B137" s="104"/>
      <c r="F137" s="167"/>
      <c r="G137" s="167"/>
      <c r="H137" s="167"/>
      <c r="I137" s="167"/>
      <c r="J137" s="167"/>
    </row>
    <row r="138" spans="2:10" ht="15" customHeight="1" x14ac:dyDescent="0.35">
      <c r="B138" s="155" t="s">
        <v>757</v>
      </c>
      <c r="C138" s="80"/>
      <c r="D138" s="80"/>
      <c r="E138" s="80"/>
      <c r="F138" s="80"/>
      <c r="G138" s="80"/>
      <c r="H138" s="80"/>
      <c r="I138" s="80"/>
      <c r="J138" s="80"/>
    </row>
    <row r="139" spans="2:10" ht="15" customHeight="1" x14ac:dyDescent="0.35">
      <c r="B139" s="87" t="s">
        <v>566</v>
      </c>
      <c r="C139" s="136">
        <v>2022</v>
      </c>
      <c r="D139" s="136">
        <v>2023</v>
      </c>
      <c r="E139" s="136">
        <v>2024</v>
      </c>
      <c r="F139" s="138">
        <v>2025</v>
      </c>
      <c r="G139" s="138">
        <v>2026</v>
      </c>
      <c r="H139" s="138">
        <v>2027</v>
      </c>
      <c r="I139" s="138">
        <v>2028</v>
      </c>
      <c r="J139" s="138">
        <v>2029</v>
      </c>
    </row>
    <row r="140" spans="2:10" ht="15" customHeight="1" x14ac:dyDescent="0.35">
      <c r="B140" s="80" t="s">
        <v>567</v>
      </c>
      <c r="C140" s="141">
        <v>44926</v>
      </c>
      <c r="D140" s="141">
        <v>45291</v>
      </c>
      <c r="E140" s="141">
        <v>45657</v>
      </c>
      <c r="F140" s="141">
        <v>46022</v>
      </c>
      <c r="G140" s="141">
        <v>46387</v>
      </c>
      <c r="H140" s="141">
        <v>46752</v>
      </c>
      <c r="I140" s="141">
        <v>47118</v>
      </c>
      <c r="J140" s="141">
        <v>47483</v>
      </c>
    </row>
    <row r="141" spans="2:10" ht="15" customHeight="1" x14ac:dyDescent="0.35">
      <c r="B141" s="132"/>
    </row>
    <row r="142" spans="2:10" ht="15" customHeight="1" x14ac:dyDescent="0.35">
      <c r="B142" s="89" t="s">
        <v>758</v>
      </c>
      <c r="F142" s="173">
        <v>180</v>
      </c>
      <c r="G142" s="106">
        <v>180</v>
      </c>
      <c r="H142" s="106">
        <v>180</v>
      </c>
      <c r="I142" s="106">
        <v>180</v>
      </c>
      <c r="J142" s="106">
        <v>180</v>
      </c>
    </row>
    <row r="143" spans="2:10" ht="15" customHeight="1" x14ac:dyDescent="0.35">
      <c r="B143" s="89" t="s">
        <v>759</v>
      </c>
      <c r="F143" s="106">
        <v>0</v>
      </c>
      <c r="G143" s="106">
        <v>0</v>
      </c>
      <c r="H143" s="106">
        <v>0</v>
      </c>
      <c r="I143" s="106">
        <v>0</v>
      </c>
      <c r="J143" s="106">
        <v>2.2737367544323201E-13</v>
      </c>
    </row>
    <row r="144" spans="2:10" ht="15" customHeight="1" x14ac:dyDescent="0.35">
      <c r="B144" s="148" t="s">
        <v>760</v>
      </c>
      <c r="C144" s="104"/>
      <c r="D144" s="158">
        <v>1635.6</v>
      </c>
      <c r="E144" s="128">
        <v>1581.9</v>
      </c>
      <c r="F144" s="128">
        <v>180</v>
      </c>
      <c r="G144" s="128">
        <v>180</v>
      </c>
      <c r="H144" s="128">
        <v>180</v>
      </c>
      <c r="I144" s="128">
        <v>180</v>
      </c>
      <c r="J144" s="128">
        <v>180</v>
      </c>
    </row>
    <row r="145" spans="2:10" ht="15" customHeight="1" x14ac:dyDescent="0.35">
      <c r="B145" s="89" t="s">
        <v>761</v>
      </c>
      <c r="D145" s="174">
        <v>6.4808021521154304E-3</v>
      </c>
      <c r="E145" s="174">
        <v>5.1592851592851601E-3</v>
      </c>
      <c r="F145" s="175">
        <v>5.1592851592851601E-3</v>
      </c>
      <c r="G145" s="175">
        <v>5.1592851592851601E-3</v>
      </c>
      <c r="H145" s="175">
        <v>5.1592851592851601E-3</v>
      </c>
      <c r="I145" s="175">
        <v>5.1592851592851601E-3</v>
      </c>
      <c r="J145" s="175">
        <v>5.1592851592851601E-3</v>
      </c>
    </row>
    <row r="146" spans="2:10" ht="15" customHeight="1" x14ac:dyDescent="0.35">
      <c r="B146" s="89" t="s">
        <v>578</v>
      </c>
      <c r="C146" s="101"/>
      <c r="D146" s="106">
        <v>10.6</v>
      </c>
      <c r="E146" s="106">
        <v>8.3000000000000007</v>
      </c>
      <c r="F146" s="106">
        <v>0.92867132867132896</v>
      </c>
      <c r="G146" s="106">
        <v>0.92867132867132896</v>
      </c>
      <c r="H146" s="106">
        <v>0.92867132867132896</v>
      </c>
      <c r="I146" s="106">
        <v>0.92867132867132896</v>
      </c>
      <c r="J146" s="106">
        <v>0.92867132867132896</v>
      </c>
    </row>
    <row r="147" spans="2:10" ht="15" customHeight="1" x14ac:dyDescent="0.35">
      <c r="B147" s="89"/>
      <c r="C147" s="101"/>
      <c r="D147" s="101"/>
      <c r="E147" s="101"/>
      <c r="F147" s="101"/>
      <c r="G147" s="101"/>
      <c r="H147" s="101"/>
      <c r="I147" s="101"/>
      <c r="J147" s="101"/>
    </row>
    <row r="148" spans="2:10" ht="15" customHeight="1" x14ac:dyDescent="0.35">
      <c r="B148" s="146" t="s">
        <v>549</v>
      </c>
      <c r="D148" s="149"/>
      <c r="E148" s="149"/>
      <c r="F148" s="101"/>
      <c r="G148" s="101"/>
      <c r="H148" s="101"/>
      <c r="I148" s="101"/>
      <c r="J148" s="101"/>
    </row>
    <row r="149" spans="2:10" ht="15" customHeight="1" x14ac:dyDescent="0.35">
      <c r="B149" s="159" t="s">
        <v>762</v>
      </c>
      <c r="F149" s="106">
        <v>180</v>
      </c>
      <c r="G149" s="106">
        <v>180</v>
      </c>
      <c r="H149" s="106">
        <v>180</v>
      </c>
      <c r="I149" s="106">
        <v>180</v>
      </c>
      <c r="J149" s="106">
        <v>180</v>
      </c>
    </row>
    <row r="150" spans="2:10" ht="15" customHeight="1" x14ac:dyDescent="0.35">
      <c r="B150" s="159" t="s">
        <v>763</v>
      </c>
      <c r="F150" s="106">
        <v>-180</v>
      </c>
      <c r="G150" s="106">
        <v>-180</v>
      </c>
      <c r="H150" s="106">
        <v>-180</v>
      </c>
      <c r="I150" s="106">
        <v>-180</v>
      </c>
      <c r="J150" s="106">
        <v>-180</v>
      </c>
    </row>
    <row r="151" spans="2:10" ht="15" customHeight="1" x14ac:dyDescent="0.35">
      <c r="B151" s="159" t="s">
        <v>764</v>
      </c>
      <c r="F151" s="106">
        <v>0</v>
      </c>
      <c r="G151" s="106">
        <v>0</v>
      </c>
      <c r="H151" s="106">
        <v>0</v>
      </c>
      <c r="I151" s="106">
        <v>0</v>
      </c>
      <c r="J151" s="106">
        <v>0</v>
      </c>
    </row>
    <row r="152" spans="2:10" ht="15" customHeight="1" x14ac:dyDescent="0.35">
      <c r="B152" s="176" t="s">
        <v>765</v>
      </c>
      <c r="C152" s="146"/>
      <c r="D152" s="146"/>
      <c r="E152" s="146"/>
      <c r="F152" s="177">
        <v>88.736661164797297</v>
      </c>
      <c r="G152" s="177">
        <v>341.34788850817398</v>
      </c>
      <c r="H152" s="177">
        <v>430.874867157023</v>
      </c>
      <c r="I152" s="177">
        <v>495.28397134746098</v>
      </c>
      <c r="J152" s="177">
        <v>586.71818073142799</v>
      </c>
    </row>
    <row r="153" spans="2:10" ht="15" customHeight="1" x14ac:dyDescent="0.35">
      <c r="B153" s="178" t="s">
        <v>766</v>
      </c>
      <c r="C153" s="91"/>
      <c r="D153" s="91"/>
      <c r="E153" s="91"/>
      <c r="F153" s="161">
        <v>88.736661164797297</v>
      </c>
      <c r="G153" s="161">
        <v>341.34788850817398</v>
      </c>
      <c r="H153" s="161">
        <v>430.874867157023</v>
      </c>
      <c r="I153" s="161">
        <v>495.28397134746098</v>
      </c>
      <c r="J153" s="161">
        <v>586.71818073142799</v>
      </c>
    </row>
    <row r="154" spans="2:10" ht="13.75" customHeight="1" x14ac:dyDescent="0.35"/>
    <row r="155" spans="2:10" ht="15" customHeight="1" x14ac:dyDescent="0.35">
      <c r="B155" s="89" t="s">
        <v>767</v>
      </c>
      <c r="F155" s="173">
        <v>0</v>
      </c>
      <c r="G155" s="106">
        <v>0</v>
      </c>
      <c r="H155" s="106">
        <v>0</v>
      </c>
      <c r="I155" s="106">
        <v>0</v>
      </c>
      <c r="J155" s="106">
        <v>0</v>
      </c>
    </row>
    <row r="156" spans="2:10" ht="15" customHeight="1" x14ac:dyDescent="0.35">
      <c r="B156" s="89" t="s">
        <v>759</v>
      </c>
      <c r="F156" s="106">
        <v>0</v>
      </c>
      <c r="G156" s="106">
        <v>0</v>
      </c>
      <c r="H156" s="106">
        <v>0</v>
      </c>
      <c r="I156" s="106">
        <v>0</v>
      </c>
      <c r="J156" s="106">
        <v>0</v>
      </c>
    </row>
    <row r="157" spans="2:10" ht="15" customHeight="1" x14ac:dyDescent="0.35">
      <c r="B157" s="148" t="s">
        <v>768</v>
      </c>
      <c r="D157" s="146" t="s">
        <v>769</v>
      </c>
      <c r="E157" s="146" t="s">
        <v>770</v>
      </c>
      <c r="F157" s="128">
        <v>0</v>
      </c>
      <c r="G157" s="128">
        <v>0</v>
      </c>
      <c r="H157" s="128">
        <v>0</v>
      </c>
      <c r="I157" s="128">
        <v>0</v>
      </c>
      <c r="J157" s="128">
        <v>0</v>
      </c>
    </row>
    <row r="158" spans="2:10" ht="15" customHeight="1" x14ac:dyDescent="0.35">
      <c r="B158" s="178" t="s">
        <v>771</v>
      </c>
      <c r="D158" s="179">
        <v>0.8</v>
      </c>
      <c r="E158" s="179">
        <v>0.65</v>
      </c>
      <c r="F158" s="161">
        <v>350</v>
      </c>
      <c r="G158" s="161">
        <v>350</v>
      </c>
      <c r="H158" s="161">
        <v>350</v>
      </c>
      <c r="I158" s="161">
        <v>350</v>
      </c>
      <c r="J158" s="161">
        <v>350</v>
      </c>
    </row>
    <row r="159" spans="2:10" ht="15" customHeight="1" x14ac:dyDescent="0.35">
      <c r="B159" s="178" t="s">
        <v>772</v>
      </c>
      <c r="D159" s="180"/>
      <c r="E159" s="180"/>
      <c r="F159" s="181" t="s">
        <v>773</v>
      </c>
      <c r="G159" s="181" t="s">
        <v>773</v>
      </c>
      <c r="H159" s="181" t="s">
        <v>773</v>
      </c>
      <c r="I159" s="181" t="s">
        <v>773</v>
      </c>
      <c r="J159" s="181" t="s">
        <v>773</v>
      </c>
    </row>
    <row r="160" spans="2:10" ht="13.75" customHeight="1" x14ac:dyDescent="0.35"/>
    <row r="161" spans="2:10" ht="15" customHeight="1" x14ac:dyDescent="0.35">
      <c r="B161" s="146" t="s">
        <v>550</v>
      </c>
    </row>
    <row r="162" spans="2:10" ht="15" customHeight="1" x14ac:dyDescent="0.35">
      <c r="B162" s="89" t="s">
        <v>774</v>
      </c>
      <c r="F162" s="173">
        <v>2886.4290000000001</v>
      </c>
      <c r="G162" s="106">
        <v>2509.0494388351999</v>
      </c>
      <c r="H162" s="106">
        <v>2023.38010032703</v>
      </c>
      <c r="I162" s="106">
        <v>1448.18378317001</v>
      </c>
      <c r="J162" s="106">
        <v>808.57836182254596</v>
      </c>
    </row>
    <row r="163" spans="2:10" ht="15" customHeight="1" x14ac:dyDescent="0.35">
      <c r="B163" s="89" t="s">
        <v>775</v>
      </c>
      <c r="F163" s="106">
        <v>288.6429</v>
      </c>
      <c r="G163" s="106">
        <v>144.32145</v>
      </c>
      <c r="H163" s="106">
        <v>144.32145</v>
      </c>
      <c r="I163" s="106">
        <v>144.32145</v>
      </c>
      <c r="J163" s="106">
        <v>144.32145</v>
      </c>
    </row>
    <row r="164" spans="2:10" ht="15" customHeight="1" x14ac:dyDescent="0.35">
      <c r="B164" s="89" t="s">
        <v>776</v>
      </c>
      <c r="F164" s="106">
        <v>88.736661164797297</v>
      </c>
      <c r="G164" s="106">
        <v>341.34788850817398</v>
      </c>
      <c r="H164" s="106">
        <v>430.874867157023</v>
      </c>
      <c r="I164" s="106">
        <v>495.28397134746098</v>
      </c>
      <c r="J164" s="106">
        <v>586.71818073142902</v>
      </c>
    </row>
    <row r="165" spans="2:10" ht="15" customHeight="1" x14ac:dyDescent="0.35">
      <c r="B165" s="148" t="s">
        <v>777</v>
      </c>
      <c r="C165" s="104"/>
      <c r="D165" s="182"/>
      <c r="E165" s="104"/>
      <c r="F165" s="128">
        <v>2509.0494388351999</v>
      </c>
      <c r="G165" s="128">
        <v>2023.38010032703</v>
      </c>
      <c r="H165" s="128">
        <v>1448.18378317001</v>
      </c>
      <c r="I165" s="128">
        <v>808.57836182254596</v>
      </c>
      <c r="J165" s="128">
        <v>77.538731091116802</v>
      </c>
    </row>
    <row r="166" spans="2:10" ht="15" customHeight="1" x14ac:dyDescent="0.35">
      <c r="B166" s="178" t="s">
        <v>778</v>
      </c>
      <c r="C166" s="91"/>
      <c r="E166" s="149" t="s">
        <v>779</v>
      </c>
      <c r="F166" s="183">
        <v>0.1</v>
      </c>
      <c r="G166" s="183">
        <v>0.05</v>
      </c>
      <c r="H166" s="183">
        <v>0.05</v>
      </c>
      <c r="I166" s="183">
        <v>0.05</v>
      </c>
      <c r="J166" s="183">
        <v>0.05</v>
      </c>
    </row>
    <row r="167" spans="2:10" ht="15" customHeight="1" x14ac:dyDescent="0.35">
      <c r="B167" s="178" t="s">
        <v>780</v>
      </c>
      <c r="C167" s="91"/>
      <c r="E167" s="184">
        <v>1</v>
      </c>
      <c r="F167" s="185">
        <v>88.736661164797297</v>
      </c>
      <c r="G167" s="185">
        <v>341.34788850817398</v>
      </c>
      <c r="H167" s="185">
        <v>430.874867157023</v>
      </c>
      <c r="I167" s="185">
        <v>495.28397134746098</v>
      </c>
      <c r="J167" s="185">
        <v>586.71818073142799</v>
      </c>
    </row>
    <row r="168" spans="2:10" ht="15" customHeight="1" x14ac:dyDescent="0.35">
      <c r="B168" s="89"/>
      <c r="F168" s="101"/>
      <c r="G168" s="101"/>
      <c r="H168" s="101"/>
      <c r="I168" s="101"/>
      <c r="J168" s="101"/>
    </row>
    <row r="169" spans="2:10" ht="15" customHeight="1" x14ac:dyDescent="0.35">
      <c r="B169" s="146" t="s">
        <v>551</v>
      </c>
      <c r="F169" s="101"/>
    </row>
    <row r="170" spans="2:10" ht="15" customHeight="1" x14ac:dyDescent="0.35">
      <c r="B170" s="89" t="s">
        <v>781</v>
      </c>
      <c r="F170" s="173">
        <v>670.85199999999998</v>
      </c>
      <c r="G170" s="106">
        <v>637.30939999999998</v>
      </c>
      <c r="H170" s="106">
        <v>603.76679999999999</v>
      </c>
      <c r="I170" s="106">
        <v>570.2242</v>
      </c>
      <c r="J170" s="106">
        <v>536.6816</v>
      </c>
    </row>
    <row r="171" spans="2:10" ht="15" customHeight="1" x14ac:dyDescent="0.35">
      <c r="B171" s="89" t="s">
        <v>782</v>
      </c>
      <c r="F171" s="106">
        <v>33.5426</v>
      </c>
      <c r="G171" s="106">
        <v>33.5426</v>
      </c>
      <c r="H171" s="106">
        <v>33.5426</v>
      </c>
      <c r="I171" s="106">
        <v>33.5426</v>
      </c>
      <c r="J171" s="106">
        <v>33.5426</v>
      </c>
    </row>
    <row r="172" spans="2:10" ht="15" customHeight="1" x14ac:dyDescent="0.35">
      <c r="B172" s="89" t="s">
        <v>776</v>
      </c>
      <c r="F172" s="106">
        <v>0</v>
      </c>
      <c r="G172" s="106">
        <v>0</v>
      </c>
      <c r="H172" s="106">
        <v>0</v>
      </c>
      <c r="I172" s="106">
        <v>0</v>
      </c>
      <c r="J172" s="106">
        <v>2.2737367544323201E-13</v>
      </c>
    </row>
    <row r="173" spans="2:10" ht="15" customHeight="1" x14ac:dyDescent="0.35">
      <c r="B173" s="148" t="s">
        <v>783</v>
      </c>
      <c r="C173" s="104"/>
      <c r="F173" s="128">
        <v>637.30939999999998</v>
      </c>
      <c r="G173" s="128">
        <v>603.76679999999999</v>
      </c>
      <c r="H173" s="128">
        <v>570.2242</v>
      </c>
      <c r="I173" s="128">
        <v>536.6816</v>
      </c>
      <c r="J173" s="128">
        <v>503.13900000000001</v>
      </c>
    </row>
    <row r="174" spans="2:10" ht="15" customHeight="1" x14ac:dyDescent="0.35">
      <c r="B174" s="178" t="s">
        <v>778</v>
      </c>
      <c r="C174" s="91"/>
      <c r="E174" s="149" t="s">
        <v>779</v>
      </c>
      <c r="F174" s="183">
        <v>0.05</v>
      </c>
      <c r="G174" s="183">
        <v>0.05</v>
      </c>
      <c r="H174" s="183">
        <v>0.05</v>
      </c>
      <c r="I174" s="183">
        <v>0.05</v>
      </c>
      <c r="J174" s="183">
        <v>0.05</v>
      </c>
    </row>
    <row r="175" spans="2:10" ht="15" customHeight="1" x14ac:dyDescent="0.35">
      <c r="B175" s="178" t="s">
        <v>784</v>
      </c>
      <c r="C175" s="91"/>
      <c r="E175" s="184">
        <v>1</v>
      </c>
      <c r="F175" s="161">
        <v>0</v>
      </c>
      <c r="G175" s="161">
        <v>0</v>
      </c>
      <c r="H175" s="161">
        <v>0</v>
      </c>
      <c r="I175" s="161">
        <v>0</v>
      </c>
      <c r="J175" s="161">
        <v>-2.2737367544323201E-13</v>
      </c>
    </row>
    <row r="176" spans="2:10" ht="15" customHeight="1" x14ac:dyDescent="0.35">
      <c r="B176" s="178"/>
      <c r="C176" s="91"/>
      <c r="D176" s="91"/>
      <c r="E176" s="91"/>
      <c r="F176" s="186"/>
      <c r="G176" s="186"/>
      <c r="H176" s="186"/>
      <c r="I176" s="186"/>
      <c r="J176" s="186"/>
    </row>
    <row r="177" spans="2:10" ht="15" customHeight="1" x14ac:dyDescent="0.35">
      <c r="B177" s="146" t="s">
        <v>552</v>
      </c>
      <c r="F177" s="101"/>
    </row>
    <row r="178" spans="2:10" ht="15" customHeight="1" x14ac:dyDescent="0.35">
      <c r="B178" s="89" t="s">
        <v>785</v>
      </c>
      <c r="F178" s="173">
        <v>1632.9949999999999</v>
      </c>
      <c r="G178" s="106">
        <v>1632.9949999999999</v>
      </c>
      <c r="H178" s="106">
        <v>1632.9949999999999</v>
      </c>
      <c r="I178" s="106">
        <v>1632.9949999999999</v>
      </c>
      <c r="J178" s="106">
        <v>1632.9949999999999</v>
      </c>
    </row>
    <row r="179" spans="2:10" ht="15" customHeight="1" x14ac:dyDescent="0.35">
      <c r="B179" s="89" t="s">
        <v>782</v>
      </c>
      <c r="F179" s="106">
        <v>0</v>
      </c>
      <c r="G179" s="106">
        <v>0</v>
      </c>
      <c r="H179" s="106">
        <v>0</v>
      </c>
      <c r="I179" s="106">
        <v>0</v>
      </c>
      <c r="J179" s="106">
        <v>0</v>
      </c>
    </row>
    <row r="180" spans="2:10" ht="15" customHeight="1" x14ac:dyDescent="0.35">
      <c r="B180" s="148" t="s">
        <v>786</v>
      </c>
      <c r="C180" s="104"/>
      <c r="D180" s="104"/>
      <c r="E180" s="104"/>
      <c r="F180" s="128">
        <v>1632.9949999999999</v>
      </c>
      <c r="G180" s="128">
        <v>1632.9949999999999</v>
      </c>
      <c r="H180" s="128">
        <v>1632.9949999999999</v>
      </c>
      <c r="I180" s="128">
        <v>1632.9949999999999</v>
      </c>
      <c r="J180" s="128">
        <v>1632.9949999999999</v>
      </c>
    </row>
    <row r="181" spans="2:10" ht="15" customHeight="1" x14ac:dyDescent="0.35">
      <c r="B181" s="178" t="s">
        <v>778</v>
      </c>
      <c r="F181" s="183">
        <v>0</v>
      </c>
      <c r="G181" s="183">
        <v>0</v>
      </c>
      <c r="H181" s="183">
        <v>0</v>
      </c>
      <c r="I181" s="183">
        <v>0</v>
      </c>
      <c r="J181" s="183">
        <v>0</v>
      </c>
    </row>
    <row r="182" spans="2:10" ht="15" customHeight="1" x14ac:dyDescent="0.35">
      <c r="B182" s="178"/>
      <c r="F182" s="183"/>
      <c r="G182" s="183"/>
      <c r="H182" s="183"/>
      <c r="I182" s="183"/>
      <c r="J182" s="183"/>
    </row>
    <row r="183" spans="2:10" ht="15" customHeight="1" x14ac:dyDescent="0.35">
      <c r="B183" s="146" t="s">
        <v>553</v>
      </c>
      <c r="F183" s="101"/>
    </row>
    <row r="184" spans="2:10" ht="15" customHeight="1" x14ac:dyDescent="0.35">
      <c r="B184" s="89" t="s">
        <v>787</v>
      </c>
      <c r="F184" s="173">
        <v>0</v>
      </c>
      <c r="G184" s="106">
        <v>0</v>
      </c>
      <c r="H184" s="106">
        <v>0</v>
      </c>
      <c r="I184" s="106">
        <v>0</v>
      </c>
      <c r="J184" s="106">
        <v>0</v>
      </c>
    </row>
    <row r="185" spans="2:10" ht="15" customHeight="1" x14ac:dyDescent="0.35">
      <c r="B185" s="89" t="s">
        <v>782</v>
      </c>
      <c r="C185" s="149" t="s">
        <v>788</v>
      </c>
      <c r="D185" s="149" t="s">
        <v>789</v>
      </c>
      <c r="F185" s="106">
        <v>0</v>
      </c>
      <c r="G185" s="106">
        <v>0</v>
      </c>
      <c r="H185" s="106">
        <v>0</v>
      </c>
      <c r="I185" s="106">
        <v>0</v>
      </c>
      <c r="J185" s="106">
        <v>0</v>
      </c>
    </row>
    <row r="186" spans="2:10" ht="15" customHeight="1" x14ac:dyDescent="0.35">
      <c r="B186" s="116" t="s">
        <v>790</v>
      </c>
      <c r="C186" s="187">
        <v>0.04</v>
      </c>
      <c r="D186" s="188">
        <v>0.08</v>
      </c>
      <c r="F186" s="106">
        <v>0</v>
      </c>
      <c r="G186" s="106">
        <v>0</v>
      </c>
      <c r="H186" s="106">
        <v>0</v>
      </c>
      <c r="I186" s="106">
        <v>0</v>
      </c>
      <c r="J186" s="106">
        <v>0</v>
      </c>
    </row>
    <row r="187" spans="2:10" ht="15" customHeight="1" x14ac:dyDescent="0.35">
      <c r="B187" s="148" t="s">
        <v>791</v>
      </c>
      <c r="C187" s="104"/>
      <c r="D187" s="188"/>
      <c r="E187" s="104"/>
      <c r="F187" s="128">
        <v>0</v>
      </c>
      <c r="G187" s="128">
        <v>0</v>
      </c>
      <c r="H187" s="128">
        <v>0</v>
      </c>
      <c r="I187" s="128">
        <v>0</v>
      </c>
      <c r="J187" s="128">
        <v>0</v>
      </c>
    </row>
    <row r="188" spans="2:10" ht="15" customHeight="1" x14ac:dyDescent="0.35">
      <c r="B188" s="178" t="s">
        <v>778</v>
      </c>
      <c r="F188" s="183">
        <v>0</v>
      </c>
      <c r="G188" s="183">
        <v>0</v>
      </c>
      <c r="H188" s="183">
        <v>0</v>
      </c>
      <c r="I188" s="183">
        <v>0</v>
      </c>
      <c r="J188" s="183">
        <v>0</v>
      </c>
    </row>
    <row r="189" spans="2:10" ht="15" customHeight="1" x14ac:dyDescent="0.35">
      <c r="B189" s="178"/>
      <c r="F189" s="183"/>
      <c r="G189" s="183"/>
      <c r="H189" s="183"/>
      <c r="I189" s="183"/>
      <c r="J189" s="183"/>
    </row>
    <row r="190" spans="2:10" ht="15" customHeight="1" x14ac:dyDescent="0.35">
      <c r="B190" s="146" t="s">
        <v>555</v>
      </c>
      <c r="D190" s="189"/>
      <c r="E190" s="149"/>
      <c r="F190" s="183"/>
      <c r="G190" s="183"/>
      <c r="H190" s="183"/>
      <c r="I190" s="183"/>
      <c r="J190" s="183"/>
    </row>
    <row r="191" spans="2:10" ht="15" customHeight="1" x14ac:dyDescent="0.35">
      <c r="B191" s="89" t="s">
        <v>792</v>
      </c>
      <c r="F191" s="173">
        <v>0</v>
      </c>
      <c r="G191" s="106">
        <v>0</v>
      </c>
      <c r="H191" s="106">
        <v>0</v>
      </c>
      <c r="I191" s="106">
        <v>0</v>
      </c>
      <c r="J191" s="106">
        <v>0</v>
      </c>
    </row>
    <row r="192" spans="2:10" ht="15" customHeight="1" x14ac:dyDescent="0.35">
      <c r="B192" s="116" t="s">
        <v>793</v>
      </c>
      <c r="F192" s="106">
        <v>0</v>
      </c>
      <c r="G192" s="106">
        <v>0</v>
      </c>
      <c r="H192" s="106">
        <v>0</v>
      </c>
      <c r="I192" s="106">
        <v>0</v>
      </c>
      <c r="J192" s="106">
        <v>0</v>
      </c>
    </row>
    <row r="193" spans="2:13" ht="15" customHeight="1" x14ac:dyDescent="0.35">
      <c r="B193" s="104" t="s">
        <v>794</v>
      </c>
      <c r="C193" s="149" t="s">
        <v>788</v>
      </c>
      <c r="D193" s="149" t="s">
        <v>789</v>
      </c>
      <c r="E193" s="104"/>
      <c r="F193" s="128">
        <v>0</v>
      </c>
      <c r="G193" s="128">
        <v>0</v>
      </c>
      <c r="H193" s="128">
        <v>0</v>
      </c>
      <c r="I193" s="128">
        <v>0</v>
      </c>
      <c r="J193" s="128">
        <v>0</v>
      </c>
    </row>
    <row r="194" spans="2:13" ht="15" customHeight="1" x14ac:dyDescent="0.35">
      <c r="B194" s="116" t="s">
        <v>795</v>
      </c>
      <c r="C194" s="187">
        <v>0.04</v>
      </c>
      <c r="D194" s="188">
        <v>0.08</v>
      </c>
      <c r="F194" s="106">
        <v>0</v>
      </c>
      <c r="G194" s="106">
        <v>0</v>
      </c>
      <c r="H194" s="106">
        <v>0</v>
      </c>
      <c r="I194" s="106">
        <v>0</v>
      </c>
      <c r="J194" s="106">
        <v>0</v>
      </c>
    </row>
    <row r="195" spans="2:13" ht="15" customHeight="1" x14ac:dyDescent="0.35">
      <c r="B195" s="116"/>
      <c r="F195" s="101"/>
    </row>
    <row r="196" spans="2:13" ht="15" customHeight="1" x14ac:dyDescent="0.35">
      <c r="B196" s="190" t="s">
        <v>796</v>
      </c>
      <c r="F196" s="101"/>
    </row>
    <row r="197" spans="2:13" ht="15" customHeight="1" x14ac:dyDescent="0.35">
      <c r="B197" s="89" t="s">
        <v>797</v>
      </c>
      <c r="C197" s="106"/>
      <c r="D197" s="158"/>
      <c r="E197" s="158"/>
      <c r="F197" s="173">
        <v>69.689165000000003</v>
      </c>
      <c r="G197" s="106">
        <v>60.025176250000001</v>
      </c>
      <c r="H197" s="106">
        <v>50.3611875</v>
      </c>
      <c r="I197" s="106">
        <v>40.697198749999998</v>
      </c>
      <c r="J197" s="106">
        <v>31.03321</v>
      </c>
    </row>
    <row r="198" spans="2:13" ht="15" customHeight="1" x14ac:dyDescent="0.35">
      <c r="B198" s="89" t="s">
        <v>717</v>
      </c>
      <c r="C198" s="106"/>
      <c r="D198" s="106"/>
      <c r="E198" s="106"/>
      <c r="F198" s="106">
        <v>-9.6639887499999997</v>
      </c>
      <c r="G198" s="106">
        <v>-9.6639887499999997</v>
      </c>
      <c r="H198" s="106">
        <v>-9.6639887499999997</v>
      </c>
      <c r="I198" s="106">
        <v>-9.6639887499999997</v>
      </c>
      <c r="J198" s="106">
        <v>-9.6639887499999997</v>
      </c>
    </row>
    <row r="199" spans="2:13" ht="15" customHeight="1" x14ac:dyDescent="0.35">
      <c r="B199" s="104" t="s">
        <v>798</v>
      </c>
      <c r="C199" s="106"/>
      <c r="D199" s="106"/>
      <c r="E199" s="106"/>
      <c r="F199" s="128">
        <v>60.025176250000001</v>
      </c>
      <c r="G199" s="128">
        <v>50.3611875</v>
      </c>
      <c r="H199" s="128">
        <v>40.697198749999998</v>
      </c>
      <c r="I199" s="128">
        <v>31.03321</v>
      </c>
      <c r="J199" s="128">
        <v>21.369221249999999</v>
      </c>
    </row>
    <row r="200" spans="2:13" ht="15" customHeight="1" x14ac:dyDescent="0.35">
      <c r="B200" s="116"/>
      <c r="F200" s="101"/>
    </row>
    <row r="201" spans="2:13" ht="15" customHeight="1" x14ac:dyDescent="0.35">
      <c r="B201" s="88" t="s">
        <v>799</v>
      </c>
      <c r="C201" s="80"/>
      <c r="D201" s="80"/>
      <c r="E201" s="80"/>
      <c r="F201" s="80"/>
      <c r="G201" s="80"/>
      <c r="H201" s="80"/>
      <c r="I201" s="80"/>
      <c r="J201" s="80"/>
    </row>
    <row r="202" spans="2:13" ht="15" customHeight="1" x14ac:dyDescent="0.35">
      <c r="B202" t="s">
        <v>566</v>
      </c>
      <c r="C202" s="136">
        <v>2022</v>
      </c>
      <c r="D202" s="136">
        <v>2023</v>
      </c>
      <c r="E202" s="136">
        <v>2024</v>
      </c>
      <c r="F202" s="138">
        <v>2025</v>
      </c>
      <c r="G202" s="138">
        <v>2026</v>
      </c>
      <c r="H202" s="138">
        <v>2027</v>
      </c>
      <c r="I202" s="138">
        <v>2028</v>
      </c>
      <c r="J202" s="138">
        <v>2029</v>
      </c>
    </row>
    <row r="203" spans="2:13" ht="15" customHeight="1" x14ac:dyDescent="0.35">
      <c r="B203" s="139" t="s">
        <v>567</v>
      </c>
      <c r="C203" s="141">
        <v>44926</v>
      </c>
      <c r="D203" s="141">
        <v>45291</v>
      </c>
      <c r="E203" s="141">
        <v>45657</v>
      </c>
      <c r="F203" s="141">
        <v>46022</v>
      </c>
      <c r="G203" s="141">
        <v>46387</v>
      </c>
      <c r="H203" s="141">
        <v>46752</v>
      </c>
      <c r="I203" s="141">
        <v>47118</v>
      </c>
      <c r="J203" s="141">
        <v>47483</v>
      </c>
    </row>
    <row r="204" spans="2:13" ht="15" customHeight="1" x14ac:dyDescent="0.35">
      <c r="B204" s="104"/>
    </row>
    <row r="205" spans="2:13" ht="15" customHeight="1" x14ac:dyDescent="0.35">
      <c r="B205" s="116" t="s">
        <v>800</v>
      </c>
      <c r="C205" s="191"/>
      <c r="D205" s="91"/>
      <c r="F205" s="192">
        <v>49.08</v>
      </c>
      <c r="G205" s="192">
        <v>82.86</v>
      </c>
      <c r="H205" s="192">
        <v>134.82</v>
      </c>
      <c r="I205" s="192">
        <v>184.42</v>
      </c>
      <c r="J205" s="192">
        <v>221.26</v>
      </c>
    </row>
    <row r="206" spans="2:13" ht="15" customHeight="1" x14ac:dyDescent="0.35">
      <c r="B206" s="89"/>
      <c r="C206" s="149" t="s">
        <v>801</v>
      </c>
      <c r="D206" s="149" t="s">
        <v>802</v>
      </c>
      <c r="E206" s="149" t="s">
        <v>803</v>
      </c>
      <c r="F206" s="107"/>
      <c r="G206" s="107"/>
      <c r="H206" s="107"/>
      <c r="I206" s="107"/>
      <c r="J206" s="107"/>
    </row>
    <row r="207" spans="2:13" ht="15" customHeight="1" x14ac:dyDescent="0.35">
      <c r="B207" s="89" t="s">
        <v>549</v>
      </c>
      <c r="C207" s="193">
        <v>0.04</v>
      </c>
      <c r="D207" s="110">
        <v>0</v>
      </c>
      <c r="F207" s="171">
        <v>0</v>
      </c>
      <c r="G207" s="171">
        <v>0</v>
      </c>
      <c r="H207" s="171">
        <v>0</v>
      </c>
      <c r="I207" s="171">
        <v>0</v>
      </c>
      <c r="J207" s="171">
        <v>0</v>
      </c>
    </row>
    <row r="208" spans="2:13" ht="15" customHeight="1" x14ac:dyDescent="0.35">
      <c r="B208" s="89" t="s">
        <v>550</v>
      </c>
      <c r="C208" s="193">
        <v>0.04</v>
      </c>
      <c r="D208" s="110">
        <v>0.01</v>
      </c>
      <c r="F208" s="171">
        <v>134.88696097088001</v>
      </c>
      <c r="G208" s="171">
        <v>113.310738479056</v>
      </c>
      <c r="H208" s="171">
        <v>92.833089808594195</v>
      </c>
      <c r="I208" s="171">
        <v>65.9448466388274</v>
      </c>
      <c r="J208" s="171">
        <v>27.5254552571771</v>
      </c>
      <c r="M208" s="174"/>
    </row>
    <row r="209" spans="2:10" ht="15" customHeight="1" x14ac:dyDescent="0.35">
      <c r="B209" s="89" t="s">
        <v>551</v>
      </c>
      <c r="C209" s="193">
        <v>0.04</v>
      </c>
      <c r="D209" s="110">
        <v>0</v>
      </c>
      <c r="F209" s="171">
        <v>29.3734560756</v>
      </c>
      <c r="G209" s="171">
        <v>29.9633026966</v>
      </c>
      <c r="H209" s="171">
        <v>31.393693331000001</v>
      </c>
      <c r="I209" s="171">
        <v>32.344894381800003</v>
      </c>
      <c r="J209" s="171">
        <v>32.299947297800003</v>
      </c>
    </row>
    <row r="210" spans="2:10" ht="15" customHeight="1" x14ac:dyDescent="0.35">
      <c r="B210" s="89" t="s">
        <v>552</v>
      </c>
      <c r="E210" s="194">
        <v>8.1250000000000003E-2</v>
      </c>
      <c r="F210" s="106">
        <v>132.68084375000001</v>
      </c>
      <c r="G210" s="106">
        <v>132.68084375000001</v>
      </c>
      <c r="H210" s="106">
        <v>132.68084375000001</v>
      </c>
      <c r="I210" s="106">
        <v>132.68084375000001</v>
      </c>
      <c r="J210" s="106">
        <v>132.68084375000001</v>
      </c>
    </row>
    <row r="211" spans="2:10" ht="15" customHeight="1" x14ac:dyDescent="0.35">
      <c r="B211" s="89" t="s">
        <v>804</v>
      </c>
      <c r="E211" s="195">
        <v>0.08</v>
      </c>
      <c r="F211" s="106">
        <v>0</v>
      </c>
      <c r="G211" s="106">
        <v>0</v>
      </c>
      <c r="H211" s="106">
        <v>0</v>
      </c>
      <c r="I211" s="106">
        <v>0</v>
      </c>
      <c r="J211" s="106">
        <v>0</v>
      </c>
    </row>
    <row r="212" spans="2:10" ht="15" customHeight="1" x14ac:dyDescent="0.35">
      <c r="B212" s="89" t="s">
        <v>805</v>
      </c>
      <c r="C212" s="187"/>
      <c r="E212" s="195">
        <v>0.04</v>
      </c>
      <c r="F212" s="106">
        <v>0</v>
      </c>
      <c r="G212" s="106">
        <v>0</v>
      </c>
      <c r="H212" s="106">
        <v>0</v>
      </c>
      <c r="I212" s="106">
        <v>0</v>
      </c>
      <c r="J212" s="106">
        <v>0</v>
      </c>
    </row>
    <row r="213" spans="2:10" ht="15" customHeight="1" x14ac:dyDescent="0.35">
      <c r="B213" s="89"/>
      <c r="C213" s="104"/>
      <c r="D213" s="104"/>
      <c r="E213" s="104"/>
      <c r="F213" s="138"/>
      <c r="G213" s="138"/>
      <c r="H213" s="138"/>
      <c r="I213" s="138"/>
      <c r="J213" s="167"/>
    </row>
    <row r="214" spans="2:10" ht="15" customHeight="1" x14ac:dyDescent="0.35">
      <c r="B214" s="88" t="s">
        <v>806</v>
      </c>
      <c r="C214" s="80"/>
      <c r="D214" s="80"/>
      <c r="E214" s="80"/>
      <c r="F214" s="80"/>
      <c r="G214" s="80"/>
      <c r="H214" s="80"/>
      <c r="I214" s="80"/>
      <c r="J214" s="80"/>
    </row>
    <row r="215" spans="2:10" ht="15" customHeight="1" x14ac:dyDescent="0.35">
      <c r="B215" t="s">
        <v>807</v>
      </c>
    </row>
    <row r="216" spans="2:10" ht="15" customHeight="1" x14ac:dyDescent="0.35">
      <c r="F216" s="407">
        <v>43190</v>
      </c>
      <c r="G216" s="406"/>
      <c r="H216" s="406"/>
      <c r="I216" s="406"/>
      <c r="J216" s="406"/>
    </row>
    <row r="217" spans="2:10" ht="15" customHeight="1" x14ac:dyDescent="0.35">
      <c r="B217" t="s">
        <v>808</v>
      </c>
    </row>
    <row r="218" spans="2:10" ht="15" customHeight="1" x14ac:dyDescent="0.35">
      <c r="B218" s="104" t="s">
        <v>809</v>
      </c>
      <c r="C218" s="104"/>
      <c r="E218" s="149" t="s">
        <v>598</v>
      </c>
      <c r="F218" s="196">
        <v>10.9</v>
      </c>
      <c r="G218" s="197">
        <v>11.9</v>
      </c>
      <c r="H218" s="197">
        <v>12.9</v>
      </c>
      <c r="I218" s="197">
        <v>13.9</v>
      </c>
      <c r="J218" s="197">
        <v>14.9</v>
      </c>
    </row>
    <row r="219" spans="2:10" ht="15" customHeight="1" x14ac:dyDescent="0.35">
      <c r="B219" t="s">
        <v>810</v>
      </c>
      <c r="E219" s="198">
        <v>0.5</v>
      </c>
      <c r="F219" s="108">
        <f>AI_Operating!H13</f>
        <v>318.53735131295502</v>
      </c>
      <c r="G219" s="108">
        <f>AI_Operating!H13</f>
        <v>318.53735131295502</v>
      </c>
      <c r="H219" s="108">
        <f>AI_Operating!H13</f>
        <v>318.53735131295502</v>
      </c>
      <c r="I219" s="108">
        <f>AI_Operating!H13</f>
        <v>318.53735131295502</v>
      </c>
      <c r="J219" s="108">
        <f>AI_Operating!H13</f>
        <v>318.53735131295502</v>
      </c>
    </row>
    <row r="220" spans="2:10" ht="15" customHeight="1" x14ac:dyDescent="0.35">
      <c r="B220" s="104" t="s">
        <v>520</v>
      </c>
      <c r="F220" s="105">
        <f>F218*F219</f>
        <v>3472.0571293112098</v>
      </c>
      <c r="G220" s="105">
        <f>G218*G219</f>
        <v>3790.594480624165</v>
      </c>
      <c r="H220" s="105">
        <f>H218*H219</f>
        <v>4109.1318319371203</v>
      </c>
      <c r="I220" s="105">
        <f>I218*I219</f>
        <v>4427.6691832500746</v>
      </c>
      <c r="J220" s="105">
        <f>J218*J219</f>
        <v>4746.2065345630299</v>
      </c>
    </row>
    <row r="221" spans="2:10" ht="15" customHeight="1" x14ac:dyDescent="0.35">
      <c r="B221" s="199" t="s">
        <v>811</v>
      </c>
      <c r="F221" s="101"/>
    </row>
    <row r="222" spans="2:10" ht="15" customHeight="1" x14ac:dyDescent="0.35">
      <c r="B222" s="159" t="s">
        <v>549</v>
      </c>
      <c r="F222" s="108">
        <v>0</v>
      </c>
      <c r="G222" s="108">
        <v>0</v>
      </c>
      <c r="H222" s="108">
        <v>0</v>
      </c>
      <c r="I222" s="108">
        <v>0</v>
      </c>
      <c r="J222" s="108">
        <v>0</v>
      </c>
    </row>
    <row r="223" spans="2:10" ht="15" customHeight="1" x14ac:dyDescent="0.35">
      <c r="B223" s="159" t="s">
        <v>550</v>
      </c>
      <c r="F223" s="108">
        <v>6.3604672006630398</v>
      </c>
      <c r="G223" s="108">
        <v>6.3604672006630398</v>
      </c>
      <c r="H223" s="108">
        <v>6.3604672006630398</v>
      </c>
      <c r="I223" s="108">
        <v>6.3604672006630398</v>
      </c>
      <c r="J223" s="108">
        <v>6.3604672006630398</v>
      </c>
    </row>
    <row r="224" spans="2:10" ht="15" customHeight="1" x14ac:dyDescent="0.35">
      <c r="B224" s="159" t="s">
        <v>551</v>
      </c>
      <c r="F224" s="108">
        <v>0</v>
      </c>
      <c r="G224" s="108">
        <v>0</v>
      </c>
      <c r="H224" s="108">
        <v>0</v>
      </c>
      <c r="I224" s="108">
        <v>0</v>
      </c>
      <c r="J224" s="108">
        <v>0</v>
      </c>
    </row>
    <row r="225" spans="2:10" ht="15" customHeight="1" x14ac:dyDescent="0.35">
      <c r="B225" s="159" t="s">
        <v>552</v>
      </c>
      <c r="E225" s="146"/>
      <c r="F225" s="108">
        <v>0</v>
      </c>
      <c r="G225" s="108">
        <v>0</v>
      </c>
      <c r="H225" s="108">
        <v>0</v>
      </c>
      <c r="I225" s="108">
        <v>0</v>
      </c>
      <c r="J225" s="108">
        <v>0</v>
      </c>
    </row>
    <row r="226" spans="2:10" ht="15" customHeight="1" x14ac:dyDescent="0.35">
      <c r="B226" s="159" t="s">
        <v>553</v>
      </c>
      <c r="E226" s="200"/>
      <c r="F226" s="108">
        <v>0</v>
      </c>
      <c r="G226" s="108">
        <v>0</v>
      </c>
      <c r="H226" s="108">
        <v>0</v>
      </c>
      <c r="I226" s="108">
        <v>0</v>
      </c>
      <c r="J226" s="108">
        <v>0</v>
      </c>
    </row>
    <row r="227" spans="2:10" ht="15" customHeight="1" x14ac:dyDescent="0.35">
      <c r="B227" s="159" t="s">
        <v>812</v>
      </c>
      <c r="E227" s="200"/>
      <c r="F227" s="108">
        <v>0</v>
      </c>
      <c r="G227" s="108">
        <v>0</v>
      </c>
      <c r="H227" s="108">
        <v>0</v>
      </c>
      <c r="I227" s="108">
        <v>0</v>
      </c>
      <c r="J227" s="108">
        <v>0</v>
      </c>
    </row>
    <row r="228" spans="2:10" ht="15" customHeight="1" x14ac:dyDescent="0.35">
      <c r="B228" s="159" t="s">
        <v>524</v>
      </c>
      <c r="F228" s="108">
        <v>-50</v>
      </c>
      <c r="G228" s="108">
        <v>-50</v>
      </c>
      <c r="H228" s="108">
        <v>-50</v>
      </c>
      <c r="I228" s="108">
        <v>-50</v>
      </c>
      <c r="J228" s="108">
        <v>-50</v>
      </c>
    </row>
    <row r="229" spans="2:10" ht="15" customHeight="1" x14ac:dyDescent="0.35">
      <c r="B229" s="132" t="s">
        <v>813</v>
      </c>
      <c r="C229" s="201" t="s">
        <v>814</v>
      </c>
      <c r="D229" s="202" t="s">
        <v>815</v>
      </c>
      <c r="E229" s="203" t="s">
        <v>816</v>
      </c>
      <c r="F229" s="105">
        <f>F220-(F222+F223+F224+F225+F226+F227+F228)</f>
        <v>3515.6966621105466</v>
      </c>
      <c r="G229" s="105">
        <f>G220-(G222+G223+G224+G225+G226+G227+G228)</f>
        <v>3834.2340134235019</v>
      </c>
      <c r="H229" s="105">
        <f>H220-(H222+H223+H224+H225+H226+H227+H228)</f>
        <v>4152.7713647364571</v>
      </c>
      <c r="I229" s="105">
        <f>I220-(I222+I223+I224+I225+I226+I227+I228)</f>
        <v>4471.3087160494115</v>
      </c>
      <c r="J229" s="105">
        <f>J220-(J222+J223+J224+J225+J226+J227+J228)</f>
        <v>4789.8460673623667</v>
      </c>
    </row>
    <row r="230" spans="2:10" ht="15" customHeight="1" x14ac:dyDescent="0.35">
      <c r="B230" s="89" t="s">
        <v>557</v>
      </c>
      <c r="C230" s="204">
        <f>D35</f>
        <v>1884.0320180000003</v>
      </c>
      <c r="D230" s="205">
        <v>1</v>
      </c>
      <c r="E230" s="206">
        <v>1</v>
      </c>
      <c r="F230" s="108">
        <f>F229</f>
        <v>3515.6966621105466</v>
      </c>
      <c r="G230" s="108">
        <f>G229</f>
        <v>3834.2340134235019</v>
      </c>
      <c r="H230" s="108">
        <f>H229</f>
        <v>4152.7713647364571</v>
      </c>
      <c r="I230" s="108">
        <f>I229</f>
        <v>4471.3087160494115</v>
      </c>
      <c r="J230" s="108">
        <f>J229</f>
        <v>4789.8460673623667</v>
      </c>
    </row>
    <row r="231" spans="2:10" ht="15" customHeight="1" x14ac:dyDescent="0.35">
      <c r="B231" s="89" t="s">
        <v>817</v>
      </c>
      <c r="C231" s="207">
        <v>0</v>
      </c>
      <c r="D231" s="205">
        <v>0</v>
      </c>
      <c r="E231" s="206">
        <v>0</v>
      </c>
      <c r="F231" s="106">
        <v>0</v>
      </c>
      <c r="G231" s="106">
        <v>0</v>
      </c>
      <c r="H231" s="106">
        <v>0</v>
      </c>
      <c r="I231" s="106">
        <v>0</v>
      </c>
      <c r="J231" s="106">
        <v>0</v>
      </c>
    </row>
    <row r="232" spans="2:10" ht="15" customHeight="1" x14ac:dyDescent="0.35">
      <c r="B232" s="89" t="s">
        <v>812</v>
      </c>
      <c r="C232" s="208"/>
      <c r="D232" s="205"/>
      <c r="E232" s="209">
        <v>0</v>
      </c>
      <c r="F232" s="106">
        <v>0</v>
      </c>
      <c r="G232" s="106">
        <v>0</v>
      </c>
      <c r="H232" s="106">
        <v>0</v>
      </c>
      <c r="I232" s="106">
        <v>0</v>
      </c>
      <c r="J232" s="106">
        <v>0</v>
      </c>
    </row>
    <row r="233" spans="2:10" ht="15" customHeight="1" x14ac:dyDescent="0.35">
      <c r="B233" s="89" t="s">
        <v>818</v>
      </c>
      <c r="C233" s="210"/>
      <c r="D233" s="211"/>
      <c r="E233" s="212">
        <v>0</v>
      </c>
      <c r="F233" s="106">
        <v>0</v>
      </c>
      <c r="G233" s="106">
        <v>0</v>
      </c>
      <c r="H233" s="106">
        <v>0</v>
      </c>
      <c r="I233" s="106">
        <v>0</v>
      </c>
      <c r="J233" s="106">
        <v>0</v>
      </c>
    </row>
    <row r="234" spans="2:10" ht="15" customHeight="1" x14ac:dyDescent="0.35">
      <c r="B234" s="132"/>
      <c r="C234" s="132"/>
      <c r="D234" s="132"/>
      <c r="E234" s="132"/>
      <c r="F234" s="167"/>
      <c r="G234" s="167"/>
      <c r="H234" s="167"/>
      <c r="I234" s="167"/>
    </row>
    <row r="235" spans="2:10" ht="15" customHeight="1" x14ac:dyDescent="0.35">
      <c r="B235" s="155" t="s">
        <v>819</v>
      </c>
      <c r="C235" s="132"/>
      <c r="D235" s="132"/>
      <c r="E235" s="132"/>
      <c r="F235" s="167"/>
      <c r="G235" s="167"/>
      <c r="H235" s="167"/>
      <c r="I235" s="167"/>
    </row>
    <row r="236" spans="2:10" ht="15" customHeight="1" x14ac:dyDescent="0.35">
      <c r="C236" s="213" t="s">
        <v>820</v>
      </c>
      <c r="D236" s="213" t="s">
        <v>241</v>
      </c>
      <c r="E236" s="214" t="s">
        <v>821</v>
      </c>
      <c r="F236" s="215">
        <v>2025</v>
      </c>
      <c r="G236" s="215">
        <v>2026</v>
      </c>
      <c r="H236" s="215">
        <v>2027</v>
      </c>
      <c r="I236" s="215">
        <v>2028</v>
      </c>
      <c r="J236" s="215">
        <v>2029</v>
      </c>
    </row>
    <row r="237" spans="2:10" ht="15" customHeight="1" x14ac:dyDescent="0.35">
      <c r="B237" t="s">
        <v>549</v>
      </c>
      <c r="C237" s="216" t="s">
        <v>554</v>
      </c>
      <c r="D237" s="217">
        <v>0</v>
      </c>
      <c r="E237" s="106">
        <v>0</v>
      </c>
      <c r="F237" s="106">
        <v>0</v>
      </c>
      <c r="G237" s="106">
        <v>0</v>
      </c>
      <c r="H237" s="106">
        <v>0</v>
      </c>
      <c r="I237" s="106">
        <v>0</v>
      </c>
      <c r="J237" s="111">
        <v>0</v>
      </c>
    </row>
    <row r="238" spans="2:10" ht="15" customHeight="1" x14ac:dyDescent="0.35">
      <c r="B238" t="s">
        <v>550</v>
      </c>
      <c r="C238" s="216">
        <v>1.1505324022016601</v>
      </c>
      <c r="D238" s="217">
        <v>4.5029244587740699E-2</v>
      </c>
      <c r="E238" s="106">
        <v>-2886.4290000000001</v>
      </c>
      <c r="F238" s="106">
        <v>512.26652213567797</v>
      </c>
      <c r="G238" s="106">
        <v>598.98007698722995</v>
      </c>
      <c r="H238" s="106">
        <v>668.029406965617</v>
      </c>
      <c r="I238" s="106">
        <v>705.55026798628796</v>
      </c>
      <c r="J238" s="111">
        <v>836.10381707972294</v>
      </c>
    </row>
    <row r="239" spans="2:10" ht="15" customHeight="1" x14ac:dyDescent="0.35">
      <c r="B239" t="s">
        <v>551</v>
      </c>
      <c r="C239" s="216">
        <v>1.2316088999999999</v>
      </c>
      <c r="D239" s="217">
        <v>5.10501580595457E-2</v>
      </c>
      <c r="E239" s="106">
        <v>-670.85199999999998</v>
      </c>
      <c r="F239" s="106">
        <v>62.916056075599997</v>
      </c>
      <c r="G239" s="106">
        <v>63.505902696600003</v>
      </c>
      <c r="H239" s="106">
        <v>64.936293331000002</v>
      </c>
      <c r="I239" s="106">
        <v>65.887494381799996</v>
      </c>
      <c r="J239" s="111">
        <v>568.98154729780003</v>
      </c>
    </row>
    <row r="240" spans="2:10" ht="15" customHeight="1" x14ac:dyDescent="0.35">
      <c r="B240" t="s">
        <v>552</v>
      </c>
      <c r="C240" s="216">
        <v>1.40625</v>
      </c>
      <c r="D240" s="217">
        <v>8.1249999999138706E-2</v>
      </c>
      <c r="E240" s="106">
        <v>-1632.9949999999999</v>
      </c>
      <c r="F240" s="106">
        <v>132.68084375000001</v>
      </c>
      <c r="G240" s="106">
        <v>132.68084375000001</v>
      </c>
      <c r="H240" s="106">
        <v>132.68084375000001</v>
      </c>
      <c r="I240" s="106">
        <v>132.68084375000001</v>
      </c>
      <c r="J240" s="111">
        <v>1765.67584375</v>
      </c>
    </row>
    <row r="241" spans="2:10" ht="15" customHeight="1" x14ac:dyDescent="0.35">
      <c r="B241" s="150" t="s">
        <v>822</v>
      </c>
      <c r="C241" s="189"/>
      <c r="D241" s="217"/>
      <c r="E241" s="101"/>
      <c r="F241" s="101"/>
      <c r="G241" s="101"/>
      <c r="H241" s="101"/>
      <c r="I241" s="101"/>
      <c r="J241" s="147"/>
    </row>
    <row r="242" spans="2:10" ht="15" customHeight="1" x14ac:dyDescent="0.35">
      <c r="B242" s="218">
        <v>6.3</v>
      </c>
      <c r="C242" s="216" t="s">
        <v>554</v>
      </c>
      <c r="D242" s="217">
        <v>0</v>
      </c>
      <c r="E242" s="106">
        <v>0</v>
      </c>
      <c r="F242" s="106">
        <v>0</v>
      </c>
      <c r="G242" s="106">
        <v>0</v>
      </c>
      <c r="H242" s="106">
        <v>0</v>
      </c>
      <c r="I242" s="106">
        <v>0</v>
      </c>
      <c r="J242" s="111">
        <v>0</v>
      </c>
    </row>
    <row r="243" spans="2:10" ht="15" customHeight="1" x14ac:dyDescent="0.35">
      <c r="B243" s="218">
        <v>6.8</v>
      </c>
      <c r="C243" s="216" t="s">
        <v>554</v>
      </c>
      <c r="D243" s="217">
        <v>0</v>
      </c>
      <c r="E243" s="106">
        <v>0</v>
      </c>
      <c r="F243" s="106">
        <v>0</v>
      </c>
      <c r="G243" s="106">
        <v>0</v>
      </c>
      <c r="H243" s="106">
        <v>0</v>
      </c>
      <c r="I243" s="106">
        <v>0</v>
      </c>
      <c r="J243" s="111">
        <v>0</v>
      </c>
    </row>
    <row r="244" spans="2:10" ht="15" customHeight="1" x14ac:dyDescent="0.35">
      <c r="B244" s="218">
        <v>7.3</v>
      </c>
      <c r="C244" s="216" t="s">
        <v>554</v>
      </c>
      <c r="D244" s="217">
        <v>0</v>
      </c>
      <c r="E244" s="106">
        <v>0</v>
      </c>
      <c r="F244" s="106">
        <v>0</v>
      </c>
      <c r="G244" s="106">
        <v>0</v>
      </c>
      <c r="H244" s="106">
        <v>0</v>
      </c>
      <c r="I244" s="106">
        <v>0</v>
      </c>
      <c r="J244" s="111">
        <v>0</v>
      </c>
    </row>
    <row r="245" spans="2:10" ht="15" customHeight="1" x14ac:dyDescent="0.35">
      <c r="B245" s="218">
        <v>7.8</v>
      </c>
      <c r="C245" s="216" t="s">
        <v>554</v>
      </c>
      <c r="D245" s="217">
        <v>0</v>
      </c>
      <c r="E245" s="106">
        <v>0</v>
      </c>
      <c r="F245" s="106">
        <v>0</v>
      </c>
      <c r="G245" s="106">
        <v>0</v>
      </c>
      <c r="H245" s="106">
        <v>0</v>
      </c>
      <c r="I245" s="106">
        <v>0</v>
      </c>
      <c r="J245" s="111">
        <v>0</v>
      </c>
    </row>
    <row r="246" spans="2:10" ht="15" customHeight="1" x14ac:dyDescent="0.35">
      <c r="B246" s="218">
        <v>8.3000000000000007</v>
      </c>
      <c r="C246" s="216" t="s">
        <v>554</v>
      </c>
      <c r="D246" s="217">
        <v>0</v>
      </c>
      <c r="E246" s="106">
        <v>0</v>
      </c>
      <c r="F246" s="106">
        <v>0</v>
      </c>
      <c r="G246" s="106">
        <v>0</v>
      </c>
      <c r="H246" s="106">
        <v>0</v>
      </c>
      <c r="I246" s="106">
        <v>0</v>
      </c>
      <c r="J246" s="111">
        <v>0</v>
      </c>
    </row>
    <row r="247" spans="2:10" ht="15" customHeight="1" x14ac:dyDescent="0.35">
      <c r="B247" s="150" t="s">
        <v>823</v>
      </c>
      <c r="C247" s="189"/>
      <c r="D247" s="217"/>
      <c r="E247" s="101"/>
      <c r="F247" s="101"/>
      <c r="G247" s="101"/>
      <c r="H247" s="101"/>
      <c r="I247" s="101"/>
      <c r="J247" s="147"/>
    </row>
    <row r="248" spans="2:10" ht="15" customHeight="1" x14ac:dyDescent="0.35">
      <c r="B248" s="218">
        <v>6.3</v>
      </c>
      <c r="C248" s="216" t="s">
        <v>554</v>
      </c>
      <c r="D248" s="217">
        <v>0</v>
      </c>
      <c r="E248" s="106">
        <v>0</v>
      </c>
      <c r="F248" s="106">
        <v>0</v>
      </c>
      <c r="G248" s="106">
        <v>0</v>
      </c>
      <c r="H248" s="106">
        <v>0</v>
      </c>
      <c r="I248" s="106">
        <v>0</v>
      </c>
      <c r="J248" s="111">
        <v>0</v>
      </c>
    </row>
    <row r="249" spans="2:10" ht="15" customHeight="1" x14ac:dyDescent="0.35">
      <c r="B249" s="218">
        <v>6.8</v>
      </c>
      <c r="C249" s="216" t="s">
        <v>554</v>
      </c>
      <c r="D249" s="217">
        <v>0</v>
      </c>
      <c r="E249" s="106">
        <v>0</v>
      </c>
      <c r="F249" s="106">
        <v>0</v>
      </c>
      <c r="G249" s="106">
        <v>0</v>
      </c>
      <c r="H249" s="106">
        <v>0</v>
      </c>
      <c r="I249" s="106">
        <v>0</v>
      </c>
      <c r="J249" s="111">
        <v>0</v>
      </c>
    </row>
    <row r="250" spans="2:10" ht="15" customHeight="1" x14ac:dyDescent="0.35">
      <c r="B250" s="218">
        <v>7.3</v>
      </c>
      <c r="C250" s="216" t="s">
        <v>554</v>
      </c>
      <c r="D250" s="217">
        <v>0</v>
      </c>
      <c r="E250" s="106">
        <v>0</v>
      </c>
      <c r="F250" s="106">
        <v>0</v>
      </c>
      <c r="G250" s="106">
        <v>0</v>
      </c>
      <c r="H250" s="106">
        <v>0</v>
      </c>
      <c r="I250" s="106">
        <v>0</v>
      </c>
      <c r="J250" s="111">
        <v>0</v>
      </c>
    </row>
    <row r="251" spans="2:10" ht="15" customHeight="1" x14ac:dyDescent="0.35">
      <c r="B251" s="218">
        <v>7.8</v>
      </c>
      <c r="C251" s="216" t="s">
        <v>554</v>
      </c>
      <c r="D251" s="217">
        <v>0</v>
      </c>
      <c r="E251" s="106">
        <v>0</v>
      </c>
      <c r="F251" s="106">
        <v>0</v>
      </c>
      <c r="G251" s="106">
        <v>0</v>
      </c>
      <c r="H251" s="106">
        <v>0</v>
      </c>
      <c r="I251" s="106">
        <v>0</v>
      </c>
      <c r="J251" s="111">
        <v>0</v>
      </c>
    </row>
    <row r="252" spans="2:10" ht="15" customHeight="1" x14ac:dyDescent="0.35">
      <c r="B252" s="218">
        <v>8.3000000000000007</v>
      </c>
      <c r="C252" s="216" t="s">
        <v>554</v>
      </c>
      <c r="D252" s="217">
        <v>0</v>
      </c>
      <c r="E252" s="106">
        <v>0</v>
      </c>
      <c r="F252" s="106">
        <v>0</v>
      </c>
      <c r="G252" s="106">
        <v>0</v>
      </c>
      <c r="H252" s="106">
        <v>0</v>
      </c>
      <c r="I252" s="106">
        <v>0</v>
      </c>
      <c r="J252" s="111">
        <v>0</v>
      </c>
    </row>
    <row r="253" spans="2:10" ht="15" customHeight="1" x14ac:dyDescent="0.35">
      <c r="B253" s="150" t="s">
        <v>824</v>
      </c>
      <c r="C253" s="219"/>
      <c r="D253" s="217"/>
      <c r="E253" s="101"/>
      <c r="F253" s="101"/>
      <c r="G253" s="101"/>
      <c r="H253" s="101"/>
      <c r="I253" s="101"/>
      <c r="J253" s="147"/>
    </row>
    <row r="254" spans="2:10" ht="15" customHeight="1" x14ac:dyDescent="0.35">
      <c r="B254" s="218">
        <v>6.3</v>
      </c>
      <c r="C254" s="216" t="s">
        <v>554</v>
      </c>
      <c r="D254" s="217">
        <v>0</v>
      </c>
      <c r="E254" s="106">
        <v>0</v>
      </c>
      <c r="F254" s="144">
        <v>0</v>
      </c>
      <c r="G254" s="144">
        <v>0</v>
      </c>
      <c r="H254" s="144">
        <v>0</v>
      </c>
      <c r="I254" s="144">
        <v>0</v>
      </c>
      <c r="J254" s="111">
        <v>0</v>
      </c>
    </row>
    <row r="255" spans="2:10" ht="15" customHeight="1" x14ac:dyDescent="0.35">
      <c r="B255" s="218">
        <v>6.8</v>
      </c>
      <c r="C255" s="216" t="s">
        <v>554</v>
      </c>
      <c r="D255" s="217">
        <v>0</v>
      </c>
      <c r="E255" s="106">
        <v>0</v>
      </c>
      <c r="F255" s="106">
        <v>0</v>
      </c>
      <c r="G255" s="106">
        <v>0</v>
      </c>
      <c r="H255" s="106">
        <v>0</v>
      </c>
      <c r="I255" s="106">
        <v>0</v>
      </c>
      <c r="J255" s="111">
        <v>0</v>
      </c>
    </row>
    <row r="256" spans="2:10" ht="15" customHeight="1" x14ac:dyDescent="0.35">
      <c r="B256" s="218">
        <v>7.3</v>
      </c>
      <c r="C256" s="216" t="s">
        <v>554</v>
      </c>
      <c r="D256" s="217">
        <v>0</v>
      </c>
      <c r="E256" s="106">
        <v>0</v>
      </c>
      <c r="F256" s="106">
        <v>0</v>
      </c>
      <c r="G256" s="106">
        <v>0</v>
      </c>
      <c r="H256" s="106">
        <v>0</v>
      </c>
      <c r="I256" s="106">
        <v>0</v>
      </c>
      <c r="J256" s="111">
        <v>0</v>
      </c>
    </row>
    <row r="257" spans="2:11" ht="15" customHeight="1" x14ac:dyDescent="0.35">
      <c r="B257" s="218">
        <v>7.8</v>
      </c>
      <c r="C257" s="216" t="s">
        <v>554</v>
      </c>
      <c r="D257" s="217">
        <v>0</v>
      </c>
      <c r="E257" s="106">
        <v>0</v>
      </c>
      <c r="F257" s="106">
        <v>0</v>
      </c>
      <c r="G257" s="106">
        <v>0</v>
      </c>
      <c r="H257" s="106">
        <v>0</v>
      </c>
      <c r="I257" s="106">
        <v>0</v>
      </c>
      <c r="J257" s="111">
        <v>0</v>
      </c>
    </row>
    <row r="258" spans="2:11" ht="15" customHeight="1" x14ac:dyDescent="0.35">
      <c r="B258" s="218">
        <v>8.3000000000000007</v>
      </c>
      <c r="C258" s="216" t="s">
        <v>554</v>
      </c>
      <c r="D258" s="217">
        <v>0</v>
      </c>
      <c r="E258" s="106">
        <v>0</v>
      </c>
      <c r="F258" s="106">
        <v>0</v>
      </c>
      <c r="G258" s="106">
        <v>0</v>
      </c>
      <c r="H258" s="106">
        <v>0</v>
      </c>
      <c r="I258" s="106">
        <v>0</v>
      </c>
      <c r="J258" s="111">
        <v>0</v>
      </c>
    </row>
    <row r="259" spans="2:11" ht="15" customHeight="1" x14ac:dyDescent="0.35">
      <c r="B259" s="150" t="s">
        <v>825</v>
      </c>
      <c r="C259" s="182"/>
      <c r="D259" s="220"/>
      <c r="E259" s="101"/>
      <c r="F259" s="167"/>
      <c r="G259" s="167"/>
      <c r="H259" s="167"/>
      <c r="I259" s="167"/>
      <c r="J259" s="221"/>
    </row>
    <row r="260" spans="2:11" ht="15" customHeight="1" x14ac:dyDescent="0.35">
      <c r="B260" s="218">
        <v>6.3</v>
      </c>
      <c r="C260" s="216">
        <v>3.43053056443323</v>
      </c>
      <c r="D260" s="217">
        <v>0.27959418736684899</v>
      </c>
      <c r="E260" s="106">
        <v>-1660.2779399999999</v>
      </c>
      <c r="F260" s="144">
        <v>0</v>
      </c>
      <c r="G260" s="144">
        <v>0</v>
      </c>
      <c r="H260" s="144">
        <v>0</v>
      </c>
      <c r="I260" s="144">
        <v>0</v>
      </c>
      <c r="J260" s="111">
        <v>5695.63421862424</v>
      </c>
    </row>
    <row r="261" spans="2:11" ht="15" customHeight="1" x14ac:dyDescent="0.35">
      <c r="B261" s="218">
        <v>6.8</v>
      </c>
      <c r="C261" s="216">
        <v>3.8000090985521702</v>
      </c>
      <c r="D261" s="217">
        <v>0.306041350379885</v>
      </c>
      <c r="E261" s="106">
        <v>-1660.2779399999999</v>
      </c>
      <c r="F261" s="106">
        <v>0</v>
      </c>
      <c r="G261" s="106">
        <v>0</v>
      </c>
      <c r="H261" s="106">
        <v>0</v>
      </c>
      <c r="I261" s="106">
        <v>0</v>
      </c>
      <c r="J261" s="111">
        <v>6309.0712781254497</v>
      </c>
    </row>
    <row r="262" spans="2:11" ht="15" customHeight="1" x14ac:dyDescent="0.35">
      <c r="B262" s="218">
        <v>7.3</v>
      </c>
      <c r="C262" s="216">
        <v>4.1694876326711201</v>
      </c>
      <c r="D262" s="217">
        <v>0.33050508284448699</v>
      </c>
      <c r="E262" s="106">
        <v>-1660.2779399999999</v>
      </c>
      <c r="F262" s="106">
        <v>0</v>
      </c>
      <c r="G262" s="106">
        <v>0</v>
      </c>
      <c r="H262" s="106">
        <v>0</v>
      </c>
      <c r="I262" s="106">
        <v>0</v>
      </c>
      <c r="J262" s="111">
        <v>6922.5083376266703</v>
      </c>
    </row>
    <row r="263" spans="2:11" ht="15" customHeight="1" x14ac:dyDescent="0.35">
      <c r="B263" s="218">
        <v>7.8</v>
      </c>
      <c r="C263" s="216">
        <v>4.5389661667900603</v>
      </c>
      <c r="D263" s="217">
        <v>0.35329160931002701</v>
      </c>
      <c r="E263" s="106">
        <v>-1660.2779399999999</v>
      </c>
      <c r="F263" s="106">
        <v>0</v>
      </c>
      <c r="G263" s="106">
        <v>0</v>
      </c>
      <c r="H263" s="106">
        <v>0</v>
      </c>
      <c r="I263" s="106">
        <v>0</v>
      </c>
      <c r="J263" s="111">
        <v>7535.9453971278899</v>
      </c>
    </row>
    <row r="264" spans="2:11" ht="15" customHeight="1" x14ac:dyDescent="0.35">
      <c r="B264" s="218">
        <v>8.3000000000000007</v>
      </c>
      <c r="C264" s="216">
        <v>4.9084447009090004</v>
      </c>
      <c r="D264" s="217">
        <v>0.37463937778843698</v>
      </c>
      <c r="E264" s="106">
        <v>-1660.2779399999999</v>
      </c>
      <c r="F264" s="106">
        <v>0</v>
      </c>
      <c r="G264" s="106">
        <v>0</v>
      </c>
      <c r="H264" s="106">
        <v>0</v>
      </c>
      <c r="I264" s="106">
        <v>0</v>
      </c>
      <c r="J264" s="111">
        <v>8149.3824566291096</v>
      </c>
    </row>
    <row r="266" spans="2:11" ht="15" customHeight="1" x14ac:dyDescent="0.35">
      <c r="B266" s="88" t="s">
        <v>826</v>
      </c>
      <c r="C266" s="80"/>
      <c r="D266" s="80"/>
      <c r="E266" s="80"/>
    </row>
    <row r="267" spans="2:11" ht="15" customHeight="1" x14ac:dyDescent="0.35">
      <c r="B267" s="104"/>
      <c r="F267" s="213" t="s">
        <v>827</v>
      </c>
      <c r="G267" s="213" t="s">
        <v>828</v>
      </c>
      <c r="H267" s="213" t="s">
        <v>829</v>
      </c>
      <c r="I267" s="213" t="s">
        <v>820</v>
      </c>
      <c r="J267" s="213" t="s">
        <v>830</v>
      </c>
    </row>
    <row r="268" spans="2:11" ht="15" customHeight="1" x14ac:dyDescent="0.35">
      <c r="B268" t="s">
        <v>549</v>
      </c>
      <c r="F268" s="222">
        <v>0</v>
      </c>
      <c r="G268" s="205">
        <v>0</v>
      </c>
      <c r="H268" s="189"/>
      <c r="I268" s="216" t="s">
        <v>554</v>
      </c>
      <c r="J268" s="223">
        <v>0</v>
      </c>
    </row>
    <row r="269" spans="2:11" ht="15" customHeight="1" x14ac:dyDescent="0.35">
      <c r="B269" t="s">
        <v>550</v>
      </c>
      <c r="F269" s="222">
        <v>2886.4290000000001</v>
      </c>
      <c r="G269" s="205">
        <v>0.42134242358801099</v>
      </c>
      <c r="H269" s="189"/>
      <c r="I269" s="216">
        <v>1.1505324022016601</v>
      </c>
      <c r="J269" s="223">
        <v>4.5029244587740699E-2</v>
      </c>
    </row>
    <row r="270" spans="2:11" ht="15" customHeight="1" x14ac:dyDescent="0.35">
      <c r="B270" t="s">
        <v>551</v>
      </c>
      <c r="F270" s="222">
        <v>670.85199999999998</v>
      </c>
      <c r="G270" s="205">
        <v>9.79266794883452E-2</v>
      </c>
      <c r="H270" s="189"/>
      <c r="I270" s="216">
        <v>1.2316088999999999</v>
      </c>
      <c r="J270" s="223">
        <v>5.10501580595457E-2</v>
      </c>
    </row>
    <row r="271" spans="2:11" ht="15" customHeight="1" x14ac:dyDescent="0.35">
      <c r="B271" t="s">
        <v>552</v>
      </c>
      <c r="F271" s="222">
        <v>1632.9949999999999</v>
      </c>
      <c r="G271" s="205">
        <v>0.238374154017682</v>
      </c>
      <c r="H271" s="189"/>
      <c r="I271" s="216">
        <v>1.40625</v>
      </c>
      <c r="J271" s="223">
        <v>8.1249999999138706E-2</v>
      </c>
    </row>
    <row r="272" spans="2:11" ht="15" customHeight="1" x14ac:dyDescent="0.35">
      <c r="B272" t="s">
        <v>553</v>
      </c>
      <c r="F272" s="222">
        <v>0</v>
      </c>
      <c r="G272" s="205">
        <v>0</v>
      </c>
      <c r="H272" s="205">
        <v>0</v>
      </c>
      <c r="I272" s="216" t="s">
        <v>554</v>
      </c>
      <c r="J272" s="223">
        <v>0</v>
      </c>
      <c r="K272" s="101"/>
    </row>
    <row r="273" spans="2:10" ht="15" customHeight="1" x14ac:dyDescent="0.35">
      <c r="B273" t="s">
        <v>555</v>
      </c>
      <c r="F273" s="222">
        <v>0</v>
      </c>
      <c r="G273" s="205">
        <v>0</v>
      </c>
      <c r="H273" s="205">
        <v>0</v>
      </c>
      <c r="I273" s="216" t="s">
        <v>554</v>
      </c>
      <c r="J273" s="223">
        <v>0</v>
      </c>
    </row>
    <row r="274" spans="2:10" ht="15" customHeight="1" x14ac:dyDescent="0.35">
      <c r="B274" t="s">
        <v>556</v>
      </c>
      <c r="F274" s="222">
        <v>0</v>
      </c>
      <c r="G274" s="205">
        <v>0</v>
      </c>
      <c r="H274" s="205">
        <v>0</v>
      </c>
      <c r="I274" s="216" t="s">
        <v>554</v>
      </c>
      <c r="J274" s="223">
        <v>0</v>
      </c>
    </row>
    <row r="275" spans="2:10" ht="15" customHeight="1" x14ac:dyDescent="0.35">
      <c r="B275" t="s">
        <v>831</v>
      </c>
      <c r="F275" s="224">
        <f>D35</f>
        <v>1884.0320180000003</v>
      </c>
      <c r="G275" s="205">
        <v>0.24235674290596099</v>
      </c>
      <c r="H275" s="205">
        <v>1</v>
      </c>
      <c r="I275" s="216">
        <v>2.1924836325049899</v>
      </c>
      <c r="J275" s="223">
        <v>0.17000379922266601</v>
      </c>
    </row>
    <row r="276" spans="2:10" ht="15" customHeight="1" x14ac:dyDescent="0.35">
      <c r="B276" s="148" t="s">
        <v>832</v>
      </c>
      <c r="F276" s="225">
        <v>6850.5539399999998</v>
      </c>
      <c r="G276" s="226">
        <v>1</v>
      </c>
      <c r="H276" s="226">
        <v>1</v>
      </c>
      <c r="I276">
        <v>1.177</v>
      </c>
      <c r="J276">
        <v>3.3000000000000002E-2</v>
      </c>
    </row>
    <row r="277" spans="2:10" ht="15" customHeight="1" x14ac:dyDescent="0.35">
      <c r="B277" s="148" t="s">
        <v>833</v>
      </c>
      <c r="E277" s="227"/>
      <c r="G277" s="226"/>
      <c r="H277" s="226"/>
      <c r="J277">
        <v>0.2379</v>
      </c>
    </row>
    <row r="278" spans="2:10" ht="15" customHeight="1" x14ac:dyDescent="0.35">
      <c r="B278" s="88" t="s">
        <v>834</v>
      </c>
      <c r="C278" s="80"/>
      <c r="D278" s="228"/>
      <c r="E278" s="229"/>
      <c r="F278" s="228"/>
      <c r="G278" s="228"/>
      <c r="H278" s="228"/>
      <c r="I278" s="80"/>
      <c r="J278" s="80"/>
    </row>
    <row r="279" spans="2:10" ht="15" customHeight="1" x14ac:dyDescent="0.35">
      <c r="B279" s="230"/>
      <c r="C279" s="231"/>
      <c r="D279" s="231"/>
      <c r="E279" s="232"/>
      <c r="F279" s="231"/>
      <c r="G279" s="231"/>
      <c r="H279" s="231"/>
    </row>
    <row r="280" spans="2:10" ht="15" customHeight="1" x14ac:dyDescent="0.35">
      <c r="B280" s="132"/>
      <c r="C280" s="233" t="s">
        <v>835</v>
      </c>
      <c r="E280" s="408" t="s">
        <v>836</v>
      </c>
      <c r="F280" s="409"/>
      <c r="G280" s="409"/>
      <c r="H280" s="409"/>
      <c r="I280" s="409"/>
      <c r="J280" s="410"/>
    </row>
    <row r="281" spans="2:10" ht="15" customHeight="1" x14ac:dyDescent="0.35">
      <c r="B281" t="s">
        <v>837</v>
      </c>
      <c r="C281" s="234">
        <v>0.33050508284448699</v>
      </c>
      <c r="E281" s="235">
        <v>0.15</v>
      </c>
      <c r="F281" s="236">
        <v>0.2</v>
      </c>
      <c r="G281" s="236">
        <v>0.25</v>
      </c>
      <c r="H281" s="236">
        <v>0.3</v>
      </c>
      <c r="I281" s="236">
        <v>0.35</v>
      </c>
      <c r="J281" s="237">
        <v>0.4</v>
      </c>
    </row>
    <row r="282" spans="2:10" ht="15" customHeight="1" x14ac:dyDescent="0.35">
      <c r="B282" t="s">
        <v>528</v>
      </c>
      <c r="C282" s="238">
        <v>1555.6759</v>
      </c>
      <c r="E282" s="239">
        <v>1966.7351000000001</v>
      </c>
      <c r="F282" s="105">
        <v>1814.5094999999999</v>
      </c>
      <c r="G282" s="105">
        <v>1695.9903999999999</v>
      </c>
      <c r="H282" s="105">
        <v>1602.7838999999999</v>
      </c>
      <c r="I282" s="105">
        <v>1528.8019999999999</v>
      </c>
      <c r="J282" s="240">
        <v>1469.5739000000001</v>
      </c>
    </row>
    <row r="283" spans="2:10" ht="15" customHeight="1" x14ac:dyDescent="0.35">
      <c r="B283" t="s">
        <v>529</v>
      </c>
      <c r="C283" s="241">
        <v>307.29399999999998</v>
      </c>
      <c r="E283" s="242">
        <v>307.29399999999998</v>
      </c>
      <c r="F283" s="243">
        <v>307.29399999999998</v>
      </c>
      <c r="G283" s="243">
        <v>307.29399999999998</v>
      </c>
      <c r="H283" s="243">
        <v>307.29399999999998</v>
      </c>
      <c r="I283" s="243">
        <v>307.29399999999998</v>
      </c>
      <c r="J283" s="244">
        <v>307.29399999999998</v>
      </c>
    </row>
    <row r="284" spans="2:10" ht="15" customHeight="1" x14ac:dyDescent="0.35">
      <c r="B284" t="s">
        <v>532</v>
      </c>
      <c r="C284" s="245">
        <v>5.0625</v>
      </c>
      <c r="E284" s="246">
        <v>6.4001999999999999</v>
      </c>
      <c r="F284" s="102">
        <v>5.9047999999999998</v>
      </c>
      <c r="G284" s="102">
        <v>5.5190999999999999</v>
      </c>
      <c r="H284" s="102">
        <v>5.2157999999999998</v>
      </c>
      <c r="I284" s="102">
        <v>4.9749999999999996</v>
      </c>
      <c r="J284" s="247">
        <v>4.7823000000000002</v>
      </c>
    </row>
    <row r="285" spans="2:10" ht="15" customHeight="1" x14ac:dyDescent="0.35">
      <c r="B285" s="116" t="s">
        <v>534</v>
      </c>
      <c r="C285" s="248">
        <v>0.25</v>
      </c>
      <c r="E285" s="249">
        <v>0.580289907015896</v>
      </c>
      <c r="F285" s="250">
        <v>0.45797522499395399</v>
      </c>
      <c r="G285" s="250">
        <v>0.36274403811401701</v>
      </c>
      <c r="H285" s="250">
        <v>0.287851723515967</v>
      </c>
      <c r="I285" s="250">
        <v>0.22840655833081699</v>
      </c>
      <c r="J285" s="251">
        <v>0.18081627011616899</v>
      </c>
    </row>
    <row r="286" spans="2:10" ht="15" customHeight="1" x14ac:dyDescent="0.35">
      <c r="B286" s="116"/>
      <c r="C286" s="252"/>
      <c r="E286" s="253"/>
      <c r="F286" s="254"/>
      <c r="G286" s="254"/>
      <c r="H286" s="254"/>
      <c r="I286" s="254"/>
      <c r="J286" s="255"/>
    </row>
    <row r="287" spans="2:10" ht="15" customHeight="1" x14ac:dyDescent="0.35">
      <c r="B287" s="132" t="s">
        <v>520</v>
      </c>
      <c r="C287" s="256">
        <v>2705.6759000000002</v>
      </c>
      <c r="E287" s="239">
        <v>3116.7350999999999</v>
      </c>
      <c r="F287" s="105">
        <v>2964.5095000000001</v>
      </c>
      <c r="G287" s="105">
        <v>2845.9904000000001</v>
      </c>
      <c r="H287" s="105">
        <v>2752.7838999999999</v>
      </c>
      <c r="I287" s="105">
        <v>2678.8020000000001</v>
      </c>
      <c r="J287" s="240">
        <v>2619.5738999999999</v>
      </c>
    </row>
    <row r="288" spans="2:10" ht="15" customHeight="1" x14ac:dyDescent="0.35">
      <c r="B288" s="116" t="s">
        <v>838</v>
      </c>
      <c r="C288" s="257">
        <v>14.777039186236999</v>
      </c>
      <c r="E288" s="258">
        <v>17.022037722995599</v>
      </c>
      <c r="F288" s="259">
        <v>16.190658149080502</v>
      </c>
      <c r="G288" s="259">
        <v>15.543366570809599</v>
      </c>
      <c r="H288" s="259">
        <v>15.0343194182456</v>
      </c>
      <c r="I288" s="259">
        <v>14.630267383886499</v>
      </c>
      <c r="J288" s="260">
        <v>14.306793595749699</v>
      </c>
    </row>
    <row r="289" spans="2:14" ht="15" customHeight="1" x14ac:dyDescent="0.35">
      <c r="B289" s="150"/>
      <c r="E289" s="261"/>
    </row>
    <row r="290" spans="2:14" ht="15" customHeight="1" x14ac:dyDescent="0.35">
      <c r="D290" s="405" t="s">
        <v>839</v>
      </c>
      <c r="E290" s="406"/>
      <c r="F290" s="406"/>
      <c r="G290" s="406"/>
      <c r="H290" s="406"/>
      <c r="I290" s="406"/>
      <c r="J290" s="406"/>
    </row>
    <row r="291" spans="2:14" ht="15" customHeight="1" x14ac:dyDescent="0.35">
      <c r="B291" s="262" t="s">
        <v>840</v>
      </c>
      <c r="D291" s="404" t="s">
        <v>841</v>
      </c>
      <c r="E291" s="402"/>
      <c r="F291" s="402"/>
      <c r="G291" s="402"/>
      <c r="H291" s="402"/>
      <c r="I291" s="402"/>
      <c r="J291" s="402"/>
    </row>
    <row r="292" spans="2:14" ht="15" customHeight="1" x14ac:dyDescent="0.35">
      <c r="B292" s="263">
        <v>0.3</v>
      </c>
      <c r="F292" s="401" t="s">
        <v>842</v>
      </c>
      <c r="G292" s="402"/>
      <c r="H292" s="402"/>
      <c r="I292" s="402"/>
      <c r="J292" s="402"/>
      <c r="M292" s="189"/>
      <c r="N292" s="189"/>
    </row>
    <row r="293" spans="2:14" ht="15" customHeight="1" x14ac:dyDescent="0.35">
      <c r="E293" s="264">
        <v>0.33050508284448699</v>
      </c>
      <c r="F293" s="265">
        <v>3</v>
      </c>
      <c r="G293" s="266">
        <v>3.25</v>
      </c>
      <c r="H293" s="266">
        <v>3.5</v>
      </c>
      <c r="I293" s="266">
        <v>3.75</v>
      </c>
      <c r="J293" s="266">
        <v>4</v>
      </c>
    </row>
    <row r="294" spans="2:14" ht="15" customHeight="1" x14ac:dyDescent="0.35">
      <c r="D294" s="267"/>
      <c r="E294" s="265">
        <v>7</v>
      </c>
      <c r="F294" s="113">
        <v>0.30659723553317703</v>
      </c>
      <c r="G294" s="113">
        <v>0.32856965182487602</v>
      </c>
      <c r="H294" s="113">
        <v>0.35507653604565698</v>
      </c>
      <c r="I294" s="113">
        <v>0.387857051798638</v>
      </c>
      <c r="J294" s="113">
        <v>0.42977043407343002</v>
      </c>
    </row>
    <row r="295" spans="2:14" ht="15.75" customHeight="1" x14ac:dyDescent="0.35">
      <c r="D295" s="267" t="s">
        <v>821</v>
      </c>
      <c r="E295" s="268">
        <v>7.25</v>
      </c>
      <c r="F295" s="113">
        <v>0.30659727881962701</v>
      </c>
      <c r="G295" s="113">
        <v>0.32856965182487602</v>
      </c>
      <c r="H295" s="113">
        <v>0.35507653604565698</v>
      </c>
      <c r="I295" s="113">
        <v>0.387857051798638</v>
      </c>
      <c r="J295" s="113">
        <v>0.42977043407343002</v>
      </c>
    </row>
    <row r="296" spans="2:14" ht="15.75" customHeight="1" x14ac:dyDescent="0.35">
      <c r="D296" s="267" t="s">
        <v>481</v>
      </c>
      <c r="E296" s="268">
        <v>7.5</v>
      </c>
      <c r="F296" s="113">
        <v>0.30659727881962701</v>
      </c>
      <c r="G296" s="113">
        <v>0.32856965182487602</v>
      </c>
      <c r="H296" s="113">
        <v>0.35507653604565698</v>
      </c>
      <c r="I296" s="113">
        <v>0.387857051798638</v>
      </c>
      <c r="J296" s="113">
        <v>0.42977043407343002</v>
      </c>
    </row>
    <row r="297" spans="2:14" ht="15.75" customHeight="1" x14ac:dyDescent="0.35">
      <c r="D297" s="267" t="s">
        <v>843</v>
      </c>
      <c r="E297" s="268">
        <v>7.75</v>
      </c>
      <c r="F297" s="113">
        <v>0.30659727881962701</v>
      </c>
      <c r="G297" s="113">
        <v>0.32856965182487602</v>
      </c>
      <c r="H297" s="113">
        <v>0.35507653604565698</v>
      </c>
      <c r="I297" s="113">
        <v>0.387857051798638</v>
      </c>
      <c r="J297" s="113">
        <v>0.42977043407343002</v>
      </c>
    </row>
    <row r="298" spans="2:14" ht="15" customHeight="1" x14ac:dyDescent="0.35">
      <c r="D298" s="267"/>
      <c r="E298" s="268">
        <v>8</v>
      </c>
      <c r="F298" s="113">
        <v>0.30659727881962701</v>
      </c>
      <c r="G298" s="113">
        <v>0.32856965182487602</v>
      </c>
      <c r="H298" s="113">
        <v>0.35507653604565698</v>
      </c>
      <c r="I298" s="113">
        <v>0.387857051798638</v>
      </c>
      <c r="J298" s="113">
        <v>0.42977043407343002</v>
      </c>
    </row>
    <row r="300" spans="2:14" ht="15" customHeight="1" x14ac:dyDescent="0.35">
      <c r="D300" s="405" t="s">
        <v>844</v>
      </c>
      <c r="E300" s="406"/>
      <c r="F300" s="406"/>
      <c r="G300" s="406"/>
      <c r="H300" s="406"/>
      <c r="I300" s="406"/>
      <c r="J300" s="406"/>
    </row>
    <row r="301" spans="2:14" ht="15" customHeight="1" x14ac:dyDescent="0.35">
      <c r="D301" s="404" t="s">
        <v>845</v>
      </c>
      <c r="E301" s="402"/>
      <c r="F301" s="402"/>
      <c r="G301" s="402"/>
      <c r="H301" s="402"/>
      <c r="I301" s="402"/>
      <c r="J301" s="402"/>
    </row>
    <row r="302" spans="2:14" ht="15" customHeight="1" x14ac:dyDescent="0.35">
      <c r="F302" s="401" t="s">
        <v>842</v>
      </c>
      <c r="G302" s="402"/>
      <c r="H302" s="402"/>
      <c r="I302" s="402"/>
      <c r="J302" s="402"/>
    </row>
    <row r="303" spans="2:14" ht="15" customHeight="1" x14ac:dyDescent="0.35">
      <c r="E303" s="264">
        <v>0.33050508284448699</v>
      </c>
      <c r="F303" s="265">
        <v>3</v>
      </c>
      <c r="G303" s="266">
        <v>3.25</v>
      </c>
      <c r="H303" s="266">
        <v>3.5</v>
      </c>
      <c r="I303" s="266">
        <v>3.75</v>
      </c>
      <c r="J303" s="266">
        <v>4</v>
      </c>
    </row>
    <row r="304" spans="2:14" ht="15" customHeight="1" x14ac:dyDescent="0.35">
      <c r="D304" s="267"/>
      <c r="E304" s="115">
        <v>4.75</v>
      </c>
      <c r="F304" s="113"/>
      <c r="G304" s="113"/>
      <c r="H304" s="113"/>
      <c r="I304" s="113"/>
      <c r="J304" s="113"/>
    </row>
    <row r="305" spans="2:10" ht="15.75" customHeight="1" x14ac:dyDescent="0.35">
      <c r="D305" s="267" t="s">
        <v>821</v>
      </c>
      <c r="E305" s="269">
        <v>5</v>
      </c>
      <c r="F305" s="113"/>
      <c r="G305" s="113"/>
      <c r="H305" s="113"/>
      <c r="I305" s="113"/>
      <c r="J305" s="113"/>
    </row>
    <row r="306" spans="2:10" ht="15.75" customHeight="1" x14ac:dyDescent="0.35">
      <c r="D306" s="267" t="s">
        <v>846</v>
      </c>
      <c r="E306" s="269">
        <v>5.0625</v>
      </c>
      <c r="F306" s="113"/>
      <c r="G306" s="113"/>
      <c r="H306" s="113"/>
      <c r="I306" s="113"/>
      <c r="J306" s="113"/>
    </row>
    <row r="307" spans="2:10" ht="15.75" customHeight="1" x14ac:dyDescent="0.35">
      <c r="D307" s="267" t="s">
        <v>847</v>
      </c>
      <c r="E307" s="269">
        <v>5.25</v>
      </c>
      <c r="F307" s="113"/>
      <c r="G307" s="113"/>
      <c r="H307" s="113"/>
      <c r="I307" s="113"/>
      <c r="J307" s="113"/>
    </row>
    <row r="308" spans="2:10" ht="15" customHeight="1" x14ac:dyDescent="0.35">
      <c r="D308" s="267"/>
      <c r="E308" s="269">
        <v>5.5</v>
      </c>
      <c r="F308" s="113"/>
      <c r="G308" s="113"/>
      <c r="H308" s="113"/>
      <c r="I308" s="113"/>
      <c r="J308" s="113"/>
    </row>
    <row r="310" spans="2:10" ht="15" customHeight="1" x14ac:dyDescent="0.35">
      <c r="D310" s="405" t="s">
        <v>848</v>
      </c>
      <c r="E310" s="406"/>
      <c r="F310" s="406"/>
      <c r="G310" s="406"/>
      <c r="H310" s="406"/>
      <c r="I310" s="406"/>
      <c r="J310" s="406"/>
    </row>
    <row r="311" spans="2:10" ht="15" customHeight="1" x14ac:dyDescent="0.35">
      <c r="F311" s="401" t="s">
        <v>849</v>
      </c>
      <c r="G311" s="402"/>
      <c r="H311" s="402"/>
      <c r="I311" s="402"/>
      <c r="J311" s="402"/>
    </row>
    <row r="312" spans="2:10" ht="15" customHeight="1" x14ac:dyDescent="0.35">
      <c r="E312" s="264">
        <v>0.33050508284448699</v>
      </c>
      <c r="F312" s="270">
        <v>0</v>
      </c>
      <c r="G312" s="271">
        <v>0.02</v>
      </c>
      <c r="H312" s="271">
        <v>0.04</v>
      </c>
      <c r="I312" s="271">
        <v>0.06</v>
      </c>
      <c r="J312" s="271">
        <v>0.08</v>
      </c>
    </row>
    <row r="313" spans="2:10" ht="15" customHeight="1" x14ac:dyDescent="0.35">
      <c r="D313" s="267"/>
      <c r="E313" s="270">
        <v>0</v>
      </c>
      <c r="F313" s="113">
        <v>0.33050507997867901</v>
      </c>
      <c r="G313" s="113">
        <v>0.32513996810670098</v>
      </c>
      <c r="H313" s="113">
        <v>0.31968653217905102</v>
      </c>
      <c r="I313" s="113">
        <v>0.31414143457920302</v>
      </c>
      <c r="J313" s="113">
        <v>0.30850113434415999</v>
      </c>
    </row>
    <row r="314" spans="2:10" ht="15.75" customHeight="1" x14ac:dyDescent="0.35">
      <c r="D314" s="267" t="s">
        <v>850</v>
      </c>
      <c r="E314" s="272">
        <v>0.02</v>
      </c>
      <c r="F314" s="113">
        <v>0.32513996817322</v>
      </c>
      <c r="G314" s="113">
        <v>0.31968653218051701</v>
      </c>
      <c r="H314" s="113">
        <v>0.31414143457923399</v>
      </c>
      <c r="I314" s="113">
        <v>0.30850113434416099</v>
      </c>
      <c r="J314" s="113">
        <v>0.30276187296907697</v>
      </c>
    </row>
    <row r="315" spans="2:10" ht="15.75" customHeight="1" x14ac:dyDescent="0.35">
      <c r="D315" s="267" t="s">
        <v>851</v>
      </c>
      <c r="E315" s="272">
        <v>0.04</v>
      </c>
      <c r="F315" s="113">
        <v>0.31968653218051701</v>
      </c>
      <c r="G315" s="113">
        <v>0.31414143457923399</v>
      </c>
      <c r="H315" s="113">
        <v>0.30850113434416099</v>
      </c>
      <c r="I315" s="113">
        <v>0.30276187296907697</v>
      </c>
      <c r="J315" s="113">
        <v>0.29691965598224002</v>
      </c>
    </row>
    <row r="316" spans="2:10" ht="15.75" customHeight="1" x14ac:dyDescent="0.35">
      <c r="D316" s="267" t="s">
        <v>852</v>
      </c>
      <c r="E316" s="272">
        <v>0.06</v>
      </c>
      <c r="F316" s="113">
        <v>0.31414143457923399</v>
      </c>
      <c r="G316" s="113">
        <v>0.30850113434416099</v>
      </c>
      <c r="H316" s="113">
        <v>0.30276187296907697</v>
      </c>
      <c r="I316" s="113">
        <v>0.29691965598224002</v>
      </c>
      <c r="J316" s="113">
        <v>0.29097023229122798</v>
      </c>
    </row>
    <row r="317" spans="2:10" ht="15" customHeight="1" x14ac:dyDescent="0.35">
      <c r="D317" s="267"/>
      <c r="E317" s="272">
        <v>0.08</v>
      </c>
      <c r="F317" s="113">
        <v>0.30850113434416099</v>
      </c>
      <c r="G317" s="113">
        <v>0.30276187296907697</v>
      </c>
      <c r="H317" s="113">
        <v>0.29691965598224002</v>
      </c>
      <c r="I317" s="113">
        <v>0.29097023229122798</v>
      </c>
      <c r="J317" s="113">
        <v>0.28490907135113103</v>
      </c>
    </row>
    <row r="319" spans="2:10" ht="15" customHeight="1" x14ac:dyDescent="0.35">
      <c r="B319" s="88" t="s">
        <v>853</v>
      </c>
      <c r="C319" s="80"/>
      <c r="D319" s="80"/>
      <c r="E319" s="80"/>
      <c r="F319" s="80"/>
      <c r="G319" s="80"/>
      <c r="H319" s="80"/>
      <c r="I319" s="80"/>
      <c r="J319" s="80"/>
    </row>
    <row r="320" spans="2:10" ht="15" customHeight="1" x14ac:dyDescent="0.35">
      <c r="H320" s="120"/>
      <c r="J320" s="273" t="s">
        <v>854</v>
      </c>
    </row>
    <row r="321" spans="2:10" ht="15" customHeight="1" x14ac:dyDescent="0.35">
      <c r="E321" s="136">
        <v>2025</v>
      </c>
      <c r="F321" s="136">
        <v>2026</v>
      </c>
      <c r="G321" s="403" t="s">
        <v>855</v>
      </c>
      <c r="H321" s="402"/>
      <c r="I321" s="402"/>
      <c r="J321" s="104">
        <v>2027</v>
      </c>
    </row>
    <row r="322" spans="2:10" ht="15" customHeight="1" x14ac:dyDescent="0.35">
      <c r="B322" s="80"/>
      <c r="C322" s="80"/>
      <c r="D322" s="80"/>
      <c r="E322" s="274">
        <v>40999</v>
      </c>
      <c r="F322" s="274">
        <v>41364</v>
      </c>
      <c r="G322" s="275" t="s">
        <v>856</v>
      </c>
      <c r="H322" s="275" t="s">
        <v>857</v>
      </c>
      <c r="I322" s="275" t="s">
        <v>858</v>
      </c>
      <c r="J322" s="274">
        <v>41364</v>
      </c>
    </row>
    <row r="323" spans="2:10" ht="15" customHeight="1" x14ac:dyDescent="0.35">
      <c r="B323" s="89" t="s">
        <v>524</v>
      </c>
      <c r="E323" s="106">
        <v>1635.6</v>
      </c>
      <c r="F323" s="106">
        <v>1581.9</v>
      </c>
      <c r="G323" s="222">
        <v>-8252.4539399999994</v>
      </c>
      <c r="H323" s="222">
        <v>6850.5539399999998</v>
      </c>
      <c r="I323" s="222"/>
      <c r="J323" s="106">
        <v>179.99999999999901</v>
      </c>
    </row>
    <row r="324" spans="2:10" ht="15" customHeight="1" x14ac:dyDescent="0.35">
      <c r="B324" s="89" t="s">
        <v>629</v>
      </c>
      <c r="E324" s="106">
        <v>484.8</v>
      </c>
      <c r="F324" s="106">
        <v>443.7</v>
      </c>
      <c r="G324" s="189"/>
      <c r="H324" s="222"/>
      <c r="I324" s="222"/>
      <c r="J324" s="106">
        <v>443.7</v>
      </c>
    </row>
    <row r="325" spans="2:10" ht="15" customHeight="1" x14ac:dyDescent="0.35">
      <c r="B325" s="89" t="s">
        <v>639</v>
      </c>
      <c r="E325" s="106">
        <v>195.1</v>
      </c>
      <c r="F325" s="106">
        <v>213.1</v>
      </c>
      <c r="G325" s="189"/>
      <c r="H325" s="222"/>
      <c r="I325" s="222"/>
      <c r="J325" s="106">
        <v>213.1</v>
      </c>
    </row>
    <row r="326" spans="2:10" ht="15" customHeight="1" x14ac:dyDescent="0.35">
      <c r="B326" s="89" t="s">
        <v>682</v>
      </c>
      <c r="E326" s="106">
        <v>87.8</v>
      </c>
      <c r="F326" s="106">
        <v>85.2</v>
      </c>
      <c r="G326" s="189"/>
      <c r="H326" s="222"/>
      <c r="I326" s="222">
        <v>300</v>
      </c>
      <c r="J326" s="106">
        <v>385.2</v>
      </c>
    </row>
    <row r="327" spans="2:10" ht="15" customHeight="1" x14ac:dyDescent="0.35">
      <c r="B327" s="89" t="s">
        <v>707</v>
      </c>
      <c r="E327" s="106">
        <v>244.7</v>
      </c>
      <c r="F327" s="106">
        <v>271.39999999999998</v>
      </c>
      <c r="G327" s="189"/>
      <c r="H327" s="222"/>
      <c r="I327" s="222"/>
      <c r="J327" s="106">
        <v>271.39999999999998</v>
      </c>
    </row>
    <row r="328" spans="2:10" ht="15" customHeight="1" x14ac:dyDescent="0.35">
      <c r="B328" s="89" t="s">
        <v>720</v>
      </c>
      <c r="E328" s="106">
        <v>257.5</v>
      </c>
      <c r="F328" s="106">
        <v>189.8</v>
      </c>
      <c r="G328" s="222">
        <v>69.689165000000003</v>
      </c>
      <c r="H328" s="222"/>
      <c r="I328" s="222">
        <v>200</v>
      </c>
      <c r="J328" s="106">
        <v>459.48916500000001</v>
      </c>
    </row>
    <row r="329" spans="2:10" ht="15" customHeight="1" x14ac:dyDescent="0.35">
      <c r="B329" s="89" t="s">
        <v>729</v>
      </c>
      <c r="E329" s="276">
        <v>1940.3</v>
      </c>
      <c r="F329" s="276">
        <v>1935.2</v>
      </c>
      <c r="G329" s="277"/>
      <c r="H329" s="278"/>
      <c r="I329" s="279">
        <v>5536.6536395769999</v>
      </c>
      <c r="J329" s="276">
        <v>7471.8536395769997</v>
      </c>
    </row>
    <row r="330" spans="2:10" ht="15" customHeight="1" x14ac:dyDescent="0.35">
      <c r="B330" s="104" t="s">
        <v>859</v>
      </c>
      <c r="E330" s="128">
        <v>4845.8</v>
      </c>
      <c r="F330" s="128">
        <v>4720.3</v>
      </c>
      <c r="G330" s="189"/>
      <c r="H330" s="189"/>
      <c r="I330" s="189"/>
      <c r="J330" s="128">
        <v>9424.7428045769993</v>
      </c>
    </row>
    <row r="331" spans="2:10" ht="15" customHeight="1" x14ac:dyDescent="0.35">
      <c r="E331" s="101"/>
      <c r="F331" s="101"/>
      <c r="G331" s="189"/>
      <c r="H331" s="189"/>
      <c r="I331" s="189"/>
    </row>
    <row r="332" spans="2:10" ht="15" customHeight="1" x14ac:dyDescent="0.35">
      <c r="B332" s="89" t="s">
        <v>649</v>
      </c>
      <c r="E332" s="106">
        <v>32.700000000000003</v>
      </c>
      <c r="F332" s="106">
        <v>42.1</v>
      </c>
      <c r="G332" s="189"/>
      <c r="H332" s="222"/>
      <c r="I332" s="222"/>
      <c r="J332" s="106">
        <v>42.1</v>
      </c>
    </row>
    <row r="333" spans="2:10" ht="15" customHeight="1" x14ac:dyDescent="0.35">
      <c r="B333" s="89" t="s">
        <v>659</v>
      </c>
      <c r="E333" s="106">
        <v>2313.3000000000002</v>
      </c>
      <c r="F333" s="106">
        <v>2301.6999999999998</v>
      </c>
      <c r="G333" s="189"/>
      <c r="H333" s="222"/>
      <c r="I333" s="222"/>
      <c r="J333" s="106">
        <v>2301.6999999999998</v>
      </c>
    </row>
    <row r="334" spans="2:10" ht="15" customHeight="1" x14ac:dyDescent="0.35">
      <c r="B334" s="89" t="s">
        <v>734</v>
      </c>
      <c r="E334" s="106">
        <v>232.4</v>
      </c>
      <c r="F334" s="106">
        <v>252</v>
      </c>
      <c r="G334" s="189"/>
      <c r="H334" s="222"/>
      <c r="I334" s="222">
        <v>113.227389577004</v>
      </c>
      <c r="J334" s="106">
        <v>365.22738957700398</v>
      </c>
    </row>
    <row r="335" spans="2:10" ht="15" customHeight="1" x14ac:dyDescent="0.35">
      <c r="B335" s="89" t="s">
        <v>860</v>
      </c>
      <c r="E335" s="280">
        <v>821.6</v>
      </c>
      <c r="F335" s="144">
        <v>1306</v>
      </c>
      <c r="G335" s="222">
        <v>-1306</v>
      </c>
      <c r="H335" s="281">
        <v>5190.2759999999998</v>
      </c>
      <c r="I335" s="189"/>
      <c r="J335" s="106">
        <v>5190.2759999999998</v>
      </c>
    </row>
    <row r="336" spans="2:10" ht="15" customHeight="1" x14ac:dyDescent="0.35">
      <c r="B336" s="104" t="s">
        <v>861</v>
      </c>
      <c r="E336" s="128">
        <v>3400</v>
      </c>
      <c r="F336" s="128">
        <v>3901.8</v>
      </c>
      <c r="G336" s="189"/>
      <c r="H336" s="189"/>
      <c r="I336" s="189"/>
      <c r="J336" s="128">
        <v>7899.3033895770104</v>
      </c>
    </row>
    <row r="337" spans="2:11" ht="15" customHeight="1" x14ac:dyDescent="0.35">
      <c r="E337" s="101"/>
      <c r="F337" s="101"/>
      <c r="G337" s="189"/>
      <c r="H337" s="189"/>
      <c r="I337" s="189"/>
    </row>
    <row r="338" spans="2:11" ht="15" customHeight="1" x14ac:dyDescent="0.35">
      <c r="B338" s="89" t="s">
        <v>862</v>
      </c>
      <c r="E338" s="282" t="s">
        <v>554</v>
      </c>
      <c r="F338" s="282" t="s">
        <v>554</v>
      </c>
      <c r="G338" s="189"/>
      <c r="H338" s="281">
        <v>0</v>
      </c>
      <c r="I338" s="189"/>
      <c r="J338" s="106">
        <v>0</v>
      </c>
    </row>
    <row r="339" spans="2:11" ht="15" customHeight="1" x14ac:dyDescent="0.35">
      <c r="B339" s="89" t="s">
        <v>851</v>
      </c>
      <c r="E339" s="144">
        <v>1445.8</v>
      </c>
      <c r="F339" s="144">
        <v>818.5</v>
      </c>
      <c r="G339" s="222">
        <v>-6876.7647749999996</v>
      </c>
      <c r="H339" s="281">
        <v>1660.2779399999999</v>
      </c>
      <c r="I339" s="222">
        <v>5923.4262500000004</v>
      </c>
      <c r="J339" s="106">
        <v>1525.4394150000001</v>
      </c>
    </row>
    <row r="340" spans="2:11" ht="15" customHeight="1" x14ac:dyDescent="0.35">
      <c r="B340" s="104" t="s">
        <v>863</v>
      </c>
      <c r="E340" s="167">
        <v>1445.8</v>
      </c>
      <c r="F340" s="167">
        <v>818.5</v>
      </c>
      <c r="J340" s="128">
        <v>1525.4394150000001</v>
      </c>
    </row>
    <row r="341" spans="2:11" ht="15" customHeight="1" x14ac:dyDescent="0.35">
      <c r="B341" s="116" t="s">
        <v>864</v>
      </c>
      <c r="E341" s="161">
        <v>0</v>
      </c>
      <c r="F341" s="161">
        <v>0</v>
      </c>
      <c r="G341" s="106"/>
      <c r="H341" s="101"/>
      <c r="J341" s="161">
        <v>-1.8189894035458601E-12</v>
      </c>
    </row>
    <row r="342" spans="2:11" ht="15" customHeight="1" x14ac:dyDescent="0.35">
      <c r="B342" s="91"/>
      <c r="D342" s="91"/>
      <c r="E342" s="161"/>
      <c r="F342" s="161"/>
      <c r="G342" s="106"/>
      <c r="H342" s="101"/>
      <c r="J342" s="161"/>
    </row>
    <row r="343" spans="2:11" ht="15" customHeight="1" x14ac:dyDescent="0.35">
      <c r="B343" s="88" t="s">
        <v>865</v>
      </c>
      <c r="D343" s="139"/>
      <c r="E343" s="283"/>
      <c r="F343" s="283"/>
      <c r="G343" s="276"/>
      <c r="H343" s="163"/>
      <c r="I343" s="80"/>
      <c r="J343" s="283"/>
      <c r="K343" s="80"/>
    </row>
    <row r="344" spans="2:11" ht="15" customHeight="1" x14ac:dyDescent="0.35">
      <c r="B344" s="87" t="s">
        <v>566</v>
      </c>
      <c r="C344" s="284">
        <v>2022</v>
      </c>
      <c r="D344" s="136">
        <v>2023</v>
      </c>
      <c r="E344" s="136">
        <v>2024</v>
      </c>
      <c r="F344" s="136">
        <v>2025</v>
      </c>
      <c r="G344" s="138">
        <v>2026</v>
      </c>
      <c r="H344" s="138">
        <v>2027</v>
      </c>
      <c r="I344" s="138">
        <v>2028</v>
      </c>
      <c r="J344" s="138">
        <v>2029</v>
      </c>
      <c r="K344" s="138">
        <v>2029</v>
      </c>
    </row>
    <row r="345" spans="2:11" ht="15" customHeight="1" x14ac:dyDescent="0.35">
      <c r="B345" s="80" t="s">
        <v>567</v>
      </c>
      <c r="C345" s="80"/>
      <c r="D345" s="141">
        <v>45291</v>
      </c>
      <c r="E345" s="141">
        <v>45657</v>
      </c>
      <c r="F345" s="141">
        <v>46022</v>
      </c>
      <c r="G345" s="141">
        <v>46387</v>
      </c>
      <c r="H345" s="141">
        <v>46752</v>
      </c>
      <c r="I345" s="141">
        <v>47118</v>
      </c>
      <c r="J345" s="141">
        <v>47483</v>
      </c>
      <c r="K345" s="141">
        <v>47483</v>
      </c>
    </row>
    <row r="346" spans="2:11" ht="15" customHeight="1" x14ac:dyDescent="0.35">
      <c r="B346" s="89" t="s">
        <v>524</v>
      </c>
      <c r="D346" s="106">
        <v>1635.6</v>
      </c>
      <c r="E346" s="106">
        <v>1581.9</v>
      </c>
      <c r="F346" s="106">
        <v>179.99999999999901</v>
      </c>
      <c r="G346" s="171">
        <v>180</v>
      </c>
      <c r="H346" s="171">
        <v>180</v>
      </c>
      <c r="I346" s="171">
        <v>180</v>
      </c>
      <c r="J346" s="171">
        <v>180</v>
      </c>
      <c r="K346" s="171">
        <v>180</v>
      </c>
    </row>
    <row r="347" spans="2:11" ht="15" customHeight="1" x14ac:dyDescent="0.35">
      <c r="B347" s="89" t="s">
        <v>629</v>
      </c>
      <c r="D347" s="106">
        <v>484.8</v>
      </c>
      <c r="E347" s="106">
        <v>443.7</v>
      </c>
      <c r="F347" s="106">
        <v>443.7</v>
      </c>
      <c r="G347" s="171">
        <v>459.22949999999997</v>
      </c>
      <c r="H347" s="171">
        <v>484.4871225</v>
      </c>
      <c r="I347" s="171">
        <v>513.55634984999995</v>
      </c>
      <c r="J347" s="171">
        <v>539.23416734249997</v>
      </c>
      <c r="K347" s="171">
        <v>565.11740737493994</v>
      </c>
    </row>
    <row r="348" spans="2:11" ht="15" customHeight="1" x14ac:dyDescent="0.35">
      <c r="B348" s="89" t="s">
        <v>639</v>
      </c>
      <c r="D348" s="106">
        <v>195.1</v>
      </c>
      <c r="E348" s="106">
        <v>213.1</v>
      </c>
      <c r="F348" s="106">
        <v>213.1</v>
      </c>
      <c r="G348" s="171">
        <v>220.55850000000001</v>
      </c>
      <c r="H348" s="171">
        <v>232.68921750000001</v>
      </c>
      <c r="I348" s="171">
        <v>246.65057055</v>
      </c>
      <c r="J348" s="171">
        <v>258.98309907750001</v>
      </c>
      <c r="K348" s="171">
        <v>271.41428783321999</v>
      </c>
    </row>
    <row r="349" spans="2:11" ht="15" customHeight="1" x14ac:dyDescent="0.35">
      <c r="B349" s="89" t="s">
        <v>682</v>
      </c>
      <c r="D349" s="106">
        <v>87.8</v>
      </c>
      <c r="E349" s="106">
        <v>85.2</v>
      </c>
      <c r="F349" s="106">
        <v>385.2</v>
      </c>
      <c r="G349" s="171">
        <v>343.14448979591799</v>
      </c>
      <c r="H349" s="171">
        <v>303.40734693877602</v>
      </c>
      <c r="I349" s="171">
        <v>266.45224489795902</v>
      </c>
      <c r="J349" s="171">
        <v>233.09061224489801</v>
      </c>
      <c r="K349" s="171">
        <v>203.09061224489801</v>
      </c>
    </row>
    <row r="350" spans="2:11" ht="15" customHeight="1" x14ac:dyDescent="0.35">
      <c r="B350" s="89" t="s">
        <v>707</v>
      </c>
      <c r="D350" s="106">
        <v>244.7</v>
      </c>
      <c r="E350" s="106">
        <v>271.39999999999998</v>
      </c>
      <c r="F350" s="106">
        <v>271.39999999999998</v>
      </c>
      <c r="G350" s="171">
        <v>286.50864197530899</v>
      </c>
      <c r="H350" s="171">
        <v>297.64475308642</v>
      </c>
      <c r="I350" s="171">
        <v>305.19907407407402</v>
      </c>
      <c r="J350" s="171">
        <v>309.366975308642</v>
      </c>
      <c r="K350" s="171">
        <v>309.366975308642</v>
      </c>
    </row>
    <row r="351" spans="2:11" ht="15" customHeight="1" x14ac:dyDescent="0.35">
      <c r="B351" s="89" t="s">
        <v>720</v>
      </c>
      <c r="D351" s="106">
        <v>257.5</v>
      </c>
      <c r="E351" s="106">
        <v>189.8</v>
      </c>
      <c r="F351" s="106">
        <v>459.48916500000001</v>
      </c>
      <c r="G351" s="171">
        <v>436.491842916667</v>
      </c>
      <c r="H351" s="171">
        <v>413.49452083333301</v>
      </c>
      <c r="I351" s="171">
        <v>390.49719875</v>
      </c>
      <c r="J351" s="171">
        <v>367.49987666666698</v>
      </c>
      <c r="K351" s="171">
        <v>344.50255458333299</v>
      </c>
    </row>
    <row r="352" spans="2:11" ht="15" customHeight="1" x14ac:dyDescent="0.35">
      <c r="B352" s="89" t="s">
        <v>729</v>
      </c>
      <c r="D352" s="276">
        <v>1940.3</v>
      </c>
      <c r="E352" s="276">
        <v>1935.2</v>
      </c>
      <c r="F352" s="276">
        <v>7471.8536395769997</v>
      </c>
      <c r="G352" s="285">
        <v>7471.8536395769997</v>
      </c>
      <c r="H352" s="285">
        <v>7471.8536395769997</v>
      </c>
      <c r="I352" s="285">
        <v>7471.8536395769997</v>
      </c>
      <c r="J352" s="285">
        <v>7471.8536395769997</v>
      </c>
      <c r="K352" s="285">
        <v>7471.8536395769997</v>
      </c>
    </row>
    <row r="353" spans="2:11" ht="15" customHeight="1" x14ac:dyDescent="0.35">
      <c r="B353" s="148" t="s">
        <v>859</v>
      </c>
      <c r="D353" s="128">
        <v>4845.8</v>
      </c>
      <c r="E353" s="128">
        <v>4720.3</v>
      </c>
      <c r="F353" s="128">
        <v>9424.7428045769993</v>
      </c>
      <c r="G353" s="286">
        <v>9397.7866142649</v>
      </c>
      <c r="H353" s="286">
        <v>9383.5766004355301</v>
      </c>
      <c r="I353" s="286">
        <v>9374.2090776990408</v>
      </c>
      <c r="J353" s="286">
        <v>9360.0283702172092</v>
      </c>
      <c r="K353" s="286">
        <v>9345.3454769220407</v>
      </c>
    </row>
    <row r="354" spans="2:11" ht="15" customHeight="1" x14ac:dyDescent="0.35">
      <c r="B354" s="89"/>
      <c r="D354" s="106"/>
      <c r="E354" s="106"/>
      <c r="F354" s="106"/>
      <c r="G354" s="171"/>
      <c r="H354" s="171"/>
      <c r="I354" s="171"/>
      <c r="J354" s="171"/>
      <c r="K354" s="171"/>
    </row>
    <row r="355" spans="2:11" ht="15" customHeight="1" x14ac:dyDescent="0.35">
      <c r="B355" s="89" t="s">
        <v>649</v>
      </c>
      <c r="D355" s="106">
        <v>32.700000000000003</v>
      </c>
      <c r="E355" s="106">
        <v>42.1</v>
      </c>
      <c r="F355" s="106">
        <v>42.1</v>
      </c>
      <c r="G355" s="171">
        <v>41.359850688292099</v>
      </c>
      <c r="H355" s="171">
        <v>42.779925824463199</v>
      </c>
      <c r="I355" s="171">
        <v>44.440721723145003</v>
      </c>
      <c r="J355" s="171">
        <v>45.711458175976801</v>
      </c>
      <c r="K355" s="171">
        <v>46.908646152698701</v>
      </c>
    </row>
    <row r="356" spans="2:11" ht="15" customHeight="1" x14ac:dyDescent="0.35">
      <c r="B356" s="89" t="s">
        <v>659</v>
      </c>
      <c r="D356" s="106">
        <v>2313.3000000000002</v>
      </c>
      <c r="E356" s="106">
        <v>2301.6999999999998</v>
      </c>
      <c r="F356" s="106">
        <v>2301.6999999999998</v>
      </c>
      <c r="G356" s="171">
        <v>2382.2595000000001</v>
      </c>
      <c r="H356" s="171">
        <v>2513.2837724999999</v>
      </c>
      <c r="I356" s="171">
        <v>2664.0807988500001</v>
      </c>
      <c r="J356" s="171">
        <v>2797.2848387925001</v>
      </c>
      <c r="K356" s="171">
        <v>2931.5545110545399</v>
      </c>
    </row>
    <row r="357" spans="2:11" ht="15" customHeight="1" x14ac:dyDescent="0.35">
      <c r="B357" s="89" t="s">
        <v>734</v>
      </c>
      <c r="D357" s="106">
        <v>232.4</v>
      </c>
      <c r="E357" s="106">
        <v>252</v>
      </c>
      <c r="F357" s="106">
        <v>365.22738957700398</v>
      </c>
      <c r="G357" s="171">
        <v>355.41434914699698</v>
      </c>
      <c r="H357" s="171">
        <v>345.60130871698999</v>
      </c>
      <c r="I357" s="171">
        <v>335.788268286983</v>
      </c>
      <c r="J357" s="171">
        <v>325.97522785697601</v>
      </c>
      <c r="K357" s="171">
        <v>316.16218742696901</v>
      </c>
    </row>
    <row r="358" spans="2:11" ht="15" customHeight="1" x14ac:dyDescent="0.35">
      <c r="B358" s="89" t="s">
        <v>860</v>
      </c>
      <c r="D358" s="106">
        <v>821.6</v>
      </c>
      <c r="E358" s="106">
        <v>1306</v>
      </c>
      <c r="F358" s="106">
        <v>5190.2759999999998</v>
      </c>
      <c r="G358" s="171">
        <v>4779.3538388351999</v>
      </c>
      <c r="H358" s="171">
        <v>4260.1419003270303</v>
      </c>
      <c r="I358" s="171">
        <v>3651.40298317001</v>
      </c>
      <c r="J358" s="171">
        <v>2978.2549618225498</v>
      </c>
      <c r="K358" s="171">
        <v>2213.6727310911201</v>
      </c>
    </row>
    <row r="359" spans="2:11" ht="15" customHeight="1" x14ac:dyDescent="0.35">
      <c r="B359" s="89" t="s">
        <v>861</v>
      </c>
      <c r="D359" s="128">
        <v>3400</v>
      </c>
      <c r="E359" s="128">
        <v>3901.8</v>
      </c>
      <c r="F359" s="128">
        <v>7899.3033895770104</v>
      </c>
      <c r="G359" s="286">
        <v>7558.3875386704904</v>
      </c>
      <c r="H359" s="286">
        <v>7161.8069073684801</v>
      </c>
      <c r="I359" s="286">
        <v>6695.7127720301396</v>
      </c>
      <c r="J359" s="286">
        <v>6147.226486648</v>
      </c>
      <c r="K359" s="286">
        <v>5508.2980757253199</v>
      </c>
    </row>
    <row r="360" spans="2:11" ht="15" customHeight="1" x14ac:dyDescent="0.35">
      <c r="B360" s="89"/>
      <c r="D360" s="106"/>
      <c r="E360" s="106"/>
      <c r="F360" s="106"/>
      <c r="G360" s="171"/>
      <c r="H360" s="171"/>
      <c r="I360" s="171"/>
      <c r="J360" s="171"/>
      <c r="K360" s="171"/>
    </row>
    <row r="361" spans="2:11" ht="15" customHeight="1" x14ac:dyDescent="0.35">
      <c r="B361" s="89" t="s">
        <v>862</v>
      </c>
      <c r="D361" s="287" t="s">
        <v>554</v>
      </c>
      <c r="E361" s="287" t="s">
        <v>554</v>
      </c>
      <c r="F361" s="106">
        <v>0</v>
      </c>
      <c r="G361" s="171">
        <v>0</v>
      </c>
      <c r="H361" s="171">
        <v>0</v>
      </c>
      <c r="I361" s="171">
        <v>0</v>
      </c>
      <c r="J361" s="171">
        <v>0</v>
      </c>
      <c r="K361" s="171">
        <v>0</v>
      </c>
    </row>
    <row r="362" spans="2:11" ht="15" customHeight="1" x14ac:dyDescent="0.35">
      <c r="B362" s="89" t="s">
        <v>851</v>
      </c>
      <c r="D362" s="287">
        <v>1445.8</v>
      </c>
      <c r="E362" s="287">
        <v>818.5</v>
      </c>
      <c r="F362" s="106">
        <v>1525.4394150000001</v>
      </c>
      <c r="G362" s="171">
        <v>1839.3990755944101</v>
      </c>
      <c r="H362" s="171">
        <v>2221.76969306705</v>
      </c>
      <c r="I362" s="171">
        <v>2678.4963056688998</v>
      </c>
      <c r="J362" s="171">
        <v>3212.8018835692101</v>
      </c>
      <c r="K362" s="171">
        <v>3837.0474011967099</v>
      </c>
    </row>
    <row r="363" spans="2:11" ht="15" customHeight="1" x14ac:dyDescent="0.35">
      <c r="B363" s="89" t="s">
        <v>863</v>
      </c>
      <c r="D363" s="128">
        <v>1445.8</v>
      </c>
      <c r="E363" s="128">
        <v>818.5</v>
      </c>
      <c r="F363" s="128">
        <v>1525.4394150000001</v>
      </c>
      <c r="G363" s="128">
        <v>1839.3990755944101</v>
      </c>
      <c r="H363" s="128">
        <v>2221.76969306705</v>
      </c>
      <c r="I363" s="128">
        <v>2678.4963056688998</v>
      </c>
      <c r="J363" s="128">
        <v>3212.8018835692101</v>
      </c>
      <c r="K363" s="128">
        <v>3837.0474011967099</v>
      </c>
    </row>
    <row r="364" spans="2:11" ht="15" customHeight="1" x14ac:dyDescent="0.35">
      <c r="B364" s="89" t="s">
        <v>864</v>
      </c>
      <c r="D364" s="106">
        <v>0</v>
      </c>
      <c r="E364" s="106">
        <v>0</v>
      </c>
      <c r="F364" s="106">
        <v>-1.8189894035458601E-12</v>
      </c>
      <c r="G364" s="106">
        <v>0</v>
      </c>
      <c r="H364" s="106">
        <v>0</v>
      </c>
      <c r="I364" s="106">
        <v>0</v>
      </c>
      <c r="J364" s="106">
        <v>0</v>
      </c>
      <c r="K364" s="106">
        <v>0</v>
      </c>
    </row>
    <row r="365" spans="2:11" ht="15" customHeight="1" x14ac:dyDescent="0.35">
      <c r="G365" s="106"/>
      <c r="H365" s="106"/>
      <c r="I365" s="106"/>
      <c r="J365" s="106"/>
    </row>
    <row r="366" spans="2:11" ht="15" customHeight="1" x14ac:dyDescent="0.35">
      <c r="B366" s="104" t="s">
        <v>866</v>
      </c>
      <c r="C366" s="104"/>
      <c r="D366" s="104"/>
      <c r="E366" s="104"/>
      <c r="F366" s="104"/>
      <c r="G366" s="128">
        <v>1525.4394150000001</v>
      </c>
      <c r="H366" s="128">
        <v>1839.3990755944101</v>
      </c>
      <c r="I366" s="128">
        <v>2221.76969306705</v>
      </c>
      <c r="J366" s="128">
        <v>2678.4963056688998</v>
      </c>
      <c r="K366" s="128">
        <v>3212.8018835692101</v>
      </c>
    </row>
    <row r="367" spans="2:11" ht="15" customHeight="1" x14ac:dyDescent="0.35">
      <c r="B367" s="89" t="s">
        <v>867</v>
      </c>
      <c r="G367" s="106">
        <v>152.90492376693399</v>
      </c>
      <c r="H367" s="106">
        <v>220.28852630748</v>
      </c>
      <c r="I367" s="106">
        <v>293.02899231211001</v>
      </c>
      <c r="J367" s="106">
        <v>370.73728858423999</v>
      </c>
      <c r="K367" s="106">
        <v>461.328959013038</v>
      </c>
    </row>
    <row r="368" spans="2:11" ht="15" customHeight="1" x14ac:dyDescent="0.35">
      <c r="B368" s="89" t="s">
        <v>868</v>
      </c>
      <c r="G368" s="106">
        <v>0</v>
      </c>
      <c r="H368" s="106">
        <v>0</v>
      </c>
      <c r="I368" s="106">
        <v>0</v>
      </c>
      <c r="J368" s="106">
        <v>0</v>
      </c>
      <c r="K368" s="106">
        <v>0</v>
      </c>
    </row>
    <row r="369" spans="2:11" ht="15" customHeight="1" x14ac:dyDescent="0.35">
      <c r="B369" s="89" t="s">
        <v>869</v>
      </c>
      <c r="G369" s="106">
        <v>161.054736827472</v>
      </c>
      <c r="H369" s="106">
        <v>162.08209116516599</v>
      </c>
      <c r="I369" s="106">
        <v>163.69762028974199</v>
      </c>
      <c r="J369" s="106">
        <v>163.56828931607001</v>
      </c>
      <c r="K369" s="106">
        <v>162.91655861446301</v>
      </c>
    </row>
    <row r="370" spans="2:11" ht="15" customHeight="1" x14ac:dyDescent="0.35">
      <c r="B370" s="148" t="s">
        <v>870</v>
      </c>
      <c r="C370" s="104"/>
      <c r="D370" s="104"/>
      <c r="E370" s="104"/>
      <c r="F370" s="104"/>
      <c r="G370" s="128">
        <v>1839.3990755944101</v>
      </c>
      <c r="H370" s="128">
        <v>2221.76969306705</v>
      </c>
      <c r="I370" s="128">
        <v>2678.4963056688998</v>
      </c>
      <c r="J370" s="128">
        <v>3212.8018835692101</v>
      </c>
      <c r="K370" s="128">
        <v>3837.0474011967099</v>
      </c>
    </row>
    <row r="372" spans="2:11" ht="15" customHeight="1" x14ac:dyDescent="0.35">
      <c r="B372" s="155" t="s">
        <v>871</v>
      </c>
      <c r="C372" s="80"/>
      <c r="D372" s="80"/>
      <c r="E372" s="80"/>
      <c r="F372" s="80"/>
      <c r="G372" s="80"/>
      <c r="H372" s="80"/>
      <c r="I372" s="80"/>
      <c r="J372" s="80"/>
      <c r="K372" s="80"/>
    </row>
    <row r="373" spans="2:11" ht="15" customHeight="1" x14ac:dyDescent="0.35">
      <c r="B373" s="150"/>
    </row>
    <row r="374" spans="2:11" ht="15" customHeight="1" x14ac:dyDescent="0.35">
      <c r="B374" s="150" t="s">
        <v>872</v>
      </c>
      <c r="C374" s="288" t="s">
        <v>873</v>
      </c>
    </row>
    <row r="375" spans="2:11" ht="15" customHeight="1" x14ac:dyDescent="0.35">
      <c r="B375" s="150" t="s">
        <v>874</v>
      </c>
      <c r="C375" s="288" t="s">
        <v>392</v>
      </c>
    </row>
    <row r="377" spans="2:11" ht="15.75" customHeight="1" x14ac:dyDescent="0.35">
      <c r="B377" s="289" t="s">
        <v>871</v>
      </c>
      <c r="C377" s="290"/>
      <c r="E377" s="286"/>
    </row>
    <row r="378" spans="2:11" ht="15" customHeight="1" x14ac:dyDescent="0.35">
      <c r="B378" s="150" t="s">
        <v>875</v>
      </c>
      <c r="C378" s="106">
        <v>818.5</v>
      </c>
      <c r="D378" s="121" t="s">
        <v>876</v>
      </c>
      <c r="E378" s="121" t="s">
        <v>877</v>
      </c>
      <c r="G378" s="101"/>
    </row>
    <row r="379" spans="2:11" ht="15" customHeight="1" x14ac:dyDescent="0.35">
      <c r="B379" s="89" t="s">
        <v>878</v>
      </c>
      <c r="C379" s="171">
        <v>300</v>
      </c>
      <c r="D379" s="291">
        <v>300</v>
      </c>
      <c r="E379" s="292">
        <v>10</v>
      </c>
    </row>
    <row r="380" spans="2:11" ht="15" customHeight="1" x14ac:dyDescent="0.35">
      <c r="B380" s="89" t="s">
        <v>879</v>
      </c>
      <c r="C380" s="293">
        <v>200</v>
      </c>
      <c r="D380" s="291">
        <v>200</v>
      </c>
      <c r="E380" s="292">
        <v>15</v>
      </c>
    </row>
    <row r="381" spans="2:11" ht="15" customHeight="1" x14ac:dyDescent="0.35">
      <c r="B381" s="89" t="s">
        <v>880</v>
      </c>
      <c r="C381" s="171">
        <v>500</v>
      </c>
      <c r="E381" s="294"/>
    </row>
    <row r="382" spans="2:11" ht="15" customHeight="1" x14ac:dyDescent="0.35">
      <c r="B382" s="89" t="s">
        <v>881</v>
      </c>
      <c r="C382" s="177">
        <v>113.227389577004</v>
      </c>
    </row>
    <row r="383" spans="2:11" ht="15" customHeight="1" x14ac:dyDescent="0.35">
      <c r="B383" t="s">
        <v>882</v>
      </c>
      <c r="C383" s="106">
        <v>1205.2726104230001</v>
      </c>
    </row>
    <row r="385" spans="2:11" ht="15" customHeight="1" x14ac:dyDescent="0.35">
      <c r="B385" s="104" t="s">
        <v>883</v>
      </c>
      <c r="C385" s="105">
        <f>H17</f>
        <v>1555.6759</v>
      </c>
    </row>
    <row r="386" spans="2:11" ht="15" customHeight="1" x14ac:dyDescent="0.35">
      <c r="B386" t="s">
        <v>884</v>
      </c>
      <c r="C386" s="108">
        <f>C385-C383</f>
        <v>350.4032895769999</v>
      </c>
    </row>
    <row r="388" spans="2:11" ht="15" customHeight="1" x14ac:dyDescent="0.35">
      <c r="B388" s="88" t="s">
        <v>885</v>
      </c>
      <c r="C388" s="80"/>
      <c r="D388" s="80"/>
      <c r="E388" s="80"/>
      <c r="F388" s="80"/>
      <c r="G388" s="80"/>
      <c r="H388" s="80"/>
      <c r="I388" s="80"/>
      <c r="J388" s="80"/>
      <c r="K388" s="80"/>
    </row>
    <row r="389" spans="2:11" ht="15" customHeight="1" x14ac:dyDescent="0.35">
      <c r="G389" s="104">
        <v>2025</v>
      </c>
      <c r="H389" s="104">
        <v>2026</v>
      </c>
      <c r="I389" s="104">
        <v>2027</v>
      </c>
      <c r="J389" s="104">
        <v>2028</v>
      </c>
      <c r="K389" s="104">
        <v>2029</v>
      </c>
    </row>
    <row r="390" spans="2:11" ht="15" customHeight="1" x14ac:dyDescent="0.35">
      <c r="B390" s="80"/>
      <c r="C390" s="80"/>
      <c r="D390" s="80"/>
      <c r="E390" s="80"/>
      <c r="F390" s="80"/>
      <c r="G390" s="274">
        <v>46022</v>
      </c>
      <c r="H390" s="274">
        <v>46387</v>
      </c>
      <c r="I390" s="274">
        <v>46752</v>
      </c>
      <c r="J390" s="274">
        <v>47118</v>
      </c>
      <c r="K390" s="274">
        <v>47483</v>
      </c>
    </row>
    <row r="391" spans="2:11" ht="15" customHeight="1" x14ac:dyDescent="0.35">
      <c r="B391" t="s">
        <v>682</v>
      </c>
      <c r="D391" s="295" t="s">
        <v>886</v>
      </c>
      <c r="E391" s="296">
        <v>30</v>
      </c>
      <c r="G391" s="106">
        <v>270</v>
      </c>
      <c r="H391" s="106">
        <v>240</v>
      </c>
      <c r="I391" s="106">
        <v>210</v>
      </c>
      <c r="J391" s="106">
        <v>180</v>
      </c>
      <c r="K391" s="106">
        <v>150</v>
      </c>
    </row>
    <row r="392" spans="2:11" ht="15" customHeight="1" x14ac:dyDescent="0.35">
      <c r="B392" t="s">
        <v>720</v>
      </c>
      <c r="D392" s="295" t="s">
        <v>887</v>
      </c>
      <c r="E392" s="296">
        <v>13.3333333333333</v>
      </c>
      <c r="G392" s="106">
        <v>186.666666666667</v>
      </c>
      <c r="H392" s="106">
        <v>173.333333333333</v>
      </c>
      <c r="I392" s="106">
        <v>160</v>
      </c>
      <c r="J392" s="106">
        <v>146.666666666667</v>
      </c>
      <c r="K392" s="106">
        <v>133.333333333333</v>
      </c>
    </row>
    <row r="393" spans="2:11" ht="15" customHeight="1" x14ac:dyDescent="0.35">
      <c r="B393" t="s">
        <v>888</v>
      </c>
      <c r="D393" s="295" t="s">
        <v>889</v>
      </c>
      <c r="E393" s="297">
        <v>9.8130404300070104</v>
      </c>
      <c r="G393" s="106">
        <v>103.414349146997</v>
      </c>
      <c r="H393" s="106">
        <v>93.601308716989905</v>
      </c>
      <c r="I393" s="106">
        <v>83.788268286982898</v>
      </c>
      <c r="J393" s="106">
        <v>73.975227856975906</v>
      </c>
      <c r="K393" s="106">
        <v>64.162187426968899</v>
      </c>
    </row>
  </sheetData>
  <mergeCells count="11">
    <mergeCell ref="F216:J216"/>
    <mergeCell ref="D301:J301"/>
    <mergeCell ref="E280:J280"/>
    <mergeCell ref="F302:J302"/>
    <mergeCell ref="G321:I321"/>
    <mergeCell ref="D291:J291"/>
    <mergeCell ref="D290:J290"/>
    <mergeCell ref="D300:J300"/>
    <mergeCell ref="D310:J310"/>
    <mergeCell ref="F292:J292"/>
    <mergeCell ref="F311:J311"/>
  </mergeCell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118"/>
  <sheetViews>
    <sheetView zoomScaleNormal="100" zoomScalePageLayoutView="60" workbookViewId="0"/>
  </sheetViews>
  <sheetFormatPr defaultColWidth="8.6328125" defaultRowHeight="14.5" x14ac:dyDescent="0.35"/>
  <cols>
    <col min="1" max="1" width="1.7265625" customWidth="1"/>
    <col min="2" max="2" width="40.26953125" customWidth="1"/>
    <col min="3" max="3" width="12.1796875" customWidth="1"/>
    <col min="4" max="4" width="11.1796875" customWidth="1"/>
    <col min="5" max="5" width="10.1796875" customWidth="1"/>
    <col min="8" max="8" width="11" customWidth="1"/>
    <col min="11" max="11" width="40" customWidth="1"/>
    <col min="12" max="12" width="9.1796875" customWidth="1"/>
  </cols>
  <sheetData>
    <row r="1" spans="2:12" ht="15.75" customHeight="1" x14ac:dyDescent="0.35"/>
    <row r="2" spans="2:12" ht="27" customHeight="1" x14ac:dyDescent="0.35">
      <c r="B2" s="83" t="s">
        <v>890</v>
      </c>
      <c r="C2" s="84"/>
      <c r="D2" s="84"/>
      <c r="E2" s="84"/>
      <c r="F2" s="84"/>
      <c r="G2" s="84"/>
      <c r="H2" s="84"/>
      <c r="I2" s="84"/>
      <c r="J2" s="84"/>
    </row>
    <row r="3" spans="2:12" ht="15" customHeight="1" x14ac:dyDescent="0.35">
      <c r="B3" s="298" t="s">
        <v>891</v>
      </c>
    </row>
    <row r="4" spans="2:12" ht="15" customHeight="1" x14ac:dyDescent="0.35">
      <c r="B4" s="298" t="s">
        <v>892</v>
      </c>
    </row>
    <row r="5" spans="2:12" ht="15.75" customHeight="1" x14ac:dyDescent="0.35">
      <c r="B5" s="299" t="s">
        <v>893</v>
      </c>
      <c r="C5" s="300"/>
    </row>
    <row r="6" spans="2:12" ht="15" customHeight="1" x14ac:dyDescent="0.35">
      <c r="B6" t="s">
        <v>894</v>
      </c>
      <c r="C6" s="301">
        <f>LBO!D8</f>
        <v>4.05</v>
      </c>
      <c r="K6" s="102">
        <v>4.05</v>
      </c>
      <c r="L6" t="s">
        <v>895</v>
      </c>
    </row>
    <row r="7" spans="2:12" ht="15" customHeight="1" x14ac:dyDescent="0.35">
      <c r="B7" s="298" t="s">
        <v>896</v>
      </c>
      <c r="C7" s="302">
        <f>LBO!D9</f>
        <v>45884</v>
      </c>
    </row>
    <row r="8" spans="2:12" ht="15" customHeight="1" x14ac:dyDescent="0.35">
      <c r="B8" s="298" t="s">
        <v>897</v>
      </c>
      <c r="C8" s="303">
        <f>Shares!E14</f>
        <v>307.29399999999998</v>
      </c>
      <c r="K8" s="243">
        <v>307.29399999999998</v>
      </c>
    </row>
    <row r="9" spans="2:12" ht="15" customHeight="1" x14ac:dyDescent="0.35">
      <c r="B9" s="298" t="s">
        <v>898</v>
      </c>
      <c r="C9" s="175">
        <f>C59</f>
        <v>9.2958680121450254E-2</v>
      </c>
      <c r="K9" s="175">
        <v>9.2901526840820994E-2</v>
      </c>
    </row>
    <row r="10" spans="2:12" ht="13.75" customHeight="1" x14ac:dyDescent="0.35"/>
    <row r="11" spans="2:12" ht="15.75" customHeight="1" x14ac:dyDescent="0.35">
      <c r="B11" s="304" t="s">
        <v>899</v>
      </c>
      <c r="C11" s="300"/>
      <c r="D11" s="300"/>
      <c r="E11" s="300"/>
      <c r="F11" s="300"/>
      <c r="G11" s="300"/>
      <c r="H11" s="300"/>
      <c r="I11" s="300"/>
      <c r="J11" s="300"/>
    </row>
    <row r="12" spans="2:12" ht="15" customHeight="1" x14ac:dyDescent="0.35">
      <c r="B12" t="s">
        <v>900</v>
      </c>
      <c r="C12" s="136">
        <v>2024</v>
      </c>
      <c r="D12" s="136">
        <v>2025</v>
      </c>
      <c r="E12" s="136">
        <v>2026</v>
      </c>
      <c r="F12" s="138">
        <v>2027</v>
      </c>
      <c r="G12" s="138">
        <v>2028</v>
      </c>
      <c r="H12" s="138">
        <v>2029</v>
      </c>
      <c r="I12" s="138"/>
      <c r="J12" s="138"/>
    </row>
    <row r="13" spans="2:12" ht="15" customHeight="1" x14ac:dyDescent="0.35">
      <c r="B13" s="139" t="s">
        <v>567</v>
      </c>
      <c r="C13" s="141">
        <v>45657</v>
      </c>
      <c r="D13" s="141">
        <v>46022</v>
      </c>
      <c r="E13" s="141">
        <v>46387</v>
      </c>
      <c r="F13" s="141">
        <v>46752</v>
      </c>
      <c r="G13" s="141">
        <v>47118</v>
      </c>
      <c r="H13" s="141">
        <v>47483</v>
      </c>
      <c r="I13" s="169"/>
      <c r="J13" s="169"/>
    </row>
    <row r="14" spans="2:12" ht="15" customHeight="1" x14ac:dyDescent="0.35">
      <c r="B14" s="305"/>
      <c r="F14" s="113"/>
      <c r="G14" s="113"/>
      <c r="H14" s="113"/>
      <c r="I14" s="113"/>
      <c r="J14" s="113"/>
    </row>
    <row r="15" spans="2:12" ht="15" customHeight="1" x14ac:dyDescent="0.35">
      <c r="B15" t="s">
        <v>481</v>
      </c>
      <c r="C15" s="306">
        <f>AI_Operating!C13</f>
        <v>183.1</v>
      </c>
      <c r="D15" s="306">
        <f>AI_Operating!D13</f>
        <v>220.54230000000001</v>
      </c>
      <c r="E15" s="306">
        <f>AI_Operating!E13</f>
        <v>242.98127500000001</v>
      </c>
      <c r="F15" s="306">
        <f>AI_Operating!F13</f>
        <v>266.74593594999999</v>
      </c>
      <c r="G15" s="306">
        <f>AI_Operating!G13</f>
        <v>291.90664189149999</v>
      </c>
      <c r="H15" s="306">
        <f>AI_Operating!H13</f>
        <v>318.53735131295502</v>
      </c>
      <c r="I15" s="147"/>
      <c r="J15" s="147"/>
    </row>
    <row r="16" spans="2:12" ht="15" customHeight="1" x14ac:dyDescent="0.35">
      <c r="B16" t="s">
        <v>483</v>
      </c>
      <c r="C16" s="306">
        <f>AI_Operating!C16</f>
        <v>97.4</v>
      </c>
      <c r="D16" s="306">
        <f>AI_Operating!D16</f>
        <v>130.5573</v>
      </c>
      <c r="E16" s="306">
        <f>AI_Operating!E16</f>
        <v>148.49702500000001</v>
      </c>
      <c r="F16" s="306">
        <f>AI_Operating!F16</f>
        <v>167.53747344999999</v>
      </c>
      <c r="G16" s="306">
        <f>AI_Operating!G16</f>
        <v>187.73775626650001</v>
      </c>
      <c r="H16" s="306">
        <f>AI_Operating!H16</f>
        <v>209.160021406705</v>
      </c>
      <c r="I16" s="147"/>
      <c r="J16" s="147"/>
    </row>
    <row r="17" spans="2:13" ht="15" customHeight="1" x14ac:dyDescent="0.35">
      <c r="B17" t="s">
        <v>103</v>
      </c>
      <c r="C17" s="307">
        <f>Assumptions_Drivers!$C$19</f>
        <v>0.21</v>
      </c>
      <c r="D17" s="307">
        <f>Assumptions_Drivers!$C$19</f>
        <v>0.21</v>
      </c>
      <c r="E17" s="307">
        <f>Assumptions_Drivers!$C$19</f>
        <v>0.21</v>
      </c>
      <c r="F17" s="307">
        <f>Assumptions_Drivers!$C$19</f>
        <v>0.21</v>
      </c>
      <c r="G17" s="307">
        <f>Assumptions_Drivers!$C$19</f>
        <v>0.21</v>
      </c>
      <c r="H17" s="307">
        <f>Assumptions_Drivers!$C$19</f>
        <v>0.21</v>
      </c>
      <c r="I17" s="308"/>
      <c r="J17" s="308"/>
    </row>
    <row r="18" spans="2:13" ht="15" customHeight="1" x14ac:dyDescent="0.35">
      <c r="B18" s="104" t="s">
        <v>901</v>
      </c>
      <c r="C18" s="105">
        <f t="shared" ref="C18:H18" si="0">C16*(1-C17)</f>
        <v>76.946000000000012</v>
      </c>
      <c r="D18" s="105">
        <f t="shared" si="0"/>
        <v>103.14026700000001</v>
      </c>
      <c r="E18" s="105">
        <f t="shared" si="0"/>
        <v>117.31264975000001</v>
      </c>
      <c r="F18" s="105">
        <f t="shared" si="0"/>
        <v>132.35460402550001</v>
      </c>
      <c r="G18" s="105">
        <f t="shared" si="0"/>
        <v>148.31282745053502</v>
      </c>
      <c r="H18" s="105">
        <f t="shared" si="0"/>
        <v>165.23641691129697</v>
      </c>
      <c r="I18" s="167"/>
      <c r="J18" s="167"/>
    </row>
    <row r="19" spans="2:13" ht="15" customHeight="1" x14ac:dyDescent="0.35">
      <c r="B19" s="104"/>
    </row>
    <row r="20" spans="2:13" ht="15" customHeight="1" x14ac:dyDescent="0.35">
      <c r="B20" s="150" t="s">
        <v>587</v>
      </c>
      <c r="D20" s="108">
        <f>AI_Operating!D15</f>
        <v>89.985000000000014</v>
      </c>
      <c r="E20" s="108">
        <f>AI_Operating!E15</f>
        <v>94.484250000000017</v>
      </c>
      <c r="F20" s="306">
        <f>AI_Operating!F15</f>
        <v>99.208462500000024</v>
      </c>
      <c r="G20" s="306">
        <f>AI_Operating!G15</f>
        <v>104.16888562500003</v>
      </c>
      <c r="H20" s="306">
        <f>AI_Operating!H15</f>
        <v>109.37732990625004</v>
      </c>
      <c r="I20" s="147"/>
      <c r="J20" s="147"/>
      <c r="K20" s="397" t="s">
        <v>902</v>
      </c>
    </row>
    <row r="21" spans="2:13" ht="40" customHeight="1" x14ac:dyDescent="0.35">
      <c r="B21" s="150" t="s">
        <v>903</v>
      </c>
      <c r="D21" s="108">
        <v>0</v>
      </c>
      <c r="E21" s="108">
        <v>0</v>
      </c>
      <c r="F21" s="306">
        <v>0</v>
      </c>
      <c r="G21" s="306">
        <v>0</v>
      </c>
      <c r="H21" s="306">
        <v>0</v>
      </c>
      <c r="I21" s="147"/>
      <c r="J21" s="147"/>
      <c r="K21" s="388" t="s">
        <v>904</v>
      </c>
      <c r="L21" s="153">
        <f>Assumptions_Drivers!$C$29</f>
        <v>0.14099999999999999</v>
      </c>
      <c r="M21" s="389" t="s">
        <v>905</v>
      </c>
    </row>
    <row r="22" spans="2:13" ht="15" customHeight="1" x14ac:dyDescent="0.35">
      <c r="B22" t="s">
        <v>736</v>
      </c>
      <c r="D22" s="108">
        <f>AI_Operating!D20</f>
        <v>-14.857215068493201</v>
      </c>
      <c r="E22" s="108">
        <f>AI_Operating!E20</f>
        <v>-15.6000758219178</v>
      </c>
      <c r="F22" s="306">
        <f>AI_Operating!F20</f>
        <v>-16.380079613013699</v>
      </c>
      <c r="G22" s="306">
        <f>AI_Operating!G20</f>
        <v>-17.199083593664401</v>
      </c>
      <c r="H22" s="306">
        <f>AI_Operating!H20</f>
        <v>-18.059037773347601</v>
      </c>
      <c r="I22" s="147"/>
      <c r="J22" s="147"/>
    </row>
    <row r="23" spans="2:13" ht="15" customHeight="1" x14ac:dyDescent="0.35">
      <c r="B23" t="s">
        <v>740</v>
      </c>
      <c r="D23" s="108">
        <v>0</v>
      </c>
      <c r="E23" s="108">
        <v>0</v>
      </c>
      <c r="F23" s="306">
        <v>0</v>
      </c>
      <c r="G23" s="306">
        <v>0</v>
      </c>
      <c r="H23" s="306">
        <v>0</v>
      </c>
      <c r="I23" s="147"/>
      <c r="J23" s="147"/>
    </row>
    <row r="24" spans="2:13" ht="15" customHeight="1" x14ac:dyDescent="0.35">
      <c r="B24" s="104" t="s">
        <v>906</v>
      </c>
      <c r="D24" s="108">
        <f>D18+D20+D21-D22+D23</f>
        <v>207.9824820684932</v>
      </c>
      <c r="E24" s="108">
        <f>E18+E20+E21-E22+E23</f>
        <v>227.39697557191784</v>
      </c>
      <c r="F24" s="105">
        <f>F18+F20+F21-F22+F23</f>
        <v>247.94314613851373</v>
      </c>
      <c r="G24" s="105">
        <f>G18+G20+G21-G22+G23</f>
        <v>269.68079666919948</v>
      </c>
      <c r="H24" s="105">
        <f>H18+H20+H21-H22+H23</f>
        <v>292.67278459089459</v>
      </c>
      <c r="I24" s="167"/>
      <c r="J24" s="167"/>
    </row>
    <row r="25" spans="2:13" ht="15" customHeight="1" x14ac:dyDescent="0.35">
      <c r="B25" s="89" t="s">
        <v>907</v>
      </c>
      <c r="D25" s="108">
        <f>-AI_Operating!D19</f>
        <v>-23.460276000000004</v>
      </c>
      <c r="E25" s="108">
        <f>-AI_Operating!E19</f>
        <v>-24.633289800000004</v>
      </c>
      <c r="F25" s="306">
        <f>-AI_Operating!F19</f>
        <v>-25.86495429</v>
      </c>
      <c r="G25" s="306">
        <f>-AI_Operating!G19</f>
        <v>-27.158202004499998</v>
      </c>
      <c r="H25" s="306">
        <f>-AI_Operating!H19</f>
        <v>-28.516112104725003</v>
      </c>
      <c r="I25" s="147"/>
      <c r="J25" s="147"/>
      <c r="K25" s="397" t="s">
        <v>908</v>
      </c>
    </row>
    <row r="26" spans="2:13" ht="15" customHeight="1" x14ac:dyDescent="0.35">
      <c r="B26" s="89" t="s">
        <v>909</v>
      </c>
      <c r="D26" s="108">
        <v>0</v>
      </c>
      <c r="E26" s="108">
        <v>0</v>
      </c>
      <c r="F26" s="306">
        <v>0</v>
      </c>
      <c r="G26" s="306">
        <v>0</v>
      </c>
      <c r="H26" s="306">
        <v>0</v>
      </c>
      <c r="I26" s="147"/>
      <c r="J26" s="147"/>
    </row>
    <row r="27" spans="2:13" ht="15" customHeight="1" x14ac:dyDescent="0.35">
      <c r="B27" s="309" t="s">
        <v>910</v>
      </c>
      <c r="D27" s="310">
        <f>D24+D25+D26</f>
        <v>184.5222060684932</v>
      </c>
      <c r="E27" s="310">
        <f>E24+E25+E26</f>
        <v>202.76368577191784</v>
      </c>
      <c r="F27" s="310">
        <f>F24+F25+F26</f>
        <v>222.07819184851371</v>
      </c>
      <c r="G27" s="310">
        <f>G24+G25+G26</f>
        <v>242.52259466469948</v>
      </c>
      <c r="H27" s="310">
        <f>H24+H25+H26</f>
        <v>264.15667248616961</v>
      </c>
      <c r="I27" s="167"/>
      <c r="J27" s="167"/>
    </row>
    <row r="28" spans="2:13" ht="15" customHeight="1" x14ac:dyDescent="0.35">
      <c r="B28" s="116" t="s">
        <v>911</v>
      </c>
      <c r="E28" s="153">
        <f>IF(D27=0,0,E27/D27-1)</f>
        <v>9.8857910340902411E-2</v>
      </c>
      <c r="F28" s="153">
        <f>IF(E27=0,0,F27/E27-1)</f>
        <v>9.5256238823366646E-2</v>
      </c>
      <c r="G28" s="153">
        <f>IF(F27=0,0,G27/F27-1)</f>
        <v>9.2059479798590527E-2</v>
      </c>
      <c r="H28" s="153">
        <f>IF(G27=0,0,H27/G27-1)</f>
        <v>8.9204380529494198E-2</v>
      </c>
      <c r="I28" s="113"/>
      <c r="J28" s="113"/>
    </row>
    <row r="29" spans="2:13" ht="15" customHeight="1" x14ac:dyDescent="0.35">
      <c r="B29" s="116"/>
      <c r="G29" s="113"/>
      <c r="H29" s="113"/>
      <c r="I29" s="113"/>
      <c r="J29" s="113"/>
    </row>
    <row r="30" spans="2:13" ht="15" customHeight="1" x14ac:dyDescent="0.35">
      <c r="B30" s="150" t="s">
        <v>912</v>
      </c>
      <c r="D30" s="311">
        <v>0.5</v>
      </c>
      <c r="E30" s="311">
        <v>1.5</v>
      </c>
      <c r="F30" s="311">
        <v>2.5</v>
      </c>
      <c r="G30" s="311">
        <v>3.5</v>
      </c>
      <c r="H30" s="311">
        <v>4.5</v>
      </c>
      <c r="I30" s="119"/>
      <c r="J30" s="119"/>
    </row>
    <row r="31" spans="2:13" ht="15" customHeight="1" x14ac:dyDescent="0.35">
      <c r="B31" t="s">
        <v>913</v>
      </c>
      <c r="C31" s="312" t="s">
        <v>914</v>
      </c>
      <c r="G31" s="119"/>
      <c r="H31" s="119"/>
      <c r="I31" s="119"/>
      <c r="J31" s="119"/>
    </row>
    <row r="32" spans="2:13" ht="15" customHeight="1" x14ac:dyDescent="0.35">
      <c r="B32" t="s">
        <v>915</v>
      </c>
      <c r="C32" s="313">
        <f>(1+$C$9)^0.5</f>
        <v>1.0454466414511312</v>
      </c>
    </row>
    <row r="33" spans="2:11" ht="15" customHeight="1" x14ac:dyDescent="0.35">
      <c r="B33" s="150" t="s">
        <v>916</v>
      </c>
      <c r="D33" s="108">
        <f>D27/(1+$C$9)^D30</f>
        <v>176.50083586510675</v>
      </c>
      <c r="E33" s="108">
        <f>E27/(1+$C$9)^E30</f>
        <v>177.4534968244198</v>
      </c>
      <c r="F33" s="314">
        <f>F27/(1+$C$9)^F30</f>
        <v>177.82652998041169</v>
      </c>
      <c r="G33" s="314">
        <f>G27/(1+$C$9)^G30</f>
        <v>177.68022831679014</v>
      </c>
      <c r="H33" s="314">
        <f>H27/(1+$C$9)^H30</f>
        <v>177.06989892300717</v>
      </c>
      <c r="I33" s="315"/>
      <c r="J33" s="315"/>
    </row>
    <row r="34" spans="2:11" ht="15" customHeight="1" x14ac:dyDescent="0.35">
      <c r="B34" s="104"/>
      <c r="C34" s="113"/>
    </row>
    <row r="35" spans="2:11" ht="15.75" customHeight="1" x14ac:dyDescent="0.35">
      <c r="B35" s="299" t="s">
        <v>917</v>
      </c>
      <c r="C35" s="300"/>
      <c r="E35" s="299" t="s">
        <v>918</v>
      </c>
      <c r="F35" s="300"/>
      <c r="G35" s="300"/>
      <c r="H35" s="300"/>
      <c r="I35" s="300"/>
      <c r="J35" s="300"/>
    </row>
    <row r="36" spans="2:11" ht="17.25" customHeight="1" x14ac:dyDescent="0.35">
      <c r="B36" t="s">
        <v>919</v>
      </c>
      <c r="C36" s="108">
        <f>H27*(1+C37)</f>
        <v>269.43980593589299</v>
      </c>
      <c r="E36" t="s">
        <v>920</v>
      </c>
      <c r="H36" s="108">
        <f>H15</f>
        <v>318.53735131295502</v>
      </c>
      <c r="J36" s="101"/>
    </row>
    <row r="37" spans="2:11" ht="15" customHeight="1" x14ac:dyDescent="0.35">
      <c r="B37" t="s">
        <v>921</v>
      </c>
      <c r="C37" s="151">
        <f>Assumptions_Drivers!C10</f>
        <v>0.02</v>
      </c>
      <c r="E37" t="s">
        <v>922</v>
      </c>
      <c r="H37" s="316">
        <f>Assumptions_Drivers!C20</f>
        <v>12.9</v>
      </c>
      <c r="J37" s="109"/>
      <c r="K37" s="317"/>
    </row>
    <row r="38" spans="2:11" ht="15" customHeight="1" x14ac:dyDescent="0.35">
      <c r="B38" t="s">
        <v>923</v>
      </c>
      <c r="C38" s="108">
        <f>IF(($C$9-C37)&lt;=0,"NM",C36/($C$9-C37))</f>
        <v>3693.046605110887</v>
      </c>
      <c r="E38" t="s">
        <v>923</v>
      </c>
      <c r="H38" s="108">
        <f>H36*H37</f>
        <v>4109.1318319371203</v>
      </c>
      <c r="J38" s="101"/>
    </row>
    <row r="39" spans="2:11" ht="15" customHeight="1" x14ac:dyDescent="0.35">
      <c r="B39" t="s">
        <v>924</v>
      </c>
      <c r="C39" s="108">
        <f>IF(ISNUMBER(C38),C38/(1+$C$9)^H30,0)</f>
        <v>2475.5285676880908</v>
      </c>
      <c r="E39" t="s">
        <v>924</v>
      </c>
      <c r="H39" s="108">
        <f>H38/(1+$C$9)^H30</f>
        <v>2754.4394441920153</v>
      </c>
      <c r="J39" s="101"/>
    </row>
    <row r="40" spans="2:11" ht="15" customHeight="1" x14ac:dyDescent="0.35">
      <c r="B40" t="s">
        <v>925</v>
      </c>
      <c r="C40" s="108">
        <f>SUM(D33:H33)</f>
        <v>886.53098990973547</v>
      </c>
      <c r="E40" t="s">
        <v>925</v>
      </c>
      <c r="H40" s="108">
        <f>C40</f>
        <v>886.53098990973547</v>
      </c>
      <c r="J40" s="101"/>
    </row>
    <row r="41" spans="2:11" ht="15" customHeight="1" x14ac:dyDescent="0.35">
      <c r="B41" s="309" t="s">
        <v>520</v>
      </c>
      <c r="C41" s="310">
        <f>C39+C40</f>
        <v>3362.0595575978264</v>
      </c>
      <c r="E41" s="309" t="s">
        <v>520</v>
      </c>
      <c r="H41" s="310">
        <f>H39+H40</f>
        <v>3640.9704341017509</v>
      </c>
      <c r="J41" s="167"/>
      <c r="K41" s="108">
        <v>3641.7346699035102</v>
      </c>
    </row>
    <row r="42" spans="2:11" ht="15" customHeight="1" x14ac:dyDescent="0.35">
      <c r="B42" s="91" t="s">
        <v>926</v>
      </c>
      <c r="C42" s="318">
        <f>IF(H15=0,0,C38/H15)</f>
        <v>11.593763148619141</v>
      </c>
      <c r="E42" s="91" t="s">
        <v>927</v>
      </c>
      <c r="F42" s="91"/>
      <c r="G42" s="91"/>
      <c r="H42" s="319">
        <f>IF(H38=0,0,($C$9*H38-H27)/(H38+H27))</f>
        <v>2.6941464972313658E-2</v>
      </c>
      <c r="I42" s="91"/>
      <c r="J42" s="166"/>
    </row>
    <row r="43" spans="2:11" ht="15" customHeight="1" x14ac:dyDescent="0.35">
      <c r="C43" s="167"/>
      <c r="J43" s="113"/>
    </row>
    <row r="44" spans="2:11" ht="15.75" customHeight="1" x14ac:dyDescent="0.35">
      <c r="B44" s="299" t="s">
        <v>928</v>
      </c>
      <c r="C44" s="300"/>
      <c r="E44" s="299" t="s">
        <v>929</v>
      </c>
      <c r="F44" s="300"/>
      <c r="G44" s="300"/>
      <c r="H44" s="300"/>
      <c r="I44" s="300"/>
      <c r="J44" s="300"/>
    </row>
    <row r="45" spans="2:11" ht="17.25" customHeight="1" x14ac:dyDescent="0.35">
      <c r="B45" t="s">
        <v>930</v>
      </c>
      <c r="C45" s="320">
        <f>LBO!D15</f>
        <v>179.9</v>
      </c>
      <c r="H45" s="146" t="s">
        <v>931</v>
      </c>
      <c r="I45" s="146" t="s">
        <v>932</v>
      </c>
      <c r="J45" s="146" t="s">
        <v>933</v>
      </c>
    </row>
    <row r="46" spans="2:11" ht="15" customHeight="1" x14ac:dyDescent="0.35">
      <c r="B46" t="s">
        <v>934</v>
      </c>
      <c r="C46" s="320">
        <f>ABS(LBO!D14)</f>
        <v>1329.9</v>
      </c>
      <c r="E46" t="s">
        <v>520</v>
      </c>
      <c r="H46" s="108">
        <f>H48+C47</f>
        <v>2705.6758749999999</v>
      </c>
      <c r="I46" s="108">
        <f>C41</f>
        <v>3362.0595575978264</v>
      </c>
      <c r="J46" s="108">
        <f>H41</f>
        <v>3640.9704341017509</v>
      </c>
    </row>
    <row r="47" spans="2:11" ht="15" customHeight="1" x14ac:dyDescent="0.35">
      <c r="B47" s="104" t="s">
        <v>935</v>
      </c>
      <c r="C47" s="105">
        <f>C46-C45</f>
        <v>1150</v>
      </c>
      <c r="E47" t="s">
        <v>936</v>
      </c>
      <c r="H47" s="108">
        <f>-C47</f>
        <v>-1150</v>
      </c>
      <c r="I47" s="108">
        <f>-C47</f>
        <v>-1150</v>
      </c>
      <c r="J47" s="108">
        <f>-C47</f>
        <v>-1150</v>
      </c>
    </row>
    <row r="48" spans="2:11" ht="15" customHeight="1" x14ac:dyDescent="0.35">
      <c r="C48" s="107"/>
      <c r="E48" s="104" t="s">
        <v>813</v>
      </c>
      <c r="F48" s="104"/>
      <c r="G48" s="104"/>
      <c r="H48" s="321">
        <f>LBO!H20*$C$8</f>
        <v>1555.6758749999999</v>
      </c>
      <c r="I48" s="105">
        <f>I46+I47</f>
        <v>2212.0595575978264</v>
      </c>
      <c r="J48" s="105">
        <f>J46+J47</f>
        <v>2490.9704341017509</v>
      </c>
    </row>
    <row r="49" spans="2:12" ht="15.75" customHeight="1" x14ac:dyDescent="0.35">
      <c r="B49" s="299" t="s">
        <v>937</v>
      </c>
      <c r="C49" s="300"/>
      <c r="E49" t="s">
        <v>938</v>
      </c>
      <c r="H49" s="322">
        <f>$C$8</f>
        <v>307.29399999999998</v>
      </c>
      <c r="I49" s="243">
        <f>$C$8</f>
        <v>307.29399999999998</v>
      </c>
      <c r="J49" s="243">
        <f>$C$8</f>
        <v>307.29399999999998</v>
      </c>
    </row>
    <row r="50" spans="2:12" ht="15" customHeight="1" x14ac:dyDescent="0.35">
      <c r="B50" s="323" t="s">
        <v>939</v>
      </c>
      <c r="C50" s="324">
        <f>(Debt_Sweep_AI!G12*Assumptions_Drivers!C27+Debt_Sweep_AI!G13*Assumptions_Drivers!C28+Debt_Sweep_AI!G14*(Assumptions_Drivers!C14+0.035))/Debt_Sweep_AI!G15</f>
        <v>8.4999999999999992E-2</v>
      </c>
      <c r="E50" s="104" t="s">
        <v>940</v>
      </c>
      <c r="H50" s="325">
        <f>LBO!H20</f>
        <v>5.0625</v>
      </c>
      <c r="I50" s="325">
        <f>IF(I49=0,0,I48/I49)</f>
        <v>7.198512036023569</v>
      </c>
      <c r="J50" s="325">
        <f>IF(J49=0,0,J48/J49)</f>
        <v>8.1061473185345339</v>
      </c>
      <c r="K50" s="102">
        <v>8.1086343042933198</v>
      </c>
      <c r="L50" t="s">
        <v>941</v>
      </c>
    </row>
    <row r="51" spans="2:12" ht="15" customHeight="1" x14ac:dyDescent="0.35">
      <c r="B51" t="s">
        <v>103</v>
      </c>
      <c r="C51" s="153">
        <f>Assumptions_Drivers!C19</f>
        <v>0.21</v>
      </c>
      <c r="E51" s="91" t="s">
        <v>942</v>
      </c>
      <c r="H51" s="326" t="s">
        <v>554</v>
      </c>
      <c r="I51" s="153">
        <f>IF(H50=0,0,I50/H50-1)</f>
        <v>0.42192830341206311</v>
      </c>
      <c r="J51" s="153">
        <f>IF(H50=0,0,J50/H50-1)</f>
        <v>0.60121428514262387</v>
      </c>
    </row>
    <row r="52" spans="2:12" ht="15" customHeight="1" x14ac:dyDescent="0.35">
      <c r="B52" t="s">
        <v>943</v>
      </c>
      <c r="C52" s="108">
        <f>Debt_Sweep_AI!G15</f>
        <v>915.5</v>
      </c>
    </row>
    <row r="53" spans="2:12" ht="15" customHeight="1" x14ac:dyDescent="0.35">
      <c r="B53" t="s">
        <v>944</v>
      </c>
      <c r="C53" s="327">
        <f>C52/(C52+C54)</f>
        <v>0.32702268262189677</v>
      </c>
    </row>
    <row r="54" spans="2:12" ht="15" customHeight="1" x14ac:dyDescent="0.35">
      <c r="B54" t="s">
        <v>945</v>
      </c>
      <c r="C54" s="108">
        <f>Strategy_Summary!C20</f>
        <v>1884</v>
      </c>
    </row>
    <row r="55" spans="2:12" ht="15" customHeight="1" x14ac:dyDescent="0.35">
      <c r="B55" t="s">
        <v>946</v>
      </c>
      <c r="C55" s="328">
        <f>Assumptions_Drivers!C14</f>
        <v>4.2999999999999997E-2</v>
      </c>
    </row>
    <row r="56" spans="2:12" ht="15" customHeight="1" x14ac:dyDescent="0.35">
      <c r="B56" t="s">
        <v>947</v>
      </c>
      <c r="C56" s="329">
        <v>1.25</v>
      </c>
    </row>
    <row r="57" spans="2:12" ht="15" customHeight="1" x14ac:dyDescent="0.35">
      <c r="B57" t="s">
        <v>948</v>
      </c>
      <c r="C57" s="151">
        <v>0.05</v>
      </c>
    </row>
    <row r="58" spans="2:12" ht="15" customHeight="1" x14ac:dyDescent="0.35">
      <c r="B58" t="s">
        <v>949</v>
      </c>
      <c r="C58" s="153">
        <f>1-C53</f>
        <v>0.67297731737810329</v>
      </c>
    </row>
    <row r="59" spans="2:12" ht="15" customHeight="1" x14ac:dyDescent="0.35">
      <c r="B59" s="309" t="s">
        <v>950</v>
      </c>
      <c r="C59" s="330">
        <f>C58*(C55+C56*C57)+C53*C50*(1-C51)</f>
        <v>9.2958680121450254E-2</v>
      </c>
    </row>
    <row r="60" spans="2:12" ht="13.75" customHeight="1" x14ac:dyDescent="0.35"/>
    <row r="61" spans="2:12" ht="15.75" customHeight="1" x14ac:dyDescent="0.35">
      <c r="B61" s="331"/>
      <c r="C61" s="300"/>
      <c r="D61" s="300"/>
      <c r="E61" s="300"/>
      <c r="F61" s="300"/>
      <c r="G61" s="300"/>
      <c r="H61" s="300"/>
    </row>
    <row r="62" spans="2:12" ht="15" customHeight="1" x14ac:dyDescent="0.35">
      <c r="B62" s="104"/>
    </row>
    <row r="63" spans="2:12" ht="17.25" customHeight="1" x14ac:dyDescent="0.35">
      <c r="B63" s="104"/>
      <c r="C63" s="332"/>
      <c r="D63" s="332"/>
      <c r="E63" s="332"/>
      <c r="F63" s="332"/>
      <c r="G63" s="332"/>
      <c r="H63" s="332"/>
    </row>
    <row r="64" spans="2:12" ht="15" customHeight="1" x14ac:dyDescent="0.35">
      <c r="C64" s="150"/>
      <c r="D64" s="189"/>
      <c r="E64" s="189"/>
      <c r="F64" s="189"/>
      <c r="G64" s="189"/>
      <c r="H64" s="189"/>
    </row>
    <row r="65" spans="2:8" ht="15" customHeight="1" x14ac:dyDescent="0.35">
      <c r="B65" s="90"/>
      <c r="C65" s="333"/>
      <c r="D65" s="334"/>
      <c r="E65" s="335"/>
      <c r="F65" s="336"/>
      <c r="G65" s="335"/>
      <c r="H65" s="337"/>
    </row>
    <row r="66" spans="2:8" ht="15" customHeight="1" x14ac:dyDescent="0.35">
      <c r="C66" s="338"/>
      <c r="D66" s="339"/>
      <c r="E66" s="339"/>
      <c r="F66" s="339"/>
      <c r="G66" s="339"/>
      <c r="H66" s="339"/>
    </row>
    <row r="67" spans="2:8" ht="15" customHeight="1" x14ac:dyDescent="0.35">
      <c r="C67" s="340"/>
      <c r="D67" s="339"/>
      <c r="E67" s="339"/>
      <c r="F67" s="339"/>
      <c r="G67" s="339"/>
      <c r="H67" s="339"/>
    </row>
    <row r="68" spans="2:8" ht="15" customHeight="1" x14ac:dyDescent="0.35">
      <c r="B68" s="90"/>
      <c r="C68" s="340"/>
      <c r="D68" s="339"/>
      <c r="E68" s="339"/>
      <c r="F68" s="339"/>
      <c r="G68" s="339"/>
      <c r="H68" s="339"/>
    </row>
    <row r="69" spans="2:8" ht="15" customHeight="1" x14ac:dyDescent="0.35">
      <c r="C69" s="340"/>
      <c r="D69" s="339"/>
      <c r="E69" s="339"/>
      <c r="F69" s="339"/>
      <c r="G69" s="339"/>
      <c r="H69" s="339"/>
    </row>
    <row r="70" spans="2:8" ht="15" customHeight="1" x14ac:dyDescent="0.35">
      <c r="C70" s="340"/>
      <c r="D70" s="339"/>
      <c r="E70" s="339"/>
      <c r="F70" s="339"/>
      <c r="G70" s="339"/>
      <c r="H70" s="339"/>
    </row>
    <row r="71" spans="2:8" ht="15" customHeight="1" x14ac:dyDescent="0.35">
      <c r="C71" s="341"/>
      <c r="D71" s="339"/>
      <c r="E71" s="339"/>
      <c r="F71" s="339"/>
      <c r="G71" s="339"/>
      <c r="H71" s="339"/>
    </row>
    <row r="72" spans="2:8" ht="15" customHeight="1" x14ac:dyDescent="0.35">
      <c r="D72" s="339"/>
      <c r="E72" s="339"/>
      <c r="F72" s="339"/>
      <c r="G72" s="339"/>
      <c r="H72" s="339"/>
    </row>
    <row r="73" spans="2:8" ht="17.25" customHeight="1" x14ac:dyDescent="0.35">
      <c r="C73" s="332"/>
      <c r="D73" s="332"/>
      <c r="E73" s="332"/>
      <c r="F73" s="332"/>
      <c r="G73" s="332"/>
      <c r="H73" s="332"/>
    </row>
    <row r="74" spans="2:8" ht="15" customHeight="1" x14ac:dyDescent="0.35">
      <c r="D74" s="189"/>
      <c r="E74" s="189"/>
      <c r="F74" s="189"/>
      <c r="G74" s="189"/>
      <c r="H74" s="189"/>
    </row>
    <row r="75" spans="2:8" ht="15" customHeight="1" x14ac:dyDescent="0.35">
      <c r="C75" s="342"/>
      <c r="D75" s="343"/>
      <c r="E75" s="343"/>
      <c r="F75" s="344"/>
      <c r="G75" s="343"/>
      <c r="H75" s="345"/>
    </row>
    <row r="76" spans="2:8" ht="15" customHeight="1" x14ac:dyDescent="0.35">
      <c r="C76" s="346"/>
      <c r="D76" s="339"/>
      <c r="E76" s="339"/>
      <c r="F76" s="339"/>
      <c r="G76" s="339"/>
      <c r="H76" s="339"/>
    </row>
    <row r="77" spans="2:8" ht="15" customHeight="1" x14ac:dyDescent="0.35">
      <c r="C77" s="347"/>
      <c r="D77" s="339"/>
      <c r="E77" s="339"/>
      <c r="F77" s="339"/>
      <c r="G77" s="339"/>
      <c r="H77" s="339"/>
    </row>
    <row r="78" spans="2:8" ht="15" customHeight="1" x14ac:dyDescent="0.35">
      <c r="B78" s="90"/>
      <c r="C78" s="347"/>
      <c r="D78" s="339"/>
      <c r="E78" s="339"/>
      <c r="F78" s="339"/>
      <c r="G78" s="339"/>
      <c r="H78" s="339"/>
    </row>
    <row r="79" spans="2:8" ht="15" customHeight="1" x14ac:dyDescent="0.35">
      <c r="C79" s="347"/>
      <c r="D79" s="339"/>
      <c r="E79" s="339"/>
      <c r="F79" s="339"/>
      <c r="G79" s="339"/>
      <c r="H79" s="339"/>
    </row>
    <row r="80" spans="2:8" ht="15" customHeight="1" x14ac:dyDescent="0.35">
      <c r="C80" s="347"/>
      <c r="D80" s="339"/>
      <c r="E80" s="339"/>
      <c r="F80" s="339"/>
      <c r="G80" s="339"/>
      <c r="H80" s="339"/>
    </row>
    <row r="81" spans="2:8" ht="15" customHeight="1" x14ac:dyDescent="0.35">
      <c r="C81" s="348"/>
      <c r="D81" s="339"/>
      <c r="E81" s="339"/>
      <c r="F81" s="339"/>
      <c r="G81" s="339"/>
      <c r="H81" s="339"/>
    </row>
    <row r="82" spans="2:8" ht="13.75" customHeight="1" x14ac:dyDescent="0.35"/>
    <row r="83" spans="2:8" ht="17.25" customHeight="1" x14ac:dyDescent="0.35">
      <c r="C83" s="332"/>
      <c r="D83" s="332"/>
      <c r="E83" s="332"/>
      <c r="F83" s="332"/>
      <c r="G83" s="332"/>
      <c r="H83" s="332"/>
    </row>
    <row r="84" spans="2:8" ht="15" customHeight="1" x14ac:dyDescent="0.35">
      <c r="D84" s="189"/>
      <c r="E84" s="189"/>
      <c r="F84" s="189"/>
      <c r="G84" s="189"/>
      <c r="H84" s="189"/>
    </row>
    <row r="85" spans="2:8" ht="15" customHeight="1" x14ac:dyDescent="0.35">
      <c r="C85" s="149"/>
      <c r="D85" s="349"/>
      <c r="E85" s="350"/>
      <c r="F85" s="343"/>
      <c r="G85" s="344"/>
      <c r="H85" s="345"/>
    </row>
    <row r="86" spans="2:8" ht="15" customHeight="1" x14ac:dyDescent="0.35">
      <c r="C86" s="351"/>
      <c r="D86" s="352"/>
      <c r="E86" s="339"/>
      <c r="F86" s="339"/>
      <c r="G86" s="339"/>
      <c r="H86" s="339"/>
    </row>
    <row r="87" spans="2:8" ht="15" customHeight="1" x14ac:dyDescent="0.35">
      <c r="C87" s="353"/>
      <c r="D87" s="354"/>
      <c r="E87" s="339"/>
      <c r="F87" s="339"/>
      <c r="G87" s="339"/>
      <c r="H87" s="339"/>
    </row>
    <row r="88" spans="2:8" ht="15" customHeight="1" x14ac:dyDescent="0.35">
      <c r="C88" s="353"/>
      <c r="D88" s="355"/>
      <c r="E88" s="339"/>
      <c r="F88" s="339"/>
      <c r="G88" s="339"/>
      <c r="H88" s="339"/>
    </row>
    <row r="89" spans="2:8" ht="15" customHeight="1" x14ac:dyDescent="0.35">
      <c r="C89" s="353"/>
      <c r="D89" s="354"/>
      <c r="E89" s="339"/>
      <c r="F89" s="339"/>
      <c r="G89" s="339"/>
      <c r="H89" s="339"/>
    </row>
    <row r="90" spans="2:8" ht="15" customHeight="1" x14ac:dyDescent="0.35">
      <c r="C90" s="353"/>
      <c r="D90" s="354"/>
      <c r="E90" s="339"/>
      <c r="F90" s="339"/>
      <c r="G90" s="339"/>
      <c r="H90" s="339"/>
    </row>
    <row r="91" spans="2:8" ht="15" customHeight="1" x14ac:dyDescent="0.35">
      <c r="C91" s="353"/>
      <c r="D91" s="356"/>
      <c r="E91" s="339"/>
      <c r="F91" s="339"/>
      <c r="G91" s="339"/>
      <c r="H91" s="339"/>
    </row>
    <row r="92" spans="2:8" ht="13.75" customHeight="1" x14ac:dyDescent="0.35"/>
    <row r="93" spans="2:8" ht="15.75" customHeight="1" x14ac:dyDescent="0.35">
      <c r="B93" s="299" t="s">
        <v>951</v>
      </c>
      <c r="C93" s="300"/>
      <c r="D93" s="300"/>
      <c r="E93" s="300"/>
    </row>
    <row r="94" spans="2:8" ht="13.75" customHeight="1" x14ac:dyDescent="0.35"/>
    <row r="95" spans="2:8" ht="13.75" customHeight="1" x14ac:dyDescent="0.35"/>
    <row r="96" spans="2:8" ht="13.75" customHeight="1" x14ac:dyDescent="0.35"/>
    <row r="97" ht="13.75" customHeight="1" x14ac:dyDescent="0.35"/>
    <row r="98" ht="13.75" customHeight="1" x14ac:dyDescent="0.35"/>
    <row r="99" ht="13.75" customHeight="1" x14ac:dyDescent="0.35"/>
    <row r="100" ht="13.75" customHeight="1" x14ac:dyDescent="0.35"/>
    <row r="101" ht="13.75" customHeight="1" x14ac:dyDescent="0.35"/>
    <row r="102" ht="13.75" customHeight="1" x14ac:dyDescent="0.35"/>
    <row r="103" ht="13.75" customHeight="1" x14ac:dyDescent="0.35"/>
    <row r="104" ht="13.75" customHeight="1" x14ac:dyDescent="0.35"/>
    <row r="105" ht="13.75" customHeight="1" x14ac:dyDescent="0.35"/>
    <row r="106" ht="13.75" customHeight="1" x14ac:dyDescent="0.35"/>
    <row r="107" ht="13.75" customHeight="1" x14ac:dyDescent="0.35"/>
    <row r="108" ht="13.75" customHeight="1" x14ac:dyDescent="0.35"/>
    <row r="109" ht="13.75" customHeight="1" x14ac:dyDescent="0.35"/>
    <row r="110" ht="13.75" customHeight="1" x14ac:dyDescent="0.35"/>
    <row r="111" ht="13.75" customHeight="1" x14ac:dyDescent="0.35"/>
    <row r="112" ht="13.75" customHeight="1" x14ac:dyDescent="0.35"/>
    <row r="113" spans="2:5" ht="13.75" customHeight="1" x14ac:dyDescent="0.35"/>
    <row r="114" spans="2:5" ht="15" customHeight="1" x14ac:dyDescent="0.35">
      <c r="B114" s="357"/>
      <c r="C114" s="358" t="s">
        <v>952</v>
      </c>
      <c r="D114" s="358" t="s">
        <v>953</v>
      </c>
      <c r="E114" s="359" t="s">
        <v>954</v>
      </c>
    </row>
    <row r="115" spans="2:5" ht="15" customHeight="1" x14ac:dyDescent="0.35">
      <c r="B115" s="360" t="s">
        <v>955</v>
      </c>
      <c r="C115" s="102">
        <v>8.1086343042933198</v>
      </c>
      <c r="D115" s="102">
        <v>0</v>
      </c>
      <c r="E115" s="247">
        <v>8.1086343042933198</v>
      </c>
    </row>
    <row r="116" spans="2:5" ht="15" customHeight="1" x14ac:dyDescent="0.35">
      <c r="B116" s="360" t="s">
        <v>956</v>
      </c>
      <c r="C116" s="102">
        <v>7.2071025521466403</v>
      </c>
      <c r="D116" s="102">
        <v>0</v>
      </c>
      <c r="E116" s="247">
        <v>7.2071025521466403</v>
      </c>
    </row>
    <row r="117" spans="2:5" ht="15" customHeight="1" x14ac:dyDescent="0.35">
      <c r="B117" s="360" t="s">
        <v>957</v>
      </c>
      <c r="C117" s="102">
        <f>LBO!H20</f>
        <v>5.0625</v>
      </c>
      <c r="D117" s="102">
        <v>0</v>
      </c>
      <c r="E117" s="247">
        <f>LBO!H20</f>
        <v>5.0625</v>
      </c>
    </row>
    <row r="118" spans="2:5" ht="15" customHeight="1" x14ac:dyDescent="0.35">
      <c r="B118" s="361" t="s">
        <v>958</v>
      </c>
      <c r="C118" s="259">
        <f>'52wkHL'!E5</f>
        <v>2.54</v>
      </c>
      <c r="D118" s="259">
        <f>E118-C118</f>
        <v>9.9699999999999989</v>
      </c>
      <c r="E118" s="260">
        <f>'52wkHL'!E4</f>
        <v>12.51</v>
      </c>
    </row>
  </sheetData>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28"/>
  <sheetViews>
    <sheetView zoomScaleNormal="100" zoomScalePageLayoutView="60" workbookViewId="0"/>
  </sheetViews>
  <sheetFormatPr defaultColWidth="8.6328125" defaultRowHeight="14.5" x14ac:dyDescent="0.35"/>
  <cols>
    <col min="1" max="1" width="1.7265625" customWidth="1"/>
    <col min="2" max="2" width="36.54296875" customWidth="1"/>
    <col min="3" max="3" width="15.81640625" customWidth="1"/>
  </cols>
  <sheetData>
    <row r="1" spans="2:7" ht="15.75" customHeight="1" x14ac:dyDescent="0.35"/>
    <row r="2" spans="2:7" ht="27" customHeight="1" x14ac:dyDescent="0.35">
      <c r="B2" s="83" t="s">
        <v>959</v>
      </c>
      <c r="C2" s="84"/>
      <c r="D2" s="84"/>
      <c r="E2" s="84"/>
    </row>
    <row r="3" spans="2:7" ht="15" customHeight="1" x14ac:dyDescent="0.35">
      <c r="B3" s="85" t="s">
        <v>960</v>
      </c>
    </row>
    <row r="4" spans="2:7" ht="15" customHeight="1" x14ac:dyDescent="0.35">
      <c r="B4" s="89"/>
    </row>
    <row r="5" spans="2:7" ht="15" customHeight="1" x14ac:dyDescent="0.35">
      <c r="B5" s="89" t="s">
        <v>961</v>
      </c>
      <c r="E5" s="362">
        <f>LBO!H20</f>
        <v>5.0625</v>
      </c>
      <c r="F5" s="363">
        <v>5.0625</v>
      </c>
      <c r="G5" t="s">
        <v>962</v>
      </c>
    </row>
    <row r="6" spans="2:7" ht="15" customHeight="1" x14ac:dyDescent="0.35">
      <c r="B6" s="364" t="s">
        <v>963</v>
      </c>
      <c r="E6" s="365">
        <f>LBO!D8</f>
        <v>4.05</v>
      </c>
      <c r="F6" s="102">
        <v>4.05</v>
      </c>
    </row>
    <row r="7" spans="2:7" ht="15" customHeight="1" x14ac:dyDescent="0.35">
      <c r="B7" s="89" t="s">
        <v>897</v>
      </c>
      <c r="E7" s="366">
        <f>LBO!H18</f>
        <v>307.29399999999998</v>
      </c>
      <c r="F7" s="243">
        <v>307.29399999999998</v>
      </c>
    </row>
    <row r="8" spans="2:7" ht="15" customHeight="1" x14ac:dyDescent="0.35">
      <c r="B8" s="89" t="s">
        <v>964</v>
      </c>
      <c r="E8" s="243">
        <v>0</v>
      </c>
    </row>
    <row r="9" spans="2:7" ht="15" customHeight="1" x14ac:dyDescent="0.35">
      <c r="B9" s="89" t="s">
        <v>965</v>
      </c>
      <c r="E9" s="311">
        <v>0</v>
      </c>
    </row>
    <row r="10" spans="2:7" ht="15" customHeight="1" x14ac:dyDescent="0.35">
      <c r="B10" s="89" t="s">
        <v>966</v>
      </c>
      <c r="E10" s="243">
        <v>0</v>
      </c>
    </row>
    <row r="11" spans="2:7" ht="15" customHeight="1" x14ac:dyDescent="0.35">
      <c r="B11" s="89" t="s">
        <v>967</v>
      </c>
      <c r="E11" s="243">
        <v>0</v>
      </c>
    </row>
    <row r="12" spans="2:7" ht="15" customHeight="1" x14ac:dyDescent="0.35">
      <c r="B12" s="89" t="s">
        <v>968</v>
      </c>
      <c r="E12" s="366">
        <v>0</v>
      </c>
    </row>
    <row r="13" spans="2:7" ht="15" customHeight="1" x14ac:dyDescent="0.35">
      <c r="B13" s="89"/>
      <c r="E13" s="291"/>
    </row>
    <row r="14" spans="2:7" ht="15" customHeight="1" x14ac:dyDescent="0.35">
      <c r="B14" s="367" t="s">
        <v>969</v>
      </c>
      <c r="D14" s="106"/>
      <c r="E14" s="368">
        <f>E7+E11+E12</f>
        <v>307.29399999999998</v>
      </c>
      <c r="F14" s="243">
        <v>307.29399999999998</v>
      </c>
    </row>
    <row r="15" spans="2:7" ht="15" customHeight="1" x14ac:dyDescent="0.35">
      <c r="B15" s="132"/>
      <c r="D15" s="106"/>
      <c r="E15" s="171"/>
    </row>
    <row r="16" spans="2:7" ht="15" customHeight="1" x14ac:dyDescent="0.35">
      <c r="B16" s="155" t="s">
        <v>970</v>
      </c>
      <c r="C16" s="80"/>
      <c r="D16" s="276"/>
      <c r="E16" s="285"/>
    </row>
    <row r="17" spans="2:5" ht="15" customHeight="1" x14ac:dyDescent="0.35">
      <c r="B17" t="s">
        <v>971</v>
      </c>
      <c r="C17" s="199"/>
      <c r="D17" s="199"/>
      <c r="E17" s="199"/>
    </row>
    <row r="18" spans="2:5" ht="15" customHeight="1" x14ac:dyDescent="0.35">
      <c r="B18" s="369"/>
      <c r="C18" s="370"/>
      <c r="D18" s="370"/>
      <c r="E18" s="371"/>
    </row>
    <row r="19" spans="2:5" ht="15" customHeight="1" x14ac:dyDescent="0.35">
      <c r="B19" s="369"/>
      <c r="C19" s="370"/>
      <c r="D19" s="370"/>
      <c r="E19" s="371"/>
    </row>
    <row r="20" spans="2:5" ht="15" customHeight="1" x14ac:dyDescent="0.35">
      <c r="B20" s="369"/>
      <c r="C20" s="370"/>
      <c r="D20" s="370"/>
      <c r="E20" s="371"/>
    </row>
    <row r="21" spans="2:5" ht="15" customHeight="1" x14ac:dyDescent="0.35">
      <c r="B21" s="369"/>
      <c r="C21" s="370"/>
      <c r="D21" s="370"/>
      <c r="E21" s="371"/>
    </row>
    <row r="22" spans="2:5" ht="15" customHeight="1" x14ac:dyDescent="0.35">
      <c r="B22" s="369"/>
      <c r="C22" s="370"/>
      <c r="D22" s="370"/>
      <c r="E22" s="371"/>
    </row>
    <row r="23" spans="2:5" ht="15" customHeight="1" x14ac:dyDescent="0.35">
      <c r="B23" s="369"/>
      <c r="C23" s="370"/>
      <c r="D23" s="370"/>
      <c r="E23" s="371"/>
    </row>
    <row r="24" spans="2:5" ht="15" customHeight="1" x14ac:dyDescent="0.35">
      <c r="B24" s="369"/>
      <c r="C24" s="370"/>
      <c r="D24" s="370"/>
      <c r="E24" s="371"/>
    </row>
    <row r="25" spans="2:5" ht="15" customHeight="1" x14ac:dyDescent="0.35">
      <c r="B25" s="369"/>
      <c r="C25" s="370"/>
      <c r="D25" s="370"/>
      <c r="E25" s="371"/>
    </row>
    <row r="26" spans="2:5" ht="15" customHeight="1" x14ac:dyDescent="0.35">
      <c r="B26" s="369"/>
      <c r="C26" s="370"/>
      <c r="D26" s="370"/>
      <c r="E26" s="371"/>
    </row>
    <row r="27" spans="2:5" ht="15" customHeight="1" x14ac:dyDescent="0.35">
      <c r="B27" s="369"/>
      <c r="C27" s="370"/>
      <c r="D27" s="370"/>
      <c r="E27" s="372"/>
    </row>
    <row r="28" spans="2:5" ht="15" customHeight="1" x14ac:dyDescent="0.35">
      <c r="E28" s="373"/>
    </row>
  </sheetData>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68"/>
  <sheetViews>
    <sheetView zoomScaleNormal="100" zoomScalePageLayoutView="60" workbookViewId="0"/>
  </sheetViews>
  <sheetFormatPr defaultColWidth="8.6328125" defaultRowHeight="14.5" x14ac:dyDescent="0.35"/>
  <cols>
    <col min="1" max="1" width="19.453125" customWidth="1"/>
    <col min="2" max="2" width="9.26953125" customWidth="1"/>
    <col min="6" max="6" width="10" customWidth="1"/>
    <col min="9" max="9" width="9.26953125" customWidth="1"/>
  </cols>
  <sheetData>
    <row r="1" spans="1:6" ht="15" customHeight="1" x14ac:dyDescent="0.35">
      <c r="A1" t="s">
        <v>972</v>
      </c>
    </row>
    <row r="2" spans="1:6" ht="18" customHeight="1" x14ac:dyDescent="0.4">
      <c r="A2" s="374" t="s">
        <v>973</v>
      </c>
      <c r="B2" s="300"/>
      <c r="C2" s="300"/>
      <c r="D2" s="300"/>
      <c r="E2" s="300"/>
      <c r="F2" s="300"/>
    </row>
    <row r="3" spans="1:6" ht="13.75" customHeight="1" x14ac:dyDescent="0.35"/>
    <row r="4" spans="1:6" ht="15" customHeight="1" x14ac:dyDescent="0.35">
      <c r="A4" t="s">
        <v>974</v>
      </c>
      <c r="E4" s="375">
        <v>12.51</v>
      </c>
    </row>
    <row r="5" spans="1:6" ht="15" customHeight="1" x14ac:dyDescent="0.35">
      <c r="A5" t="s">
        <v>975</v>
      </c>
      <c r="E5" s="375">
        <v>2.54</v>
      </c>
    </row>
    <row r="6" spans="1:6" ht="15" customHeight="1" x14ac:dyDescent="0.35">
      <c r="A6" t="s">
        <v>976</v>
      </c>
    </row>
    <row r="7" spans="1:6" ht="15" customHeight="1" x14ac:dyDescent="0.35">
      <c r="A7" s="309" t="s">
        <v>977</v>
      </c>
      <c r="B7" s="309" t="s">
        <v>978</v>
      </c>
      <c r="C7" s="309" t="s">
        <v>954</v>
      </c>
      <c r="D7" s="309" t="s">
        <v>952</v>
      </c>
      <c r="E7" s="309" t="s">
        <v>979</v>
      </c>
      <c r="F7" s="309" t="s">
        <v>980</v>
      </c>
    </row>
    <row r="8" spans="1:6" ht="15" customHeight="1" x14ac:dyDescent="0.35">
      <c r="A8" s="376">
        <v>46248.5625</v>
      </c>
      <c r="B8" s="102">
        <v>4.25</v>
      </c>
      <c r="C8" s="102">
        <v>4.3109999999999999</v>
      </c>
      <c r="D8" s="102">
        <v>4.0350000000000001</v>
      </c>
      <c r="E8" s="325">
        <v>4.05</v>
      </c>
      <c r="F8">
        <v>6927400</v>
      </c>
    </row>
    <row r="9" spans="1:6" ht="15" customHeight="1" x14ac:dyDescent="0.35">
      <c r="A9" s="376">
        <v>46247.5625</v>
      </c>
      <c r="B9" s="102">
        <v>3.86</v>
      </c>
      <c r="C9" s="102">
        <v>4.3650000000000002</v>
      </c>
      <c r="D9" s="102">
        <v>3.8109999999999999</v>
      </c>
      <c r="E9" s="325">
        <v>4.3099999999999996</v>
      </c>
      <c r="F9">
        <v>9261000</v>
      </c>
    </row>
    <row r="10" spans="1:6" ht="15" customHeight="1" x14ac:dyDescent="0.35">
      <c r="A10" s="376">
        <v>46246.5625</v>
      </c>
      <c r="B10" s="102">
        <v>4.05</v>
      </c>
      <c r="C10" s="102">
        <v>4.05</v>
      </c>
      <c r="D10" s="102">
        <v>3.75</v>
      </c>
      <c r="E10" s="325">
        <v>3.86</v>
      </c>
      <c r="F10">
        <v>7183300</v>
      </c>
    </row>
    <row r="11" spans="1:6" ht="15" customHeight="1" x14ac:dyDescent="0.35">
      <c r="A11" s="376">
        <v>46245.5625</v>
      </c>
      <c r="B11" s="102">
        <v>4.21</v>
      </c>
      <c r="C11" s="102">
        <v>4.3</v>
      </c>
      <c r="D11" s="102">
        <v>4.0549999999999997</v>
      </c>
      <c r="E11" s="325">
        <v>4.08</v>
      </c>
      <c r="F11">
        <v>6651100</v>
      </c>
    </row>
    <row r="12" spans="1:6" ht="15" customHeight="1" x14ac:dyDescent="0.35">
      <c r="A12" s="376">
        <v>46244.5625</v>
      </c>
      <c r="B12" s="102">
        <v>4.13</v>
      </c>
      <c r="C12" s="102">
        <v>4.3259999999999996</v>
      </c>
      <c r="D12" s="102">
        <v>4.13</v>
      </c>
      <c r="E12" s="325">
        <v>4.2300000000000004</v>
      </c>
      <c r="F12">
        <v>9212600</v>
      </c>
    </row>
    <row r="13" spans="1:6" ht="15" customHeight="1" x14ac:dyDescent="0.35">
      <c r="A13" s="376">
        <v>46241.5625</v>
      </c>
      <c r="B13" s="102">
        <v>4.33</v>
      </c>
      <c r="C13" s="102">
        <v>4.33</v>
      </c>
      <c r="D13" s="102">
        <v>4.05</v>
      </c>
      <c r="E13" s="325">
        <v>4.18</v>
      </c>
      <c r="F13">
        <v>11372700</v>
      </c>
    </row>
    <row r="14" spans="1:6" ht="15" customHeight="1" x14ac:dyDescent="0.35">
      <c r="A14" s="376">
        <v>46240.5625</v>
      </c>
      <c r="B14" s="102">
        <v>3.78</v>
      </c>
      <c r="C14" s="102">
        <v>4.24</v>
      </c>
      <c r="D14" s="102">
        <v>3.76</v>
      </c>
      <c r="E14" s="325">
        <v>4.1399999999999997</v>
      </c>
      <c r="F14">
        <v>16764400</v>
      </c>
    </row>
    <row r="15" spans="1:6" ht="15" customHeight="1" x14ac:dyDescent="0.35">
      <c r="A15" s="376">
        <v>46239.5625</v>
      </c>
      <c r="B15" s="102">
        <v>3.67</v>
      </c>
      <c r="C15" s="102">
        <v>3.8</v>
      </c>
      <c r="D15" s="102">
        <v>3.5950000000000002</v>
      </c>
      <c r="E15" s="325">
        <v>3.66</v>
      </c>
      <c r="F15">
        <v>11351500</v>
      </c>
    </row>
    <row r="16" spans="1:6" ht="15" customHeight="1" x14ac:dyDescent="0.35">
      <c r="A16" s="376">
        <v>46238.5625</v>
      </c>
      <c r="B16" s="102">
        <v>3.46</v>
      </c>
      <c r="C16" s="102">
        <v>3.6549999999999998</v>
      </c>
      <c r="D16" s="102">
        <v>3.46</v>
      </c>
      <c r="E16" s="325">
        <v>3.62</v>
      </c>
      <c r="F16">
        <v>4514800</v>
      </c>
    </row>
    <row r="17" spans="1:6" ht="15" customHeight="1" x14ac:dyDescent="0.35">
      <c r="A17" s="376">
        <v>46237.5625</v>
      </c>
      <c r="B17" s="102">
        <v>3.41</v>
      </c>
      <c r="C17" s="102">
        <v>3.64</v>
      </c>
      <c r="D17" s="102">
        <v>3.4</v>
      </c>
      <c r="E17" s="325">
        <v>3.57</v>
      </c>
      <c r="F17">
        <v>7290300</v>
      </c>
    </row>
    <row r="18" spans="1:6" ht="15" customHeight="1" x14ac:dyDescent="0.35">
      <c r="A18" s="376">
        <v>46234.5625</v>
      </c>
      <c r="B18" s="102">
        <v>3.33</v>
      </c>
      <c r="C18" s="102">
        <v>3.4</v>
      </c>
      <c r="D18" s="102">
        <v>3.2650000000000001</v>
      </c>
      <c r="E18" s="325">
        <v>3.3</v>
      </c>
      <c r="F18">
        <v>6511600</v>
      </c>
    </row>
    <row r="19" spans="1:6" ht="15" customHeight="1" x14ac:dyDescent="0.35">
      <c r="A19" s="376">
        <v>46233.5625</v>
      </c>
      <c r="B19" s="102">
        <v>3.45</v>
      </c>
      <c r="C19" s="102">
        <v>3.45</v>
      </c>
      <c r="D19" s="102">
        <v>3.18</v>
      </c>
      <c r="E19" s="325">
        <v>3.32</v>
      </c>
      <c r="F19">
        <v>6105500</v>
      </c>
    </row>
    <row r="20" spans="1:6" ht="15" customHeight="1" x14ac:dyDescent="0.35">
      <c r="A20" s="376">
        <v>46232.5625</v>
      </c>
      <c r="B20" s="102">
        <v>3.28</v>
      </c>
      <c r="C20" s="102">
        <v>3.5150000000000001</v>
      </c>
      <c r="D20" s="102">
        <v>3.27</v>
      </c>
      <c r="E20" s="325">
        <v>3.5</v>
      </c>
      <c r="F20">
        <v>7551800</v>
      </c>
    </row>
    <row r="21" spans="1:6" ht="15" customHeight="1" x14ac:dyDescent="0.35">
      <c r="A21" s="376">
        <v>46231.5625</v>
      </c>
      <c r="B21" s="102">
        <v>3.09</v>
      </c>
      <c r="C21" s="102">
        <v>3.34</v>
      </c>
      <c r="D21" s="102">
        <v>3.09</v>
      </c>
      <c r="E21" s="325">
        <v>3.28</v>
      </c>
      <c r="F21">
        <v>7245500</v>
      </c>
    </row>
    <row r="22" spans="1:6" ht="15" customHeight="1" x14ac:dyDescent="0.35">
      <c r="A22" s="376">
        <v>46230.5625</v>
      </c>
      <c r="B22" s="102">
        <v>3</v>
      </c>
      <c r="C22" s="102">
        <v>3.16</v>
      </c>
      <c r="D22" s="102">
        <v>2.9649999999999999</v>
      </c>
      <c r="E22" s="325">
        <v>3.08</v>
      </c>
      <c r="F22">
        <v>7204700</v>
      </c>
    </row>
    <row r="23" spans="1:6" ht="15" customHeight="1" x14ac:dyDescent="0.35">
      <c r="A23" s="376">
        <v>46227.5625</v>
      </c>
      <c r="B23" s="102">
        <v>2.88</v>
      </c>
      <c r="C23" s="102">
        <v>2.97</v>
      </c>
      <c r="D23" s="102">
        <v>2.8650000000000002</v>
      </c>
      <c r="E23" s="325">
        <v>2.92</v>
      </c>
      <c r="F23">
        <v>5169300</v>
      </c>
    </row>
    <row r="24" spans="1:6" ht="15" customHeight="1" x14ac:dyDescent="0.35">
      <c r="A24" s="376">
        <v>46226.5625</v>
      </c>
      <c r="B24" s="102">
        <v>2.91</v>
      </c>
      <c r="C24" s="102">
        <v>2.98</v>
      </c>
      <c r="D24" s="102">
        <v>2.74</v>
      </c>
      <c r="E24" s="325">
        <v>2.88</v>
      </c>
      <c r="F24">
        <v>8710000</v>
      </c>
    </row>
    <row r="25" spans="1:6" ht="15" customHeight="1" x14ac:dyDescent="0.35">
      <c r="A25" s="376">
        <v>46225.5625</v>
      </c>
      <c r="B25" s="102">
        <v>3.04</v>
      </c>
      <c r="C25" s="102">
        <v>3.07</v>
      </c>
      <c r="D25" s="102">
        <v>2.88</v>
      </c>
      <c r="E25" s="325">
        <v>2.92</v>
      </c>
      <c r="F25">
        <v>6066100</v>
      </c>
    </row>
    <row r="26" spans="1:6" ht="15" customHeight="1" x14ac:dyDescent="0.35">
      <c r="A26" s="376">
        <v>46224.5625</v>
      </c>
      <c r="B26" s="102">
        <v>3.05</v>
      </c>
      <c r="C26" s="102">
        <v>3.17</v>
      </c>
      <c r="D26" s="102">
        <v>2.9950000000000001</v>
      </c>
      <c r="E26" s="325">
        <v>3.02</v>
      </c>
      <c r="F26">
        <v>6486100</v>
      </c>
    </row>
    <row r="27" spans="1:6" ht="15" customHeight="1" x14ac:dyDescent="0.35">
      <c r="A27" s="376">
        <v>46223.5625</v>
      </c>
      <c r="B27" s="102">
        <v>3.11</v>
      </c>
      <c r="C27" s="102">
        <v>3.23</v>
      </c>
      <c r="D27" s="102">
        <v>3.04</v>
      </c>
      <c r="E27" s="325">
        <v>3.13</v>
      </c>
      <c r="F27">
        <v>8065900</v>
      </c>
    </row>
    <row r="28" spans="1:6" ht="15" customHeight="1" x14ac:dyDescent="0.35">
      <c r="A28" s="376">
        <v>46220.5625</v>
      </c>
      <c r="B28" s="102">
        <v>3.06</v>
      </c>
      <c r="C28" s="102">
        <v>3.19</v>
      </c>
      <c r="D28" s="102">
        <v>3.04</v>
      </c>
      <c r="E28" s="325">
        <v>3.07</v>
      </c>
      <c r="F28">
        <v>5383800</v>
      </c>
    </row>
    <row r="29" spans="1:6" ht="15" customHeight="1" x14ac:dyDescent="0.35">
      <c r="A29" s="376">
        <v>46219.5625</v>
      </c>
      <c r="B29" s="102">
        <v>3.125</v>
      </c>
      <c r="C29" s="102">
        <v>3.2</v>
      </c>
      <c r="D29" s="102">
        <v>3.04</v>
      </c>
      <c r="E29" s="325">
        <v>3.13</v>
      </c>
      <c r="F29">
        <v>7099000</v>
      </c>
    </row>
    <row r="30" spans="1:6" ht="15" customHeight="1" x14ac:dyDescent="0.35">
      <c r="A30" s="376">
        <v>46218.5625</v>
      </c>
      <c r="B30" s="102">
        <v>3.08</v>
      </c>
      <c r="C30" s="102">
        <v>3.1949999999999998</v>
      </c>
      <c r="D30" s="102">
        <v>3.06</v>
      </c>
      <c r="E30" s="325">
        <v>3.08</v>
      </c>
      <c r="F30">
        <v>4693100</v>
      </c>
    </row>
    <row r="31" spans="1:6" ht="15" customHeight="1" x14ac:dyDescent="0.35">
      <c r="A31" s="376">
        <v>46217.5625</v>
      </c>
      <c r="B31" s="102">
        <v>2.99</v>
      </c>
      <c r="C31" s="102">
        <v>3.085</v>
      </c>
      <c r="D31" s="102">
        <v>2.93</v>
      </c>
      <c r="E31" s="325">
        <v>3.02</v>
      </c>
      <c r="F31">
        <v>6193100</v>
      </c>
    </row>
    <row r="32" spans="1:6" ht="15" customHeight="1" x14ac:dyDescent="0.35">
      <c r="A32" s="376">
        <v>46216.5625</v>
      </c>
      <c r="B32" s="102">
        <v>2.96</v>
      </c>
      <c r="C32" s="102">
        <v>3.22</v>
      </c>
      <c r="D32" s="102">
        <v>2.94</v>
      </c>
      <c r="E32" s="325">
        <v>3.08</v>
      </c>
      <c r="F32">
        <v>10942300</v>
      </c>
    </row>
    <row r="33" spans="1:6" ht="15" customHeight="1" x14ac:dyDescent="0.35">
      <c r="A33" s="376">
        <v>46213.5625</v>
      </c>
      <c r="B33" s="102">
        <v>3</v>
      </c>
      <c r="C33" s="102">
        <v>3.06</v>
      </c>
      <c r="D33" s="102">
        <v>2.8050000000000002</v>
      </c>
      <c r="E33" s="325">
        <v>2.92</v>
      </c>
      <c r="F33">
        <v>9723500</v>
      </c>
    </row>
    <row r="34" spans="1:6" ht="15" customHeight="1" x14ac:dyDescent="0.35">
      <c r="A34" s="376">
        <v>46212.5625</v>
      </c>
      <c r="B34" s="102">
        <v>2.84</v>
      </c>
      <c r="C34" s="102">
        <v>2.99</v>
      </c>
      <c r="D34" s="102">
        <v>2.8</v>
      </c>
      <c r="E34" s="325">
        <v>2.94</v>
      </c>
      <c r="F34">
        <v>6500000</v>
      </c>
    </row>
    <row r="35" spans="1:6" ht="15" customHeight="1" x14ac:dyDescent="0.35">
      <c r="A35" s="376">
        <v>46211.5625</v>
      </c>
      <c r="B35" s="102">
        <v>2.95</v>
      </c>
      <c r="C35" s="102">
        <v>3.01</v>
      </c>
      <c r="D35" s="102">
        <v>2.87</v>
      </c>
      <c r="E35" s="325">
        <v>2.92</v>
      </c>
      <c r="F35">
        <v>10696800</v>
      </c>
    </row>
    <row r="36" spans="1:6" ht="15" customHeight="1" x14ac:dyDescent="0.35">
      <c r="A36" s="376">
        <v>46210.5625</v>
      </c>
      <c r="B36" s="102">
        <v>3.01</v>
      </c>
      <c r="C36" s="102">
        <v>3.11</v>
      </c>
      <c r="D36" s="102">
        <v>2.9750000000000001</v>
      </c>
      <c r="E36" s="325">
        <v>2.99</v>
      </c>
      <c r="F36">
        <v>6327700</v>
      </c>
    </row>
    <row r="37" spans="1:6" ht="15" customHeight="1" x14ac:dyDescent="0.35">
      <c r="A37" s="376">
        <v>46209.5625</v>
      </c>
      <c r="B37" s="102">
        <v>2.95</v>
      </c>
      <c r="C37" s="102">
        <v>3.0049999999999999</v>
      </c>
      <c r="D37" s="102">
        <v>2.83</v>
      </c>
      <c r="E37" s="325">
        <v>2.93</v>
      </c>
      <c r="F37">
        <v>15081500</v>
      </c>
    </row>
    <row r="38" spans="1:6" ht="15" customHeight="1" x14ac:dyDescent="0.35">
      <c r="A38" s="376">
        <v>46205.5625</v>
      </c>
      <c r="B38" s="102">
        <v>2.82</v>
      </c>
      <c r="C38" s="102">
        <v>3.04</v>
      </c>
      <c r="D38" s="102">
        <v>2.82</v>
      </c>
      <c r="E38" s="325">
        <v>2.99</v>
      </c>
      <c r="F38">
        <v>11699900</v>
      </c>
    </row>
    <row r="39" spans="1:6" ht="15" customHeight="1" x14ac:dyDescent="0.35">
      <c r="A39" s="376">
        <v>46204.5625</v>
      </c>
      <c r="B39" s="102">
        <v>2.99</v>
      </c>
      <c r="C39" s="102">
        <v>3.03</v>
      </c>
      <c r="D39" s="102">
        <v>2.83</v>
      </c>
      <c r="E39" s="325">
        <v>2.84</v>
      </c>
      <c r="F39">
        <v>12710600</v>
      </c>
    </row>
    <row r="40" spans="1:6" ht="15" customHeight="1" x14ac:dyDescent="0.35">
      <c r="A40" s="376">
        <v>46203.5625</v>
      </c>
      <c r="B40" s="102">
        <v>2.8650000000000002</v>
      </c>
      <c r="C40" s="102">
        <v>2.94</v>
      </c>
      <c r="D40" s="102">
        <v>2.835</v>
      </c>
      <c r="E40" s="325">
        <v>2.93</v>
      </c>
      <c r="F40">
        <v>10126000</v>
      </c>
    </row>
    <row r="41" spans="1:6" ht="15" customHeight="1" x14ac:dyDescent="0.35">
      <c r="A41" s="376">
        <v>46202.5625</v>
      </c>
      <c r="B41" s="102">
        <v>2.94</v>
      </c>
      <c r="C41" s="102">
        <v>2.97</v>
      </c>
      <c r="D41" s="102">
        <v>2.81</v>
      </c>
      <c r="E41" s="325">
        <v>2.92</v>
      </c>
      <c r="F41">
        <v>14903400</v>
      </c>
    </row>
    <row r="42" spans="1:6" ht="15" customHeight="1" x14ac:dyDescent="0.35">
      <c r="A42" s="376">
        <v>46199.5625</v>
      </c>
      <c r="B42" s="102">
        <v>2.61</v>
      </c>
      <c r="C42" s="102">
        <v>2.9350000000000001</v>
      </c>
      <c r="D42" s="102">
        <v>2.61</v>
      </c>
      <c r="E42" s="325">
        <v>2.89</v>
      </c>
      <c r="F42">
        <v>45330300</v>
      </c>
    </row>
    <row r="43" spans="1:6" ht="15" customHeight="1" x14ac:dyDescent="0.35">
      <c r="A43" s="376">
        <v>46198.5625</v>
      </c>
      <c r="B43" s="102">
        <v>2.7749999999999999</v>
      </c>
      <c r="C43" s="102">
        <v>2.7749999999999999</v>
      </c>
      <c r="D43" s="102">
        <v>2.605</v>
      </c>
      <c r="E43" s="325">
        <v>2.61</v>
      </c>
      <c r="F43">
        <v>9969300</v>
      </c>
    </row>
    <row r="44" spans="1:6" ht="15" customHeight="1" x14ac:dyDescent="0.35">
      <c r="A44" s="376">
        <v>46197.5625</v>
      </c>
      <c r="B44" s="102">
        <v>2.7149999999999999</v>
      </c>
      <c r="C44" s="102">
        <v>2.855</v>
      </c>
      <c r="D44" s="102">
        <v>2.7</v>
      </c>
      <c r="E44" s="325">
        <v>2.83</v>
      </c>
      <c r="F44">
        <v>11400900</v>
      </c>
    </row>
    <row r="45" spans="1:6" ht="15" customHeight="1" x14ac:dyDescent="0.35">
      <c r="A45" s="376">
        <v>46196.5625</v>
      </c>
      <c r="B45" s="102">
        <v>2.6</v>
      </c>
      <c r="C45" s="102">
        <v>2.79</v>
      </c>
      <c r="D45" s="102">
        <v>2.6</v>
      </c>
      <c r="E45" s="325">
        <v>2.71</v>
      </c>
      <c r="F45">
        <v>11109800</v>
      </c>
    </row>
    <row r="46" spans="1:6" ht="15" customHeight="1" x14ac:dyDescent="0.35">
      <c r="A46" s="376">
        <v>46195.5625</v>
      </c>
      <c r="B46" s="102">
        <v>2.78</v>
      </c>
      <c r="C46" s="102">
        <v>2.79</v>
      </c>
      <c r="D46" s="102">
        <v>2.54</v>
      </c>
      <c r="E46" s="325">
        <v>2.65</v>
      </c>
      <c r="F46">
        <v>14099200</v>
      </c>
    </row>
    <row r="47" spans="1:6" ht="15" customHeight="1" x14ac:dyDescent="0.35">
      <c r="A47" s="376">
        <v>46191.5625</v>
      </c>
      <c r="B47" s="102">
        <v>2.62</v>
      </c>
      <c r="C47" s="102">
        <v>2.88</v>
      </c>
      <c r="D47" s="102">
        <v>2.6</v>
      </c>
      <c r="E47" s="325">
        <v>2.81</v>
      </c>
      <c r="F47">
        <v>19859700</v>
      </c>
    </row>
    <row r="48" spans="1:6" ht="15" customHeight="1" x14ac:dyDescent="0.35">
      <c r="A48" s="376">
        <v>46190.5625</v>
      </c>
      <c r="B48" s="102">
        <v>2.76</v>
      </c>
      <c r="C48" s="102">
        <v>2.84</v>
      </c>
      <c r="D48" s="102">
        <v>2.66</v>
      </c>
      <c r="E48" s="325">
        <v>2.68</v>
      </c>
      <c r="F48">
        <v>6809200</v>
      </c>
    </row>
    <row r="49" spans="1:6" ht="15" customHeight="1" x14ac:dyDescent="0.35">
      <c r="A49" s="376">
        <v>46189.5625</v>
      </c>
      <c r="B49" s="102">
        <v>2.85</v>
      </c>
      <c r="C49" s="102">
        <v>2.88</v>
      </c>
      <c r="D49" s="102">
        <v>2.73</v>
      </c>
      <c r="E49" s="325">
        <v>2.8</v>
      </c>
      <c r="F49">
        <v>6572600</v>
      </c>
    </row>
    <row r="50" spans="1:6" ht="15" customHeight="1" x14ac:dyDescent="0.35">
      <c r="A50" s="376">
        <v>46188.5625</v>
      </c>
      <c r="B50" s="102">
        <v>2.83</v>
      </c>
      <c r="C50" s="102">
        <v>2.8660000000000001</v>
      </c>
      <c r="D50" s="102">
        <v>2.76</v>
      </c>
      <c r="E50" s="325">
        <v>2.84</v>
      </c>
      <c r="F50">
        <v>9967900</v>
      </c>
    </row>
    <row r="51" spans="1:6" ht="15" customHeight="1" x14ac:dyDescent="0.35">
      <c r="A51" s="376">
        <v>46185.5625</v>
      </c>
      <c r="B51" s="102">
        <v>2.69</v>
      </c>
      <c r="C51" s="102">
        <v>2.8450000000000002</v>
      </c>
      <c r="D51" s="102">
        <v>2.59</v>
      </c>
      <c r="E51" s="325">
        <v>2.81</v>
      </c>
      <c r="F51">
        <v>14201600</v>
      </c>
    </row>
    <row r="52" spans="1:6" ht="15" customHeight="1" x14ac:dyDescent="0.35">
      <c r="A52" s="376">
        <v>46184.5625</v>
      </c>
      <c r="B52" s="102">
        <v>2.7050000000000001</v>
      </c>
      <c r="C52" s="102">
        <v>2.73</v>
      </c>
      <c r="D52" s="102">
        <v>2.59</v>
      </c>
      <c r="E52" s="325">
        <v>2.68</v>
      </c>
      <c r="F52">
        <v>10494300</v>
      </c>
    </row>
    <row r="53" spans="1:6" ht="15" customHeight="1" x14ac:dyDescent="0.35">
      <c r="A53" s="376">
        <v>46183.5625</v>
      </c>
      <c r="B53" s="102">
        <v>2.7149999999999999</v>
      </c>
      <c r="C53" s="102">
        <v>2.84</v>
      </c>
      <c r="D53" s="102">
        <v>2.6850000000000001</v>
      </c>
      <c r="E53" s="325">
        <v>2.7</v>
      </c>
      <c r="F53">
        <v>9887500</v>
      </c>
    </row>
    <row r="54" spans="1:6" ht="15" customHeight="1" x14ac:dyDescent="0.35">
      <c r="A54" s="376">
        <v>46182.5625</v>
      </c>
      <c r="B54" s="102">
        <v>2.85</v>
      </c>
      <c r="C54" s="102">
        <v>2.91</v>
      </c>
      <c r="D54" s="102">
        <v>2.74</v>
      </c>
      <c r="E54" s="325">
        <v>2.77</v>
      </c>
      <c r="F54">
        <v>8831700</v>
      </c>
    </row>
    <row r="55" spans="1:6" ht="15" customHeight="1" x14ac:dyDescent="0.35">
      <c r="A55" s="376">
        <v>46181.5625</v>
      </c>
      <c r="B55" s="102">
        <v>2.95</v>
      </c>
      <c r="C55" s="102">
        <v>2.9689999999999999</v>
      </c>
      <c r="D55" s="102">
        <v>2.84</v>
      </c>
      <c r="E55" s="325">
        <v>2.85</v>
      </c>
      <c r="F55">
        <v>7761800</v>
      </c>
    </row>
    <row r="56" spans="1:6" ht="15" customHeight="1" x14ac:dyDescent="0.35">
      <c r="A56" s="376">
        <v>46178.5625</v>
      </c>
      <c r="B56" s="102">
        <v>3.03</v>
      </c>
      <c r="C56" s="102">
        <v>3.07</v>
      </c>
      <c r="D56" s="102">
        <v>2.89</v>
      </c>
      <c r="E56" s="325">
        <v>2.98</v>
      </c>
      <c r="F56">
        <v>11539300</v>
      </c>
    </row>
    <row r="57" spans="1:6" ht="15" customHeight="1" x14ac:dyDescent="0.35">
      <c r="A57" s="376">
        <v>46177.5625</v>
      </c>
      <c r="B57" s="102">
        <v>3.21</v>
      </c>
      <c r="C57" s="102">
        <v>3.24</v>
      </c>
      <c r="D57" s="102">
        <v>2.99</v>
      </c>
      <c r="E57" s="325">
        <v>3.03</v>
      </c>
      <c r="F57">
        <v>8902000</v>
      </c>
    </row>
    <row r="58" spans="1:6" ht="15" customHeight="1" x14ac:dyDescent="0.35">
      <c r="A58" s="376">
        <v>46176.5625</v>
      </c>
      <c r="B58" s="102">
        <v>3.42</v>
      </c>
      <c r="C58" s="102">
        <v>3.42</v>
      </c>
      <c r="D58" s="102">
        <v>2.94</v>
      </c>
      <c r="E58" s="325">
        <v>3.12</v>
      </c>
      <c r="F58">
        <v>21632200</v>
      </c>
    </row>
    <row r="59" spans="1:6" ht="15" customHeight="1" x14ac:dyDescent="0.35">
      <c r="A59" s="376">
        <v>46175.5625</v>
      </c>
      <c r="B59" s="102">
        <v>3.64</v>
      </c>
      <c r="C59" s="102">
        <v>3.73</v>
      </c>
      <c r="D59" s="102">
        <v>3.29</v>
      </c>
      <c r="E59" s="325">
        <v>3.4249999999999998</v>
      </c>
      <c r="F59">
        <v>25277500</v>
      </c>
    </row>
    <row r="60" spans="1:6" ht="15" customHeight="1" x14ac:dyDescent="0.35">
      <c r="A60" s="376">
        <v>46174.5625</v>
      </c>
      <c r="B60" s="102">
        <v>3.43</v>
      </c>
      <c r="C60" s="102">
        <v>3.88</v>
      </c>
      <c r="D60" s="102">
        <v>3.43</v>
      </c>
      <c r="E60" s="325">
        <v>3.82</v>
      </c>
      <c r="F60">
        <v>19968700</v>
      </c>
    </row>
    <row r="61" spans="1:6" ht="15" customHeight="1" x14ac:dyDescent="0.35">
      <c r="A61" s="376">
        <v>46171.5625</v>
      </c>
      <c r="B61" s="102">
        <v>3.3650000000000002</v>
      </c>
      <c r="C61" s="102">
        <v>3.43</v>
      </c>
      <c r="D61" s="102">
        <v>3.28</v>
      </c>
      <c r="E61" s="325">
        <v>3.33</v>
      </c>
      <c r="F61">
        <v>18745900</v>
      </c>
    </row>
    <row r="62" spans="1:6" ht="15" customHeight="1" x14ac:dyDescent="0.35">
      <c r="A62" s="376">
        <v>46170.5625</v>
      </c>
      <c r="B62" s="102">
        <v>3.31</v>
      </c>
      <c r="C62" s="102">
        <v>3.3450000000000002</v>
      </c>
      <c r="D62" s="102">
        <v>3.19</v>
      </c>
      <c r="E62" s="325">
        <v>3.21</v>
      </c>
      <c r="F62">
        <v>10994800</v>
      </c>
    </row>
    <row r="63" spans="1:6" ht="15" customHeight="1" x14ac:dyDescent="0.35">
      <c r="A63" s="376">
        <v>46169.5625</v>
      </c>
      <c r="B63" s="102">
        <v>3.46</v>
      </c>
      <c r="C63" s="102">
        <v>3.52</v>
      </c>
      <c r="D63" s="102">
        <v>3.24</v>
      </c>
      <c r="E63" s="325">
        <v>3.25</v>
      </c>
      <c r="F63">
        <v>12754400</v>
      </c>
    </row>
    <row r="64" spans="1:6" ht="15" customHeight="1" x14ac:dyDescent="0.35">
      <c r="A64" s="376">
        <v>46168.5625</v>
      </c>
      <c r="B64" s="102">
        <v>3.59</v>
      </c>
      <c r="C64" s="102">
        <v>3.665</v>
      </c>
      <c r="D64" s="102">
        <v>3.49</v>
      </c>
      <c r="E64" s="325">
        <v>3.5</v>
      </c>
      <c r="F64">
        <v>9402600</v>
      </c>
    </row>
    <row r="65" spans="1:6" ht="15" customHeight="1" x14ac:dyDescent="0.35">
      <c r="A65" s="376">
        <v>46164.5625</v>
      </c>
      <c r="B65" s="102">
        <v>3.6</v>
      </c>
      <c r="C65" s="102">
        <v>3.75</v>
      </c>
      <c r="D65" s="102">
        <v>3.55</v>
      </c>
      <c r="E65" s="325">
        <v>3.61</v>
      </c>
      <c r="F65">
        <v>8223100</v>
      </c>
    </row>
    <row r="66" spans="1:6" ht="15" customHeight="1" x14ac:dyDescent="0.35">
      <c r="A66" s="376">
        <v>46163.5625</v>
      </c>
      <c r="B66" s="102">
        <v>3.58</v>
      </c>
      <c r="C66" s="102">
        <v>3.6349999999999998</v>
      </c>
      <c r="D66" s="102">
        <v>3.46</v>
      </c>
      <c r="E66" s="325">
        <v>3.57</v>
      </c>
      <c r="F66">
        <v>13774200</v>
      </c>
    </row>
    <row r="67" spans="1:6" ht="15" customHeight="1" x14ac:dyDescent="0.35">
      <c r="A67" s="376">
        <v>46162.5625</v>
      </c>
      <c r="B67" s="102">
        <v>3.75</v>
      </c>
      <c r="C67" s="102">
        <v>3.7850000000000001</v>
      </c>
      <c r="D67" s="102">
        <v>3.645</v>
      </c>
      <c r="E67" s="325">
        <v>3.67</v>
      </c>
      <c r="F67">
        <v>12117200</v>
      </c>
    </row>
    <row r="68" spans="1:6" ht="15" customHeight="1" x14ac:dyDescent="0.35">
      <c r="A68" s="376">
        <v>46161.5625</v>
      </c>
      <c r="B68" s="102">
        <v>3.93</v>
      </c>
      <c r="C68" s="102">
        <v>3.99</v>
      </c>
      <c r="D68" s="102">
        <v>3.7650000000000001</v>
      </c>
      <c r="E68" s="325">
        <v>3.81</v>
      </c>
      <c r="F68">
        <v>7118200</v>
      </c>
    </row>
    <row r="69" spans="1:6" ht="15" customHeight="1" x14ac:dyDescent="0.35">
      <c r="A69" s="376">
        <v>46160.5625</v>
      </c>
      <c r="B69" s="102">
        <v>3.86</v>
      </c>
      <c r="C69" s="102">
        <v>4.05</v>
      </c>
      <c r="D69" s="102">
        <v>3.85</v>
      </c>
      <c r="E69" s="325">
        <v>3.92</v>
      </c>
      <c r="F69">
        <v>8401800</v>
      </c>
    </row>
    <row r="70" spans="1:6" ht="15" customHeight="1" x14ac:dyDescent="0.35">
      <c r="A70" s="376">
        <v>46157.5625</v>
      </c>
      <c r="B70" s="102">
        <v>3.9</v>
      </c>
      <c r="C70" s="102">
        <v>3.9849999999999999</v>
      </c>
      <c r="D70" s="102">
        <v>3.76</v>
      </c>
      <c r="E70" s="325">
        <v>3.86</v>
      </c>
      <c r="F70">
        <v>11959000</v>
      </c>
    </row>
    <row r="71" spans="1:6" ht="15" customHeight="1" x14ac:dyDescent="0.35">
      <c r="A71" s="376">
        <v>46156.5625</v>
      </c>
      <c r="B71" s="102">
        <v>3.99</v>
      </c>
      <c r="C71" s="102">
        <v>4.0250000000000004</v>
      </c>
      <c r="D71" s="102">
        <v>3.76</v>
      </c>
      <c r="E71" s="325">
        <v>3.9</v>
      </c>
      <c r="F71">
        <v>16903200</v>
      </c>
    </row>
    <row r="72" spans="1:6" ht="15" customHeight="1" x14ac:dyDescent="0.35">
      <c r="A72" s="376">
        <v>46155.5625</v>
      </c>
      <c r="B72" s="102">
        <v>3.9849999999999999</v>
      </c>
      <c r="C72" s="102">
        <v>4.1150000000000002</v>
      </c>
      <c r="D72" s="102">
        <v>3.85</v>
      </c>
      <c r="E72" s="325">
        <v>3.96</v>
      </c>
      <c r="F72">
        <v>20553600</v>
      </c>
    </row>
    <row r="73" spans="1:6" ht="15" customHeight="1" x14ac:dyDescent="0.35">
      <c r="A73" s="376">
        <v>46154.5625</v>
      </c>
      <c r="B73" s="102">
        <v>4</v>
      </c>
      <c r="C73" s="102">
        <v>4.4000000000000004</v>
      </c>
      <c r="D73" s="102">
        <v>3.87</v>
      </c>
      <c r="E73" s="325">
        <v>4.0599999999999996</v>
      </c>
      <c r="F73">
        <v>42419100</v>
      </c>
    </row>
    <row r="74" spans="1:6" ht="15" customHeight="1" x14ac:dyDescent="0.35">
      <c r="A74" s="376">
        <v>46153.5625</v>
      </c>
      <c r="B74" s="102">
        <v>6.35</v>
      </c>
      <c r="C74" s="102">
        <v>6.66</v>
      </c>
      <c r="D74" s="102">
        <v>5.9850000000000003</v>
      </c>
      <c r="E74" s="325">
        <v>6.04</v>
      </c>
      <c r="F74">
        <v>23425300</v>
      </c>
    </row>
    <row r="75" spans="1:6" ht="15" customHeight="1" x14ac:dyDescent="0.35">
      <c r="A75" s="376">
        <v>46150.5625</v>
      </c>
      <c r="B75" s="102">
        <v>6.54</v>
      </c>
      <c r="C75" s="102">
        <v>6.59</v>
      </c>
      <c r="D75" s="102">
        <v>6.2</v>
      </c>
      <c r="E75" s="325">
        <v>6.38</v>
      </c>
      <c r="F75">
        <v>19864100</v>
      </c>
    </row>
    <row r="76" spans="1:6" ht="15" customHeight="1" x14ac:dyDescent="0.35">
      <c r="A76" s="376">
        <v>46149.5625</v>
      </c>
      <c r="B76" s="102">
        <v>6.68</v>
      </c>
      <c r="C76" s="102">
        <v>6.8680000000000003</v>
      </c>
      <c r="D76" s="102">
        <v>6.5650000000000004</v>
      </c>
      <c r="E76" s="325">
        <v>6.63</v>
      </c>
      <c r="F76">
        <v>7560400</v>
      </c>
    </row>
    <row r="77" spans="1:6" ht="15" customHeight="1" x14ac:dyDescent="0.35">
      <c r="A77" s="376">
        <v>46148.5625</v>
      </c>
      <c r="B77" s="102">
        <v>6.46</v>
      </c>
      <c r="C77" s="102">
        <v>6.55</v>
      </c>
      <c r="D77" s="102">
        <v>6.35</v>
      </c>
      <c r="E77" s="325">
        <v>6.5</v>
      </c>
      <c r="F77">
        <v>7266900</v>
      </c>
    </row>
    <row r="78" spans="1:6" ht="15" customHeight="1" x14ac:dyDescent="0.35">
      <c r="A78" s="376">
        <v>46147.5625</v>
      </c>
      <c r="B78" s="102">
        <v>6.54</v>
      </c>
      <c r="C78" s="102">
        <v>6.6</v>
      </c>
      <c r="D78" s="102">
        <v>6.4050000000000002</v>
      </c>
      <c r="E78" s="325">
        <v>6.56</v>
      </c>
      <c r="F78">
        <v>4426000</v>
      </c>
    </row>
    <row r="79" spans="1:6" ht="15" customHeight="1" x14ac:dyDescent="0.35">
      <c r="A79" s="376">
        <v>46146.5625</v>
      </c>
      <c r="B79" s="102">
        <v>6.64</v>
      </c>
      <c r="C79" s="102">
        <v>6.7510000000000003</v>
      </c>
      <c r="D79" s="102">
        <v>6.4850000000000003</v>
      </c>
      <c r="E79" s="325">
        <v>6.52</v>
      </c>
      <c r="F79">
        <v>6208900</v>
      </c>
    </row>
    <row r="80" spans="1:6" ht="15" customHeight="1" x14ac:dyDescent="0.35">
      <c r="A80" s="376">
        <v>46143.5625</v>
      </c>
      <c r="B80" s="102">
        <v>6.4980000000000002</v>
      </c>
      <c r="C80" s="102">
        <v>6.7149999999999999</v>
      </c>
      <c r="D80" s="102">
        <v>6.35</v>
      </c>
      <c r="E80" s="325">
        <v>6.65</v>
      </c>
      <c r="F80">
        <v>8659500</v>
      </c>
    </row>
    <row r="81" spans="1:6" ht="15" customHeight="1" x14ac:dyDescent="0.35">
      <c r="A81" s="376">
        <v>46142.5625</v>
      </c>
      <c r="B81" s="102">
        <v>6.1</v>
      </c>
      <c r="C81" s="102">
        <v>6.27</v>
      </c>
      <c r="D81" s="102">
        <v>6.03</v>
      </c>
      <c r="E81" s="325">
        <v>6.25</v>
      </c>
      <c r="F81">
        <v>5811100</v>
      </c>
    </row>
    <row r="82" spans="1:6" ht="15" customHeight="1" x14ac:dyDescent="0.35">
      <c r="A82" s="376">
        <v>46141.5625</v>
      </c>
      <c r="B82" s="102">
        <v>6.1</v>
      </c>
      <c r="C82" s="102">
        <v>6.2350000000000003</v>
      </c>
      <c r="D82" s="102">
        <v>6.0250000000000004</v>
      </c>
      <c r="E82" s="325">
        <v>6.13</v>
      </c>
      <c r="F82">
        <v>5277000</v>
      </c>
    </row>
    <row r="83" spans="1:6" ht="15" customHeight="1" x14ac:dyDescent="0.35">
      <c r="A83" s="376">
        <v>46140.5625</v>
      </c>
      <c r="B83" s="102">
        <v>6.09</v>
      </c>
      <c r="C83" s="102">
        <v>6.3550000000000004</v>
      </c>
      <c r="D83" s="102">
        <v>6.08</v>
      </c>
      <c r="E83" s="325">
        <v>6.18</v>
      </c>
      <c r="F83">
        <v>7794600</v>
      </c>
    </row>
    <row r="84" spans="1:6" ht="15" customHeight="1" x14ac:dyDescent="0.35">
      <c r="A84" s="376">
        <v>46139.5625</v>
      </c>
      <c r="B84" s="102">
        <v>6.1</v>
      </c>
      <c r="C84" s="102">
        <v>6.2850000000000001</v>
      </c>
      <c r="D84" s="102">
        <v>6.04</v>
      </c>
      <c r="E84" s="325">
        <v>6.06</v>
      </c>
      <c r="F84">
        <v>6132700</v>
      </c>
    </row>
    <row r="85" spans="1:6" ht="15" customHeight="1" x14ac:dyDescent="0.35">
      <c r="A85" s="376">
        <v>46136.5625</v>
      </c>
      <c r="B85" s="102">
        <v>5.9</v>
      </c>
      <c r="C85" s="102">
        <v>6.13</v>
      </c>
      <c r="D85" s="102">
        <v>5.73</v>
      </c>
      <c r="E85" s="325">
        <v>6.13</v>
      </c>
      <c r="F85">
        <v>7288500</v>
      </c>
    </row>
    <row r="86" spans="1:6" ht="15" customHeight="1" x14ac:dyDescent="0.35">
      <c r="A86" s="376">
        <v>46135.5625</v>
      </c>
      <c r="B86" s="102">
        <v>6.17</v>
      </c>
      <c r="C86" s="102">
        <v>6.25</v>
      </c>
      <c r="D86" s="102">
        <v>5.72</v>
      </c>
      <c r="E86" s="325">
        <v>5.87</v>
      </c>
      <c r="F86">
        <v>7186000</v>
      </c>
    </row>
    <row r="87" spans="1:6" ht="15" customHeight="1" x14ac:dyDescent="0.35">
      <c r="A87" s="376">
        <v>46134.5625</v>
      </c>
      <c r="B87" s="102">
        <v>6.29</v>
      </c>
      <c r="C87" s="102">
        <v>6.37</v>
      </c>
      <c r="D87" s="102">
        <v>6.1950000000000003</v>
      </c>
      <c r="E87" s="325">
        <v>6.36</v>
      </c>
      <c r="F87">
        <v>4898500</v>
      </c>
    </row>
    <row r="88" spans="1:6" ht="15" customHeight="1" x14ac:dyDescent="0.35">
      <c r="A88" s="376">
        <v>46133.5625</v>
      </c>
      <c r="B88" s="102">
        <v>6.25</v>
      </c>
      <c r="C88" s="102">
        <v>6.42</v>
      </c>
      <c r="D88" s="102">
        <v>6.13</v>
      </c>
      <c r="E88" s="325">
        <v>6.21</v>
      </c>
      <c r="F88">
        <v>4304900</v>
      </c>
    </row>
    <row r="89" spans="1:6" ht="15" customHeight="1" x14ac:dyDescent="0.35">
      <c r="A89" s="376">
        <v>46132.5625</v>
      </c>
      <c r="B89" s="102">
        <v>6.14</v>
      </c>
      <c r="C89" s="102">
        <v>6.31</v>
      </c>
      <c r="D89" s="102">
        <v>6.0250000000000004</v>
      </c>
      <c r="E89" s="325">
        <v>6.24</v>
      </c>
      <c r="F89">
        <v>5411400</v>
      </c>
    </row>
    <row r="90" spans="1:6" ht="15" customHeight="1" x14ac:dyDescent="0.35">
      <c r="A90" s="376">
        <v>46129.5625</v>
      </c>
      <c r="B90" s="102">
        <v>6.28</v>
      </c>
      <c r="C90" s="102">
        <v>6.4</v>
      </c>
      <c r="D90" s="102">
        <v>6.2</v>
      </c>
      <c r="E90" s="325">
        <v>6.21</v>
      </c>
      <c r="F90">
        <v>9273300</v>
      </c>
    </row>
    <row r="91" spans="1:6" ht="15" customHeight="1" x14ac:dyDescent="0.35">
      <c r="A91" s="376">
        <v>46128.5625</v>
      </c>
      <c r="B91" s="102">
        <v>6.27</v>
      </c>
      <c r="C91" s="102">
        <v>6.47</v>
      </c>
      <c r="D91" s="102">
        <v>6.08</v>
      </c>
      <c r="E91" s="325">
        <v>6.17</v>
      </c>
      <c r="F91">
        <v>8799100</v>
      </c>
    </row>
    <row r="92" spans="1:6" ht="15" customHeight="1" x14ac:dyDescent="0.35">
      <c r="A92" s="376">
        <v>46127.5625</v>
      </c>
      <c r="B92" s="102">
        <v>5.9249999999999998</v>
      </c>
      <c r="C92" s="102">
        <v>6.3</v>
      </c>
      <c r="D92" s="102">
        <v>5.88</v>
      </c>
      <c r="E92" s="325">
        <v>6.15</v>
      </c>
      <c r="F92">
        <v>13834500</v>
      </c>
    </row>
    <row r="93" spans="1:6" ht="15" customHeight="1" x14ac:dyDescent="0.35">
      <c r="A93" s="376">
        <v>46126.5625</v>
      </c>
      <c r="B93" s="102">
        <v>5.59</v>
      </c>
      <c r="C93" s="102">
        <v>5.8949999999999996</v>
      </c>
      <c r="D93" s="102">
        <v>5.5449999999999999</v>
      </c>
      <c r="E93" s="325">
        <v>5.79</v>
      </c>
      <c r="F93">
        <v>11957700</v>
      </c>
    </row>
    <row r="94" spans="1:6" ht="15" customHeight="1" x14ac:dyDescent="0.35">
      <c r="A94" s="376">
        <v>46125.5625</v>
      </c>
      <c r="B94" s="102">
        <v>5.22</v>
      </c>
      <c r="C94" s="102">
        <v>5.52</v>
      </c>
      <c r="D94" s="102">
        <v>5.17</v>
      </c>
      <c r="E94" s="325">
        <v>5.52</v>
      </c>
      <c r="F94">
        <v>22082200</v>
      </c>
    </row>
    <row r="95" spans="1:6" ht="15" customHeight="1" x14ac:dyDescent="0.35">
      <c r="A95" s="376">
        <v>46122.5625</v>
      </c>
      <c r="B95" s="102">
        <v>5.37</v>
      </c>
      <c r="C95" s="102">
        <v>5.49</v>
      </c>
      <c r="D95" s="102">
        <v>5.15</v>
      </c>
      <c r="E95" s="325">
        <v>5.23</v>
      </c>
      <c r="F95">
        <v>18799600</v>
      </c>
    </row>
    <row r="96" spans="1:6" ht="15" customHeight="1" x14ac:dyDescent="0.35">
      <c r="A96" s="376">
        <v>46121.5625</v>
      </c>
      <c r="B96" s="102">
        <v>5.56</v>
      </c>
      <c r="C96" s="102">
        <v>5.66</v>
      </c>
      <c r="D96" s="102">
        <v>5.2149999999999999</v>
      </c>
      <c r="E96" s="325">
        <v>5.4</v>
      </c>
      <c r="F96">
        <v>14444600</v>
      </c>
    </row>
    <row r="97" spans="1:6" ht="15" customHeight="1" x14ac:dyDescent="0.35">
      <c r="A97" s="376">
        <v>46120.5625</v>
      </c>
      <c r="B97" s="102">
        <v>6.05</v>
      </c>
      <c r="C97" s="102">
        <v>6.13</v>
      </c>
      <c r="D97" s="102">
        <v>5.5949999999999998</v>
      </c>
      <c r="E97" s="325">
        <v>5.63</v>
      </c>
      <c r="F97">
        <v>10572200</v>
      </c>
    </row>
    <row r="98" spans="1:6" ht="15" customHeight="1" x14ac:dyDescent="0.35">
      <c r="A98" s="376">
        <v>46119.5625</v>
      </c>
      <c r="B98" s="102">
        <v>5.92</v>
      </c>
      <c r="C98" s="102">
        <v>6.05</v>
      </c>
      <c r="D98" s="102">
        <v>5.77</v>
      </c>
      <c r="E98" s="325">
        <v>5.8</v>
      </c>
      <c r="F98">
        <v>6785500</v>
      </c>
    </row>
    <row r="99" spans="1:6" ht="15" customHeight="1" x14ac:dyDescent="0.35">
      <c r="A99" s="376">
        <v>46118.5625</v>
      </c>
      <c r="B99" s="102">
        <v>5.82</v>
      </c>
      <c r="C99" s="102">
        <v>6.07</v>
      </c>
      <c r="D99" s="102">
        <v>5.82</v>
      </c>
      <c r="E99" s="325">
        <v>5.94</v>
      </c>
      <c r="F99">
        <v>12121700</v>
      </c>
    </row>
    <row r="100" spans="1:6" ht="15" customHeight="1" x14ac:dyDescent="0.35">
      <c r="A100" s="376">
        <v>46114.5625</v>
      </c>
      <c r="B100" s="102">
        <v>5.85</v>
      </c>
      <c r="C100" s="102">
        <v>6.165</v>
      </c>
      <c r="D100" s="102">
        <v>5.73</v>
      </c>
      <c r="E100" s="325">
        <v>5.81</v>
      </c>
      <c r="F100">
        <v>11560400</v>
      </c>
    </row>
    <row r="101" spans="1:6" ht="15" customHeight="1" x14ac:dyDescent="0.35">
      <c r="A101" s="376">
        <v>46113.5625</v>
      </c>
      <c r="B101" s="102">
        <v>6.01</v>
      </c>
      <c r="C101" s="102">
        <v>6.04</v>
      </c>
      <c r="D101" s="102">
        <v>5.79</v>
      </c>
      <c r="E101" s="325">
        <v>5.85</v>
      </c>
      <c r="F101">
        <v>9605700</v>
      </c>
    </row>
    <row r="102" spans="1:6" ht="15" customHeight="1" x14ac:dyDescent="0.35">
      <c r="A102" s="376">
        <v>46112.5625</v>
      </c>
      <c r="B102" s="102">
        <v>6.02</v>
      </c>
      <c r="C102" s="102">
        <v>6.2</v>
      </c>
      <c r="D102" s="102">
        <v>5.9249999999999998</v>
      </c>
      <c r="E102" s="325">
        <v>5.98</v>
      </c>
      <c r="F102">
        <v>9181700</v>
      </c>
    </row>
    <row r="103" spans="1:6" ht="15" customHeight="1" x14ac:dyDescent="0.35">
      <c r="A103" s="376">
        <v>46111.5625</v>
      </c>
      <c r="B103" s="102">
        <v>5.77</v>
      </c>
      <c r="C103" s="102">
        <v>6.2350000000000003</v>
      </c>
      <c r="D103" s="102">
        <v>5.76</v>
      </c>
      <c r="E103" s="325">
        <v>5.97</v>
      </c>
      <c r="F103">
        <v>12636000</v>
      </c>
    </row>
    <row r="104" spans="1:6" ht="15" customHeight="1" x14ac:dyDescent="0.35">
      <c r="A104" s="376">
        <v>46108.5625</v>
      </c>
      <c r="B104" s="102">
        <v>5.82</v>
      </c>
      <c r="C104" s="102">
        <v>5.86</v>
      </c>
      <c r="D104" s="102">
        <v>5.63</v>
      </c>
      <c r="E104" s="325">
        <v>5.72</v>
      </c>
      <c r="F104">
        <v>5968800</v>
      </c>
    </row>
    <row r="105" spans="1:6" ht="15" customHeight="1" x14ac:dyDescent="0.35">
      <c r="A105" s="376">
        <v>46107.5625</v>
      </c>
      <c r="B105" s="102">
        <v>5.73</v>
      </c>
      <c r="C105" s="102">
        <v>6.0350000000000001</v>
      </c>
      <c r="D105" s="102">
        <v>5.73</v>
      </c>
      <c r="E105" s="325">
        <v>5.93</v>
      </c>
      <c r="F105">
        <v>6578600</v>
      </c>
    </row>
    <row r="106" spans="1:6" ht="15" customHeight="1" x14ac:dyDescent="0.35">
      <c r="A106" s="376">
        <v>46106.5625</v>
      </c>
      <c r="B106" s="102">
        <v>5.89</v>
      </c>
      <c r="C106" s="102">
        <v>5.98</v>
      </c>
      <c r="D106" s="102">
        <v>5.5650000000000004</v>
      </c>
      <c r="E106" s="325">
        <v>5.81</v>
      </c>
      <c r="F106">
        <v>7847200</v>
      </c>
    </row>
    <row r="107" spans="1:6" ht="15" customHeight="1" x14ac:dyDescent="0.35">
      <c r="A107" s="376">
        <v>46105.5625</v>
      </c>
      <c r="B107" s="102">
        <v>6.06</v>
      </c>
      <c r="C107" s="102">
        <v>6.0949999999999998</v>
      </c>
      <c r="D107" s="102">
        <v>5.7149999999999999</v>
      </c>
      <c r="E107" s="325">
        <v>5.75</v>
      </c>
      <c r="F107">
        <v>7672600</v>
      </c>
    </row>
    <row r="108" spans="1:6" ht="15" customHeight="1" x14ac:dyDescent="0.35">
      <c r="A108" s="376">
        <v>46104.5625</v>
      </c>
      <c r="B108" s="102">
        <v>5.92</v>
      </c>
      <c r="C108" s="102">
        <v>6.28</v>
      </c>
      <c r="D108" s="102">
        <v>5.92</v>
      </c>
      <c r="E108" s="325">
        <v>6.18</v>
      </c>
      <c r="F108">
        <v>12098900</v>
      </c>
    </row>
    <row r="109" spans="1:6" ht="15" customHeight="1" x14ac:dyDescent="0.35">
      <c r="A109" s="376">
        <v>46101.5625</v>
      </c>
      <c r="B109" s="102">
        <v>5.88</v>
      </c>
      <c r="C109" s="102">
        <v>5.97</v>
      </c>
      <c r="D109" s="102">
        <v>5.7149999999999999</v>
      </c>
      <c r="E109" s="325">
        <v>5.91</v>
      </c>
      <c r="F109">
        <v>56032800</v>
      </c>
    </row>
    <row r="110" spans="1:6" ht="15" customHeight="1" x14ac:dyDescent="0.35">
      <c r="A110" s="376">
        <v>46100.5625</v>
      </c>
      <c r="B110" s="102">
        <v>5.91</v>
      </c>
      <c r="C110" s="102">
        <v>6.13</v>
      </c>
      <c r="D110" s="102">
        <v>5.84</v>
      </c>
      <c r="E110" s="325">
        <v>5.95</v>
      </c>
      <c r="F110">
        <v>4554800</v>
      </c>
    </row>
    <row r="111" spans="1:6" ht="15" customHeight="1" x14ac:dyDescent="0.35">
      <c r="A111" s="376">
        <v>46099.5625</v>
      </c>
      <c r="B111" s="102">
        <v>5.77</v>
      </c>
      <c r="C111" s="102">
        <v>5.99</v>
      </c>
      <c r="D111" s="102">
        <v>5.74</v>
      </c>
      <c r="E111" s="325">
        <v>5.89</v>
      </c>
      <c r="F111">
        <v>4515100</v>
      </c>
    </row>
    <row r="112" spans="1:6" ht="15" customHeight="1" x14ac:dyDescent="0.35">
      <c r="A112" s="376">
        <v>46098.5625</v>
      </c>
      <c r="B112" s="102">
        <v>5.8</v>
      </c>
      <c r="C112" s="102">
        <v>6.06</v>
      </c>
      <c r="D112" s="102">
        <v>5.79</v>
      </c>
      <c r="E112" s="325">
        <v>5.86</v>
      </c>
      <c r="F112">
        <v>6197100</v>
      </c>
    </row>
    <row r="113" spans="1:6" ht="15" customHeight="1" x14ac:dyDescent="0.35">
      <c r="A113" s="376">
        <v>46097.5625</v>
      </c>
      <c r="B113" s="102">
        <v>5.9</v>
      </c>
      <c r="C113" s="102">
        <v>5.95</v>
      </c>
      <c r="D113" s="102">
        <v>5.78</v>
      </c>
      <c r="E113" s="325">
        <v>5.78</v>
      </c>
      <c r="F113">
        <v>6823200</v>
      </c>
    </row>
    <row r="114" spans="1:6" ht="15" customHeight="1" x14ac:dyDescent="0.35">
      <c r="A114" s="376">
        <v>46094.5625</v>
      </c>
      <c r="B114" s="102">
        <v>6.01</v>
      </c>
      <c r="C114" s="102">
        <v>6.0750000000000002</v>
      </c>
      <c r="D114" s="102">
        <v>5.74</v>
      </c>
      <c r="E114" s="325">
        <v>5.83</v>
      </c>
      <c r="F114">
        <v>9377700</v>
      </c>
    </row>
    <row r="115" spans="1:6" ht="15" customHeight="1" x14ac:dyDescent="0.35">
      <c r="A115" s="376">
        <v>46093.5625</v>
      </c>
      <c r="B115" s="102">
        <v>6.23</v>
      </c>
      <c r="C115" s="102">
        <v>6.36</v>
      </c>
      <c r="D115" s="102">
        <v>5.98</v>
      </c>
      <c r="E115" s="325">
        <v>6</v>
      </c>
      <c r="F115">
        <v>7495100</v>
      </c>
    </row>
    <row r="116" spans="1:6" ht="15" customHeight="1" x14ac:dyDescent="0.35">
      <c r="A116" s="376">
        <v>46092.5625</v>
      </c>
      <c r="B116" s="102">
        <v>6.4</v>
      </c>
      <c r="C116" s="102">
        <v>6.55</v>
      </c>
      <c r="D116" s="102">
        <v>6.2050000000000001</v>
      </c>
      <c r="E116" s="325">
        <v>6.29</v>
      </c>
      <c r="F116">
        <v>6838300</v>
      </c>
    </row>
    <row r="117" spans="1:6" ht="15" customHeight="1" x14ac:dyDescent="0.35">
      <c r="A117" s="376">
        <v>46091.5625</v>
      </c>
      <c r="B117" s="102">
        <v>6.51</v>
      </c>
      <c r="C117" s="102">
        <v>6.55</v>
      </c>
      <c r="D117" s="102">
        <v>6.23</v>
      </c>
      <c r="E117" s="325">
        <v>6.31</v>
      </c>
      <c r="F117">
        <v>5928900</v>
      </c>
    </row>
    <row r="118" spans="1:6" ht="15" customHeight="1" x14ac:dyDescent="0.35">
      <c r="A118" s="376">
        <v>46090.5625</v>
      </c>
      <c r="B118" s="102">
        <v>6.46</v>
      </c>
      <c r="C118" s="102">
        <v>6.5750000000000002</v>
      </c>
      <c r="D118" s="102">
        <v>6.2249999999999996</v>
      </c>
      <c r="E118" s="325">
        <v>6.5</v>
      </c>
      <c r="F118">
        <v>6563700</v>
      </c>
    </row>
    <row r="119" spans="1:6" ht="15" customHeight="1" x14ac:dyDescent="0.35">
      <c r="A119" s="376">
        <v>46087.604166666657</v>
      </c>
      <c r="B119" s="102">
        <v>6.45</v>
      </c>
      <c r="C119" s="102">
        <v>6.64</v>
      </c>
      <c r="D119" s="102">
        <v>6.37</v>
      </c>
      <c r="E119" s="325">
        <v>6.56</v>
      </c>
      <c r="F119">
        <v>5661900</v>
      </c>
    </row>
    <row r="120" spans="1:6" ht="15" customHeight="1" x14ac:dyDescent="0.35">
      <c r="A120" s="376">
        <v>46086.604166666657</v>
      </c>
      <c r="B120" s="102">
        <v>6.26</v>
      </c>
      <c r="C120" s="102">
        <v>6.62</v>
      </c>
      <c r="D120" s="102">
        <v>6.24</v>
      </c>
      <c r="E120" s="325">
        <v>6.59</v>
      </c>
      <c r="F120">
        <v>6292300</v>
      </c>
    </row>
    <row r="121" spans="1:6" ht="15" customHeight="1" x14ac:dyDescent="0.35">
      <c r="A121" s="376">
        <v>46085.604166666657</v>
      </c>
      <c r="B121" s="102">
        <v>6.23</v>
      </c>
      <c r="C121" s="102">
        <v>6.29</v>
      </c>
      <c r="D121" s="102">
        <v>6.09</v>
      </c>
      <c r="E121" s="325">
        <v>6.24</v>
      </c>
      <c r="F121">
        <v>5433100</v>
      </c>
    </row>
    <row r="122" spans="1:6" ht="15" customHeight="1" x14ac:dyDescent="0.35">
      <c r="A122" s="376">
        <v>46084.604166666657</v>
      </c>
      <c r="B122" s="102">
        <v>6.07</v>
      </c>
      <c r="C122" s="102">
        <v>6.2850000000000001</v>
      </c>
      <c r="D122" s="102">
        <v>5.93</v>
      </c>
      <c r="E122" s="325">
        <v>6.23</v>
      </c>
      <c r="F122">
        <v>6630800</v>
      </c>
    </row>
    <row r="123" spans="1:6" ht="15" customHeight="1" x14ac:dyDescent="0.35">
      <c r="A123" s="376">
        <v>46083.604166666657</v>
      </c>
      <c r="B123" s="102">
        <v>6.03</v>
      </c>
      <c r="C123" s="102">
        <v>6.1950000000000003</v>
      </c>
      <c r="D123" s="102">
        <v>5.91</v>
      </c>
      <c r="E123" s="325">
        <v>6.18</v>
      </c>
      <c r="F123">
        <v>8246800</v>
      </c>
    </row>
    <row r="124" spans="1:6" ht="15" customHeight="1" x14ac:dyDescent="0.35">
      <c r="A124" s="376">
        <v>46080.604166666657</v>
      </c>
      <c r="B124" s="102">
        <v>6.23</v>
      </c>
      <c r="C124" s="102">
        <v>6.24</v>
      </c>
      <c r="D124" s="102">
        <v>5.9950000000000001</v>
      </c>
      <c r="E124" s="325">
        <v>6.21</v>
      </c>
      <c r="F124">
        <v>11187600</v>
      </c>
    </row>
    <row r="125" spans="1:6" ht="15" customHeight="1" x14ac:dyDescent="0.35">
      <c r="A125" s="376">
        <v>46079.604166666657</v>
      </c>
      <c r="B125" s="102">
        <v>6.17</v>
      </c>
      <c r="C125" s="102">
        <v>6.4450000000000003</v>
      </c>
      <c r="D125" s="102">
        <v>6.12</v>
      </c>
      <c r="E125" s="325">
        <v>6.4</v>
      </c>
      <c r="F125">
        <v>9409100</v>
      </c>
    </row>
    <row r="126" spans="1:6" ht="15" customHeight="1" x14ac:dyDescent="0.35">
      <c r="A126" s="376">
        <v>46078.604166666657</v>
      </c>
      <c r="B126" s="102">
        <v>5.99</v>
      </c>
      <c r="C126" s="102">
        <v>6.16</v>
      </c>
      <c r="D126" s="102">
        <v>5.88</v>
      </c>
      <c r="E126" s="325">
        <v>6.13</v>
      </c>
      <c r="F126">
        <v>6983100</v>
      </c>
    </row>
    <row r="127" spans="1:6" ht="15" customHeight="1" x14ac:dyDescent="0.35">
      <c r="A127" s="376">
        <v>46077.604166666657</v>
      </c>
      <c r="B127" s="102">
        <v>6.04</v>
      </c>
      <c r="C127" s="102">
        <v>6.05</v>
      </c>
      <c r="D127" s="102">
        <v>5.77</v>
      </c>
      <c r="E127" s="325">
        <v>5.99</v>
      </c>
      <c r="F127">
        <v>17184100</v>
      </c>
    </row>
    <row r="128" spans="1:6" ht="15" customHeight="1" x14ac:dyDescent="0.35">
      <c r="A128" s="376">
        <v>46076.604166666657</v>
      </c>
      <c r="B128" s="102">
        <v>6.33</v>
      </c>
      <c r="C128" s="102">
        <v>6.35</v>
      </c>
      <c r="D128" s="102">
        <v>5.97</v>
      </c>
      <c r="E128" s="325">
        <v>6.03</v>
      </c>
      <c r="F128">
        <v>11530300</v>
      </c>
    </row>
    <row r="129" spans="1:6" ht="15" customHeight="1" x14ac:dyDescent="0.35">
      <c r="A129" s="376">
        <v>46073.604166666657</v>
      </c>
      <c r="B129" s="102">
        <v>6.38</v>
      </c>
      <c r="C129" s="102">
        <v>6.7549999999999999</v>
      </c>
      <c r="D129" s="102">
        <v>6.38</v>
      </c>
      <c r="E129" s="325">
        <v>6.45</v>
      </c>
      <c r="F129">
        <v>8693100</v>
      </c>
    </row>
    <row r="130" spans="1:6" ht="15" customHeight="1" x14ac:dyDescent="0.35">
      <c r="A130" s="376">
        <v>46072.604166666657</v>
      </c>
      <c r="B130" s="102">
        <v>6.48</v>
      </c>
      <c r="C130" s="102">
        <v>6.56</v>
      </c>
      <c r="D130" s="102">
        <v>6.34</v>
      </c>
      <c r="E130" s="325">
        <v>6.43</v>
      </c>
      <c r="F130">
        <v>9435900</v>
      </c>
    </row>
    <row r="131" spans="1:6" ht="15" customHeight="1" x14ac:dyDescent="0.35">
      <c r="A131" s="376">
        <v>46071.604166666657</v>
      </c>
      <c r="B131" s="102">
        <v>6.54</v>
      </c>
      <c r="C131" s="102">
        <v>6.78</v>
      </c>
      <c r="D131" s="102">
        <v>6.4</v>
      </c>
      <c r="E131" s="325">
        <v>6.6</v>
      </c>
      <c r="F131">
        <v>10382900</v>
      </c>
    </row>
    <row r="132" spans="1:6" ht="15" customHeight="1" x14ac:dyDescent="0.35">
      <c r="A132" s="376">
        <v>46070.604166666657</v>
      </c>
      <c r="B132" s="102">
        <v>6.36</v>
      </c>
      <c r="C132" s="102">
        <v>6.5</v>
      </c>
      <c r="D132" s="102">
        <v>6.2450000000000001</v>
      </c>
      <c r="E132" s="325">
        <v>6.49</v>
      </c>
      <c r="F132">
        <v>14937300</v>
      </c>
    </row>
    <row r="133" spans="1:6" ht="15" customHeight="1" x14ac:dyDescent="0.35">
      <c r="A133" s="376">
        <v>46066.604166666657</v>
      </c>
      <c r="B133" s="102">
        <v>6.36</v>
      </c>
      <c r="C133" s="102">
        <v>6.59</v>
      </c>
      <c r="D133" s="102">
        <v>6.2850000000000001</v>
      </c>
      <c r="E133" s="325">
        <v>6.36</v>
      </c>
      <c r="F133">
        <v>18536500</v>
      </c>
    </row>
    <row r="134" spans="1:6" ht="15" customHeight="1" x14ac:dyDescent="0.35">
      <c r="A134" s="376">
        <v>46065.604166666657</v>
      </c>
      <c r="B134" s="102">
        <v>6.57</v>
      </c>
      <c r="C134" s="102">
        <v>6.6</v>
      </c>
      <c r="D134" s="102">
        <v>6.2</v>
      </c>
      <c r="E134" s="325">
        <v>6.3</v>
      </c>
      <c r="F134">
        <v>11135200</v>
      </c>
    </row>
    <row r="135" spans="1:6" ht="15" customHeight="1" x14ac:dyDescent="0.35">
      <c r="A135" s="376">
        <v>46064.604166666657</v>
      </c>
      <c r="B135" s="102">
        <v>6.66</v>
      </c>
      <c r="C135" s="102">
        <v>7</v>
      </c>
      <c r="D135" s="102">
        <v>6.3550000000000004</v>
      </c>
      <c r="E135" s="325">
        <v>6.56</v>
      </c>
      <c r="F135">
        <v>25475600</v>
      </c>
    </row>
    <row r="136" spans="1:6" ht="15" customHeight="1" x14ac:dyDescent="0.35">
      <c r="A136" s="376">
        <v>46063.604166666657</v>
      </c>
      <c r="B136" s="102">
        <v>6.0449999999999999</v>
      </c>
      <c r="C136" s="102">
        <v>6.96</v>
      </c>
      <c r="D136" s="102">
        <v>5.84</v>
      </c>
      <c r="E136" s="325">
        <v>6.63</v>
      </c>
      <c r="F136">
        <v>37311900</v>
      </c>
    </row>
    <row r="137" spans="1:6" ht="15" customHeight="1" x14ac:dyDescent="0.35">
      <c r="A137" s="376">
        <v>46062.604166666657</v>
      </c>
      <c r="B137" s="102">
        <v>7.14</v>
      </c>
      <c r="C137" s="102">
        <v>7.68</v>
      </c>
      <c r="D137" s="102">
        <v>7.01</v>
      </c>
      <c r="E137" s="325">
        <v>7.32</v>
      </c>
      <c r="F137">
        <v>17482300</v>
      </c>
    </row>
    <row r="138" spans="1:6" ht="15" customHeight="1" x14ac:dyDescent="0.35">
      <c r="A138" s="376">
        <v>46059.604166666657</v>
      </c>
      <c r="B138" s="102">
        <v>6.81</v>
      </c>
      <c r="C138" s="102">
        <v>7.35</v>
      </c>
      <c r="D138" s="102">
        <v>6.63</v>
      </c>
      <c r="E138" s="325">
        <v>7.31</v>
      </c>
      <c r="F138">
        <v>11669000</v>
      </c>
    </row>
    <row r="139" spans="1:6" ht="15" customHeight="1" x14ac:dyDescent="0.35">
      <c r="A139" s="376">
        <v>46058.604166666657</v>
      </c>
      <c r="B139" s="102">
        <v>6.75</v>
      </c>
      <c r="C139" s="102">
        <v>7.11</v>
      </c>
      <c r="D139" s="102">
        <v>6.7</v>
      </c>
      <c r="E139" s="325">
        <v>6.78</v>
      </c>
      <c r="F139">
        <v>7805300</v>
      </c>
    </row>
    <row r="140" spans="1:6" ht="15" customHeight="1" x14ac:dyDescent="0.35">
      <c r="A140" s="376">
        <v>46057.604166666657</v>
      </c>
      <c r="B140" s="102">
        <v>6.83</v>
      </c>
      <c r="C140" s="102">
        <v>7.18</v>
      </c>
      <c r="D140" s="102">
        <v>6.67</v>
      </c>
      <c r="E140" s="325">
        <v>6.87</v>
      </c>
      <c r="F140">
        <v>11355000</v>
      </c>
    </row>
    <row r="141" spans="1:6" ht="15" customHeight="1" x14ac:dyDescent="0.35">
      <c r="A141" s="376">
        <v>46056.604166666657</v>
      </c>
      <c r="B141" s="102">
        <v>7.65</v>
      </c>
      <c r="C141" s="102">
        <v>7.81</v>
      </c>
      <c r="D141" s="102">
        <v>6.8449999999999998</v>
      </c>
      <c r="E141" s="325">
        <v>6.92</v>
      </c>
      <c r="F141">
        <v>11030800</v>
      </c>
    </row>
    <row r="142" spans="1:6" ht="15" customHeight="1" x14ac:dyDescent="0.35">
      <c r="A142" s="376">
        <v>46055.604166666657</v>
      </c>
      <c r="B142" s="102">
        <v>8.01</v>
      </c>
      <c r="C142" s="102">
        <v>8.1549999999999994</v>
      </c>
      <c r="D142" s="102">
        <v>7.78</v>
      </c>
      <c r="E142" s="325">
        <v>7.81</v>
      </c>
      <c r="F142">
        <v>9005700</v>
      </c>
    </row>
    <row r="143" spans="1:6" ht="15" customHeight="1" x14ac:dyDescent="0.35">
      <c r="A143" s="376">
        <v>46052.604166666657</v>
      </c>
      <c r="B143" s="102">
        <v>8.1199999999999992</v>
      </c>
      <c r="C143" s="102">
        <v>8.2799999999999994</v>
      </c>
      <c r="D143" s="102">
        <v>7.9450000000000003</v>
      </c>
      <c r="E143" s="325">
        <v>8.0500000000000007</v>
      </c>
      <c r="F143">
        <v>8975300</v>
      </c>
    </row>
    <row r="144" spans="1:6" ht="15" customHeight="1" x14ac:dyDescent="0.35">
      <c r="A144" s="376">
        <v>46051.604166666657</v>
      </c>
      <c r="B144" s="102">
        <v>8.6199999999999992</v>
      </c>
      <c r="C144" s="102">
        <v>8.6300000000000008</v>
      </c>
      <c r="D144" s="102">
        <v>7.952</v>
      </c>
      <c r="E144" s="325">
        <v>8.19</v>
      </c>
      <c r="F144">
        <v>7733500</v>
      </c>
    </row>
    <row r="145" spans="1:6" ht="15" customHeight="1" x14ac:dyDescent="0.35">
      <c r="A145" s="376">
        <v>46050.604166666657</v>
      </c>
      <c r="B145" s="102">
        <v>8.77</v>
      </c>
      <c r="C145" s="102">
        <v>8.9</v>
      </c>
      <c r="D145" s="102">
        <v>8.64</v>
      </c>
      <c r="E145" s="325">
        <v>8.7149999999999999</v>
      </c>
      <c r="F145">
        <v>6224700</v>
      </c>
    </row>
    <row r="146" spans="1:6" ht="15" customHeight="1" x14ac:dyDescent="0.35">
      <c r="A146" s="376">
        <v>46049.604166666657</v>
      </c>
      <c r="B146" s="102">
        <v>8.93</v>
      </c>
      <c r="C146" s="102">
        <v>9.0250000000000004</v>
      </c>
      <c r="D146" s="102">
        <v>8.6850000000000005</v>
      </c>
      <c r="E146" s="325">
        <v>8.7200000000000006</v>
      </c>
      <c r="F146">
        <v>4503000</v>
      </c>
    </row>
    <row r="147" spans="1:6" ht="15" customHeight="1" x14ac:dyDescent="0.35">
      <c r="A147" s="376">
        <v>46048.604166666657</v>
      </c>
      <c r="B147" s="102">
        <v>8.83</v>
      </c>
      <c r="C147" s="102">
        <v>9.0749999999999993</v>
      </c>
      <c r="D147" s="102">
        <v>8.83</v>
      </c>
      <c r="E147" s="325">
        <v>8.91</v>
      </c>
      <c r="F147">
        <v>6531400</v>
      </c>
    </row>
    <row r="148" spans="1:6" ht="15" customHeight="1" x14ac:dyDescent="0.35">
      <c r="A148" s="376">
        <v>46045.604166666657</v>
      </c>
      <c r="B148" s="102">
        <v>9.1</v>
      </c>
      <c r="C148" s="102">
        <v>9.19</v>
      </c>
      <c r="D148" s="102">
        <v>8.8049999999999997</v>
      </c>
      <c r="E148" s="325">
        <v>8.82</v>
      </c>
      <c r="F148">
        <v>6715000</v>
      </c>
    </row>
    <row r="149" spans="1:6" ht="15" customHeight="1" x14ac:dyDescent="0.35">
      <c r="A149" s="376">
        <v>46044.604166666657</v>
      </c>
      <c r="B149" s="102">
        <v>8.8800000000000008</v>
      </c>
      <c r="C149" s="102">
        <v>9.18</v>
      </c>
      <c r="D149" s="102">
        <v>8.8800000000000008</v>
      </c>
      <c r="E149" s="325">
        <v>9.1199999999999992</v>
      </c>
      <c r="F149">
        <v>3875200</v>
      </c>
    </row>
    <row r="150" spans="1:6" ht="15" customHeight="1" x14ac:dyDescent="0.35">
      <c r="A150" s="376">
        <v>46043.604166666657</v>
      </c>
      <c r="B150" s="102">
        <v>8.81</v>
      </c>
      <c r="C150" s="102">
        <v>8.91</v>
      </c>
      <c r="D150" s="102">
        <v>8.7050000000000001</v>
      </c>
      <c r="E150" s="325">
        <v>8.76</v>
      </c>
      <c r="F150">
        <v>3834100</v>
      </c>
    </row>
    <row r="151" spans="1:6" ht="15" customHeight="1" x14ac:dyDescent="0.35">
      <c r="A151" s="376">
        <v>46042.604166666657</v>
      </c>
      <c r="B151" s="102">
        <v>8.93</v>
      </c>
      <c r="C151" s="102">
        <v>9.18</v>
      </c>
      <c r="D151" s="102">
        <v>8.7799999999999994</v>
      </c>
      <c r="E151" s="325">
        <v>8.7850000000000001</v>
      </c>
      <c r="F151">
        <v>4783200</v>
      </c>
    </row>
    <row r="152" spans="1:6" ht="15" customHeight="1" x14ac:dyDescent="0.35">
      <c r="A152" s="376">
        <v>46038.604166666657</v>
      </c>
      <c r="B152" s="102">
        <v>10.029999999999999</v>
      </c>
      <c r="C152" s="102">
        <v>10.045</v>
      </c>
      <c r="D152" s="102">
        <v>9</v>
      </c>
      <c r="E152" s="325">
        <v>9.0350000000000001</v>
      </c>
      <c r="F152">
        <v>8127400</v>
      </c>
    </row>
    <row r="153" spans="1:6" ht="15" customHeight="1" x14ac:dyDescent="0.35">
      <c r="A153" s="376">
        <v>46037.604166666657</v>
      </c>
      <c r="B153" s="102">
        <v>10.11</v>
      </c>
      <c r="C153" s="102">
        <v>10.14</v>
      </c>
      <c r="D153" s="102">
        <v>9.99</v>
      </c>
      <c r="E153" s="325">
        <v>10</v>
      </c>
      <c r="F153">
        <v>2779300</v>
      </c>
    </row>
    <row r="154" spans="1:6" ht="15" customHeight="1" x14ac:dyDescent="0.35">
      <c r="A154" s="376">
        <v>46036.604166666657</v>
      </c>
      <c r="B154" s="102">
        <v>10.035</v>
      </c>
      <c r="C154" s="102">
        <v>10.244999999999999</v>
      </c>
      <c r="D154" s="102">
        <v>9.9649999999999999</v>
      </c>
      <c r="E154" s="325">
        <v>10.08</v>
      </c>
      <c r="F154">
        <v>3684300</v>
      </c>
    </row>
    <row r="155" spans="1:6" ht="15" customHeight="1" x14ac:dyDescent="0.35">
      <c r="A155" s="376">
        <v>46035.604166666657</v>
      </c>
      <c r="B155" s="102">
        <v>10.48</v>
      </c>
      <c r="C155" s="102">
        <v>10.54</v>
      </c>
      <c r="D155" s="102">
        <v>10.050000000000001</v>
      </c>
      <c r="E155" s="325">
        <v>10.06</v>
      </c>
      <c r="F155">
        <v>4020200</v>
      </c>
    </row>
    <row r="156" spans="1:6" ht="15" customHeight="1" x14ac:dyDescent="0.35">
      <c r="A156" s="376">
        <v>46034.604166666657</v>
      </c>
      <c r="B156" s="102">
        <v>10.29</v>
      </c>
      <c r="C156" s="102">
        <v>10.58</v>
      </c>
      <c r="D156" s="102">
        <v>10.145</v>
      </c>
      <c r="E156" s="325">
        <v>10.47</v>
      </c>
      <c r="F156">
        <v>3168100</v>
      </c>
    </row>
    <row r="157" spans="1:6" ht="15" customHeight="1" x14ac:dyDescent="0.35">
      <c r="A157" s="376">
        <v>46031.604166666657</v>
      </c>
      <c r="B157" s="102">
        <v>10.6</v>
      </c>
      <c r="C157" s="102">
        <v>10.76</v>
      </c>
      <c r="D157" s="102">
        <v>10.355</v>
      </c>
      <c r="E157" s="325">
        <v>10.4</v>
      </c>
      <c r="F157">
        <v>3754400</v>
      </c>
    </row>
    <row r="158" spans="1:6" ht="15" customHeight="1" x14ac:dyDescent="0.35">
      <c r="A158" s="376">
        <v>46030.604166666657</v>
      </c>
      <c r="B158" s="102">
        <v>10.37</v>
      </c>
      <c r="C158" s="102">
        <v>10.69</v>
      </c>
      <c r="D158" s="102">
        <v>10.25</v>
      </c>
      <c r="E158" s="325">
        <v>10.58</v>
      </c>
      <c r="F158">
        <v>3500900</v>
      </c>
    </row>
    <row r="159" spans="1:6" ht="15" customHeight="1" x14ac:dyDescent="0.35">
      <c r="A159" s="376">
        <v>46029.604166666657</v>
      </c>
      <c r="B159" s="102">
        <v>10.49</v>
      </c>
      <c r="C159" s="102">
        <v>10.6</v>
      </c>
      <c r="D159" s="102">
        <v>10.35</v>
      </c>
      <c r="E159" s="325">
        <v>10.48</v>
      </c>
      <c r="F159">
        <v>3527400</v>
      </c>
    </row>
    <row r="160" spans="1:6" ht="15" customHeight="1" x14ac:dyDescent="0.35">
      <c r="A160" s="376">
        <v>46028.604166666657</v>
      </c>
      <c r="B160" s="102">
        <v>10.14</v>
      </c>
      <c r="C160" s="102">
        <v>10.53</v>
      </c>
      <c r="D160" s="102">
        <v>10.09</v>
      </c>
      <c r="E160" s="325">
        <v>10.49</v>
      </c>
      <c r="F160">
        <v>4651700</v>
      </c>
    </row>
    <row r="161" spans="1:6" ht="15" customHeight="1" x14ac:dyDescent="0.35">
      <c r="A161" s="376">
        <v>46027.604166666657</v>
      </c>
      <c r="B161" s="102">
        <v>9.6300000000000008</v>
      </c>
      <c r="C161" s="102">
        <v>10.36</v>
      </c>
      <c r="D161" s="102">
        <v>9.6</v>
      </c>
      <c r="E161" s="325">
        <v>10.24</v>
      </c>
      <c r="F161">
        <v>5467900</v>
      </c>
    </row>
    <row r="162" spans="1:6" ht="15" customHeight="1" x14ac:dyDescent="0.35">
      <c r="A162" s="376">
        <v>46024.604166666657</v>
      </c>
      <c r="B162" s="102">
        <v>10.24</v>
      </c>
      <c r="C162" s="102">
        <v>10.28</v>
      </c>
      <c r="D162" s="102">
        <v>9.56</v>
      </c>
      <c r="E162" s="325">
        <v>9.61</v>
      </c>
      <c r="F162">
        <v>5829900</v>
      </c>
    </row>
    <row r="163" spans="1:6" ht="15" customHeight="1" x14ac:dyDescent="0.35">
      <c r="A163" s="376">
        <v>46022.604166666657</v>
      </c>
      <c r="B163" s="102">
        <v>10.055</v>
      </c>
      <c r="C163" s="102">
        <v>10.215</v>
      </c>
      <c r="D163" s="102">
        <v>9.9849999999999994</v>
      </c>
      <c r="E163" s="325">
        <v>10.17</v>
      </c>
      <c r="F163">
        <v>4241200</v>
      </c>
    </row>
    <row r="164" spans="1:6" ht="15" customHeight="1" x14ac:dyDescent="0.35">
      <c r="A164" s="376">
        <v>46021.604166666657</v>
      </c>
      <c r="B164" s="102">
        <v>9.9499999999999993</v>
      </c>
      <c r="C164" s="102">
        <v>10.055</v>
      </c>
      <c r="D164" s="102">
        <v>9.93</v>
      </c>
      <c r="E164" s="325">
        <v>10.029999999999999</v>
      </c>
      <c r="F164">
        <v>3499400</v>
      </c>
    </row>
    <row r="165" spans="1:6" ht="15" customHeight="1" x14ac:dyDescent="0.35">
      <c r="A165" s="376">
        <v>46020.604166666657</v>
      </c>
      <c r="B165" s="102">
        <v>10.06</v>
      </c>
      <c r="C165" s="102">
        <v>10.16</v>
      </c>
      <c r="D165" s="102">
        <v>9.94</v>
      </c>
      <c r="E165" s="325">
        <v>9.9499999999999993</v>
      </c>
      <c r="F165">
        <v>2905200</v>
      </c>
    </row>
    <row r="166" spans="1:6" ht="15" customHeight="1" x14ac:dyDescent="0.35">
      <c r="A166" s="376">
        <v>46017.604166666657</v>
      </c>
      <c r="B166" s="102">
        <v>10.07</v>
      </c>
      <c r="C166" s="102">
        <v>10.175000000000001</v>
      </c>
      <c r="D166" s="102">
        <v>10.06</v>
      </c>
      <c r="E166" s="325">
        <v>10.119999999999999</v>
      </c>
      <c r="F166">
        <v>1941200</v>
      </c>
    </row>
    <row r="167" spans="1:6" ht="15" customHeight="1" x14ac:dyDescent="0.35">
      <c r="A167" s="376">
        <v>46015.604166666657</v>
      </c>
      <c r="B167" s="102">
        <v>10.039999999999999</v>
      </c>
      <c r="C167" s="102">
        <v>10.14</v>
      </c>
      <c r="D167" s="102">
        <v>10.025</v>
      </c>
      <c r="E167" s="325">
        <v>10.119999999999999</v>
      </c>
      <c r="F167">
        <v>1938500</v>
      </c>
    </row>
    <row r="168" spans="1:6" ht="15" customHeight="1" x14ac:dyDescent="0.35">
      <c r="A168" s="376">
        <v>46014.604166666657</v>
      </c>
      <c r="B168" s="102">
        <v>10.199999999999999</v>
      </c>
      <c r="C168" s="102">
        <v>10.24</v>
      </c>
      <c r="D168" s="102">
        <v>9.99</v>
      </c>
      <c r="E168" s="325">
        <v>10.07</v>
      </c>
      <c r="F168">
        <v>3631100</v>
      </c>
    </row>
    <row r="169" spans="1:6" ht="15" customHeight="1" x14ac:dyDescent="0.35">
      <c r="A169" s="376">
        <v>46013.604166666657</v>
      </c>
      <c r="B169" s="102">
        <v>10.3</v>
      </c>
      <c r="C169" s="102">
        <v>10.49</v>
      </c>
      <c r="D169" s="102">
        <v>10.175000000000001</v>
      </c>
      <c r="E169" s="325">
        <v>10.210000000000001</v>
      </c>
      <c r="F169">
        <v>4193300</v>
      </c>
    </row>
    <row r="170" spans="1:6" ht="15" customHeight="1" x14ac:dyDescent="0.35">
      <c r="A170" s="376">
        <v>46010.604166666657</v>
      </c>
      <c r="B170" s="102">
        <v>10.17</v>
      </c>
      <c r="C170" s="102">
        <v>10.29</v>
      </c>
      <c r="D170" s="102">
        <v>10.06</v>
      </c>
      <c r="E170" s="325">
        <v>10.27</v>
      </c>
      <c r="F170">
        <v>14351100</v>
      </c>
    </row>
    <row r="171" spans="1:6" ht="15" customHeight="1" x14ac:dyDescent="0.35">
      <c r="A171" s="376">
        <v>46009.604166666657</v>
      </c>
      <c r="B171" s="102">
        <v>10.09</v>
      </c>
      <c r="C171" s="102">
        <v>10.210000000000001</v>
      </c>
      <c r="D171" s="102">
        <v>9.92</v>
      </c>
      <c r="E171" s="325">
        <v>10.17</v>
      </c>
      <c r="F171">
        <v>4011400</v>
      </c>
    </row>
    <row r="172" spans="1:6" ht="15" customHeight="1" x14ac:dyDescent="0.35">
      <c r="A172" s="376">
        <v>46008.604166666657</v>
      </c>
      <c r="B172" s="102">
        <v>10.01</v>
      </c>
      <c r="C172" s="102">
        <v>10.58</v>
      </c>
      <c r="D172" s="102">
        <v>10.007999999999999</v>
      </c>
      <c r="E172" s="325">
        <v>10.07</v>
      </c>
      <c r="F172">
        <v>7193400</v>
      </c>
    </row>
    <row r="173" spans="1:6" ht="15" customHeight="1" x14ac:dyDescent="0.35">
      <c r="A173" s="376">
        <v>46007.604166666657</v>
      </c>
      <c r="B173" s="102">
        <v>9.76</v>
      </c>
      <c r="C173" s="102">
        <v>10.005000000000001</v>
      </c>
      <c r="D173" s="102">
        <v>9.7449999999999992</v>
      </c>
      <c r="E173" s="325">
        <v>9.9499999999999993</v>
      </c>
      <c r="F173">
        <v>5312100</v>
      </c>
    </row>
    <row r="174" spans="1:6" ht="15" customHeight="1" x14ac:dyDescent="0.35">
      <c r="A174" s="376">
        <v>46006.604166666657</v>
      </c>
      <c r="B174" s="102">
        <v>10.11</v>
      </c>
      <c r="C174" s="102">
        <v>10.234999999999999</v>
      </c>
      <c r="D174" s="102">
        <v>9.75</v>
      </c>
      <c r="E174" s="325">
        <v>9.7899999999999991</v>
      </c>
      <c r="F174">
        <v>4853000</v>
      </c>
    </row>
    <row r="175" spans="1:6" ht="15" customHeight="1" x14ac:dyDescent="0.35">
      <c r="A175" s="376">
        <v>46003.604166666657</v>
      </c>
      <c r="B175" s="102">
        <v>9.9700000000000006</v>
      </c>
      <c r="C175" s="102">
        <v>10.02</v>
      </c>
      <c r="D175" s="102">
        <v>9.68</v>
      </c>
      <c r="E175" s="325">
        <v>9.9600000000000009</v>
      </c>
      <c r="F175">
        <v>4427200</v>
      </c>
    </row>
    <row r="176" spans="1:6" ht="15" customHeight="1" x14ac:dyDescent="0.35">
      <c r="A176" s="376">
        <v>46002.604166666657</v>
      </c>
      <c r="B176" s="102">
        <v>10.02</v>
      </c>
      <c r="C176" s="102">
        <v>10.09</v>
      </c>
      <c r="D176" s="102">
        <v>9.76</v>
      </c>
      <c r="E176" s="325">
        <v>9.9600000000000009</v>
      </c>
      <c r="F176">
        <v>5902100</v>
      </c>
    </row>
    <row r="177" spans="1:6" ht="15" customHeight="1" x14ac:dyDescent="0.35">
      <c r="A177" s="376">
        <v>46001.604166666657</v>
      </c>
      <c r="B177" s="102">
        <v>9.9700000000000006</v>
      </c>
      <c r="C177" s="102">
        <v>10.220000000000001</v>
      </c>
      <c r="D177" s="102">
        <v>9.9</v>
      </c>
      <c r="E177" s="325">
        <v>10.130000000000001</v>
      </c>
      <c r="F177">
        <v>6018800</v>
      </c>
    </row>
    <row r="178" spans="1:6" ht="15" customHeight="1" x14ac:dyDescent="0.35">
      <c r="A178" s="376">
        <v>46000.604166666657</v>
      </c>
      <c r="B178" s="102">
        <v>9.91</v>
      </c>
      <c r="C178" s="102">
        <v>10.255000000000001</v>
      </c>
      <c r="D178" s="102">
        <v>9.8949999999999996</v>
      </c>
      <c r="E178" s="325">
        <v>10</v>
      </c>
      <c r="F178">
        <v>4132000</v>
      </c>
    </row>
    <row r="179" spans="1:6" ht="15" customHeight="1" x14ac:dyDescent="0.35">
      <c r="A179" s="376">
        <v>45999.604166666657</v>
      </c>
      <c r="B179" s="102">
        <v>9.94</v>
      </c>
      <c r="C179" s="102">
        <v>10.125</v>
      </c>
      <c r="D179" s="102">
        <v>9.8949999999999996</v>
      </c>
      <c r="E179" s="325">
        <v>9.9499999999999993</v>
      </c>
      <c r="F179">
        <v>4959700</v>
      </c>
    </row>
    <row r="180" spans="1:6" ht="15" customHeight="1" x14ac:dyDescent="0.35">
      <c r="A180" s="376">
        <v>45996.604166666657</v>
      </c>
      <c r="B180" s="102">
        <v>9.9</v>
      </c>
      <c r="C180" s="102">
        <v>10.095000000000001</v>
      </c>
      <c r="D180" s="102">
        <v>9.69</v>
      </c>
      <c r="E180" s="325">
        <v>9.94</v>
      </c>
      <c r="F180">
        <v>9085600</v>
      </c>
    </row>
    <row r="181" spans="1:6" ht="15" customHeight="1" x14ac:dyDescent="0.35">
      <c r="A181" s="376">
        <v>45995.604166666657</v>
      </c>
      <c r="B181" s="102">
        <v>10.07</v>
      </c>
      <c r="C181" s="102">
        <v>10.105</v>
      </c>
      <c r="D181" s="102">
        <v>9.82</v>
      </c>
      <c r="E181" s="325">
        <v>9.91</v>
      </c>
      <c r="F181">
        <v>6793600</v>
      </c>
    </row>
    <row r="182" spans="1:6" ht="15" customHeight="1" x14ac:dyDescent="0.35">
      <c r="A182" s="376">
        <v>45994.604166666657</v>
      </c>
      <c r="B182" s="102">
        <v>10.07</v>
      </c>
      <c r="C182" s="102">
        <v>10.285</v>
      </c>
      <c r="D182" s="102">
        <v>9.9499999999999993</v>
      </c>
      <c r="E182" s="325">
        <v>10.07</v>
      </c>
      <c r="F182">
        <v>4390400</v>
      </c>
    </row>
    <row r="183" spans="1:6" ht="15" customHeight="1" x14ac:dyDescent="0.35">
      <c r="A183" s="376">
        <v>45993.604166666657</v>
      </c>
      <c r="B183" s="102">
        <v>10.16</v>
      </c>
      <c r="C183" s="102">
        <v>10.28</v>
      </c>
      <c r="D183" s="102">
        <v>10.09</v>
      </c>
      <c r="E183" s="325">
        <v>10.11</v>
      </c>
      <c r="F183">
        <v>4879400</v>
      </c>
    </row>
    <row r="184" spans="1:6" ht="15" customHeight="1" x14ac:dyDescent="0.35">
      <c r="A184" s="376">
        <v>45992.604166666657</v>
      </c>
      <c r="B184" s="102">
        <v>9.8000000000000007</v>
      </c>
      <c r="C184" s="102">
        <v>10.220000000000001</v>
      </c>
      <c r="D184" s="102">
        <v>9.73</v>
      </c>
      <c r="E184" s="325">
        <v>10.119999999999999</v>
      </c>
      <c r="F184">
        <v>5706400</v>
      </c>
    </row>
    <row r="185" spans="1:6" ht="15" customHeight="1" x14ac:dyDescent="0.35">
      <c r="A185" s="376">
        <v>45989.604166666657</v>
      </c>
      <c r="B185" s="102">
        <v>9.7899999999999991</v>
      </c>
      <c r="C185" s="102">
        <v>10.02</v>
      </c>
      <c r="D185" s="102">
        <v>9.6300000000000008</v>
      </c>
      <c r="E185" s="325">
        <v>9.92</v>
      </c>
      <c r="F185">
        <v>5004200</v>
      </c>
    </row>
    <row r="186" spans="1:6" ht="15" customHeight="1" x14ac:dyDescent="0.35">
      <c r="A186" s="376">
        <v>45987.604166666657</v>
      </c>
      <c r="B186" s="102">
        <v>9.6199999999999992</v>
      </c>
      <c r="C186" s="102">
        <v>9.8699999999999992</v>
      </c>
      <c r="D186" s="102">
        <v>9.5299999999999994</v>
      </c>
      <c r="E186" s="325">
        <v>9.67</v>
      </c>
      <c r="F186">
        <v>5662500</v>
      </c>
    </row>
    <row r="187" spans="1:6" ht="15" customHeight="1" x14ac:dyDescent="0.35">
      <c r="A187" s="376">
        <v>45986.604166666657</v>
      </c>
      <c r="B187" s="102">
        <v>9.51</v>
      </c>
      <c r="C187" s="102">
        <v>9.8699999999999992</v>
      </c>
      <c r="D187" s="102">
        <v>9.36</v>
      </c>
      <c r="E187" s="325">
        <v>9.6199999999999992</v>
      </c>
      <c r="F187">
        <v>4099900</v>
      </c>
    </row>
    <row r="188" spans="1:6" ht="15" customHeight="1" x14ac:dyDescent="0.35">
      <c r="A188" s="376">
        <v>45985.604166666657</v>
      </c>
      <c r="B188" s="102">
        <v>9.48</v>
      </c>
      <c r="C188" s="102">
        <v>9.59</v>
      </c>
      <c r="D188" s="102">
        <v>9.35</v>
      </c>
      <c r="E188" s="325">
        <v>9.49</v>
      </c>
      <c r="F188">
        <v>2978500</v>
      </c>
    </row>
    <row r="189" spans="1:6" ht="15" customHeight="1" x14ac:dyDescent="0.35">
      <c r="A189" s="376">
        <v>45982.604166666657</v>
      </c>
      <c r="B189" s="102">
        <v>9.11</v>
      </c>
      <c r="C189" s="102">
        <v>9.6150000000000002</v>
      </c>
      <c r="D189" s="102">
        <v>8.9350000000000005</v>
      </c>
      <c r="E189" s="325">
        <v>9.4700000000000006</v>
      </c>
      <c r="F189">
        <v>5827300</v>
      </c>
    </row>
    <row r="190" spans="1:6" ht="15" customHeight="1" x14ac:dyDescent="0.35">
      <c r="A190" s="376">
        <v>45981.604166666657</v>
      </c>
      <c r="B190" s="102">
        <v>9.5</v>
      </c>
      <c r="C190" s="102">
        <v>9.5</v>
      </c>
      <c r="D190" s="102">
        <v>9.0399999999999991</v>
      </c>
      <c r="E190" s="325">
        <v>9.07</v>
      </c>
      <c r="F190">
        <v>4663000</v>
      </c>
    </row>
    <row r="191" spans="1:6" ht="15" customHeight="1" x14ac:dyDescent="0.35">
      <c r="A191" s="376">
        <v>45980.604166666657</v>
      </c>
      <c r="B191" s="102">
        <v>9.4</v>
      </c>
      <c r="C191" s="102">
        <v>9.4049999999999994</v>
      </c>
      <c r="D191" s="102">
        <v>9.1549999999999994</v>
      </c>
      <c r="E191" s="325">
        <v>9.3000000000000007</v>
      </c>
      <c r="F191">
        <v>3721000</v>
      </c>
    </row>
    <row r="192" spans="1:6" ht="15" customHeight="1" x14ac:dyDescent="0.35">
      <c r="A192" s="376">
        <v>45979.604166666657</v>
      </c>
      <c r="B192" s="102">
        <v>9.52</v>
      </c>
      <c r="C192" s="102">
        <v>9.6</v>
      </c>
      <c r="D192" s="102">
        <v>9.3249999999999993</v>
      </c>
      <c r="E192" s="325">
        <v>9.39</v>
      </c>
      <c r="F192">
        <v>3259800</v>
      </c>
    </row>
    <row r="193" spans="1:6" ht="15" customHeight="1" x14ac:dyDescent="0.35">
      <c r="A193" s="376">
        <v>45978.604166666657</v>
      </c>
      <c r="B193" s="102">
        <v>10.220000000000001</v>
      </c>
      <c r="C193" s="102">
        <v>10.305</v>
      </c>
      <c r="D193" s="102">
        <v>9.5299999999999994</v>
      </c>
      <c r="E193" s="325">
        <v>9.6199999999999992</v>
      </c>
      <c r="F193">
        <v>4037100</v>
      </c>
    </row>
    <row r="194" spans="1:6" ht="15" customHeight="1" x14ac:dyDescent="0.35">
      <c r="A194" s="376">
        <v>45975.604166666657</v>
      </c>
      <c r="B194" s="102">
        <v>10.050000000000001</v>
      </c>
      <c r="C194" s="102">
        <v>10.35</v>
      </c>
      <c r="D194" s="102">
        <v>10</v>
      </c>
      <c r="E194" s="325">
        <v>10.199999999999999</v>
      </c>
      <c r="F194">
        <v>3701200</v>
      </c>
    </row>
    <row r="195" spans="1:6" ht="15" customHeight="1" x14ac:dyDescent="0.35">
      <c r="A195" s="376">
        <v>45974.604166666657</v>
      </c>
      <c r="B195" s="102">
        <v>10.34</v>
      </c>
      <c r="C195" s="102">
        <v>10.47</v>
      </c>
      <c r="D195" s="102">
        <v>10.199999999999999</v>
      </c>
      <c r="E195" s="325">
        <v>10.220000000000001</v>
      </c>
      <c r="F195">
        <v>2498800</v>
      </c>
    </row>
    <row r="196" spans="1:6" ht="15" customHeight="1" x14ac:dyDescent="0.35">
      <c r="A196" s="376">
        <v>45973.604166666657</v>
      </c>
      <c r="B196" s="102">
        <v>10.63</v>
      </c>
      <c r="C196" s="102">
        <v>10.75</v>
      </c>
      <c r="D196" s="102">
        <v>10.36</v>
      </c>
      <c r="E196" s="325">
        <v>10.44</v>
      </c>
      <c r="F196">
        <v>2668200</v>
      </c>
    </row>
    <row r="197" spans="1:6" ht="15" customHeight="1" x14ac:dyDescent="0.35">
      <c r="A197" s="376">
        <v>45972.604166666657</v>
      </c>
      <c r="B197" s="102">
        <v>10.61</v>
      </c>
      <c r="C197" s="102">
        <v>10.785</v>
      </c>
      <c r="D197" s="102">
        <v>10.53</v>
      </c>
      <c r="E197" s="325">
        <v>10.57</v>
      </c>
      <c r="F197">
        <v>2492700</v>
      </c>
    </row>
    <row r="198" spans="1:6" ht="15" customHeight="1" x14ac:dyDescent="0.35">
      <c r="A198" s="376">
        <v>45971.604166666657</v>
      </c>
      <c r="B198" s="102">
        <v>10.74</v>
      </c>
      <c r="C198" s="102">
        <v>10.78</v>
      </c>
      <c r="D198" s="102">
        <v>10.51</v>
      </c>
      <c r="E198" s="325">
        <v>10.57</v>
      </c>
      <c r="F198">
        <v>3789000</v>
      </c>
    </row>
    <row r="199" spans="1:6" ht="15" customHeight="1" x14ac:dyDescent="0.35">
      <c r="A199" s="376">
        <v>45968.604166666657</v>
      </c>
      <c r="B199" s="102">
        <v>10.58</v>
      </c>
      <c r="C199" s="102">
        <v>10.731</v>
      </c>
      <c r="D199" s="102">
        <v>10.435</v>
      </c>
      <c r="E199" s="325">
        <v>10.574999999999999</v>
      </c>
      <c r="F199">
        <v>3761400</v>
      </c>
    </row>
    <row r="200" spans="1:6" ht="15" customHeight="1" x14ac:dyDescent="0.35">
      <c r="A200" s="376">
        <v>45967.604166666657</v>
      </c>
      <c r="B200" s="102">
        <v>11.21</v>
      </c>
      <c r="C200" s="102">
        <v>11.226000000000001</v>
      </c>
      <c r="D200" s="102">
        <v>10.475</v>
      </c>
      <c r="E200" s="325">
        <v>10.7</v>
      </c>
      <c r="F200">
        <v>7662300</v>
      </c>
    </row>
    <row r="201" spans="1:6" ht="15" customHeight="1" x14ac:dyDescent="0.35">
      <c r="A201" s="376">
        <v>45966.604166666657</v>
      </c>
      <c r="B201" s="102">
        <v>11.83</v>
      </c>
      <c r="C201" s="102">
        <v>11.98</v>
      </c>
      <c r="D201" s="102">
        <v>11.135</v>
      </c>
      <c r="E201" s="325">
        <v>11.22</v>
      </c>
      <c r="F201">
        <v>7895300</v>
      </c>
    </row>
    <row r="202" spans="1:6" ht="15" customHeight="1" x14ac:dyDescent="0.35">
      <c r="A202" s="376">
        <v>45965.604166666657</v>
      </c>
      <c r="B202" s="102">
        <v>11.91</v>
      </c>
      <c r="C202" s="102">
        <v>12.31</v>
      </c>
      <c r="D202" s="102">
        <v>11.43</v>
      </c>
      <c r="E202" s="325">
        <v>11.69</v>
      </c>
      <c r="F202">
        <v>9882200</v>
      </c>
    </row>
    <row r="203" spans="1:6" ht="15" customHeight="1" x14ac:dyDescent="0.35">
      <c r="A203" s="376">
        <v>45964.604166666657</v>
      </c>
      <c r="B203" s="102">
        <v>11.19</v>
      </c>
      <c r="C203" s="102">
        <v>11.84</v>
      </c>
      <c r="D203" s="102">
        <v>11.03</v>
      </c>
      <c r="E203" s="325">
        <v>11.8</v>
      </c>
      <c r="F203">
        <v>12517600</v>
      </c>
    </row>
    <row r="204" spans="1:6" ht="15" customHeight="1" x14ac:dyDescent="0.35">
      <c r="A204" s="376">
        <v>45961.5625</v>
      </c>
      <c r="B204" s="102">
        <v>10.95</v>
      </c>
      <c r="C204" s="102">
        <v>11.275</v>
      </c>
      <c r="D204" s="102">
        <v>10.945</v>
      </c>
      <c r="E204" s="325">
        <v>11.22</v>
      </c>
      <c r="F204">
        <v>5162900</v>
      </c>
    </row>
    <row r="205" spans="1:6" ht="15" customHeight="1" x14ac:dyDescent="0.35">
      <c r="A205" s="376">
        <v>45960.5625</v>
      </c>
      <c r="B205" s="102">
        <v>10.81</v>
      </c>
      <c r="C205" s="102">
        <v>11.05</v>
      </c>
      <c r="D205" s="102">
        <v>10.744999999999999</v>
      </c>
      <c r="E205" s="325">
        <v>10.9</v>
      </c>
      <c r="F205">
        <v>3542500</v>
      </c>
    </row>
    <row r="206" spans="1:6" ht="15" customHeight="1" x14ac:dyDescent="0.35">
      <c r="A206" s="376">
        <v>45959.5625</v>
      </c>
      <c r="B206" s="102">
        <v>11.24</v>
      </c>
      <c r="C206" s="102">
        <v>11.425000000000001</v>
      </c>
      <c r="D206" s="102">
        <v>10.89</v>
      </c>
      <c r="E206" s="325">
        <v>10.92</v>
      </c>
      <c r="F206">
        <v>4027500</v>
      </c>
    </row>
    <row r="207" spans="1:6" ht="15" customHeight="1" x14ac:dyDescent="0.35">
      <c r="A207" s="376">
        <v>45958.5625</v>
      </c>
      <c r="B207" s="102">
        <v>11.46</v>
      </c>
      <c r="C207" s="102">
        <v>11.6</v>
      </c>
      <c r="D207" s="102">
        <v>11.244999999999999</v>
      </c>
      <c r="E207" s="325">
        <v>11.26</v>
      </c>
      <c r="F207">
        <v>2749800</v>
      </c>
    </row>
    <row r="208" spans="1:6" ht="15" customHeight="1" x14ac:dyDescent="0.35">
      <c r="A208" s="376">
        <v>45957.5625</v>
      </c>
      <c r="B208" s="102">
        <v>11.26</v>
      </c>
      <c r="C208" s="102">
        <v>11.6</v>
      </c>
      <c r="D208" s="102">
        <v>11.21</v>
      </c>
      <c r="E208" s="325">
        <v>11.42</v>
      </c>
      <c r="F208">
        <v>4179100</v>
      </c>
    </row>
    <row r="209" spans="1:6" ht="15" customHeight="1" x14ac:dyDescent="0.35">
      <c r="A209" s="376">
        <v>45954.5625</v>
      </c>
      <c r="B209" s="102">
        <v>11.25</v>
      </c>
      <c r="C209" s="102">
        <v>11.38</v>
      </c>
      <c r="D209" s="102">
        <v>11.13</v>
      </c>
      <c r="E209" s="325">
        <v>11.135</v>
      </c>
      <c r="F209">
        <v>2699300</v>
      </c>
    </row>
    <row r="210" spans="1:6" ht="15" customHeight="1" x14ac:dyDescent="0.35">
      <c r="A210" s="376">
        <v>45953.5625</v>
      </c>
      <c r="B210" s="102">
        <v>10.94</v>
      </c>
      <c r="C210" s="102">
        <v>11.08</v>
      </c>
      <c r="D210" s="102">
        <v>10.86</v>
      </c>
      <c r="E210" s="325">
        <v>11.05</v>
      </c>
      <c r="F210">
        <v>3309700</v>
      </c>
    </row>
    <row r="211" spans="1:6" ht="15" customHeight="1" x14ac:dyDescent="0.35">
      <c r="A211" s="376">
        <v>45952.5625</v>
      </c>
      <c r="B211" s="102">
        <v>10.835000000000001</v>
      </c>
      <c r="C211" s="102">
        <v>11.02</v>
      </c>
      <c r="D211" s="102">
        <v>10.71</v>
      </c>
      <c r="E211" s="325">
        <v>10.94</v>
      </c>
      <c r="F211">
        <v>3821700</v>
      </c>
    </row>
    <row r="212" spans="1:6" ht="15" customHeight="1" x14ac:dyDescent="0.35">
      <c r="A212" s="376">
        <v>45951.5625</v>
      </c>
      <c r="B212" s="102">
        <v>10.47</v>
      </c>
      <c r="C212" s="102">
        <v>10.96</v>
      </c>
      <c r="D212" s="102">
        <v>10.425000000000001</v>
      </c>
      <c r="E212" s="325">
        <v>10.855</v>
      </c>
      <c r="F212">
        <v>2908000</v>
      </c>
    </row>
    <row r="213" spans="1:6" ht="15" customHeight="1" x14ac:dyDescent="0.35">
      <c r="A213" s="376">
        <v>45950.5625</v>
      </c>
      <c r="B213" s="102">
        <v>10.199999999999999</v>
      </c>
      <c r="C213" s="102">
        <v>10.49</v>
      </c>
      <c r="D213" s="102">
        <v>10.19</v>
      </c>
      <c r="E213" s="325">
        <v>10.47</v>
      </c>
      <c r="F213">
        <v>2172800</v>
      </c>
    </row>
    <row r="214" spans="1:6" ht="15" customHeight="1" x14ac:dyDescent="0.35">
      <c r="A214" s="376">
        <v>45947.5625</v>
      </c>
      <c r="B214" s="102">
        <v>10.1</v>
      </c>
      <c r="C214" s="102">
        <v>10.195</v>
      </c>
      <c r="D214" s="102">
        <v>10.01</v>
      </c>
      <c r="E214" s="325">
        <v>10.08</v>
      </c>
      <c r="F214">
        <v>3034600</v>
      </c>
    </row>
    <row r="215" spans="1:6" ht="15" customHeight="1" x14ac:dyDescent="0.35">
      <c r="A215" s="376">
        <v>45946.5625</v>
      </c>
      <c r="B215" s="102">
        <v>10.27</v>
      </c>
      <c r="C215" s="102">
        <v>10.51</v>
      </c>
      <c r="D215" s="102">
        <v>10.08</v>
      </c>
      <c r="E215" s="325">
        <v>10.164999999999999</v>
      </c>
      <c r="F215">
        <v>5597700</v>
      </c>
    </row>
    <row r="216" spans="1:6" ht="15" customHeight="1" x14ac:dyDescent="0.35">
      <c r="A216" s="376">
        <v>45945.5625</v>
      </c>
      <c r="B216" s="102">
        <v>10.44</v>
      </c>
      <c r="C216" s="102">
        <v>10.46</v>
      </c>
      <c r="D216" s="102">
        <v>10.14</v>
      </c>
      <c r="E216" s="325">
        <v>10.26</v>
      </c>
      <c r="F216">
        <v>2447700</v>
      </c>
    </row>
    <row r="217" spans="1:6" ht="15" customHeight="1" x14ac:dyDescent="0.35">
      <c r="A217" s="376">
        <v>45944.5625</v>
      </c>
      <c r="B217" s="102">
        <v>10.06</v>
      </c>
      <c r="C217" s="102">
        <v>10.319000000000001</v>
      </c>
      <c r="D217" s="102">
        <v>10.015000000000001</v>
      </c>
      <c r="E217" s="325">
        <v>10.26</v>
      </c>
      <c r="F217">
        <v>2410200</v>
      </c>
    </row>
    <row r="218" spans="1:6" ht="15" customHeight="1" x14ac:dyDescent="0.35">
      <c r="A218" s="376">
        <v>45943.5625</v>
      </c>
      <c r="B218" s="102">
        <v>10.130000000000001</v>
      </c>
      <c r="C218" s="102">
        <v>10.31</v>
      </c>
      <c r="D218" s="102">
        <v>9.99</v>
      </c>
      <c r="E218" s="325">
        <v>10.28</v>
      </c>
      <c r="F218">
        <v>3112400</v>
      </c>
    </row>
    <row r="219" spans="1:6" ht="15" customHeight="1" x14ac:dyDescent="0.35">
      <c r="A219" s="376">
        <v>45940.5625</v>
      </c>
      <c r="B219" s="102">
        <v>10.43</v>
      </c>
      <c r="C219" s="102">
        <v>10.47</v>
      </c>
      <c r="D219" s="102">
        <v>9.9600000000000009</v>
      </c>
      <c r="E219" s="325">
        <v>9.9700000000000006</v>
      </c>
      <c r="F219">
        <v>4285400</v>
      </c>
    </row>
    <row r="220" spans="1:6" ht="15" customHeight="1" x14ac:dyDescent="0.35">
      <c r="A220" s="376">
        <v>45939.5625</v>
      </c>
      <c r="B220" s="102">
        <v>10.42</v>
      </c>
      <c r="C220" s="102">
        <v>10.49</v>
      </c>
      <c r="D220" s="102">
        <v>10.27</v>
      </c>
      <c r="E220" s="325">
        <v>10.44</v>
      </c>
      <c r="F220">
        <v>2302700</v>
      </c>
    </row>
    <row r="221" spans="1:6" ht="15" customHeight="1" x14ac:dyDescent="0.35">
      <c r="A221" s="376">
        <v>45938.5625</v>
      </c>
      <c r="B221" s="102">
        <v>10.58</v>
      </c>
      <c r="C221" s="102">
        <v>10.61</v>
      </c>
      <c r="D221" s="102">
        <v>10.38</v>
      </c>
      <c r="E221" s="325">
        <v>10.41</v>
      </c>
      <c r="F221">
        <v>2569000</v>
      </c>
    </row>
    <row r="222" spans="1:6" ht="15" customHeight="1" x14ac:dyDescent="0.35">
      <c r="A222" s="376">
        <v>45937.5625</v>
      </c>
      <c r="B222" s="102">
        <v>10.725</v>
      </c>
      <c r="C222" s="102">
        <v>10.791</v>
      </c>
      <c r="D222" s="102">
        <v>10.285</v>
      </c>
      <c r="E222" s="325">
        <v>10.5</v>
      </c>
      <c r="F222">
        <v>3777000</v>
      </c>
    </row>
    <row r="223" spans="1:6" ht="15" customHeight="1" x14ac:dyDescent="0.35">
      <c r="A223" s="376">
        <v>45936.5625</v>
      </c>
      <c r="B223" s="102">
        <v>10.53</v>
      </c>
      <c r="C223" s="102">
        <v>10.7</v>
      </c>
      <c r="D223" s="102">
        <v>10.220000000000001</v>
      </c>
      <c r="E223" s="325">
        <v>10.67</v>
      </c>
      <c r="F223">
        <v>4233200</v>
      </c>
    </row>
    <row r="224" spans="1:6" ht="15" customHeight="1" x14ac:dyDescent="0.35">
      <c r="A224" s="376">
        <v>45933.5625</v>
      </c>
      <c r="B224" s="102">
        <v>10.47</v>
      </c>
      <c r="C224" s="102">
        <v>10.71</v>
      </c>
      <c r="D224" s="102">
        <v>10.404999999999999</v>
      </c>
      <c r="E224" s="325">
        <v>10.425000000000001</v>
      </c>
      <c r="F224">
        <v>3742000</v>
      </c>
    </row>
    <row r="225" spans="1:6" ht="15" customHeight="1" x14ac:dyDescent="0.35">
      <c r="A225" s="376">
        <v>45932.5625</v>
      </c>
      <c r="B225" s="102">
        <v>10.27</v>
      </c>
      <c r="C225" s="102">
        <v>10.48</v>
      </c>
      <c r="D225" s="102">
        <v>10.23</v>
      </c>
      <c r="E225" s="325">
        <v>10.45</v>
      </c>
      <c r="F225">
        <v>4358200</v>
      </c>
    </row>
    <row r="226" spans="1:6" ht="15" customHeight="1" x14ac:dyDescent="0.35">
      <c r="A226" s="376">
        <v>45931.5625</v>
      </c>
      <c r="B226" s="102">
        <v>10.65</v>
      </c>
      <c r="C226" s="102">
        <v>10.86</v>
      </c>
      <c r="D226" s="102">
        <v>10.26</v>
      </c>
      <c r="E226" s="325">
        <v>10.27</v>
      </c>
      <c r="F226">
        <v>5997800</v>
      </c>
    </row>
    <row r="227" spans="1:6" ht="15" customHeight="1" x14ac:dyDescent="0.35">
      <c r="A227" s="376">
        <v>45930.5625</v>
      </c>
      <c r="B227" s="102">
        <v>11.58</v>
      </c>
      <c r="C227" s="102">
        <v>11.65</v>
      </c>
      <c r="D227" s="102">
        <v>10.8</v>
      </c>
      <c r="E227" s="325">
        <v>10.91</v>
      </c>
      <c r="F227">
        <v>5728900</v>
      </c>
    </row>
    <row r="228" spans="1:6" ht="15" customHeight="1" x14ac:dyDescent="0.35">
      <c r="A228" s="376">
        <v>45929.5625</v>
      </c>
      <c r="B228" s="102">
        <v>11.68</v>
      </c>
      <c r="C228" s="102">
        <v>11.74</v>
      </c>
      <c r="D228" s="102">
        <v>11.42</v>
      </c>
      <c r="E228" s="325">
        <v>11.61</v>
      </c>
      <c r="F228">
        <v>3138700</v>
      </c>
    </row>
    <row r="229" spans="1:6" ht="15" customHeight="1" x14ac:dyDescent="0.35">
      <c r="A229" s="376">
        <v>45926.5625</v>
      </c>
      <c r="B229" s="102">
        <v>11.38</v>
      </c>
      <c r="C229" s="102">
        <v>11.58</v>
      </c>
      <c r="D229" s="102">
        <v>11.18</v>
      </c>
      <c r="E229" s="325">
        <v>11.56</v>
      </c>
      <c r="F229">
        <v>2707300</v>
      </c>
    </row>
    <row r="230" spans="1:6" ht="15" customHeight="1" x14ac:dyDescent="0.35">
      <c r="A230" s="376">
        <v>45925.5625</v>
      </c>
      <c r="B230" s="102">
        <v>11.28</v>
      </c>
      <c r="C230" s="102">
        <v>11.5</v>
      </c>
      <c r="D230" s="102">
        <v>11.14</v>
      </c>
      <c r="E230" s="325">
        <v>11.35</v>
      </c>
      <c r="F230">
        <v>2376000</v>
      </c>
    </row>
    <row r="231" spans="1:6" ht="15" customHeight="1" x14ac:dyDescent="0.35">
      <c r="A231" s="376">
        <v>45924.5625</v>
      </c>
      <c r="B231" s="102">
        <v>12.04</v>
      </c>
      <c r="C231" s="102">
        <v>12.105</v>
      </c>
      <c r="D231" s="102">
        <v>11.355</v>
      </c>
      <c r="E231" s="325">
        <v>11.51</v>
      </c>
      <c r="F231">
        <v>3017000</v>
      </c>
    </row>
    <row r="232" spans="1:6" ht="15" customHeight="1" x14ac:dyDescent="0.35">
      <c r="A232" s="376">
        <v>45923.5625</v>
      </c>
      <c r="B232" s="102">
        <v>12</v>
      </c>
      <c r="C232" s="102">
        <v>12.19</v>
      </c>
      <c r="D232" s="102">
        <v>11.815</v>
      </c>
      <c r="E232" s="325">
        <v>11.91</v>
      </c>
      <c r="F232">
        <v>3419800</v>
      </c>
    </row>
    <row r="233" spans="1:6" ht="15" customHeight="1" x14ac:dyDescent="0.35">
      <c r="A233" s="376">
        <v>45922.5625</v>
      </c>
      <c r="B233" s="102">
        <v>11.84</v>
      </c>
      <c r="C233" s="102">
        <v>12</v>
      </c>
      <c r="D233" s="102">
        <v>11.69</v>
      </c>
      <c r="E233" s="325">
        <v>11.97</v>
      </c>
      <c r="F233">
        <v>2698900</v>
      </c>
    </row>
    <row r="234" spans="1:6" ht="15" customHeight="1" x14ac:dyDescent="0.35">
      <c r="A234" s="376">
        <v>45919.5625</v>
      </c>
      <c r="B234" s="102">
        <v>12.14</v>
      </c>
      <c r="C234" s="102">
        <v>12.25</v>
      </c>
      <c r="D234" s="102">
        <v>11.8</v>
      </c>
      <c r="E234" s="325">
        <v>11.83</v>
      </c>
      <c r="F234">
        <v>10717500</v>
      </c>
    </row>
    <row r="235" spans="1:6" ht="15" customHeight="1" x14ac:dyDescent="0.35">
      <c r="A235" s="376">
        <v>45918.5625</v>
      </c>
      <c r="B235" s="102">
        <v>12.01</v>
      </c>
      <c r="C235" s="102">
        <v>12.225</v>
      </c>
      <c r="D235" s="102">
        <v>12</v>
      </c>
      <c r="E235" s="325">
        <v>12.14</v>
      </c>
      <c r="F235">
        <v>4618300</v>
      </c>
    </row>
    <row r="236" spans="1:6" ht="15" customHeight="1" x14ac:dyDescent="0.35">
      <c r="A236" s="376">
        <v>45917.5625</v>
      </c>
      <c r="B236" s="102">
        <v>11.9</v>
      </c>
      <c r="C236" s="102">
        <v>12.39</v>
      </c>
      <c r="D236" s="102">
        <v>11.78</v>
      </c>
      <c r="E236" s="325">
        <v>12.01</v>
      </c>
      <c r="F236">
        <v>3320100</v>
      </c>
    </row>
    <row r="237" spans="1:6" ht="15" customHeight="1" x14ac:dyDescent="0.35">
      <c r="A237" s="376">
        <v>45916.5625</v>
      </c>
      <c r="B237" s="102">
        <v>12.19</v>
      </c>
      <c r="C237" s="102">
        <v>12.19</v>
      </c>
      <c r="D237" s="102">
        <v>11.61</v>
      </c>
      <c r="E237" s="325">
        <v>11.84</v>
      </c>
      <c r="F237">
        <v>3434600</v>
      </c>
    </row>
    <row r="238" spans="1:6" ht="15" customHeight="1" x14ac:dyDescent="0.35">
      <c r="A238" s="376">
        <v>45915.5625</v>
      </c>
      <c r="B238" s="102">
        <v>11.77</v>
      </c>
      <c r="C238" s="102">
        <v>12.51</v>
      </c>
      <c r="D238" s="102">
        <v>11.74</v>
      </c>
      <c r="E238" s="325">
        <v>12.2</v>
      </c>
      <c r="F238">
        <v>7180400</v>
      </c>
    </row>
    <row r="239" spans="1:6" ht="15" customHeight="1" x14ac:dyDescent="0.35">
      <c r="A239" s="376">
        <v>45912.5625</v>
      </c>
      <c r="B239" s="102">
        <v>11.85</v>
      </c>
      <c r="C239" s="102">
        <v>11.87</v>
      </c>
      <c r="D239" s="102">
        <v>11.34</v>
      </c>
      <c r="E239" s="325">
        <v>11.66</v>
      </c>
      <c r="F239">
        <v>4508300</v>
      </c>
    </row>
    <row r="240" spans="1:6" ht="15" customHeight="1" x14ac:dyDescent="0.35">
      <c r="A240" s="376">
        <v>45911.5625</v>
      </c>
      <c r="B240" s="102">
        <v>11.43</v>
      </c>
      <c r="C240" s="102">
        <v>11.79</v>
      </c>
      <c r="D240" s="102">
        <v>11.22</v>
      </c>
      <c r="E240" s="325">
        <v>11.75</v>
      </c>
      <c r="F240">
        <v>5500800</v>
      </c>
    </row>
    <row r="241" spans="1:6" ht="15" customHeight="1" x14ac:dyDescent="0.35">
      <c r="A241" s="376">
        <v>45910.5625</v>
      </c>
      <c r="B241" s="102">
        <v>10.59</v>
      </c>
      <c r="C241" s="102">
        <v>11.6</v>
      </c>
      <c r="D241" s="102">
        <v>10.53</v>
      </c>
      <c r="E241" s="325">
        <v>11.4</v>
      </c>
      <c r="F241">
        <v>13413100</v>
      </c>
    </row>
    <row r="242" spans="1:6" ht="15" customHeight="1" x14ac:dyDescent="0.35">
      <c r="A242" s="376">
        <v>45909.5625</v>
      </c>
      <c r="B242" s="102">
        <v>10.64</v>
      </c>
      <c r="C242" s="102">
        <v>10.755000000000001</v>
      </c>
      <c r="D242" s="102">
        <v>10.45</v>
      </c>
      <c r="E242" s="325">
        <v>10.55</v>
      </c>
      <c r="F242">
        <v>3943400</v>
      </c>
    </row>
    <row r="243" spans="1:6" ht="15" customHeight="1" x14ac:dyDescent="0.35">
      <c r="A243" s="376">
        <v>45908.5625</v>
      </c>
      <c r="B243" s="102">
        <v>10.35</v>
      </c>
      <c r="C243" s="102">
        <v>10.66</v>
      </c>
      <c r="D243" s="102">
        <v>10.35</v>
      </c>
      <c r="E243" s="325">
        <v>10.65</v>
      </c>
      <c r="F243">
        <v>4247600</v>
      </c>
    </row>
    <row r="244" spans="1:6" ht="15" customHeight="1" x14ac:dyDescent="0.35">
      <c r="A244" s="376">
        <v>45905.5625</v>
      </c>
      <c r="B244" s="102">
        <v>10.23</v>
      </c>
      <c r="C244" s="102">
        <v>10.563000000000001</v>
      </c>
      <c r="D244" s="102">
        <v>10.095000000000001</v>
      </c>
      <c r="E244" s="325">
        <v>10.23</v>
      </c>
      <c r="F244">
        <v>2661200</v>
      </c>
    </row>
    <row r="245" spans="1:6" ht="15" customHeight="1" x14ac:dyDescent="0.35">
      <c r="A245" s="376">
        <v>45904.5625</v>
      </c>
      <c r="B245" s="102">
        <v>10.26</v>
      </c>
      <c r="C245" s="102">
        <v>10.26</v>
      </c>
      <c r="D245" s="102">
        <v>10.031000000000001</v>
      </c>
      <c r="E245" s="325">
        <v>10.119999999999999</v>
      </c>
      <c r="F245">
        <v>2945000</v>
      </c>
    </row>
    <row r="246" spans="1:6" ht="15" customHeight="1" x14ac:dyDescent="0.35">
      <c r="A246" s="376">
        <v>45903.5625</v>
      </c>
      <c r="B246" s="102">
        <v>10.26</v>
      </c>
      <c r="C246" s="102">
        <v>10.4</v>
      </c>
      <c r="D246" s="102">
        <v>10.14</v>
      </c>
      <c r="E246" s="325">
        <v>10.38</v>
      </c>
      <c r="F246">
        <v>2737400</v>
      </c>
    </row>
    <row r="247" spans="1:6" ht="15" customHeight="1" x14ac:dyDescent="0.35">
      <c r="A247" s="376">
        <v>45902.5625</v>
      </c>
      <c r="B247" s="102">
        <v>10.55</v>
      </c>
      <c r="C247" s="102">
        <v>10.66</v>
      </c>
      <c r="D247" s="102">
        <v>10.130000000000001</v>
      </c>
      <c r="E247" s="325">
        <v>10.29</v>
      </c>
      <c r="F247">
        <v>3413200</v>
      </c>
    </row>
    <row r="248" spans="1:6" ht="15" customHeight="1" x14ac:dyDescent="0.35">
      <c r="A248" s="376">
        <v>45898.5625</v>
      </c>
      <c r="B248" s="102">
        <v>10.87</v>
      </c>
      <c r="C248" s="102">
        <v>10.93</v>
      </c>
      <c r="D248" s="102">
        <v>10.75</v>
      </c>
      <c r="E248" s="325">
        <v>10.9</v>
      </c>
      <c r="F248">
        <v>3652700</v>
      </c>
    </row>
    <row r="249" spans="1:6" ht="15" customHeight="1" x14ac:dyDescent="0.35">
      <c r="A249" s="376">
        <v>45897.5625</v>
      </c>
      <c r="B249" s="102">
        <v>10.8</v>
      </c>
      <c r="C249" s="102">
        <v>11.005000000000001</v>
      </c>
      <c r="D249" s="102">
        <v>10.75</v>
      </c>
      <c r="E249" s="325">
        <v>10.895</v>
      </c>
      <c r="F249">
        <v>2671500</v>
      </c>
    </row>
    <row r="250" spans="1:6" ht="15" customHeight="1" x14ac:dyDescent="0.35">
      <c r="A250" s="376">
        <v>45896.5625</v>
      </c>
      <c r="B250" s="102">
        <v>10.3</v>
      </c>
      <c r="C250" s="102">
        <v>10.77</v>
      </c>
      <c r="D250" s="102">
        <v>10.275</v>
      </c>
      <c r="E250" s="325">
        <v>10.75</v>
      </c>
      <c r="F250">
        <v>2864300</v>
      </c>
    </row>
    <row r="251" spans="1:6" ht="15" customHeight="1" x14ac:dyDescent="0.35">
      <c r="A251" s="376">
        <v>45895.5625</v>
      </c>
      <c r="B251" s="102">
        <v>10.52</v>
      </c>
      <c r="C251" s="102">
        <v>10.545999999999999</v>
      </c>
      <c r="D251" s="102">
        <v>10.225</v>
      </c>
      <c r="E251" s="325">
        <v>10.23</v>
      </c>
      <c r="F251">
        <v>4048200</v>
      </c>
    </row>
    <row r="252" spans="1:6" ht="15" customHeight="1" x14ac:dyDescent="0.35">
      <c r="A252" s="376">
        <v>45894.5625</v>
      </c>
      <c r="B252" s="102">
        <v>10.72</v>
      </c>
      <c r="C252" s="102">
        <v>10.8</v>
      </c>
      <c r="D252" s="102">
        <v>10.44</v>
      </c>
      <c r="E252" s="325">
        <v>10.46</v>
      </c>
      <c r="F252">
        <v>3263500</v>
      </c>
    </row>
    <row r="253" spans="1:6" ht="15" customHeight="1" x14ac:dyDescent="0.35">
      <c r="A253" s="376">
        <v>45891.5625</v>
      </c>
      <c r="B253" s="102">
        <v>10.1</v>
      </c>
      <c r="C253" s="102">
        <v>10.78</v>
      </c>
      <c r="D253" s="102">
        <v>10.08</v>
      </c>
      <c r="E253" s="325">
        <v>10.75</v>
      </c>
      <c r="F253">
        <v>3426400</v>
      </c>
    </row>
    <row r="254" spans="1:6" ht="15" customHeight="1" x14ac:dyDescent="0.35">
      <c r="A254" s="376">
        <v>45890.5625</v>
      </c>
      <c r="B254" s="102">
        <v>10</v>
      </c>
      <c r="C254" s="102">
        <v>10.15</v>
      </c>
      <c r="D254" s="102">
        <v>9.85</v>
      </c>
      <c r="E254" s="325">
        <v>10.1</v>
      </c>
      <c r="F254">
        <v>3890700</v>
      </c>
    </row>
    <row r="255" spans="1:6" ht="15" customHeight="1" x14ac:dyDescent="0.35">
      <c r="A255" s="376">
        <v>45889.5625</v>
      </c>
      <c r="B255" s="102">
        <v>10.210000000000001</v>
      </c>
      <c r="C255" s="102">
        <v>10.28</v>
      </c>
      <c r="D255" s="102">
        <v>9.98</v>
      </c>
      <c r="E255" s="325">
        <v>10.1</v>
      </c>
      <c r="F255">
        <v>3604000</v>
      </c>
    </row>
    <row r="256" spans="1:6" ht="15" customHeight="1" x14ac:dyDescent="0.35">
      <c r="A256" s="376">
        <v>45888.5625</v>
      </c>
      <c r="B256" s="102">
        <v>10.57</v>
      </c>
      <c r="C256" s="102">
        <v>10.64</v>
      </c>
      <c r="D256" s="102">
        <v>10.26</v>
      </c>
      <c r="E256" s="325">
        <v>10.31</v>
      </c>
      <c r="F256">
        <v>3739400</v>
      </c>
    </row>
    <row r="257" spans="1:6" ht="15" customHeight="1" x14ac:dyDescent="0.35">
      <c r="A257" s="376">
        <v>45887.5625</v>
      </c>
      <c r="B257" s="102">
        <v>10.41</v>
      </c>
      <c r="C257" s="102">
        <v>10.585000000000001</v>
      </c>
      <c r="D257" s="102">
        <v>10.27</v>
      </c>
      <c r="E257" s="325">
        <v>10.55</v>
      </c>
      <c r="F257">
        <v>4958400</v>
      </c>
    </row>
    <row r="258" spans="1:6" ht="15" customHeight="1" x14ac:dyDescent="0.35">
      <c r="A258" s="376">
        <v>45884.5625</v>
      </c>
      <c r="B258" s="102">
        <v>10.074999999999999</v>
      </c>
      <c r="C258" s="102">
        <v>10.62</v>
      </c>
      <c r="D258" s="102">
        <v>10.074999999999999</v>
      </c>
      <c r="E258" s="325">
        <v>10.43</v>
      </c>
      <c r="F258">
        <v>4757500</v>
      </c>
    </row>
    <row r="259" spans="1:6" ht="15" customHeight="1" x14ac:dyDescent="0.35">
      <c r="A259" s="298"/>
      <c r="E259" s="104"/>
    </row>
    <row r="260" spans="1:6" ht="15" customHeight="1" x14ac:dyDescent="0.35">
      <c r="A260" s="298"/>
      <c r="E260" s="104"/>
    </row>
    <row r="261" spans="1:6" ht="15" customHeight="1" x14ac:dyDescent="0.35">
      <c r="A261" s="298"/>
      <c r="E261" s="104"/>
    </row>
    <row r="262" spans="1:6" ht="15" customHeight="1" x14ac:dyDescent="0.35">
      <c r="A262" s="298"/>
      <c r="E262" s="104"/>
    </row>
    <row r="263" spans="1:6" ht="15" customHeight="1" x14ac:dyDescent="0.35">
      <c r="A263" s="298"/>
      <c r="E263" s="104"/>
    </row>
    <row r="264" spans="1:6" ht="15" customHeight="1" x14ac:dyDescent="0.35">
      <c r="A264" s="298"/>
      <c r="E264" s="104"/>
    </row>
    <row r="265" spans="1:6" ht="15" customHeight="1" x14ac:dyDescent="0.35">
      <c r="A265" s="298"/>
      <c r="E265" s="104"/>
    </row>
    <row r="266" spans="1:6" ht="15" customHeight="1" x14ac:dyDescent="0.35">
      <c r="A266" s="298"/>
      <c r="E266" s="104"/>
    </row>
    <row r="267" spans="1:6" ht="15" customHeight="1" x14ac:dyDescent="0.35">
      <c r="A267" s="298"/>
      <c r="E267" s="104"/>
    </row>
    <row r="268" spans="1:6" ht="15" customHeight="1" x14ac:dyDescent="0.35">
      <c r="A268" s="298"/>
      <c r="E268" s="104"/>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Assumptions_Drivers</vt:lpstr>
      <vt:lpstr>Strategy_Summary</vt:lpstr>
      <vt:lpstr>00_Assumptions_List</vt:lpstr>
      <vt:lpstr>Debt_Sweep_AI</vt:lpstr>
      <vt:lpstr>Base_Operating</vt:lpstr>
      <vt:lpstr>AI_Operating</vt:lpstr>
      <vt:lpstr>Coversheet</vt:lpstr>
      <vt:lpstr>LBO</vt:lpstr>
      <vt:lpstr>DCF</vt:lpstr>
      <vt:lpstr>Shares</vt:lpstr>
      <vt:lpstr>52wkHL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Gardner</cp:lastModifiedBy>
  <cp:revision>0</cp:revision>
  <dcterms:created xsi:type="dcterms:W3CDTF">2026-08-16T14:31:46Z</dcterms:created>
  <dcterms:modified xsi:type="dcterms:W3CDTF">2026-08-16T16:58:40Z</dcterms:modified>
  <dc:language>en-US</dc:language>
</cp:coreProperties>
</file>