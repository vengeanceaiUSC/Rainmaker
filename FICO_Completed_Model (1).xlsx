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406EA076-EBEF-41AA-B75C-01C4839318DF}" xr6:coauthVersionLast="47" xr6:coauthVersionMax="47" xr10:uidLastSave="{00000000-0000-0000-0000-000000000000}"/>
  <bookViews>
    <workbookView xWindow="-110" yWindow="-110" windowWidth="19420" windowHeight="11500" tabRatio="685" activeTab="2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pex">'DCF Model'!$D$15</definedName>
    <definedName name="DCF_Cash">'DCF Model'!$D$14</definedName>
    <definedName name="DCF_DA_Start">'DCF Model'!$E$23</definedName>
    <definedName name="DCF_Debt">'DCF Model'!$D$13</definedName>
    <definedName name="DCF_DeltaNWC_Start">'DCF Model'!$E$25</definedName>
    <definedName name="DCF_EBIT_Start">'DCF Model'!$E$21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" l="1"/>
  <c r="F18" i="3"/>
  <c r="I37" i="3"/>
  <c r="N36" i="3"/>
  <c r="I35" i="3"/>
  <c r="D27" i="3" s="1"/>
  <c r="D29" i="3" s="1"/>
  <c r="I34" i="3"/>
  <c r="D34" i="3"/>
  <c r="I33" i="3"/>
  <c r="D33" i="3"/>
  <c r="I32" i="3"/>
  <c r="H26" i="3"/>
  <c r="E26" i="3"/>
  <c r="I24" i="3"/>
  <c r="I26" i="3" s="1"/>
  <c r="H24" i="3"/>
  <c r="G24" i="3"/>
  <c r="F24" i="3"/>
  <c r="E24" i="3"/>
  <c r="I22" i="3"/>
  <c r="H22" i="3"/>
  <c r="G22" i="3"/>
  <c r="G26" i="3" s="1"/>
  <c r="F22" i="3"/>
  <c r="E22" i="3"/>
  <c r="N19" i="3"/>
  <c r="F19" i="3"/>
  <c r="G19" i="3" s="1"/>
  <c r="H19" i="3" s="1"/>
  <c r="I19" i="3" s="1"/>
  <c r="H18" i="3"/>
  <c r="G18" i="3"/>
  <c r="G17" i="3" s="1"/>
  <c r="E18" i="3"/>
  <c r="E20" i="3" s="1"/>
  <c r="D18" i="3"/>
  <c r="I126" i="2"/>
  <c r="F126" i="2"/>
  <c r="E126" i="2"/>
  <c r="H123" i="2"/>
  <c r="I122" i="2"/>
  <c r="H122" i="2"/>
  <c r="I121" i="2"/>
  <c r="H121" i="2"/>
  <c r="G121" i="2"/>
  <c r="F121" i="2"/>
  <c r="E121" i="2"/>
  <c r="I100" i="2"/>
  <c r="J98" i="2" s="1"/>
  <c r="J101" i="2" s="1"/>
  <c r="J31" i="2" s="1"/>
  <c r="H100" i="2"/>
  <c r="G100" i="2"/>
  <c r="F100" i="2"/>
  <c r="E100" i="2"/>
  <c r="N99" i="2"/>
  <c r="M99" i="2"/>
  <c r="L99" i="2"/>
  <c r="K99" i="2"/>
  <c r="J99" i="2"/>
  <c r="I95" i="2"/>
  <c r="J92" i="2" s="1"/>
  <c r="H95" i="2"/>
  <c r="G95" i="2"/>
  <c r="F95" i="2"/>
  <c r="E95" i="2"/>
  <c r="N93" i="2"/>
  <c r="M93" i="2"/>
  <c r="L93" i="2"/>
  <c r="K93" i="2"/>
  <c r="J93" i="2"/>
  <c r="I89" i="2"/>
  <c r="H89" i="2"/>
  <c r="I88" i="2"/>
  <c r="H88" i="2"/>
  <c r="G88" i="2"/>
  <c r="F88" i="2"/>
  <c r="G89" i="2" s="1"/>
  <c r="E88" i="2"/>
  <c r="E89" i="2" s="1"/>
  <c r="E77" i="2"/>
  <c r="L74" i="2"/>
  <c r="I74" i="2"/>
  <c r="I127" i="2" s="1"/>
  <c r="H74" i="2"/>
  <c r="H127" i="2" s="1"/>
  <c r="G74" i="2"/>
  <c r="G127" i="2" s="1"/>
  <c r="F74" i="2"/>
  <c r="F127" i="2" s="1"/>
  <c r="E74" i="2"/>
  <c r="E127" i="2" s="1"/>
  <c r="N73" i="2"/>
  <c r="M73" i="2"/>
  <c r="M74" i="2" s="1"/>
  <c r="L73" i="2"/>
  <c r="K73" i="2"/>
  <c r="J73" i="2"/>
  <c r="N72" i="2"/>
  <c r="M72" i="2"/>
  <c r="L72" i="2"/>
  <c r="K72" i="2"/>
  <c r="K74" i="2" s="1"/>
  <c r="J72" i="2"/>
  <c r="J74" i="2" s="1"/>
  <c r="N69" i="2"/>
  <c r="M69" i="2"/>
  <c r="L69" i="2"/>
  <c r="I69" i="2"/>
  <c r="H69" i="2"/>
  <c r="H126" i="2" s="1"/>
  <c r="G69" i="2"/>
  <c r="G126" i="2" s="1"/>
  <c r="F69" i="2"/>
  <c r="E69" i="2"/>
  <c r="N68" i="2"/>
  <c r="M68" i="2"/>
  <c r="L68" i="2"/>
  <c r="K68" i="2"/>
  <c r="K69" i="2" s="1"/>
  <c r="J68" i="2"/>
  <c r="J69" i="2" s="1"/>
  <c r="I63" i="2"/>
  <c r="H63" i="2"/>
  <c r="G63" i="2"/>
  <c r="F63" i="2"/>
  <c r="E63" i="2"/>
  <c r="E57" i="2"/>
  <c r="E3" i="2" s="1"/>
  <c r="I54" i="2"/>
  <c r="H54" i="2"/>
  <c r="G54" i="2"/>
  <c r="F54" i="2"/>
  <c r="E54" i="2"/>
  <c r="M52" i="2"/>
  <c r="N52" i="2" s="1"/>
  <c r="J52" i="2"/>
  <c r="K52" i="2" s="1"/>
  <c r="L52" i="2" s="1"/>
  <c r="I50" i="2"/>
  <c r="I55" i="2" s="1"/>
  <c r="I57" i="2" s="1"/>
  <c r="I3" i="2" s="1"/>
  <c r="H50" i="2"/>
  <c r="H55" i="2" s="1"/>
  <c r="H57" i="2" s="1"/>
  <c r="H3" i="2" s="1"/>
  <c r="G50" i="2"/>
  <c r="G55" i="2" s="1"/>
  <c r="G57" i="2" s="1"/>
  <c r="G3" i="2" s="1"/>
  <c r="F50" i="2"/>
  <c r="F55" i="2" s="1"/>
  <c r="F57" i="2" s="1"/>
  <c r="F3" i="2" s="1"/>
  <c r="E50" i="2"/>
  <c r="E55" i="2" s="1"/>
  <c r="I45" i="2"/>
  <c r="H45" i="2"/>
  <c r="G45" i="2"/>
  <c r="F45" i="2"/>
  <c r="E45" i="2"/>
  <c r="J42" i="2"/>
  <c r="J85" i="2" s="1"/>
  <c r="H36" i="2"/>
  <c r="H62" i="2" s="1"/>
  <c r="H65" i="2" s="1"/>
  <c r="H125" i="2" s="1"/>
  <c r="I32" i="2"/>
  <c r="H32" i="2"/>
  <c r="H33" i="2" s="1"/>
  <c r="H13" i="2" s="1"/>
  <c r="G32" i="2"/>
  <c r="F32" i="2"/>
  <c r="E32" i="2"/>
  <c r="N29" i="2"/>
  <c r="M29" i="2"/>
  <c r="L29" i="2"/>
  <c r="K29" i="2"/>
  <c r="J29" i="2"/>
  <c r="N28" i="2"/>
  <c r="M28" i="2"/>
  <c r="L28" i="2"/>
  <c r="K28" i="2"/>
  <c r="J28" i="2"/>
  <c r="I26" i="2"/>
  <c r="I33" i="2" s="1"/>
  <c r="I13" i="2" s="1"/>
  <c r="H26" i="2"/>
  <c r="G26" i="2"/>
  <c r="G33" i="2" s="1"/>
  <c r="F26" i="2"/>
  <c r="E26" i="2"/>
  <c r="J24" i="2"/>
  <c r="J25" i="2" s="1"/>
  <c r="J43" i="2" s="1"/>
  <c r="J86" i="2" s="1"/>
  <c r="I20" i="2"/>
  <c r="H20" i="2"/>
  <c r="G20" i="2"/>
  <c r="F20" i="2"/>
  <c r="E20" i="2"/>
  <c r="I19" i="2"/>
  <c r="H19" i="2"/>
  <c r="G19" i="2"/>
  <c r="F19" i="2"/>
  <c r="E19" i="2"/>
  <c r="I18" i="2"/>
  <c r="H18" i="2"/>
  <c r="G18" i="2"/>
  <c r="F18" i="2"/>
  <c r="E18" i="2"/>
  <c r="I17" i="2"/>
  <c r="H17" i="2"/>
  <c r="G17" i="2"/>
  <c r="F17" i="2"/>
  <c r="E17" i="2"/>
  <c r="I16" i="2"/>
  <c r="H16" i="2"/>
  <c r="G16" i="2"/>
  <c r="F16" i="2"/>
  <c r="E16" i="2"/>
  <c r="I15" i="2"/>
  <c r="H15" i="2"/>
  <c r="G15" i="2"/>
  <c r="F15" i="2"/>
  <c r="E15" i="2"/>
  <c r="I12" i="2"/>
  <c r="H12" i="2"/>
  <c r="G12" i="2"/>
  <c r="F12" i="2"/>
  <c r="E12" i="2"/>
  <c r="I11" i="2"/>
  <c r="H11" i="2"/>
  <c r="G11" i="2"/>
  <c r="F11" i="2"/>
  <c r="E11" i="2"/>
  <c r="I10" i="2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F2" i="2"/>
  <c r="G2" i="2" s="1"/>
  <c r="H2" i="2" s="1"/>
  <c r="I2" i="2" s="1"/>
  <c r="J2" i="2" s="1"/>
  <c r="K2" i="2" s="1"/>
  <c r="L2" i="2" s="1"/>
  <c r="M2" i="2" s="1"/>
  <c r="N2" i="2" s="1"/>
  <c r="J100" i="2" l="1"/>
  <c r="E28" i="3"/>
  <c r="I36" i="2"/>
  <c r="I62" i="2" s="1"/>
  <c r="I65" i="2" s="1"/>
  <c r="N74" i="2"/>
  <c r="H20" i="3"/>
  <c r="H28" i="3" s="1"/>
  <c r="F33" i="2"/>
  <c r="F122" i="2"/>
  <c r="J94" i="2"/>
  <c r="J30" i="2" s="1"/>
  <c r="J63" i="2" s="1"/>
  <c r="I123" i="2"/>
  <c r="F89" i="2"/>
  <c r="G36" i="2"/>
  <c r="G62" i="2" s="1"/>
  <c r="G65" i="2" s="1"/>
  <c r="G13" i="2"/>
  <c r="G123" i="2"/>
  <c r="N18" i="3"/>
  <c r="N20" i="3" s="1"/>
  <c r="J27" i="3" s="1"/>
  <c r="H76" i="2"/>
  <c r="H78" i="2" s="1"/>
  <c r="H80" i="2" s="1"/>
  <c r="F26" i="3"/>
  <c r="E33" i="2"/>
  <c r="E122" i="2"/>
  <c r="J48" i="2"/>
  <c r="F20" i="3"/>
  <c r="E17" i="3"/>
  <c r="G20" i="3"/>
  <c r="G28" i="3" s="1"/>
  <c r="F17" i="3"/>
  <c r="H17" i="3"/>
  <c r="I20" i="3"/>
  <c r="I29" i="3" s="1"/>
  <c r="I17" i="3"/>
  <c r="J18" i="3"/>
  <c r="K24" i="2"/>
  <c r="E29" i="3"/>
  <c r="J26" i="2"/>
  <c r="G122" i="2"/>
  <c r="H29" i="3"/>
  <c r="I28" i="3" l="1"/>
  <c r="J33" i="2"/>
  <c r="F123" i="2"/>
  <c r="F36" i="2"/>
  <c r="F62" i="2" s="1"/>
  <c r="F65" i="2" s="1"/>
  <c r="F13" i="2"/>
  <c r="K25" i="2"/>
  <c r="K26" i="2"/>
  <c r="L24" i="2"/>
  <c r="K42" i="2"/>
  <c r="K85" i="2" s="1"/>
  <c r="J87" i="2"/>
  <c r="J88" i="2" s="1"/>
  <c r="J89" i="2" s="1"/>
  <c r="J64" i="2" s="1"/>
  <c r="J50" i="2"/>
  <c r="I125" i="2"/>
  <c r="I76" i="2"/>
  <c r="I78" i="2" s="1"/>
  <c r="E123" i="2"/>
  <c r="E36" i="2"/>
  <c r="E62" i="2" s="1"/>
  <c r="E65" i="2" s="1"/>
  <c r="E13" i="2"/>
  <c r="G125" i="2"/>
  <c r="G76" i="2"/>
  <c r="G78" i="2" s="1"/>
  <c r="G80" i="2" s="1"/>
  <c r="G29" i="3"/>
  <c r="J29" i="3"/>
  <c r="J28" i="3"/>
  <c r="J49" i="2"/>
  <c r="K98" i="2"/>
  <c r="J32" i="2"/>
  <c r="F29" i="3"/>
  <c r="N33" i="3" s="1"/>
  <c r="F28" i="3"/>
  <c r="D32" i="3" s="1"/>
  <c r="D35" i="3" s="1"/>
  <c r="D37" i="3" s="1"/>
  <c r="J95" i="2"/>
  <c r="E76" i="2" l="1"/>
  <c r="E78" i="2" s="1"/>
  <c r="E80" i="2" s="1"/>
  <c r="E125" i="2"/>
  <c r="J35" i="2"/>
  <c r="J36" i="2"/>
  <c r="F125" i="2"/>
  <c r="F76" i="2"/>
  <c r="F78" i="2" s="1"/>
  <c r="F80" i="2" s="1"/>
  <c r="K92" i="2"/>
  <c r="J44" i="2"/>
  <c r="J77" i="2"/>
  <c r="I80" i="2"/>
  <c r="K101" i="2"/>
  <c r="K31" i="2" s="1"/>
  <c r="K100" i="2"/>
  <c r="L25" i="2"/>
  <c r="M24" i="2"/>
  <c r="L26" i="2"/>
  <c r="L42" i="2"/>
  <c r="L85" i="2" s="1"/>
  <c r="K43" i="2"/>
  <c r="K86" i="2" s="1"/>
  <c r="K48" i="2"/>
  <c r="N32" i="3"/>
  <c r="N37" i="3"/>
  <c r="N38" i="3" s="1"/>
  <c r="J62" i="2" l="1"/>
  <c r="J65" i="2" s="1"/>
  <c r="J76" i="2" s="1"/>
  <c r="J78" i="2" s="1"/>
  <c r="J53" i="2"/>
  <c r="K87" i="2"/>
  <c r="K88" i="2" s="1"/>
  <c r="K89" i="2" s="1"/>
  <c r="K64" i="2" s="1"/>
  <c r="K50" i="2"/>
  <c r="K94" i="2"/>
  <c r="K30" i="2" s="1"/>
  <c r="K95" i="2"/>
  <c r="N24" i="2"/>
  <c r="M26" i="2"/>
  <c r="M25" i="2"/>
  <c r="M42" i="2"/>
  <c r="M85" i="2" s="1"/>
  <c r="L43" i="2"/>
  <c r="L86" i="2" s="1"/>
  <c r="L48" i="2"/>
  <c r="K49" i="2"/>
  <c r="L98" i="2"/>
  <c r="L88" i="2" l="1"/>
  <c r="L89" i="2" s="1"/>
  <c r="L64" i="2" s="1"/>
  <c r="K44" i="2"/>
  <c r="L92" i="2"/>
  <c r="M48" i="2"/>
  <c r="M43" i="2"/>
  <c r="M86" i="2" s="1"/>
  <c r="N42" i="2"/>
  <c r="N85" i="2" s="1"/>
  <c r="N25" i="2"/>
  <c r="K63" i="2"/>
  <c r="K32" i="2"/>
  <c r="K33" i="2" s="1"/>
  <c r="L101" i="2"/>
  <c r="L31" i="2" s="1"/>
  <c r="L100" i="2"/>
  <c r="J54" i="2"/>
  <c r="J55" i="2" s="1"/>
  <c r="L87" i="2"/>
  <c r="K77" i="2"/>
  <c r="J41" i="2"/>
  <c r="J45" i="2" s="1"/>
  <c r="J80" i="2"/>
  <c r="L94" i="2" l="1"/>
  <c r="L30" i="2" s="1"/>
  <c r="L95" i="2"/>
  <c r="K35" i="2"/>
  <c r="K36" i="2" s="1"/>
  <c r="N43" i="2"/>
  <c r="N86" i="2" s="1"/>
  <c r="N48" i="2"/>
  <c r="N26" i="2"/>
  <c r="M87" i="2"/>
  <c r="M88" i="2" s="1"/>
  <c r="M89" i="2" s="1"/>
  <c r="M64" i="2" s="1"/>
  <c r="L49" i="2"/>
  <c r="L50" i="2" s="1"/>
  <c r="M98" i="2"/>
  <c r="J57" i="2"/>
  <c r="J3" i="2" s="1"/>
  <c r="N88" i="2" l="1"/>
  <c r="N89" i="2" s="1"/>
  <c r="N64" i="2" s="1"/>
  <c r="K62" i="2"/>
  <c r="K65" i="2" s="1"/>
  <c r="K76" i="2" s="1"/>
  <c r="K78" i="2" s="1"/>
  <c r="K53" i="2"/>
  <c r="L63" i="2"/>
  <c r="L32" i="2"/>
  <c r="L33" i="2" s="1"/>
  <c r="N87" i="2"/>
  <c r="M92" i="2"/>
  <c r="L44" i="2"/>
  <c r="M101" i="2"/>
  <c r="M31" i="2" s="1"/>
  <c r="M100" i="2"/>
  <c r="K41" i="2" l="1"/>
  <c r="K45" i="2" s="1"/>
  <c r="K80" i="2"/>
  <c r="L77" i="2"/>
  <c r="M49" i="2"/>
  <c r="M50" i="2" s="1"/>
  <c r="N98" i="2"/>
  <c r="M94" i="2"/>
  <c r="M30" i="2" s="1"/>
  <c r="M95" i="2"/>
  <c r="L35" i="2"/>
  <c r="L36" i="2" s="1"/>
  <c r="K54" i="2"/>
  <c r="K55" i="2" s="1"/>
  <c r="L62" i="2" l="1"/>
  <c r="L65" i="2" s="1"/>
  <c r="L76" i="2" s="1"/>
  <c r="L78" i="2" s="1"/>
  <c r="L53" i="2"/>
  <c r="K57" i="2"/>
  <c r="K3" i="2" s="1"/>
  <c r="M44" i="2"/>
  <c r="N92" i="2"/>
  <c r="M63" i="2"/>
  <c r="M32" i="2"/>
  <c r="M33" i="2" s="1"/>
  <c r="N101" i="2"/>
  <c r="N31" i="2" s="1"/>
  <c r="N100" i="2"/>
  <c r="N49" i="2" s="1"/>
  <c r="N50" i="2" s="1"/>
  <c r="M53" i="2" l="1"/>
  <c r="L54" i="2"/>
  <c r="L55" i="2" s="1"/>
  <c r="L57" i="2" s="1"/>
  <c r="L3" i="2" s="1"/>
  <c r="L41" i="2"/>
  <c r="L45" i="2" s="1"/>
  <c r="L80" i="2"/>
  <c r="M77" i="2"/>
  <c r="M35" i="2"/>
  <c r="M36" i="2"/>
  <c r="M62" i="2" s="1"/>
  <c r="M65" i="2" s="1"/>
  <c r="M76" i="2" s="1"/>
  <c r="M78" i="2" s="1"/>
  <c r="N94" i="2"/>
  <c r="N30" i="2" s="1"/>
  <c r="N63" i="2" l="1"/>
  <c r="N32" i="2"/>
  <c r="N33" i="2" s="1"/>
  <c r="N95" i="2"/>
  <c r="N44" i="2" s="1"/>
  <c r="M41" i="2"/>
  <c r="M45" i="2" s="1"/>
  <c r="M80" i="2"/>
  <c r="N77" i="2"/>
  <c r="M54" i="2"/>
  <c r="M55" i="2" s="1"/>
  <c r="M57" i="2" s="1"/>
  <c r="M3" i="2" s="1"/>
  <c r="N35" i="2" l="1"/>
  <c r="N36" i="2"/>
  <c r="N62" i="2" l="1"/>
  <c r="N65" i="2" s="1"/>
  <c r="N76" i="2" s="1"/>
  <c r="N78" i="2" s="1"/>
  <c r="N53" i="2"/>
  <c r="N54" i="2" s="1"/>
  <c r="N55" i="2" s="1"/>
  <c r="N41" i="2" l="1"/>
  <c r="N45" i="2" s="1"/>
  <c r="N80" i="2"/>
  <c r="N57" i="2"/>
  <c r="N3" i="2" s="1"/>
</calcChain>
</file>

<file path=xl/sharedStrings.xml><?xml version="1.0" encoding="utf-8"?>
<sst xmlns="http://schemas.openxmlformats.org/spreadsheetml/2006/main" count="168" uniqueCount="144">
  <si>
    <t>FICO — CFI Template (Named-Range Inputs)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</si>
  <si>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</si>
  <si>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</si>
  <si>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</si>
  <si>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</si>
  <si>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</si>
  <si>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Open this file in Excel to recalculate formulas from injected SEC inputs. CSV sources live in FICO/output/*.csv — do not edit formula cells.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</si>
  <si>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</si>
  <si>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</si>
  <si>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</si>
  <si>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</si>
  <si>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</si>
  <si>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</si>
  <si>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</si>
  <si>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</si>
  <si>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</si>
  <si>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</si>
  <si>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Assumptions</t>
  </si>
  <si>
    <t>Income statement</t>
  </si>
  <si>
    <t>Revenue Growth (% Change)</t>
  </si>
  <si>
    <t>Cost of Goods Sold (% of Revenue)</t>
  </si>
  <si>
    <t>Salaries and Benefits ($000's)</t>
  </si>
  <si>
    <t>Rent and Overhead ($000's)</t>
  </si>
  <si>
    <t>Depreciation &amp; Amortization (% of PP&amp;E Open Bal)</t>
  </si>
  <si>
    <t>Interest (% of Debt Open Bal)</t>
  </si>
  <si>
    <t>Tax Rate (% of Earnings Before Tax)</t>
  </si>
  <si>
    <t>Balance Sheet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</si>
  <si>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</si>
  <si>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</si>
  <si>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</si>
  <si>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</si>
  <si>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</si>
  <si>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</si>
  <si>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</si>
  <si>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Reveneue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</si>
  <si>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</si>
  <si>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</si>
  <si>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</si>
  <si>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</si>
  <si>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</si>
  <si>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</si>
  <si>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</si>
  <si>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</si>
  <si>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</si>
  <si>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</si>
  <si>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</si>
  <si>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</si>
  <si>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</si>
  <si>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</si>
  <si>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</si>
  <si>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</si>
  <si>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</si>
  <si>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</si>
  <si>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</si>
  <si>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</si>
  <si>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</si>
  <si>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</si>
  <si>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</si>
  <si>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</si>
  <si>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</si>
  <si>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</si>
  <si>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</si>
  <si>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</si>
  <si>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</si>
  <si>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</si>
  <si>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</si>
  <si>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</si>
  <si>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</si>
  <si>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</si>
  <si>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</si>
  <si>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</si>
  <si>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</si>
  <si>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</si>
  <si>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</si>
  <si>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</si>
  <si>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</si>
  <si>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</si>
  <si>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</si>
  <si>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</si>
  <si>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</si>
  <si>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</si>
  <si>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</si>
  <si>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</si>
  <si>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</si>
  <si>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</si>
  <si>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</si>
  <si>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</si>
  <si>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</si>
  <si>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</si>
  <si>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</si>
  <si>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</si>
  <si>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</si>
  <si>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</si>
  <si>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</si>
  <si>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</si>
  <si>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</si>
  <si>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Tax Rate</t>
  </si>
  <si>
    <t>Discount Rate</t>
  </si>
  <si>
    <t>Perpetural Growth Rate</t>
  </si>
  <si>
    <t>EV/EBITDA Mulltiple</t>
  </si>
  <si>
    <t>Transaction Date</t>
  </si>
  <si>
    <t>Fiscal Year End</t>
  </si>
  <si>
    <t>Current Price</t>
  </si>
  <si>
    <t>Shares Outstanding</t>
  </si>
  <si>
    <t>Capex</t>
  </si>
  <si>
    <t>Discounted Cash Flow</t>
  </si>
  <si>
    <t>Entry</t>
  </si>
  <si>
    <t>Exit</t>
  </si>
  <si>
    <t>Terminal Value</t>
  </si>
  <si>
    <t>Date</t>
  </si>
  <si>
    <t>Perpetural Growth</t>
  </si>
  <si>
    <t>Time Periods</t>
  </si>
  <si>
    <t>EV/EBITDA</t>
  </si>
  <si>
    <t>Year Fraction</t>
  </si>
  <si>
    <t>Average</t>
  </si>
  <si>
    <t>EBIT</t>
  </si>
  <si>
    <t>Less: Cash Taxes</t>
  </si>
  <si>
    <t>Plus: D&amp;A</t>
  </si>
  <si>
    <t>Less: Capex</t>
  </si>
  <si>
    <t>Less: Changes in NWC</t>
  </si>
  <si>
    <t>Unlevered FCF</t>
  </si>
  <si>
    <t>(Entry)/Exit</t>
  </si>
  <si>
    <t>Transaction CF</t>
  </si>
  <si>
    <t>Intrinsic Value</t>
  </si>
  <si>
    <t>Market Value</t>
  </si>
  <si>
    <t>Rate of Return</t>
  </si>
  <si>
    <t>Enterprise Value</t>
  </si>
  <si>
    <t>Market Cap</t>
  </si>
  <si>
    <t>Target Price Upside</t>
  </si>
  <si>
    <t>Plus: Cash</t>
  </si>
  <si>
    <t>Plus: Debt</t>
  </si>
  <si>
    <t>Internal Rate of Return (IRR)</t>
  </si>
  <si>
    <t>Less: Debt</t>
  </si>
  <si>
    <t>Less: Cash</t>
  </si>
  <si>
    <t>Equity Value</t>
  </si>
  <si>
    <t>Market Value vs Intrinsic Value</t>
  </si>
  <si>
    <t>Equity Value/Share</t>
  </si>
  <si>
    <t>Upside</t>
  </si>
  <si>
    <t>Instructions</t>
  </si>
  <si>
    <t>Step 1: Get EBIT and D&amp;A from the income statement</t>
  </si>
  <si>
    <t>Step 2: Calculate the net working capital</t>
  </si>
  <si>
    <t>There are two ways to find NWC:</t>
  </si>
  <si>
    <t>1. NWC = Current Assets (less cash) - Current Liabilities (less debt)</t>
  </si>
  <si>
    <t>2. NWC = Accounts Receivable + Inventory - 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</si>
</sst>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0.000"/>
    <numFmt numFmtId="170" formatCode="_ * #,##0_ ;_ * \-#,##0_ ;_ * &quot;-&quot;??_ ;_ @_ "/>
    <numFmt numFmtId="171" formatCode="0.0\x"/>
    <numFmt numFmtId="172" formatCode="_-* #,##0.00_-;\-* #,##0.00_-;_-* &quot;-&quot;??_-;_-@_-"/>
    <numFmt numFmtId="173" formatCode="_-* #,##0.00_-;\(#,##0.00\)_-;_-* &quot;-&quot;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11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9" fillId="0" borderId="1" xfId="1" applyNumberFormat="1" applyFont="1" applyBorder="1"/>
    <xf numFmtId="164" fontId="6" fillId="0" borderId="2" xfId="1" applyNumberFormat="1" applyFont="1" applyBorder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6" fillId="0" borderId="4" xfId="1" applyNumberFormat="1" applyFont="1" applyBorder="1"/>
    <xf numFmtId="167" fontId="2" fillId="0" borderId="0" xfId="1" applyNumberFormat="1" applyFont="1"/>
    <xf numFmtId="164" fontId="5" fillId="0" borderId="0" xfId="1" applyNumberFormat="1" applyFont="1" applyAlignment="1">
      <alignment horizontal="right"/>
    </xf>
    <xf numFmtId="164" fontId="6" fillId="0" borderId="3" xfId="1" applyNumberFormat="1" applyFont="1" applyBorder="1"/>
    <xf numFmtId="164" fontId="9" fillId="0" borderId="2" xfId="1" applyNumberFormat="1" applyFont="1" applyBorder="1"/>
    <xf numFmtId="168" fontId="2" fillId="0" borderId="0" xfId="1" applyNumberFormat="1" applyFont="1"/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0" fontId="13" fillId="2" borderId="0" xfId="0" applyFont="1" applyFill="1"/>
    <xf numFmtId="37" fontId="3" fillId="3" borderId="0" xfId="0" applyNumberFormat="1" applyFont="1" applyFill="1" applyAlignment="1">
      <alignment vertical="center"/>
    </xf>
    <xf numFmtId="169" fontId="5" fillId="0" borderId="0" xfId="1" applyNumberFormat="1" applyFont="1"/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3" fillId="4" borderId="0" xfId="1" applyNumberFormat="1" applyFont="1" applyFill="1"/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0" fontId="31" fillId="6" borderId="0" xfId="0" applyFont="1" applyFill="1"/>
    <xf numFmtId="14" fontId="35" fillId="0" borderId="0" xfId="0" applyNumberFormat="1" applyFont="1"/>
    <xf numFmtId="14" fontId="36" fillId="0" borderId="0" xfId="0" applyNumberFormat="1" applyFont="1"/>
    <xf numFmtId="164" fontId="35" fillId="0" borderId="0" xfId="0" applyNumberFormat="1" applyFont="1"/>
    <xf numFmtId="1" fontId="37" fillId="0" borderId="0" xfId="0" applyNumberFormat="1" applyFont="1"/>
    <xf numFmtId="1" fontId="35" fillId="0" borderId="0" xfId="0" applyNumberFormat="1" applyFont="1"/>
    <xf numFmtId="168" fontId="30" fillId="0" borderId="0" xfId="0" applyNumberFormat="1" applyFont="1"/>
    <xf numFmtId="172" fontId="35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38" fillId="7" borderId="0" xfId="1" applyNumberFormat="1" applyFont="1" applyFill="1"/>
    <xf numFmtId="166" fontId="38" fillId="7" borderId="0" xfId="2" applyNumberFormat="1" applyFont="1" applyFill="1"/>
    <xf numFmtId="164" fontId="38" fillId="7" borderId="0" xfId="1" applyNumberFormat="1" applyFont="1" applyFill="1"/>
    <xf numFmtId="164" fontId="38" fillId="7" borderId="1" xfId="1" applyNumberFormat="1" applyFont="1" applyFill="1" applyBorder="1"/>
    <xf numFmtId="164" fontId="38" fillId="7" borderId="2" xfId="1" applyNumberFormat="1" applyFont="1" applyFill="1" applyBorder="1" applyAlignment="1">
      <alignment horizontal="center"/>
    </xf>
    <xf numFmtId="9" fontId="38" fillId="7" borderId="0" xfId="0" applyNumberFormat="1" applyFont="1" applyFill="1" applyAlignment="1">
      <alignment horizontal="right"/>
    </xf>
    <xf numFmtId="171" fontId="38" fillId="7" borderId="0" xfId="0" applyNumberFormat="1" applyFont="1" applyFill="1" applyAlignment="1">
      <alignment horizontal="right"/>
    </xf>
    <xf numFmtId="172" fontId="38" fillId="7" borderId="0" xfId="0" applyNumberFormat="1" applyFont="1" applyFill="1" applyAlignment="1">
      <alignment horizontal="right"/>
    </xf>
    <xf numFmtId="167" fontId="38" fillId="7" borderId="0" xfId="0" applyNumberFormat="1" applyFont="1" applyFill="1" applyAlignment="1">
      <alignment horizontal="right"/>
    </xf>
    <xf numFmtId="164" fontId="38" fillId="7" borderId="0" xfId="0" applyNumberFormat="1" applyFont="1" applyFill="1"/>
    <xf numFmtId="168" fontId="38" fillId="7" borderId="0" xfId="0" applyNumberFormat="1" applyFont="1" applyFill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FE8F-4672-B377-2775956BC66B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FE8F-4672-B377-2775956BC66B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FE8F-4672-B377-2775956BC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EAC8-43A0-9B20-15617A5F3E56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EAC8-43A0-9B20-15617A5F3E56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EAC8-43A0-9B20-15617A5F3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" x14ac:dyDescent="0.3"/>
  <cols>
    <col min="1" max="2" width="11" style="50" customWidth="1"/>
    <col min="3" max="3" width="29.08984375" style="50" customWidth="1"/>
    <col min="4" max="22" width="11" style="50" customWidth="1"/>
    <col min="23" max="27" width="9.08984375" style="50" customWidth="1"/>
    <col min="28" max="16384" width="9.08984375" style="50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2:15" ht="19.5" customHeight="1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</row>
    <row r="5" spans="2:15" ht="19.5" customHeight="1" x14ac:dyDescent="0.3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2:15" ht="19.5" customHeight="1" x14ac:dyDescent="0.3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</row>
    <row r="7" spans="2:15" ht="19.5" customHeight="1" x14ac:dyDescent="0.3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</row>
    <row r="8" spans="2:15" ht="19.5" customHeight="1" x14ac:dyDescent="0.3"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</row>
    <row r="9" spans="2:15" ht="19.5" customHeight="1" x14ac:dyDescent="0.3"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</row>
    <row r="10" spans="2:15" ht="19.5" customHeight="1" x14ac:dyDescent="0.3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</row>
    <row r="11" spans="2:15" ht="19.5" customHeight="1" x14ac:dyDescent="0.3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</row>
    <row r="12" spans="2:15" ht="28.25" customHeight="1" x14ac:dyDescent="0.5">
      <c r="B12" s="51"/>
      <c r="C12" s="52" t="s">
        <v>0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3" t="s">
        <v>1</v>
      </c>
      <c r="O12" s="51"/>
    </row>
    <row r="13" spans="2:15" ht="19.5" customHeight="1" x14ac:dyDescent="0.3">
      <c r="B13" s="51"/>
      <c r="C13" s="54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</row>
    <row r="14" spans="2:15" ht="19.5" customHeight="1" x14ac:dyDescent="0.3">
      <c r="B14" s="51"/>
      <c r="C14" s="55" t="s">
        <v>2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</row>
    <row r="15" spans="2:15" ht="19.5" customHeight="1" x14ac:dyDescent="0.3">
      <c r="B15" s="51"/>
      <c r="C15" s="57" t="s">
        <v>3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</row>
    <row r="16" spans="2:15" ht="19.5" customHeight="1" x14ac:dyDescent="0.3">
      <c r="B16" s="51"/>
      <c r="C16" s="56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</row>
    <row r="17" spans="2:15" ht="19.5" customHeight="1" x14ac:dyDescent="0.3">
      <c r="B17" s="51"/>
      <c r="C17" s="56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spans="2:15" ht="19.5" customHeight="1" x14ac:dyDescent="0.3">
      <c r="B18" s="51"/>
      <c r="C18" s="56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spans="2:15" s="61" customFormat="1" ht="19.5" customHeight="1" x14ac:dyDescent="0.3">
      <c r="B19" s="62"/>
      <c r="C19" s="62" t="s">
        <v>4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</row>
    <row r="20" spans="2:15" s="61" customFormat="1" ht="19.5" customHeight="1" x14ac:dyDescent="0.3">
      <c r="B20" s="62"/>
      <c r="C20" s="63" t="s">
        <v>5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2"/>
    </row>
    <row r="21" spans="2:15" s="61" customFormat="1" ht="19.5" customHeight="1" x14ac:dyDescent="0.3">
      <c r="B21" s="62"/>
      <c r="C21" s="62" t="s">
        <v>6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</row>
    <row r="22" spans="2:15" s="61" customFormat="1" ht="19.5" customHeight="1" x14ac:dyDescent="0.3">
      <c r="B22" s="62"/>
      <c r="C22" s="64" t="s">
        <v>7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</row>
    <row r="23" spans="2:15" s="61" customFormat="1" ht="19.5" customHeight="1" x14ac:dyDescent="0.3">
      <c r="B23" s="62"/>
      <c r="C23" s="64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 spans="2:15" s="61" customFormat="1" ht="19.5" customHeight="1" x14ac:dyDescent="0.3">
      <c r="B24" s="62"/>
      <c r="C24" s="65" t="s">
        <v>8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2"/>
    </row>
    <row r="25" spans="2:15" s="61" customFormat="1" ht="19.5" customHeight="1" x14ac:dyDescent="0.3">
      <c r="B25" s="67"/>
      <c r="C25" s="65" t="s">
        <v>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7"/>
    </row>
    <row r="26" spans="2:15" s="61" customFormat="1" ht="19.5" customHeight="1" x14ac:dyDescent="0.3">
      <c r="B26" s="67"/>
      <c r="C26" s="65" t="s">
        <v>10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7"/>
    </row>
    <row r="27" spans="2:15" s="61" customFormat="1" ht="19.5" customHeight="1" x14ac:dyDescent="0.3">
      <c r="B27" s="67"/>
      <c r="C27" s="65" t="s">
        <v>11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7"/>
    </row>
    <row r="28" spans="2:15" s="61" customFormat="1" ht="19.5" customHeight="1" x14ac:dyDescent="0.3">
      <c r="B28" s="67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7"/>
    </row>
    <row r="29" spans="2:15" s="61" customFormat="1" ht="19.5" customHeight="1" x14ac:dyDescent="0.3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</row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</sheetData>
  <hyperlinks>
    <hyperlink ref="C15" location="'3 Statement Model'!A1" display="3 Statement Model" xr:uid="{00000000-0004-0000-0000-000000000000}"/>
    <hyperlink ref="C22" r:id="rId1" xr:uid="{00000000-0004-0000-0000-000001000000}"/>
  </hyperlinks>
  <pageMargins left="0.7" right="0.7" top="0.75" bottom="0.75" header="0.3" footer="0.3"/>
  <pageSetup scale="6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showGridLines="0" zoomScale="90" zoomScaleNormal="90" workbookViewId="0">
      <pane ySplit="3" topLeftCell="A4" activePane="bottomLeft" state="frozen"/>
      <selection pane="bottomLeft" activeCell="A4" sqref="A4"/>
    </sheetView>
  </sheetViews>
  <sheetFormatPr defaultColWidth="9.08984375" defaultRowHeight="15.5" outlineLevelRow="1" x14ac:dyDescent="0.35"/>
  <cols>
    <col min="1" max="1" width="1.90625" style="1" customWidth="1"/>
    <col min="2" max="3" width="15.54296875" style="1" customWidth="1"/>
    <col min="4" max="4" width="15.54296875" style="14" customWidth="1"/>
    <col min="5" max="9" width="11.54296875" style="1" customWidth="1"/>
    <col min="10" max="14" width="12.54296875" style="1" customWidth="1"/>
    <col min="15" max="15" width="9.08984375" style="1" customWidth="1"/>
    <col min="16" max="16384" width="9.08984375" style="1"/>
  </cols>
  <sheetData>
    <row r="1" spans="1:14" x14ac:dyDescent="0.35">
      <c r="A1" s="34"/>
      <c r="B1" s="35" t="s">
        <v>12</v>
      </c>
      <c r="C1" s="34"/>
      <c r="D1" s="36"/>
      <c r="E1" s="58" t="s">
        <v>13</v>
      </c>
      <c r="F1" s="59"/>
      <c r="G1" s="59"/>
      <c r="H1" s="59"/>
      <c r="I1" s="59"/>
      <c r="J1" s="37" t="s">
        <v>14</v>
      </c>
      <c r="K1" s="38"/>
      <c r="L1" s="38"/>
      <c r="M1" s="38"/>
      <c r="N1" s="38"/>
    </row>
    <row r="2" spans="1:14" ht="21" customHeight="1" x14ac:dyDescent="0.4">
      <c r="A2" s="34"/>
      <c r="B2" s="39" t="s">
        <v>15</v>
      </c>
      <c r="C2" s="40"/>
      <c r="D2" s="41"/>
      <c r="E2" s="100">
        <v>2021</v>
      </c>
      <c r="F2" s="60">
        <f t="shared" ref="F2:N2" si="0">+E2+1</f>
        <v>2022</v>
      </c>
      <c r="G2" s="60">
        <f t="shared" si="0"/>
        <v>2023</v>
      </c>
      <c r="H2" s="60">
        <f t="shared" si="0"/>
        <v>2024</v>
      </c>
      <c r="I2" s="60">
        <f t="shared" si="0"/>
        <v>2025</v>
      </c>
      <c r="J2" s="42">
        <f t="shared" si="0"/>
        <v>2026</v>
      </c>
      <c r="K2" s="42">
        <f t="shared" si="0"/>
        <v>2027</v>
      </c>
      <c r="L2" s="42">
        <f t="shared" si="0"/>
        <v>2028</v>
      </c>
      <c r="M2" s="42">
        <f t="shared" si="0"/>
        <v>2029</v>
      </c>
      <c r="N2" s="42">
        <f t="shared" si="0"/>
        <v>2030</v>
      </c>
    </row>
    <row r="3" spans="1:14" x14ac:dyDescent="0.35">
      <c r="B3" s="1" t="s">
        <v>16</v>
      </c>
      <c r="E3" s="30" t="str">
        <f t="shared" ref="E3:N3" si="1">IFERROR(IF(ABS(E57)&gt;1,"ERROR","OK"),"OK")</f>
        <v>OK</v>
      </c>
      <c r="F3" s="30" t="str">
        <f t="shared" si="1"/>
        <v>OK</v>
      </c>
      <c r="G3" s="30" t="str">
        <f t="shared" si="1"/>
        <v>OK</v>
      </c>
      <c r="H3" s="30" t="str">
        <f t="shared" si="1"/>
        <v>OK</v>
      </c>
      <c r="I3" s="30" t="str">
        <f t="shared" si="1"/>
        <v>OK</v>
      </c>
      <c r="J3" s="30" t="str">
        <f t="shared" si="1"/>
        <v>ERROR</v>
      </c>
      <c r="K3" s="30" t="str">
        <f t="shared" si="1"/>
        <v>ERROR</v>
      </c>
      <c r="L3" s="30" t="str">
        <f t="shared" si="1"/>
        <v>ERROR</v>
      </c>
      <c r="M3" s="30" t="str">
        <f t="shared" si="1"/>
        <v>ERROR</v>
      </c>
      <c r="N3" s="30" t="str">
        <f t="shared" si="1"/>
        <v>ERROR</v>
      </c>
    </row>
    <row r="5" spans="1:14" ht="18" customHeight="1" x14ac:dyDescent="0.35">
      <c r="B5" s="43" t="s">
        <v>17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 hidden="1" outlineLevel="1" x14ac:dyDescent="0.35">
      <c r="B6" s="3" t="s">
        <v>18</v>
      </c>
    </row>
    <row r="7" spans="1:14" hidden="1" outlineLevel="1" x14ac:dyDescent="0.35">
      <c r="B7" s="1" t="s">
        <v>19</v>
      </c>
      <c r="C7" s="3"/>
      <c r="D7" s="13"/>
      <c r="E7" s="21"/>
      <c r="F7" s="24">
        <f>F24/E24-1</f>
        <v>4.6131666737559751E-2</v>
      </c>
      <c r="G7" s="24">
        <f>G24/F24-1</f>
        <v>9.8954453375155182E-2</v>
      </c>
      <c r="H7" s="24">
        <f>H24/G24-1</f>
        <v>0.13476136016020535</v>
      </c>
      <c r="I7" s="24">
        <f>I24/H24-1</f>
        <v>0.15914926469817625</v>
      </c>
      <c r="J7" s="101">
        <v>0.143234</v>
      </c>
      <c r="K7" s="101">
        <v>0.1</v>
      </c>
      <c r="L7" s="101">
        <v>0.09</v>
      </c>
      <c r="M7" s="101">
        <v>0.08</v>
      </c>
      <c r="N7" s="101">
        <v>7.0000000000000007E-2</v>
      </c>
    </row>
    <row r="8" spans="1:14" hidden="1" outlineLevel="1" x14ac:dyDescent="0.35">
      <c r="B8" s="1" t="s">
        <v>20</v>
      </c>
      <c r="E8" s="24">
        <f>E25/E24</f>
        <v>0.25252784580140614</v>
      </c>
      <c r="F8" s="24">
        <f>F25/F24</f>
        <v>0.21940069848323132</v>
      </c>
      <c r="G8" s="24">
        <f>G25/G24</f>
        <v>0.20551125593552141</v>
      </c>
      <c r="H8" s="24">
        <f>H25/H24</f>
        <v>0.20273696002273037</v>
      </c>
      <c r="I8" s="24">
        <f>I25/I24</f>
        <v>0.17767216225678334</v>
      </c>
      <c r="J8" s="101">
        <v>0.17767216225678331</v>
      </c>
      <c r="K8" s="101">
        <v>0.17767216225678331</v>
      </c>
      <c r="L8" s="101">
        <v>0.17767216225678331</v>
      </c>
      <c r="M8" s="101">
        <v>0.17767216225678331</v>
      </c>
      <c r="N8" s="101">
        <v>0.17767216225678331</v>
      </c>
    </row>
    <row r="9" spans="1:14" hidden="1" outlineLevel="1" x14ac:dyDescent="0.35">
      <c r="B9" s="1" t="s">
        <v>21</v>
      </c>
      <c r="E9" s="22">
        <f t="shared" ref="E9:I10" si="2">E28</f>
        <v>396281</v>
      </c>
      <c r="F9" s="22">
        <f t="shared" si="2"/>
        <v>383863</v>
      </c>
      <c r="G9" s="22">
        <f t="shared" si="2"/>
        <v>400565</v>
      </c>
      <c r="H9" s="22">
        <f t="shared" si="2"/>
        <v>462834</v>
      </c>
      <c r="I9" s="22">
        <f t="shared" si="2"/>
        <v>513028</v>
      </c>
      <c r="J9" s="102">
        <v>586511.1</v>
      </c>
      <c r="K9" s="102">
        <v>645162.19999999995</v>
      </c>
      <c r="L9" s="102">
        <v>703226.8</v>
      </c>
      <c r="M9" s="102">
        <v>759484.9</v>
      </c>
      <c r="N9" s="102">
        <v>812648.8</v>
      </c>
    </row>
    <row r="10" spans="1:14" hidden="1" outlineLevel="1" x14ac:dyDescent="0.35">
      <c r="B10" s="1" t="s">
        <v>22</v>
      </c>
      <c r="E10" s="22">
        <f t="shared" si="2"/>
        <v>171231</v>
      </c>
      <c r="F10" s="22">
        <f t="shared" si="2"/>
        <v>146758</v>
      </c>
      <c r="G10" s="22">
        <f t="shared" si="2"/>
        <v>159950</v>
      </c>
      <c r="H10" s="22">
        <f t="shared" si="2"/>
        <v>171940</v>
      </c>
      <c r="I10" s="22">
        <f t="shared" si="2"/>
        <v>188347</v>
      </c>
      <c r="J10" s="102">
        <v>215324.7</v>
      </c>
      <c r="K10" s="102">
        <v>236857.2</v>
      </c>
      <c r="L10" s="102">
        <v>258174.3</v>
      </c>
      <c r="M10" s="102">
        <v>278828.3</v>
      </c>
      <c r="N10" s="102">
        <v>298346.2</v>
      </c>
    </row>
    <row r="11" spans="1:14" hidden="1" outlineLevel="1" x14ac:dyDescent="0.35">
      <c r="B11" s="1" t="s">
        <v>23</v>
      </c>
      <c r="E11" s="24">
        <f>E30/E92</f>
        <v>0.51183999999999996</v>
      </c>
      <c r="F11" s="24">
        <f>F30/F92</f>
        <v>0.44978021978021976</v>
      </c>
      <c r="G11" s="24">
        <f>G30/G92</f>
        <v>0.34564344746162928</v>
      </c>
      <c r="H11" s="24">
        <f>H30/H92</f>
        <v>0.34442645410387346</v>
      </c>
      <c r="I11" s="24">
        <f>I30/I92</f>
        <v>0.38734246078520262</v>
      </c>
      <c r="J11" s="101">
        <v>0.22081431925922651</v>
      </c>
      <c r="K11" s="101">
        <v>0.22081431925922651</v>
      </c>
      <c r="L11" s="101">
        <v>0.22081431925922651</v>
      </c>
      <c r="M11" s="101">
        <v>0.22081431925922651</v>
      </c>
      <c r="N11" s="101">
        <v>0.22081431925922651</v>
      </c>
    </row>
    <row r="12" spans="1:14" hidden="1" outlineLevel="1" x14ac:dyDescent="0.35">
      <c r="B12" s="1" t="s">
        <v>24</v>
      </c>
      <c r="E12" s="24">
        <f>E101/E98</f>
        <v>0.05</v>
      </c>
      <c r="F12" s="24">
        <f>F101/F98</f>
        <v>0.05</v>
      </c>
      <c r="G12" s="24">
        <f>G101/G98</f>
        <v>0.03</v>
      </c>
      <c r="H12" s="24">
        <f>H101/H98</f>
        <v>0.03</v>
      </c>
      <c r="I12" s="24">
        <f>I101/I98</f>
        <v>0.03</v>
      </c>
      <c r="J12" s="101">
        <v>4.3737079436369709E-2</v>
      </c>
      <c r="K12" s="101">
        <v>4.3737079436369709E-2</v>
      </c>
      <c r="L12" s="101">
        <v>4.3737079436369709E-2</v>
      </c>
      <c r="M12" s="101">
        <v>4.3737079436369709E-2</v>
      </c>
      <c r="N12" s="101">
        <v>4.3737079436369709E-2</v>
      </c>
    </row>
    <row r="13" spans="1:14" hidden="1" outlineLevel="1" x14ac:dyDescent="0.35">
      <c r="B13" s="1" t="s">
        <v>25</v>
      </c>
      <c r="C13" s="8"/>
      <c r="D13" s="17"/>
      <c r="E13" s="24">
        <f>E35/E33</f>
        <v>0.23101476866603207</v>
      </c>
      <c r="F13" s="24">
        <f>F35/F33</f>
        <v>0.21485442035148328</v>
      </c>
      <c r="G13" s="24">
        <f>G35/G33</f>
        <v>0.23363638927802485</v>
      </c>
      <c r="H13" s="24">
        <f>H35/H33</f>
        <v>0.21007639644209461</v>
      </c>
      <c r="I13" s="24">
        <f>I35/I33</f>
        <v>0.19137978563797284</v>
      </c>
      <c r="J13" s="101">
        <v>0.18770239037123329</v>
      </c>
      <c r="K13" s="101">
        <v>0.18770239037123329</v>
      </c>
      <c r="L13" s="101">
        <v>0.18770239037123329</v>
      </c>
      <c r="M13" s="101">
        <v>0.18770239037123329</v>
      </c>
      <c r="N13" s="101">
        <v>0.18770239037123329</v>
      </c>
    </row>
    <row r="14" spans="1:14" hidden="1" outlineLevel="1" x14ac:dyDescent="0.35">
      <c r="B14" s="3" t="s">
        <v>26</v>
      </c>
    </row>
    <row r="15" spans="1:14" hidden="1" outlineLevel="1" x14ac:dyDescent="0.35">
      <c r="B15" s="1" t="s">
        <v>27</v>
      </c>
      <c r="D15" s="23"/>
      <c r="E15" s="22">
        <f t="shared" ref="E15:I16" si="3">E42/E24*365</f>
        <v>86.529388486148505</v>
      </c>
      <c r="F15" s="22">
        <f t="shared" si="3"/>
        <v>85.444139493345531</v>
      </c>
      <c r="G15" s="22">
        <f t="shared" si="3"/>
        <v>93.554887592604715</v>
      </c>
      <c r="H15" s="22">
        <f t="shared" si="3"/>
        <v>90.667815217935569</v>
      </c>
      <c r="I15" s="22">
        <f t="shared" si="3"/>
        <v>97.012420204443387</v>
      </c>
      <c r="J15" s="102">
        <v>97</v>
      </c>
      <c r="K15" s="102">
        <v>97</v>
      </c>
      <c r="L15" s="102">
        <v>97</v>
      </c>
      <c r="M15" s="102">
        <v>97</v>
      </c>
      <c r="N15" s="102">
        <v>97</v>
      </c>
    </row>
    <row r="16" spans="1:14" hidden="1" outlineLevel="1" x14ac:dyDescent="0.35">
      <c r="B16" s="1" t="s">
        <v>28</v>
      </c>
      <c r="D16" s="23"/>
      <c r="E16" s="22">
        <f t="shared" si="3"/>
        <v>0</v>
      </c>
      <c r="F16" s="22">
        <f t="shared" si="3"/>
        <v>0</v>
      </c>
      <c r="G16" s="22">
        <f t="shared" si="3"/>
        <v>0</v>
      </c>
      <c r="H16" s="22">
        <f t="shared" si="3"/>
        <v>0</v>
      </c>
      <c r="I16" s="22">
        <f t="shared" si="3"/>
        <v>0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</row>
    <row r="17" spans="2:14" hidden="1" outlineLevel="1" x14ac:dyDescent="0.35">
      <c r="B17" s="1" t="s">
        <v>29</v>
      </c>
      <c r="D17" s="23"/>
      <c r="E17" s="22">
        <f>E48/E25*365</f>
        <v>22.779701138776762</v>
      </c>
      <c r="F17" s="22">
        <f>F48/F25*365</f>
        <v>20.864286801644088</v>
      </c>
      <c r="G17" s="22">
        <f>G48/G25*365</f>
        <v>22.305796761323631</v>
      </c>
      <c r="H17" s="22">
        <f>H48/H25*365</f>
        <v>23.556874378959581</v>
      </c>
      <c r="I17" s="22">
        <f>I48/I25*365</f>
        <v>33.345324859635532</v>
      </c>
      <c r="J17" s="102">
        <v>33</v>
      </c>
      <c r="K17" s="102">
        <v>33</v>
      </c>
      <c r="L17" s="102">
        <v>33</v>
      </c>
      <c r="M17" s="102">
        <v>33</v>
      </c>
      <c r="N17" s="102">
        <v>33</v>
      </c>
    </row>
    <row r="18" spans="2:14" hidden="1" outlineLevel="1" x14ac:dyDescent="0.35">
      <c r="B18" s="1" t="s">
        <v>30</v>
      </c>
      <c r="E18" s="22">
        <f>E68</f>
        <v>7569</v>
      </c>
      <c r="F18" s="22">
        <f>F68</f>
        <v>6029</v>
      </c>
      <c r="G18" s="22">
        <f>G68</f>
        <v>4237</v>
      </c>
      <c r="H18" s="22">
        <f>H68</f>
        <v>25551</v>
      </c>
      <c r="I18" s="22">
        <f>I68</f>
        <v>39407</v>
      </c>
      <c r="J18" s="102">
        <v>45051.4</v>
      </c>
      <c r="K18" s="102">
        <v>49556.6</v>
      </c>
      <c r="L18" s="102">
        <v>54016.7</v>
      </c>
      <c r="M18" s="102">
        <v>58338</v>
      </c>
      <c r="N18" s="102">
        <v>62421.599999999999</v>
      </c>
    </row>
    <row r="19" spans="2:14" hidden="1" outlineLevel="1" x14ac:dyDescent="0.35">
      <c r="B19" s="1" t="s">
        <v>31</v>
      </c>
      <c r="E19" s="22">
        <f>E99</f>
        <v>0</v>
      </c>
      <c r="F19" s="22">
        <f>F99</f>
        <v>0</v>
      </c>
      <c r="G19" s="22">
        <f>G99</f>
        <v>-20000</v>
      </c>
      <c r="H19" s="22">
        <f>H99</f>
        <v>0</v>
      </c>
      <c r="I19" s="22">
        <f>I99</f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</row>
    <row r="20" spans="2:14" hidden="1" outlineLevel="1" x14ac:dyDescent="0.35">
      <c r="B20" s="1" t="s">
        <v>32</v>
      </c>
      <c r="E20" s="22">
        <f>E73</f>
        <v>0</v>
      </c>
      <c r="F20" s="22">
        <f>F73</f>
        <v>0</v>
      </c>
      <c r="G20" s="22">
        <f>G73</f>
        <v>0</v>
      </c>
      <c r="H20" s="22">
        <f>H73</f>
        <v>0</v>
      </c>
      <c r="I20" s="22">
        <f>I73</f>
        <v>0</v>
      </c>
      <c r="J20" s="102">
        <v>0</v>
      </c>
      <c r="K20" s="102">
        <v>0</v>
      </c>
      <c r="L20" s="102">
        <v>0</v>
      </c>
      <c r="M20" s="102">
        <v>0</v>
      </c>
      <c r="N20" s="102">
        <v>0</v>
      </c>
    </row>
    <row r="21" spans="2:14" hidden="1" outlineLevel="1" x14ac:dyDescent="0.35">
      <c r="E21" s="22"/>
      <c r="F21" s="22"/>
      <c r="G21" s="22"/>
      <c r="H21" s="22"/>
      <c r="I21" s="22"/>
      <c r="J21" s="10"/>
      <c r="K21" s="10"/>
      <c r="L21" s="10"/>
      <c r="M21" s="10"/>
      <c r="N21" s="10"/>
    </row>
    <row r="22" spans="2:14" collapsed="1" x14ac:dyDescent="0.35">
      <c r="E22" s="22"/>
      <c r="F22" s="22"/>
      <c r="G22" s="22"/>
      <c r="H22" s="22"/>
      <c r="I22" s="22"/>
      <c r="J22" s="10"/>
      <c r="K22" s="10"/>
      <c r="L22" s="10"/>
      <c r="M22" s="10"/>
      <c r="N22" s="10"/>
    </row>
    <row r="23" spans="2:14" ht="18" customHeight="1" x14ac:dyDescent="0.35">
      <c r="B23" s="43" t="s">
        <v>33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</row>
    <row r="24" spans="2:14" hidden="1" outlineLevel="1" x14ac:dyDescent="0.35">
      <c r="B24" s="3" t="s">
        <v>34</v>
      </c>
      <c r="C24" s="3"/>
      <c r="D24" s="13"/>
      <c r="E24" s="102">
        <v>1316536</v>
      </c>
      <c r="F24" s="102">
        <v>1377270</v>
      </c>
      <c r="G24" s="102">
        <v>1513557</v>
      </c>
      <c r="H24" s="102">
        <v>1717526</v>
      </c>
      <c r="I24" s="102">
        <v>1990869</v>
      </c>
      <c r="J24" s="3">
        <f>I24*(1+J7)</f>
        <v>2276029.1303460002</v>
      </c>
      <c r="K24" s="3">
        <f>J24*(1+K7)</f>
        <v>2503632.0433806004</v>
      </c>
      <c r="L24" s="3">
        <f>K24*(1+L7)</f>
        <v>2728958.9272848545</v>
      </c>
      <c r="M24" s="3">
        <f>L24*(1+M7)</f>
        <v>2947275.641467643</v>
      </c>
      <c r="N24" s="3">
        <f>M24*(1+N7)</f>
        <v>3153584.9363703784</v>
      </c>
    </row>
    <row r="25" spans="2:14" hidden="1" outlineLevel="1" x14ac:dyDescent="0.35">
      <c r="B25" s="1" t="s">
        <v>35</v>
      </c>
      <c r="E25" s="102">
        <v>332462</v>
      </c>
      <c r="F25" s="102">
        <v>302174</v>
      </c>
      <c r="G25" s="102">
        <v>311053</v>
      </c>
      <c r="H25" s="102">
        <v>348206</v>
      </c>
      <c r="I25" s="102">
        <v>353722</v>
      </c>
      <c r="J25" s="33">
        <f>J24*J8</f>
        <v>404387.01694799995</v>
      </c>
      <c r="K25" s="33">
        <f>K24*K8</f>
        <v>444825.7186428</v>
      </c>
      <c r="L25" s="33">
        <f>L24*L8</f>
        <v>484860.03332065197</v>
      </c>
      <c r="M25" s="33">
        <f>M24*M8</f>
        <v>523648.83598630416</v>
      </c>
      <c r="N25" s="33">
        <f>N24*N8</f>
        <v>560304.25450534548</v>
      </c>
    </row>
    <row r="26" spans="2:14" hidden="1" outlineLevel="1" x14ac:dyDescent="0.35">
      <c r="B26" s="4" t="s">
        <v>36</v>
      </c>
      <c r="C26" s="4"/>
      <c r="D26" s="15"/>
      <c r="E26" s="12">
        <f t="shared" ref="E26:N26" si="4">E24-E25</f>
        <v>984074</v>
      </c>
      <c r="F26" s="12">
        <f t="shared" si="4"/>
        <v>1075096</v>
      </c>
      <c r="G26" s="12">
        <f t="shared" si="4"/>
        <v>1202504</v>
      </c>
      <c r="H26" s="12">
        <f t="shared" si="4"/>
        <v>1369320</v>
      </c>
      <c r="I26" s="12">
        <f t="shared" si="4"/>
        <v>1637147</v>
      </c>
      <c r="J26" s="12">
        <f t="shared" si="4"/>
        <v>1871642.1133980001</v>
      </c>
      <c r="K26" s="12">
        <f t="shared" si="4"/>
        <v>2058806.3247378003</v>
      </c>
      <c r="L26" s="12">
        <f t="shared" si="4"/>
        <v>2244098.8939642026</v>
      </c>
      <c r="M26" s="12">
        <f t="shared" si="4"/>
        <v>2423626.8054813389</v>
      </c>
      <c r="N26" s="12">
        <f t="shared" si="4"/>
        <v>2593280.6818650328</v>
      </c>
    </row>
    <row r="27" spans="2:14" hidden="1" outlineLevel="1" x14ac:dyDescent="0.35">
      <c r="B27" s="3" t="s">
        <v>37</v>
      </c>
      <c r="C27" s="3"/>
      <c r="D27" s="13"/>
      <c r="E27" s="9"/>
      <c r="F27" s="9"/>
      <c r="G27" s="9"/>
      <c r="H27" s="9"/>
      <c r="I27" s="9"/>
      <c r="J27" s="21"/>
      <c r="K27" s="21"/>
      <c r="L27" s="21"/>
      <c r="M27" s="21"/>
      <c r="N27" s="21"/>
    </row>
    <row r="28" spans="2:14" hidden="1" outlineLevel="1" x14ac:dyDescent="0.35">
      <c r="B28" s="1" t="s">
        <v>38</v>
      </c>
      <c r="E28" s="102">
        <v>396281</v>
      </c>
      <c r="F28" s="102">
        <v>383863</v>
      </c>
      <c r="G28" s="102">
        <v>400565</v>
      </c>
      <c r="H28" s="102">
        <v>462834</v>
      </c>
      <c r="I28" s="102">
        <v>513028</v>
      </c>
      <c r="J28" s="1">
        <f t="shared" ref="J28:N29" si="5">J9</f>
        <v>586511.1</v>
      </c>
      <c r="K28" s="1">
        <f t="shared" si="5"/>
        <v>645162.19999999995</v>
      </c>
      <c r="L28" s="1">
        <f t="shared" si="5"/>
        <v>703226.8</v>
      </c>
      <c r="M28" s="1">
        <f t="shared" si="5"/>
        <v>759484.9</v>
      </c>
      <c r="N28" s="1">
        <f t="shared" si="5"/>
        <v>812648.8</v>
      </c>
    </row>
    <row r="29" spans="2:14" hidden="1" outlineLevel="1" x14ac:dyDescent="0.35">
      <c r="B29" s="1" t="s">
        <v>39</v>
      </c>
      <c r="E29" s="102">
        <v>171231</v>
      </c>
      <c r="F29" s="102">
        <v>146758</v>
      </c>
      <c r="G29" s="102">
        <v>159950</v>
      </c>
      <c r="H29" s="102">
        <v>171940</v>
      </c>
      <c r="I29" s="102">
        <v>188347</v>
      </c>
      <c r="J29" s="1">
        <f t="shared" si="5"/>
        <v>215324.7</v>
      </c>
      <c r="K29" s="1">
        <f t="shared" si="5"/>
        <v>236857.2</v>
      </c>
      <c r="L29" s="1">
        <f t="shared" si="5"/>
        <v>258174.3</v>
      </c>
      <c r="M29" s="1">
        <f t="shared" si="5"/>
        <v>278828.3</v>
      </c>
      <c r="N29" s="1">
        <f t="shared" si="5"/>
        <v>298346.2</v>
      </c>
    </row>
    <row r="30" spans="2:14" hidden="1" outlineLevel="1" x14ac:dyDescent="0.35">
      <c r="B30" s="1" t="s">
        <v>40</v>
      </c>
      <c r="E30" s="102">
        <v>25592</v>
      </c>
      <c r="F30" s="102">
        <v>20465</v>
      </c>
      <c r="G30" s="102">
        <v>14638</v>
      </c>
      <c r="H30" s="102">
        <v>13827</v>
      </c>
      <c r="I30" s="102">
        <v>14952</v>
      </c>
      <c r="J30" s="1">
        <f>J94</f>
        <v>8285.1851136414007</v>
      </c>
      <c r="K30" s="1">
        <f>K94</f>
        <v>16403.691825511116</v>
      </c>
      <c r="L30" s="1">
        <f>L94</f>
        <v>23724.328675524528</v>
      </c>
      <c r="M30" s="1">
        <f>M94</f>
        <v>30413.318028286296</v>
      </c>
      <c r="N30" s="1">
        <f>N94</f>
        <v>36579.487668400652</v>
      </c>
    </row>
    <row r="31" spans="2:14" hidden="1" outlineLevel="1" x14ac:dyDescent="0.35">
      <c r="B31" s="2" t="s">
        <v>41</v>
      </c>
      <c r="C31" s="2"/>
      <c r="D31" s="16"/>
      <c r="E31" s="103">
        <v>40092</v>
      </c>
      <c r="F31" s="103">
        <v>68967</v>
      </c>
      <c r="G31" s="103">
        <v>95546</v>
      </c>
      <c r="H31" s="103">
        <v>105638</v>
      </c>
      <c r="I31" s="103">
        <v>133647</v>
      </c>
      <c r="J31" s="11">
        <f>J101</f>
        <v>1312.1123830910913</v>
      </c>
      <c r="K31" s="11">
        <f>K101</f>
        <v>1312.1123830910913</v>
      </c>
      <c r="L31" s="11">
        <f>L101</f>
        <v>1312.1123830910913</v>
      </c>
      <c r="M31" s="11">
        <f>M101</f>
        <v>1312.1123830910913</v>
      </c>
      <c r="N31" s="11">
        <f>N101</f>
        <v>1312.1123830910913</v>
      </c>
    </row>
    <row r="32" spans="2:14" hidden="1" outlineLevel="1" x14ac:dyDescent="0.35">
      <c r="B32" s="3" t="s">
        <v>42</v>
      </c>
      <c r="E32" s="21">
        <f t="shared" ref="E32:N32" si="6">SUM(E28:E31)</f>
        <v>633196</v>
      </c>
      <c r="F32" s="21">
        <f t="shared" si="6"/>
        <v>620053</v>
      </c>
      <c r="G32" s="21">
        <f t="shared" si="6"/>
        <v>670699</v>
      </c>
      <c r="H32" s="21">
        <f t="shared" si="6"/>
        <v>754239</v>
      </c>
      <c r="I32" s="21">
        <f t="shared" si="6"/>
        <v>849974</v>
      </c>
      <c r="J32" s="21">
        <f t="shared" si="6"/>
        <v>811433.0974967326</v>
      </c>
      <c r="K32" s="21">
        <f t="shared" si="6"/>
        <v>899735.2042086022</v>
      </c>
      <c r="L32" s="21">
        <f t="shared" si="6"/>
        <v>986437.54105861578</v>
      </c>
      <c r="M32" s="21">
        <f t="shared" si="6"/>
        <v>1070038.6304113774</v>
      </c>
      <c r="N32" s="21">
        <f t="shared" si="6"/>
        <v>1148886.6000514918</v>
      </c>
    </row>
    <row r="33" spans="2:14" hidden="1" outlineLevel="1" x14ac:dyDescent="0.35">
      <c r="B33" s="4" t="s">
        <v>43</v>
      </c>
      <c r="C33" s="4"/>
      <c r="D33" s="15"/>
      <c r="E33" s="12">
        <f t="shared" ref="E33:N33" si="7">E26-E32</f>
        <v>350878</v>
      </c>
      <c r="F33" s="12">
        <f t="shared" si="7"/>
        <v>455043</v>
      </c>
      <c r="G33" s="12">
        <f t="shared" si="7"/>
        <v>531805</v>
      </c>
      <c r="H33" s="12">
        <f t="shared" si="7"/>
        <v>615081</v>
      </c>
      <c r="I33" s="12">
        <f t="shared" si="7"/>
        <v>787173</v>
      </c>
      <c r="J33" s="12">
        <f t="shared" si="7"/>
        <v>1060209.0159012675</v>
      </c>
      <c r="K33" s="12">
        <f t="shared" si="7"/>
        <v>1159071.1205291981</v>
      </c>
      <c r="L33" s="12">
        <f t="shared" si="7"/>
        <v>1257661.3529055868</v>
      </c>
      <c r="M33" s="12">
        <f t="shared" si="7"/>
        <v>1353588.1750699615</v>
      </c>
      <c r="N33" s="12">
        <f t="shared" si="7"/>
        <v>1444394.081813541</v>
      </c>
    </row>
    <row r="34" spans="2:14" hidden="1" outlineLevel="1" x14ac:dyDescent="0.35">
      <c r="B34" s="3"/>
      <c r="C34" s="3"/>
      <c r="D34" s="13"/>
      <c r="E34" s="9"/>
      <c r="F34" s="9"/>
      <c r="G34" s="9"/>
      <c r="H34" s="9"/>
      <c r="I34" s="9"/>
      <c r="J34" s="21"/>
      <c r="K34" s="21"/>
      <c r="L34" s="21"/>
      <c r="M34" s="21"/>
      <c r="N34" s="21"/>
    </row>
    <row r="35" spans="2:14" hidden="1" outlineLevel="1" x14ac:dyDescent="0.35">
      <c r="B35" s="1" t="s">
        <v>44</v>
      </c>
      <c r="E35" s="102">
        <v>81058</v>
      </c>
      <c r="F35" s="102">
        <v>97768</v>
      </c>
      <c r="G35" s="102">
        <v>124249</v>
      </c>
      <c r="H35" s="102">
        <v>129214</v>
      </c>
      <c r="I35" s="102">
        <v>150649</v>
      </c>
      <c r="J35" s="33">
        <f>J33*J13</f>
        <v>199003.76657780079</v>
      </c>
      <c r="K35" s="33">
        <f>K33*K13</f>
        <v>217560.41993359433</v>
      </c>
      <c r="L35" s="33">
        <f>L33*L13</f>
        <v>236066.04221789786</v>
      </c>
      <c r="M35" s="33">
        <f>M33*M13</f>
        <v>254071.73603886718</v>
      </c>
      <c r="N35" s="33">
        <f>N33*N13</f>
        <v>271116.22179446433</v>
      </c>
    </row>
    <row r="36" spans="2:14" ht="16.25" hidden="1" customHeight="1" outlineLevel="1" thickBot="1" x14ac:dyDescent="0.4">
      <c r="B36" s="26" t="s">
        <v>45</v>
      </c>
      <c r="C36" s="26"/>
      <c r="D36" s="27"/>
      <c r="E36" s="28">
        <f t="shared" ref="E36:N36" si="8">E33-E35</f>
        <v>269820</v>
      </c>
      <c r="F36" s="28">
        <f t="shared" si="8"/>
        <v>357275</v>
      </c>
      <c r="G36" s="28">
        <f t="shared" si="8"/>
        <v>407556</v>
      </c>
      <c r="H36" s="28">
        <f t="shared" si="8"/>
        <v>485867</v>
      </c>
      <c r="I36" s="28">
        <f t="shared" si="8"/>
        <v>636524</v>
      </c>
      <c r="J36" s="28">
        <f t="shared" si="8"/>
        <v>861205.24932346679</v>
      </c>
      <c r="K36" s="28">
        <f t="shared" si="8"/>
        <v>941510.70059560379</v>
      </c>
      <c r="L36" s="28">
        <f t="shared" si="8"/>
        <v>1021595.310687689</v>
      </c>
      <c r="M36" s="28">
        <f t="shared" si="8"/>
        <v>1099516.4390310943</v>
      </c>
      <c r="N36" s="28">
        <f t="shared" si="8"/>
        <v>1173277.8600190766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43" t="s">
        <v>26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spans="2:14" hidden="1" outlineLevel="1" x14ac:dyDescent="0.35">
      <c r="B40" s="3" t="s">
        <v>46</v>
      </c>
      <c r="E40" s="10"/>
      <c r="F40" s="10"/>
      <c r="G40" s="10"/>
      <c r="H40" s="10"/>
      <c r="I40" s="10"/>
    </row>
    <row r="41" spans="2:14" hidden="1" outlineLevel="1" x14ac:dyDescent="0.35">
      <c r="B41" s="1" t="s">
        <v>47</v>
      </c>
      <c r="E41" s="102">
        <v>195354</v>
      </c>
      <c r="F41" s="102">
        <v>133202</v>
      </c>
      <c r="G41" s="102">
        <v>136778</v>
      </c>
      <c r="H41" s="102">
        <v>150667</v>
      </c>
      <c r="I41" s="102">
        <v>134136</v>
      </c>
      <c r="J41" s="1">
        <f>J78</f>
        <v>1846491.452004595</v>
      </c>
      <c r="K41" s="1">
        <f>K78</f>
        <v>2698019.0926217982</v>
      </c>
      <c r="L41" s="1">
        <f>L78</f>
        <v>3633060.1816991391</v>
      </c>
      <c r="M41" s="1">
        <f>M78</f>
        <v>4650140.4571482074</v>
      </c>
      <c r="N41" s="1">
        <f>N78</f>
        <v>5746062.8547139391</v>
      </c>
    </row>
    <row r="42" spans="2:14" hidden="1" outlineLevel="1" x14ac:dyDescent="0.35">
      <c r="B42" s="1" t="s">
        <v>48</v>
      </c>
      <c r="E42" s="102">
        <v>312107</v>
      </c>
      <c r="F42" s="102">
        <v>322410</v>
      </c>
      <c r="G42" s="102">
        <v>387947</v>
      </c>
      <c r="H42" s="102">
        <v>426642</v>
      </c>
      <c r="I42" s="102">
        <v>529148</v>
      </c>
      <c r="J42" s="29">
        <f t="shared" ref="J42:N43" si="9">J24*J15/365</f>
        <v>604862.53600975894</v>
      </c>
      <c r="K42" s="29">
        <f t="shared" si="9"/>
        <v>665348.78961073491</v>
      </c>
      <c r="L42" s="29">
        <f t="shared" si="9"/>
        <v>725230.18067570112</v>
      </c>
      <c r="M42" s="29">
        <f t="shared" si="9"/>
        <v>783248.59512975719</v>
      </c>
      <c r="N42" s="29">
        <f t="shared" si="9"/>
        <v>838075.99678884028</v>
      </c>
    </row>
    <row r="43" spans="2:14" hidden="1" outlineLevel="1" x14ac:dyDescent="0.35">
      <c r="B43" s="1" t="s">
        <v>49</v>
      </c>
      <c r="E43" s="102">
        <v>0</v>
      </c>
      <c r="F43" s="102">
        <v>0</v>
      </c>
      <c r="G43" s="102">
        <v>0</v>
      </c>
      <c r="H43" s="102">
        <v>0</v>
      </c>
      <c r="I43" s="102">
        <v>0</v>
      </c>
      <c r="J43" s="1">
        <f t="shared" si="9"/>
        <v>0</v>
      </c>
      <c r="K43" s="1">
        <f t="shared" si="9"/>
        <v>0</v>
      </c>
      <c r="L43" s="1">
        <f t="shared" si="9"/>
        <v>0</v>
      </c>
      <c r="M43" s="1">
        <f t="shared" si="9"/>
        <v>0</v>
      </c>
      <c r="N43" s="1">
        <f t="shared" si="9"/>
        <v>0</v>
      </c>
    </row>
    <row r="44" spans="2:14" hidden="1" outlineLevel="1" x14ac:dyDescent="0.35">
      <c r="B44" s="1" t="s">
        <v>50</v>
      </c>
      <c r="E44" s="102">
        <v>27913</v>
      </c>
      <c r="F44" s="102">
        <v>17580</v>
      </c>
      <c r="G44" s="102">
        <v>10966</v>
      </c>
      <c r="H44" s="102">
        <v>38465</v>
      </c>
      <c r="I44" s="102">
        <v>67713</v>
      </c>
      <c r="J44" s="1">
        <f>J95</f>
        <v>74287.264886358607</v>
      </c>
      <c r="K44" s="1">
        <f>K95</f>
        <v>107440.1730608475</v>
      </c>
      <c r="L44" s="1">
        <f>L95</f>
        <v>137732.54438532298</v>
      </c>
      <c r="M44" s="1">
        <f>M95</f>
        <v>165657.22635703668</v>
      </c>
      <c r="N44" s="1">
        <f>N95</f>
        <v>191499.33868863602</v>
      </c>
    </row>
    <row r="45" spans="2:14" ht="16.25" hidden="1" customHeight="1" outlineLevel="1" thickBot="1" x14ac:dyDescent="0.4">
      <c r="B45" s="26" t="s">
        <v>51</v>
      </c>
      <c r="C45" s="26"/>
      <c r="D45" s="27"/>
      <c r="E45" s="28">
        <f t="shared" ref="E45:N45" si="10">SUM(E41:E44)</f>
        <v>535374</v>
      </c>
      <c r="F45" s="28">
        <f t="shared" si="10"/>
        <v>473192</v>
      </c>
      <c r="G45" s="28">
        <f t="shared" si="10"/>
        <v>535691</v>
      </c>
      <c r="H45" s="28">
        <f t="shared" si="10"/>
        <v>615774</v>
      </c>
      <c r="I45" s="28">
        <f t="shared" si="10"/>
        <v>730997</v>
      </c>
      <c r="J45" s="28">
        <f t="shared" si="10"/>
        <v>2525641.2529007127</v>
      </c>
      <c r="K45" s="28">
        <f t="shared" si="10"/>
        <v>3470808.0552933803</v>
      </c>
      <c r="L45" s="28">
        <f t="shared" si="10"/>
        <v>4496022.9067601636</v>
      </c>
      <c r="M45" s="28">
        <f t="shared" si="10"/>
        <v>5599046.2786350008</v>
      </c>
      <c r="N45" s="28">
        <f t="shared" si="10"/>
        <v>6775638.1901914161</v>
      </c>
    </row>
    <row r="46" spans="2:14" ht="16.25" hidden="1" customHeight="1" outlineLevel="1" thickTop="1" x14ac:dyDescent="0.35">
      <c r="B46" s="3"/>
      <c r="C46" s="3"/>
      <c r="D46" s="13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52</v>
      </c>
      <c r="E47" s="10"/>
      <c r="F47" s="10"/>
      <c r="G47" s="10"/>
      <c r="H47" s="10"/>
      <c r="I47" s="10"/>
    </row>
    <row r="48" spans="2:14" hidden="1" outlineLevel="1" x14ac:dyDescent="0.35">
      <c r="B48" s="1" t="s">
        <v>53</v>
      </c>
      <c r="E48" s="102">
        <v>20749</v>
      </c>
      <c r="F48" s="102">
        <v>17273</v>
      </c>
      <c r="G48" s="102">
        <v>19009</v>
      </c>
      <c r="H48" s="102">
        <v>22473</v>
      </c>
      <c r="I48" s="102">
        <v>32315</v>
      </c>
      <c r="J48" s="1">
        <f>J25*J17/365</f>
        <v>36561.017970641093</v>
      </c>
      <c r="K48" s="1">
        <f>K25*K17/365</f>
        <v>40217.119767705204</v>
      </c>
      <c r="L48" s="1">
        <f>L25*L17/365</f>
        <v>43836.660546798674</v>
      </c>
      <c r="M48" s="1">
        <f>M25*M17/365</f>
        <v>47343.593390542563</v>
      </c>
      <c r="N48" s="1">
        <f>N25*N17/365</f>
        <v>50657.644927880545</v>
      </c>
    </row>
    <row r="49" spans="2:14" hidden="1" outlineLevel="1" x14ac:dyDescent="0.35">
      <c r="B49" s="1" t="s">
        <v>54</v>
      </c>
      <c r="E49" s="102">
        <v>1259018</v>
      </c>
      <c r="F49" s="102">
        <v>1853669</v>
      </c>
      <c r="G49" s="102">
        <v>1861658</v>
      </c>
      <c r="H49" s="102">
        <v>2209021</v>
      </c>
      <c r="I49" s="102">
        <v>3055691</v>
      </c>
      <c r="J49" s="1">
        <f>J100</f>
        <v>30000</v>
      </c>
      <c r="K49" s="1">
        <f>K100</f>
        <v>30000</v>
      </c>
      <c r="L49" s="1">
        <f>L100</f>
        <v>30000</v>
      </c>
      <c r="M49" s="1">
        <f>M100</f>
        <v>30000</v>
      </c>
      <c r="N49" s="1">
        <f>N100</f>
        <v>30000</v>
      </c>
    </row>
    <row r="50" spans="2:14" hidden="1" outlineLevel="1" x14ac:dyDescent="0.35">
      <c r="B50" s="4" t="s">
        <v>55</v>
      </c>
      <c r="C50" s="4"/>
      <c r="D50" s="15"/>
      <c r="E50" s="12">
        <f t="shared" ref="E50:N50" si="11">SUM(E48:E49)</f>
        <v>1279767</v>
      </c>
      <c r="F50" s="12">
        <f t="shared" si="11"/>
        <v>1870942</v>
      </c>
      <c r="G50" s="12">
        <f t="shared" si="11"/>
        <v>1880667</v>
      </c>
      <c r="H50" s="12">
        <f t="shared" si="11"/>
        <v>2231494</v>
      </c>
      <c r="I50" s="12">
        <f t="shared" si="11"/>
        <v>3088006</v>
      </c>
      <c r="J50" s="12">
        <f t="shared" si="11"/>
        <v>66561.017970641085</v>
      </c>
      <c r="K50" s="12">
        <f t="shared" si="11"/>
        <v>70217.119767705211</v>
      </c>
      <c r="L50" s="12">
        <f t="shared" si="11"/>
        <v>73836.660546798666</v>
      </c>
      <c r="M50" s="12">
        <f t="shared" si="11"/>
        <v>77343.593390542563</v>
      </c>
      <c r="N50" s="12">
        <f t="shared" si="11"/>
        <v>80657.644927880552</v>
      </c>
    </row>
    <row r="51" spans="2:14" hidden="1" outlineLevel="1" x14ac:dyDescent="0.35">
      <c r="B51" s="3" t="s">
        <v>56</v>
      </c>
      <c r="E51" s="10"/>
      <c r="F51" s="10"/>
      <c r="G51" s="10"/>
      <c r="H51" s="10"/>
      <c r="I51" s="10"/>
    </row>
    <row r="52" spans="2:14" hidden="1" outlineLevel="1" x14ac:dyDescent="0.35">
      <c r="B52" s="1" t="s">
        <v>57</v>
      </c>
      <c r="E52" s="102">
        <v>-744393</v>
      </c>
      <c r="F52" s="102">
        <v>-1397750</v>
      </c>
      <c r="G52" s="102">
        <v>-1344976</v>
      </c>
      <c r="H52" s="102">
        <v>-1615720</v>
      </c>
      <c r="I52" s="102">
        <v>-2357009</v>
      </c>
      <c r="J52" s="1">
        <f>I52+J20</f>
        <v>-2357009</v>
      </c>
      <c r="K52" s="1">
        <f>J52+K20</f>
        <v>-2357009</v>
      </c>
      <c r="L52" s="1">
        <f>K52+L20</f>
        <v>-2357009</v>
      </c>
      <c r="M52" s="1">
        <f>L52+M20</f>
        <v>-2357009</v>
      </c>
      <c r="N52" s="1">
        <f>M52+N20</f>
        <v>-2357009</v>
      </c>
    </row>
    <row r="53" spans="2:14" hidden="1" outlineLevel="1" x14ac:dyDescent="0.35">
      <c r="B53" s="1" t="s">
        <v>58</v>
      </c>
      <c r="E53" s="102">
        <v>0</v>
      </c>
      <c r="F53" s="102">
        <v>0</v>
      </c>
      <c r="G53" s="102">
        <v>0</v>
      </c>
      <c r="H53" s="102">
        <v>0</v>
      </c>
      <c r="I53" s="102">
        <v>0</v>
      </c>
      <c r="J53" s="1">
        <f>I53+J36</f>
        <v>861205.24932346679</v>
      </c>
      <c r="K53" s="1">
        <f>J53+K36</f>
        <v>1802715.9499190706</v>
      </c>
      <c r="L53" s="1">
        <f>K53+L36</f>
        <v>2824311.2606067597</v>
      </c>
      <c r="M53" s="1">
        <f>L53+M36</f>
        <v>3923827.699637854</v>
      </c>
      <c r="N53" s="1">
        <f>M53+N36</f>
        <v>5097105.5596569311</v>
      </c>
    </row>
    <row r="54" spans="2:14" hidden="1" outlineLevel="1" x14ac:dyDescent="0.35">
      <c r="B54" s="6" t="s">
        <v>56</v>
      </c>
      <c r="C54" s="6"/>
      <c r="D54" s="18"/>
      <c r="E54" s="31">
        <f t="shared" ref="E54:N54" si="12">SUM(E52:E53)</f>
        <v>-744393</v>
      </c>
      <c r="F54" s="31">
        <f t="shared" si="12"/>
        <v>-1397750</v>
      </c>
      <c r="G54" s="31">
        <f t="shared" si="12"/>
        <v>-1344976</v>
      </c>
      <c r="H54" s="31">
        <f t="shared" si="12"/>
        <v>-1615720</v>
      </c>
      <c r="I54" s="31">
        <f t="shared" si="12"/>
        <v>-2357009</v>
      </c>
      <c r="J54" s="31">
        <f t="shared" si="12"/>
        <v>-1495803.7506765332</v>
      </c>
      <c r="K54" s="31">
        <f t="shared" si="12"/>
        <v>-554293.05008092942</v>
      </c>
      <c r="L54" s="31">
        <f t="shared" si="12"/>
        <v>467302.26060675969</v>
      </c>
      <c r="M54" s="31">
        <f t="shared" si="12"/>
        <v>1566818.699637854</v>
      </c>
      <c r="N54" s="31">
        <f t="shared" si="12"/>
        <v>2740096.5596569311</v>
      </c>
    </row>
    <row r="55" spans="2:14" ht="16.25" hidden="1" customHeight="1" outlineLevel="1" thickBot="1" x14ac:dyDescent="0.4">
      <c r="B55" s="26" t="s">
        <v>59</v>
      </c>
      <c r="C55" s="26"/>
      <c r="D55" s="27"/>
      <c r="E55" s="28">
        <f t="shared" ref="E55:N55" si="13">E50+E54</f>
        <v>535374</v>
      </c>
      <c r="F55" s="28">
        <f t="shared" si="13"/>
        <v>473192</v>
      </c>
      <c r="G55" s="28">
        <f t="shared" si="13"/>
        <v>535691</v>
      </c>
      <c r="H55" s="28">
        <f t="shared" si="13"/>
        <v>615774</v>
      </c>
      <c r="I55" s="28">
        <f t="shared" si="13"/>
        <v>730997</v>
      </c>
      <c r="J55" s="28">
        <f t="shared" si="13"/>
        <v>-1429242.7327058921</v>
      </c>
      <c r="K55" s="28">
        <f t="shared" si="13"/>
        <v>-484075.93031322421</v>
      </c>
      <c r="L55" s="28">
        <f t="shared" si="13"/>
        <v>541138.92115355842</v>
      </c>
      <c r="M55" s="28">
        <f t="shared" si="13"/>
        <v>1644162.2930283966</v>
      </c>
      <c r="N55" s="28">
        <f t="shared" si="13"/>
        <v>2820754.2045848118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60</v>
      </c>
      <c r="C57" s="7"/>
      <c r="D57" s="19"/>
      <c r="E57" s="44">
        <f t="shared" ref="E57:N57" si="14">E55-E45</f>
        <v>0</v>
      </c>
      <c r="F57" s="44">
        <f t="shared" si="14"/>
        <v>0</v>
      </c>
      <c r="G57" s="44">
        <f t="shared" si="14"/>
        <v>0</v>
      </c>
      <c r="H57" s="44">
        <f t="shared" si="14"/>
        <v>0</v>
      </c>
      <c r="I57" s="44">
        <f t="shared" si="14"/>
        <v>0</v>
      </c>
      <c r="J57" s="44">
        <f t="shared" si="14"/>
        <v>-3954883.9856066047</v>
      </c>
      <c r="K57" s="44">
        <f t="shared" si="14"/>
        <v>-3954883.9856066043</v>
      </c>
      <c r="L57" s="44">
        <f t="shared" si="14"/>
        <v>-3954883.9856066052</v>
      </c>
      <c r="M57" s="44">
        <f t="shared" si="14"/>
        <v>-3954883.9856066043</v>
      </c>
      <c r="N57" s="44">
        <f t="shared" si="14"/>
        <v>-3954883.9856066043</v>
      </c>
    </row>
    <row r="58" spans="2:14" hidden="1" outlineLevel="1" x14ac:dyDescent="0.35">
      <c r="B58" s="7"/>
      <c r="C58" s="7"/>
      <c r="D58" s="19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43" t="s">
        <v>61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2:14" hidden="1" outlineLevel="1" x14ac:dyDescent="0.35">
      <c r="B61" s="3" t="s">
        <v>62</v>
      </c>
      <c r="E61" s="10"/>
      <c r="F61" s="10"/>
      <c r="G61" s="10"/>
      <c r="H61" s="10"/>
      <c r="I61" s="10"/>
    </row>
    <row r="62" spans="2:14" hidden="1" outlineLevel="1" x14ac:dyDescent="0.35">
      <c r="B62" s="1" t="s">
        <v>45</v>
      </c>
      <c r="E62" s="1">
        <f t="shared" ref="E62:N62" si="15">E36</f>
        <v>269820</v>
      </c>
      <c r="F62" s="1">
        <f t="shared" si="15"/>
        <v>357275</v>
      </c>
      <c r="G62" s="1">
        <f t="shared" si="15"/>
        <v>407556</v>
      </c>
      <c r="H62" s="1">
        <f t="shared" si="15"/>
        <v>485867</v>
      </c>
      <c r="I62" s="1">
        <f t="shared" si="15"/>
        <v>636524</v>
      </c>
      <c r="J62" s="1">
        <f t="shared" si="15"/>
        <v>861205.24932346679</v>
      </c>
      <c r="K62" s="1">
        <f t="shared" si="15"/>
        <v>941510.70059560379</v>
      </c>
      <c r="L62" s="1">
        <f t="shared" si="15"/>
        <v>1021595.310687689</v>
      </c>
      <c r="M62" s="1">
        <f t="shared" si="15"/>
        <v>1099516.4390310943</v>
      </c>
      <c r="N62" s="1">
        <f t="shared" si="15"/>
        <v>1173277.8600190766</v>
      </c>
    </row>
    <row r="63" spans="2:14" hidden="1" outlineLevel="1" x14ac:dyDescent="0.35">
      <c r="B63" s="1" t="s">
        <v>63</v>
      </c>
      <c r="E63" s="1">
        <f t="shared" ref="E63:N63" si="16">+E30</f>
        <v>25592</v>
      </c>
      <c r="F63" s="1">
        <f t="shared" si="16"/>
        <v>20465</v>
      </c>
      <c r="G63" s="1">
        <f t="shared" si="16"/>
        <v>14638</v>
      </c>
      <c r="H63" s="1">
        <f t="shared" si="16"/>
        <v>13827</v>
      </c>
      <c r="I63" s="1">
        <f t="shared" si="16"/>
        <v>14952</v>
      </c>
      <c r="J63" s="1">
        <f t="shared" si="16"/>
        <v>8285.1851136414007</v>
      </c>
      <c r="K63" s="1">
        <f t="shared" si="16"/>
        <v>16403.691825511116</v>
      </c>
      <c r="L63" s="1">
        <f t="shared" si="16"/>
        <v>23724.328675524528</v>
      </c>
      <c r="M63" s="1">
        <f t="shared" si="16"/>
        <v>30413.318028286296</v>
      </c>
      <c r="N63" s="1">
        <f t="shared" si="16"/>
        <v>36579.487668400652</v>
      </c>
    </row>
    <row r="64" spans="2:14" hidden="1" outlineLevel="1" x14ac:dyDescent="0.35">
      <c r="B64" s="1" t="s">
        <v>64</v>
      </c>
      <c r="E64" s="102">
        <v>0</v>
      </c>
      <c r="F64" s="102">
        <v>13779</v>
      </c>
      <c r="G64" s="102">
        <v>63801</v>
      </c>
      <c r="H64" s="102">
        <v>35231</v>
      </c>
      <c r="I64" s="102">
        <v>92664</v>
      </c>
      <c r="J64" s="1">
        <f>J89</f>
        <v>555091.91803911782</v>
      </c>
      <c r="K64" s="1">
        <f>K89</f>
        <v>56830.151803911896</v>
      </c>
      <c r="L64" s="1">
        <f>L89</f>
        <v>56261.850285872701</v>
      </c>
      <c r="M64" s="1">
        <f>M89</f>
        <v>54511.481610312243</v>
      </c>
      <c r="N64" s="1">
        <f>N89</f>
        <v>51513.350121745141</v>
      </c>
    </row>
    <row r="65" spans="2:14" hidden="1" outlineLevel="1" x14ac:dyDescent="0.35">
      <c r="B65" s="4" t="s">
        <v>65</v>
      </c>
      <c r="C65" s="5"/>
      <c r="D65" s="20"/>
      <c r="E65" s="12">
        <f t="shared" ref="E65:N65" si="17">E62+E63-E64</f>
        <v>295412</v>
      </c>
      <c r="F65" s="12">
        <f t="shared" si="17"/>
        <v>363961</v>
      </c>
      <c r="G65" s="12">
        <f t="shared" si="17"/>
        <v>358393</v>
      </c>
      <c r="H65" s="12">
        <f t="shared" si="17"/>
        <v>464463</v>
      </c>
      <c r="I65" s="12">
        <f t="shared" si="17"/>
        <v>558812</v>
      </c>
      <c r="J65" s="12">
        <f t="shared" si="17"/>
        <v>314398.5163979904</v>
      </c>
      <c r="K65" s="12">
        <f t="shared" si="17"/>
        <v>901084.24061720306</v>
      </c>
      <c r="L65" s="12">
        <f t="shared" si="17"/>
        <v>989057.78907734086</v>
      </c>
      <c r="M65" s="12">
        <f t="shared" si="17"/>
        <v>1075418.2754490683</v>
      </c>
      <c r="N65" s="12">
        <f t="shared" si="17"/>
        <v>1158343.9975657321</v>
      </c>
    </row>
    <row r="66" spans="2:14" hidden="1" outlineLevel="1" x14ac:dyDescent="0.35">
      <c r="B66" s="3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66</v>
      </c>
      <c r="E67" s="10"/>
      <c r="F67" s="10"/>
      <c r="G67" s="10"/>
      <c r="H67" s="10"/>
      <c r="I67" s="10"/>
    </row>
    <row r="68" spans="2:14" hidden="1" outlineLevel="1" x14ac:dyDescent="0.35">
      <c r="B68" s="1" t="s">
        <v>67</v>
      </c>
      <c r="E68" s="102">
        <v>7569</v>
      </c>
      <c r="F68" s="102">
        <v>6029</v>
      </c>
      <c r="G68" s="102">
        <v>4237</v>
      </c>
      <c r="H68" s="102">
        <v>25551</v>
      </c>
      <c r="I68" s="102">
        <v>39407</v>
      </c>
      <c r="J68" s="1">
        <f>J18</f>
        <v>45051.4</v>
      </c>
      <c r="K68" s="1">
        <f>K18</f>
        <v>49556.6</v>
      </c>
      <c r="L68" s="1">
        <f>L18</f>
        <v>54016.7</v>
      </c>
      <c r="M68" s="1">
        <f>M18</f>
        <v>58338</v>
      </c>
      <c r="N68" s="1">
        <f>N18</f>
        <v>62421.599999999999</v>
      </c>
    </row>
    <row r="69" spans="2:14" hidden="1" outlineLevel="1" x14ac:dyDescent="0.35">
      <c r="B69" s="4" t="s">
        <v>68</v>
      </c>
      <c r="C69" s="5"/>
      <c r="D69" s="20"/>
      <c r="E69" s="12">
        <f t="shared" ref="E69:N69" si="18">SUM(E68)</f>
        <v>7569</v>
      </c>
      <c r="F69" s="12">
        <f t="shared" si="18"/>
        <v>6029</v>
      </c>
      <c r="G69" s="12">
        <f t="shared" si="18"/>
        <v>4237</v>
      </c>
      <c r="H69" s="12">
        <f t="shared" si="18"/>
        <v>25551</v>
      </c>
      <c r="I69" s="12">
        <f t="shared" si="18"/>
        <v>39407</v>
      </c>
      <c r="J69" s="12">
        <f t="shared" si="18"/>
        <v>45051.4</v>
      </c>
      <c r="K69" s="12">
        <f t="shared" si="18"/>
        <v>49556.6</v>
      </c>
      <c r="L69" s="12">
        <f t="shared" si="18"/>
        <v>54016.7</v>
      </c>
      <c r="M69" s="12">
        <f t="shared" si="18"/>
        <v>58338</v>
      </c>
      <c r="N69" s="12">
        <f t="shared" si="18"/>
        <v>62421.599999999999</v>
      </c>
    </row>
    <row r="70" spans="2:14" hidden="1" outlineLevel="1" x14ac:dyDescent="0.35">
      <c r="B70" s="3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69</v>
      </c>
      <c r="E71" s="10"/>
      <c r="F71" s="10"/>
      <c r="G71" s="10"/>
      <c r="H71" s="10"/>
      <c r="I71" s="10"/>
    </row>
    <row r="72" spans="2:14" hidden="1" outlineLevel="1" x14ac:dyDescent="0.35">
      <c r="B72" s="1" t="s">
        <v>70</v>
      </c>
      <c r="E72" s="102">
        <v>0</v>
      </c>
      <c r="F72" s="102">
        <v>594651</v>
      </c>
      <c r="G72" s="102">
        <v>7989</v>
      </c>
      <c r="H72" s="102">
        <v>347363</v>
      </c>
      <c r="I72" s="102">
        <v>846670</v>
      </c>
      <c r="J72" s="1">
        <f t="shared" ref="J72:N73" si="19">J19</f>
        <v>0</v>
      </c>
      <c r="K72" s="1">
        <f t="shared" si="19"/>
        <v>0</v>
      </c>
      <c r="L72" s="1">
        <f t="shared" si="19"/>
        <v>0</v>
      </c>
      <c r="M72" s="1">
        <f t="shared" si="19"/>
        <v>0</v>
      </c>
      <c r="N72" s="1">
        <f t="shared" si="19"/>
        <v>0</v>
      </c>
    </row>
    <row r="73" spans="2:14" hidden="1" outlineLevel="1" x14ac:dyDescent="0.35">
      <c r="B73" s="1" t="s">
        <v>71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">
        <f t="shared" si="19"/>
        <v>0</v>
      </c>
      <c r="K73" s="1">
        <f t="shared" si="19"/>
        <v>0</v>
      </c>
      <c r="L73" s="1">
        <f t="shared" si="19"/>
        <v>0</v>
      </c>
      <c r="M73" s="1">
        <f t="shared" si="19"/>
        <v>0</v>
      </c>
      <c r="N73" s="1">
        <f t="shared" si="19"/>
        <v>0</v>
      </c>
    </row>
    <row r="74" spans="2:14" hidden="1" outlineLevel="1" x14ac:dyDescent="0.35">
      <c r="B74" s="4" t="s">
        <v>72</v>
      </c>
      <c r="C74" s="5"/>
      <c r="D74" s="20"/>
      <c r="E74" s="12">
        <f t="shared" ref="E74:N74" si="20">SUM(E72:E73)</f>
        <v>0</v>
      </c>
      <c r="F74" s="12">
        <f t="shared" si="20"/>
        <v>594651</v>
      </c>
      <c r="G74" s="12">
        <f t="shared" si="20"/>
        <v>7989</v>
      </c>
      <c r="H74" s="12">
        <f t="shared" si="20"/>
        <v>347363</v>
      </c>
      <c r="I74" s="12">
        <f t="shared" si="20"/>
        <v>846670</v>
      </c>
      <c r="J74" s="12">
        <f t="shared" si="20"/>
        <v>0</v>
      </c>
      <c r="K74" s="12">
        <f t="shared" si="20"/>
        <v>0</v>
      </c>
      <c r="L74" s="12">
        <f t="shared" si="20"/>
        <v>0</v>
      </c>
      <c r="M74" s="12">
        <f t="shared" si="20"/>
        <v>0</v>
      </c>
      <c r="N74" s="12">
        <f t="shared" si="20"/>
        <v>0</v>
      </c>
    </row>
    <row r="75" spans="2:14" hidden="1" outlineLevel="1" x14ac:dyDescent="0.35">
      <c r="B75" s="3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73</v>
      </c>
      <c r="E76" s="22">
        <f t="shared" ref="E76:N76" si="21">E65-E69+E74</f>
        <v>287843</v>
      </c>
      <c r="F76" s="22">
        <f t="shared" si="21"/>
        <v>952583</v>
      </c>
      <c r="G76" s="22">
        <f t="shared" si="21"/>
        <v>362145</v>
      </c>
      <c r="H76" s="22">
        <f t="shared" si="21"/>
        <v>786275</v>
      </c>
      <c r="I76" s="22">
        <f t="shared" si="21"/>
        <v>1366075</v>
      </c>
      <c r="J76" s="22">
        <f t="shared" si="21"/>
        <v>269347.11639799038</v>
      </c>
      <c r="K76" s="22">
        <f t="shared" si="21"/>
        <v>851527.64061720308</v>
      </c>
      <c r="L76" s="22">
        <f t="shared" si="21"/>
        <v>935041.0890773409</v>
      </c>
      <c r="M76" s="22">
        <f t="shared" si="21"/>
        <v>1017080.2754490683</v>
      </c>
      <c r="N76" s="22">
        <f t="shared" si="21"/>
        <v>1095922.397565732</v>
      </c>
    </row>
    <row r="77" spans="2:14" hidden="1" outlineLevel="1" x14ac:dyDescent="0.35">
      <c r="B77" s="1" t="s">
        <v>74</v>
      </c>
      <c r="E77" s="1">
        <f>D78</f>
        <v>157394</v>
      </c>
      <c r="F77" s="10">
        <v>167971.17920000001</v>
      </c>
      <c r="G77" s="10">
        <v>181209.912697878</v>
      </c>
      <c r="H77" s="10">
        <v>183715.25658300929</v>
      </c>
      <c r="I77" s="10">
        <v>211069.33560660461</v>
      </c>
      <c r="J77" s="1">
        <f>+I78</f>
        <v>1577144.3356066046</v>
      </c>
      <c r="K77" s="1">
        <f>+J78</f>
        <v>1846491.452004595</v>
      </c>
      <c r="L77" s="1">
        <f>+K78</f>
        <v>2698019.0926217982</v>
      </c>
      <c r="M77" s="1">
        <f>+L78</f>
        <v>3633060.1816991391</v>
      </c>
      <c r="N77" s="1">
        <f>+M78</f>
        <v>4650140.4571482074</v>
      </c>
    </row>
    <row r="78" spans="2:14" hidden="1" outlineLevel="1" x14ac:dyDescent="0.35">
      <c r="B78" s="4" t="s">
        <v>75</v>
      </c>
      <c r="C78" s="5"/>
      <c r="D78" s="104">
        <v>157394</v>
      </c>
      <c r="E78" s="12">
        <f t="shared" ref="E78:N78" si="22">SUM(E76:E77)</f>
        <v>445237</v>
      </c>
      <c r="F78" s="12">
        <f t="shared" si="22"/>
        <v>1120554.1792000001</v>
      </c>
      <c r="G78" s="12">
        <f t="shared" si="22"/>
        <v>543354.91269787797</v>
      </c>
      <c r="H78" s="12">
        <f t="shared" si="22"/>
        <v>969990.25658300926</v>
      </c>
      <c r="I78" s="12">
        <f t="shared" si="22"/>
        <v>1577144.3356066046</v>
      </c>
      <c r="J78" s="12">
        <f t="shared" si="22"/>
        <v>1846491.452004595</v>
      </c>
      <c r="K78" s="12">
        <f t="shared" si="22"/>
        <v>2698019.0926217982</v>
      </c>
      <c r="L78" s="12">
        <f t="shared" si="22"/>
        <v>3633060.1816991391</v>
      </c>
      <c r="M78" s="12">
        <f t="shared" si="22"/>
        <v>4650140.4571482074</v>
      </c>
      <c r="N78" s="12">
        <f t="shared" si="22"/>
        <v>5746062.8547139391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60</v>
      </c>
      <c r="C80" s="7"/>
      <c r="D80" s="19"/>
      <c r="E80" s="44">
        <f t="shared" ref="E80:N80" si="23">E78-E41</f>
        <v>249883</v>
      </c>
      <c r="F80" s="44">
        <f t="shared" si="23"/>
        <v>987352.17920000013</v>
      </c>
      <c r="G80" s="44">
        <f t="shared" si="23"/>
        <v>406576.91269787797</v>
      </c>
      <c r="H80" s="44">
        <f t="shared" si="23"/>
        <v>819323.25658300926</v>
      </c>
      <c r="I80" s="44">
        <f t="shared" si="23"/>
        <v>1443008.3356066046</v>
      </c>
      <c r="J80" s="44">
        <f t="shared" si="23"/>
        <v>0</v>
      </c>
      <c r="K80" s="44">
        <f t="shared" si="23"/>
        <v>0</v>
      </c>
      <c r="L80" s="44">
        <f t="shared" si="23"/>
        <v>0</v>
      </c>
      <c r="M80" s="44">
        <f t="shared" si="23"/>
        <v>0</v>
      </c>
      <c r="N80" s="44">
        <f t="shared" si="23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43" t="s">
        <v>76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</row>
    <row r="84" spans="2:14" hidden="1" outlineLevel="1" x14ac:dyDescent="0.35">
      <c r="B84" s="3" t="s">
        <v>77</v>
      </c>
      <c r="F84" s="10"/>
      <c r="G84" s="10"/>
      <c r="H84" s="10"/>
      <c r="I84" s="10"/>
    </row>
    <row r="85" spans="2:14" hidden="1" outlineLevel="1" x14ac:dyDescent="0.35">
      <c r="B85" s="1" t="s">
        <v>48</v>
      </c>
      <c r="E85" s="10">
        <v>5100.3500000000004</v>
      </c>
      <c r="F85" s="10">
        <v>5904.3</v>
      </c>
      <c r="G85" s="10">
        <v>6567.25</v>
      </c>
      <c r="H85" s="10">
        <v>7117.05</v>
      </c>
      <c r="I85" s="10">
        <v>7538.6</v>
      </c>
      <c r="J85" s="1">
        <f t="shared" ref="J85:N86" si="24">J42</f>
        <v>604862.53600975894</v>
      </c>
      <c r="K85" s="1">
        <f t="shared" si="24"/>
        <v>665348.78961073491</v>
      </c>
      <c r="L85" s="1">
        <f t="shared" si="24"/>
        <v>725230.18067570112</v>
      </c>
      <c r="M85" s="1">
        <f t="shared" si="24"/>
        <v>783248.59512975719</v>
      </c>
      <c r="N85" s="1">
        <f t="shared" si="24"/>
        <v>838075.99678884028</v>
      </c>
    </row>
    <row r="86" spans="2:14" hidden="1" outlineLevel="1" x14ac:dyDescent="0.35">
      <c r="B86" s="1" t="s">
        <v>49</v>
      </c>
      <c r="E86" s="10">
        <v>7804.6</v>
      </c>
      <c r="F86" s="10">
        <v>9600.8000000000011</v>
      </c>
      <c r="G86" s="10">
        <v>9824.6</v>
      </c>
      <c r="H86" s="10">
        <v>10530.8</v>
      </c>
      <c r="I86" s="10">
        <v>11342</v>
      </c>
      <c r="J86" s="1">
        <f t="shared" si="24"/>
        <v>0</v>
      </c>
      <c r="K86" s="1">
        <f t="shared" si="24"/>
        <v>0</v>
      </c>
      <c r="L86" s="1">
        <f t="shared" si="24"/>
        <v>0</v>
      </c>
      <c r="M86" s="1">
        <f t="shared" si="24"/>
        <v>0</v>
      </c>
      <c r="N86" s="1">
        <f t="shared" si="24"/>
        <v>0</v>
      </c>
    </row>
    <row r="87" spans="2:14" hidden="1" outlineLevel="1" x14ac:dyDescent="0.35">
      <c r="B87" s="1" t="s">
        <v>53</v>
      </c>
      <c r="E87" s="10">
        <v>3902.3</v>
      </c>
      <c r="F87" s="10">
        <v>4800.4000000000005</v>
      </c>
      <c r="G87" s="10">
        <v>4912.3</v>
      </c>
      <c r="H87" s="10">
        <v>5265.4000000000005</v>
      </c>
      <c r="I87" s="10">
        <v>5671</v>
      </c>
      <c r="J87" s="1">
        <f>J48</f>
        <v>36561.017970641093</v>
      </c>
      <c r="K87" s="1">
        <f>K48</f>
        <v>40217.119767705204</v>
      </c>
      <c r="L87" s="1">
        <f>L48</f>
        <v>43836.660546798674</v>
      </c>
      <c r="M87" s="1">
        <f>M48</f>
        <v>47343.593390542563</v>
      </c>
      <c r="N87" s="1">
        <f>N48</f>
        <v>50657.644927880545</v>
      </c>
    </row>
    <row r="88" spans="2:14" hidden="1" outlineLevel="1" x14ac:dyDescent="0.35">
      <c r="B88" s="5" t="s">
        <v>78</v>
      </c>
      <c r="C88" s="5"/>
      <c r="D88" s="20"/>
      <c r="E88" s="32">
        <f t="shared" ref="E88:N88" si="25">E85+E86-E87</f>
        <v>9002.6500000000015</v>
      </c>
      <c r="F88" s="32">
        <f t="shared" si="25"/>
        <v>10704.7</v>
      </c>
      <c r="G88" s="32">
        <f t="shared" si="25"/>
        <v>11479.55</v>
      </c>
      <c r="H88" s="32">
        <f t="shared" si="25"/>
        <v>12382.449999999997</v>
      </c>
      <c r="I88" s="32">
        <f t="shared" si="25"/>
        <v>13209.599999999999</v>
      </c>
      <c r="J88" s="32">
        <f t="shared" si="25"/>
        <v>568301.5180391178</v>
      </c>
      <c r="K88" s="32">
        <f t="shared" si="25"/>
        <v>625131.6698430297</v>
      </c>
      <c r="L88" s="32">
        <f t="shared" si="25"/>
        <v>681393.5201289024</v>
      </c>
      <c r="M88" s="32">
        <f t="shared" si="25"/>
        <v>735905.00173921464</v>
      </c>
      <c r="N88" s="32">
        <f t="shared" si="25"/>
        <v>787418.35186095978</v>
      </c>
    </row>
    <row r="89" spans="2:14" hidden="1" outlineLevel="1" x14ac:dyDescent="0.35">
      <c r="B89" s="1" t="s">
        <v>79</v>
      </c>
      <c r="E89" s="22">
        <f t="shared" ref="E89:N89" si="26">E88-D88</f>
        <v>9002.6500000000015</v>
      </c>
      <c r="F89" s="22">
        <f t="shared" si="26"/>
        <v>1702.0499999999993</v>
      </c>
      <c r="G89" s="22">
        <f t="shared" si="26"/>
        <v>774.84999999999854</v>
      </c>
      <c r="H89" s="22">
        <f t="shared" si="26"/>
        <v>902.89999999999782</v>
      </c>
      <c r="I89" s="22">
        <f t="shared" si="26"/>
        <v>827.15000000000146</v>
      </c>
      <c r="J89" s="22">
        <f t="shared" si="26"/>
        <v>555091.91803911782</v>
      </c>
      <c r="K89" s="22">
        <f t="shared" si="26"/>
        <v>56830.151803911896</v>
      </c>
      <c r="L89" s="22">
        <f t="shared" si="26"/>
        <v>56261.850285872701</v>
      </c>
      <c r="M89" s="22">
        <f t="shared" si="26"/>
        <v>54511.481610312243</v>
      </c>
      <c r="N89" s="22">
        <f t="shared" si="26"/>
        <v>51513.350121745141</v>
      </c>
    </row>
    <row r="90" spans="2:14" hidden="1" outlineLevel="1" x14ac:dyDescent="0.35">
      <c r="E90" s="10"/>
      <c r="F90" s="10"/>
      <c r="G90" s="10"/>
      <c r="H90" s="10"/>
      <c r="I90" s="10"/>
    </row>
    <row r="91" spans="2:14" hidden="1" outlineLevel="1" x14ac:dyDescent="0.35">
      <c r="B91" s="3" t="s">
        <v>80</v>
      </c>
      <c r="E91" s="10"/>
      <c r="F91" s="10"/>
      <c r="G91" s="10"/>
      <c r="H91" s="10"/>
      <c r="I91" s="10"/>
    </row>
    <row r="92" spans="2:14" hidden="1" outlineLevel="1" x14ac:dyDescent="0.35">
      <c r="B92" s="1" t="s">
        <v>81</v>
      </c>
      <c r="E92" s="10">
        <v>50000</v>
      </c>
      <c r="F92" s="10">
        <v>45500</v>
      </c>
      <c r="G92" s="10">
        <v>42350</v>
      </c>
      <c r="H92" s="10">
        <v>40145</v>
      </c>
      <c r="I92" s="10">
        <v>38601.5</v>
      </c>
      <c r="J92" s="1">
        <f>I95</f>
        <v>37521.050000000003</v>
      </c>
      <c r="K92" s="1">
        <f>J95</f>
        <v>74287.264886358607</v>
      </c>
      <c r="L92" s="1">
        <f>K95</f>
        <v>107440.1730608475</v>
      </c>
      <c r="M92" s="1">
        <f>L95</f>
        <v>137732.54438532298</v>
      </c>
      <c r="N92" s="1">
        <f>M95</f>
        <v>165657.22635703668</v>
      </c>
    </row>
    <row r="93" spans="2:14" hidden="1" outlineLevel="1" x14ac:dyDescent="0.35">
      <c r="B93" s="1" t="s">
        <v>82</v>
      </c>
      <c r="E93" s="10">
        <v>15000</v>
      </c>
      <c r="F93" s="10">
        <v>15000</v>
      </c>
      <c r="G93" s="10">
        <v>15000</v>
      </c>
      <c r="H93" s="10">
        <v>15000</v>
      </c>
      <c r="I93" s="10">
        <v>15000</v>
      </c>
      <c r="J93" s="1">
        <f>+J18</f>
        <v>45051.4</v>
      </c>
      <c r="K93" s="1">
        <f>+K18</f>
        <v>49556.6</v>
      </c>
      <c r="L93" s="1">
        <f>+L18</f>
        <v>54016.7</v>
      </c>
      <c r="M93" s="1">
        <f>+M18</f>
        <v>58338</v>
      </c>
      <c r="N93" s="1">
        <f>+N18</f>
        <v>62421.599999999999</v>
      </c>
    </row>
    <row r="94" spans="2:14" hidden="1" outlineLevel="1" x14ac:dyDescent="0.35">
      <c r="B94" s="1" t="s">
        <v>83</v>
      </c>
      <c r="E94" s="10">
        <v>19500</v>
      </c>
      <c r="F94" s="10">
        <v>18150</v>
      </c>
      <c r="G94" s="10">
        <v>17205</v>
      </c>
      <c r="H94" s="10">
        <v>16543.5</v>
      </c>
      <c r="I94" s="10">
        <v>16080.45</v>
      </c>
      <c r="J94" s="33">
        <f>J92*J11</f>
        <v>8285.1851136414007</v>
      </c>
      <c r="K94" s="33">
        <f>K92*K11</f>
        <v>16403.691825511116</v>
      </c>
      <c r="L94" s="33">
        <f>L92*L11</f>
        <v>23724.328675524528</v>
      </c>
      <c r="M94" s="33">
        <f>M92*M11</f>
        <v>30413.318028286296</v>
      </c>
      <c r="N94" s="33">
        <f>N92*N11</f>
        <v>36579.487668400652</v>
      </c>
    </row>
    <row r="95" spans="2:14" hidden="1" outlineLevel="1" x14ac:dyDescent="0.35">
      <c r="B95" s="5" t="s">
        <v>84</v>
      </c>
      <c r="C95" s="5"/>
      <c r="D95" s="20"/>
      <c r="E95" s="32">
        <f t="shared" ref="E95:N95" si="27">E92+E93-E94</f>
        <v>45500</v>
      </c>
      <c r="F95" s="32">
        <f t="shared" si="27"/>
        <v>42350</v>
      </c>
      <c r="G95" s="32">
        <f t="shared" si="27"/>
        <v>40145</v>
      </c>
      <c r="H95" s="32">
        <f t="shared" si="27"/>
        <v>38601.5</v>
      </c>
      <c r="I95" s="32">
        <f t="shared" si="27"/>
        <v>37521.050000000003</v>
      </c>
      <c r="J95" s="32">
        <f t="shared" si="27"/>
        <v>74287.264886358607</v>
      </c>
      <c r="K95" s="32">
        <f t="shared" si="27"/>
        <v>107440.1730608475</v>
      </c>
      <c r="L95" s="32">
        <f t="shared" si="27"/>
        <v>137732.54438532298</v>
      </c>
      <c r="M95" s="32">
        <f t="shared" si="27"/>
        <v>165657.22635703668</v>
      </c>
      <c r="N95" s="32">
        <f t="shared" si="27"/>
        <v>191499.33868863602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85</v>
      </c>
      <c r="E97" s="10"/>
      <c r="F97" s="10"/>
      <c r="G97" s="10"/>
      <c r="H97" s="10"/>
      <c r="I97" s="10"/>
    </row>
    <row r="98" spans="2:14" hidden="1" outlineLevel="1" x14ac:dyDescent="0.35">
      <c r="B98" s="1" t="s">
        <v>86</v>
      </c>
      <c r="E98" s="10">
        <v>50000</v>
      </c>
      <c r="F98" s="10">
        <v>50000</v>
      </c>
      <c r="G98" s="10">
        <v>50000</v>
      </c>
      <c r="H98" s="10">
        <v>30000</v>
      </c>
      <c r="I98" s="10">
        <v>30000</v>
      </c>
      <c r="J98" s="1">
        <f>I100</f>
        <v>30000</v>
      </c>
      <c r="K98" s="1">
        <f>J100</f>
        <v>30000</v>
      </c>
      <c r="L98" s="1">
        <f>K100</f>
        <v>30000</v>
      </c>
      <c r="M98" s="1">
        <f>L100</f>
        <v>30000</v>
      </c>
      <c r="N98" s="1">
        <f>M100</f>
        <v>30000</v>
      </c>
    </row>
    <row r="99" spans="2:14" hidden="1" outlineLevel="1" x14ac:dyDescent="0.35">
      <c r="B99" s="1" t="s">
        <v>87</v>
      </c>
      <c r="E99" s="10">
        <v>0</v>
      </c>
      <c r="F99" s="10">
        <v>0</v>
      </c>
      <c r="G99" s="10">
        <v>-20000</v>
      </c>
      <c r="H99" s="10">
        <v>0</v>
      </c>
      <c r="I99" s="10">
        <v>0</v>
      </c>
      <c r="J99" s="22">
        <f>+J19</f>
        <v>0</v>
      </c>
      <c r="K99" s="22">
        <f>+K19</f>
        <v>0</v>
      </c>
      <c r="L99" s="22">
        <f>+L19</f>
        <v>0</v>
      </c>
      <c r="M99" s="22">
        <f>+M19</f>
        <v>0</v>
      </c>
      <c r="N99" s="22">
        <f>+N19</f>
        <v>0</v>
      </c>
    </row>
    <row r="100" spans="2:14" hidden="1" outlineLevel="1" x14ac:dyDescent="0.35">
      <c r="B100" s="5" t="s">
        <v>88</v>
      </c>
      <c r="C100" s="5"/>
      <c r="D100" s="20"/>
      <c r="E100" s="32">
        <f t="shared" ref="E100:N100" si="28">SUM(E98:E99)</f>
        <v>50000</v>
      </c>
      <c r="F100" s="32">
        <f t="shared" si="28"/>
        <v>50000</v>
      </c>
      <c r="G100" s="32">
        <f t="shared" si="28"/>
        <v>30000</v>
      </c>
      <c r="H100" s="32">
        <f t="shared" si="28"/>
        <v>30000</v>
      </c>
      <c r="I100" s="32">
        <f t="shared" si="28"/>
        <v>30000</v>
      </c>
      <c r="J100" s="32">
        <f t="shared" si="28"/>
        <v>30000</v>
      </c>
      <c r="K100" s="32">
        <f t="shared" si="28"/>
        <v>30000</v>
      </c>
      <c r="L100" s="32">
        <f t="shared" si="28"/>
        <v>30000</v>
      </c>
      <c r="M100" s="32">
        <f t="shared" si="28"/>
        <v>30000</v>
      </c>
      <c r="N100" s="32">
        <f t="shared" si="28"/>
        <v>30000</v>
      </c>
    </row>
    <row r="101" spans="2:14" hidden="1" outlineLevel="1" x14ac:dyDescent="0.35">
      <c r="B101" s="1" t="s">
        <v>89</v>
      </c>
      <c r="E101" s="10">
        <v>2500</v>
      </c>
      <c r="F101" s="10">
        <v>2500</v>
      </c>
      <c r="G101" s="10">
        <v>1500</v>
      </c>
      <c r="H101" s="10">
        <v>900</v>
      </c>
      <c r="I101" s="10">
        <v>900</v>
      </c>
      <c r="J101" s="1">
        <f>J98*J12</f>
        <v>1312.1123830910913</v>
      </c>
      <c r="K101" s="1">
        <f>K98*K12</f>
        <v>1312.1123830910913</v>
      </c>
      <c r="L101" s="1">
        <f>L98*L12</f>
        <v>1312.1123830910913</v>
      </c>
      <c r="M101" s="1">
        <f>M98*M12</f>
        <v>1312.1123830910913</v>
      </c>
      <c r="N101" s="1">
        <f>N98*N12</f>
        <v>1312.1123830910913</v>
      </c>
    </row>
    <row r="102" spans="2:14" hidden="1" outlineLevel="1" x14ac:dyDescent="0.35">
      <c r="E102" s="10"/>
      <c r="F102" s="10"/>
      <c r="G102" s="25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43" t="s">
        <v>90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46"/>
      <c r="D118" s="46"/>
    </row>
    <row r="119" spans="2:9" hidden="1" outlineLevel="1" x14ac:dyDescent="0.35">
      <c r="B119" s="46"/>
      <c r="C119" s="46"/>
      <c r="D119" s="46"/>
    </row>
    <row r="120" spans="2:9" hidden="1" outlineLevel="1" x14ac:dyDescent="0.35"/>
    <row r="121" spans="2:9" hidden="1" outlineLevel="1" x14ac:dyDescent="0.35">
      <c r="B121" s="1" t="s">
        <v>91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36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92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62</v>
      </c>
      <c r="E125" s="1">
        <f>E65</f>
        <v>295412</v>
      </c>
      <c r="F125" s="1">
        <f>F65</f>
        <v>363961</v>
      </c>
      <c r="G125" s="1">
        <f>G65</f>
        <v>358393</v>
      </c>
      <c r="H125" s="1">
        <f>H65</f>
        <v>464463</v>
      </c>
      <c r="I125" s="1">
        <f>I65</f>
        <v>558812</v>
      </c>
    </row>
    <row r="126" spans="2:9" hidden="1" outlineLevel="1" x14ac:dyDescent="0.35">
      <c r="B126" s="1" t="s">
        <v>66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69</v>
      </c>
      <c r="E127" s="1">
        <f>E74</f>
        <v>0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45" t="s">
        <v>93</v>
      </c>
    </row>
    <row r="132" spans="2:4" x14ac:dyDescent="0.35">
      <c r="B132" s="46"/>
      <c r="C132" s="46"/>
      <c r="D132" s="46"/>
    </row>
    <row r="133" spans="2:4" x14ac:dyDescent="0.35">
      <c r="B133" s="46"/>
      <c r="C133" s="46"/>
      <c r="D133" s="46"/>
    </row>
    <row r="134" spans="2:4" x14ac:dyDescent="0.35">
      <c r="B134" s="46"/>
      <c r="C134" s="46"/>
      <c r="D134" s="46"/>
    </row>
    <row r="135" spans="2:4" x14ac:dyDescent="0.35">
      <c r="B135" s="46"/>
      <c r="C135" s="46"/>
      <c r="D135" s="46"/>
    </row>
    <row r="136" spans="2:4" x14ac:dyDescent="0.35">
      <c r="B136" s="46"/>
      <c r="C136" s="46"/>
      <c r="D136" s="46"/>
    </row>
    <row r="137" spans="2:4" x14ac:dyDescent="0.35">
      <c r="B137" s="46" t="s">
        <v>94</v>
      </c>
      <c r="C137" s="47"/>
      <c r="D137" s="47"/>
    </row>
    <row r="138" spans="2:4" ht="16.25" customHeight="1" x14ac:dyDescent="0.45">
      <c r="B138" s="48" t="s">
        <v>7</v>
      </c>
      <c r="C138" s="49"/>
      <c r="D138" s="49"/>
    </row>
  </sheetData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B138" r:id="rId1" xr:uid="{00000000-0004-0000-0100-000000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1"/>
  <sheetViews>
    <sheetView tabSelected="1" topLeftCell="A13" zoomScale="66" workbookViewId="0">
      <selection activeCell="B14" sqref="B14:F30"/>
    </sheetView>
  </sheetViews>
  <sheetFormatPr defaultRowHeight="14.5" x14ac:dyDescent="0.35"/>
  <cols>
    <col min="1" max="1" width="37.453125" bestFit="1" customWidth="1"/>
    <col min="2" max="2" width="66.7265625" bestFit="1" customWidth="1"/>
    <col min="3" max="3" width="12.453125" customWidth="1"/>
    <col min="4" max="4" width="13.08984375" bestFit="1" customWidth="1"/>
    <col min="5" max="5" width="12.6328125" bestFit="1" customWidth="1"/>
    <col min="6" max="6" width="12.36328125" bestFit="1" customWidth="1"/>
    <col min="7" max="7" width="18.54296875" bestFit="1" customWidth="1"/>
    <col min="8" max="10" width="12.6328125" bestFit="1" customWidth="1"/>
    <col min="12" max="12" width="36.90625" bestFit="1" customWidth="1"/>
    <col min="14" max="14" width="53.7265625" bestFit="1" customWidth="1"/>
    <col min="15" max="15" width="9.08984375" customWidth="1"/>
    <col min="44" max="44" width="8.7265625" customWidth="1"/>
  </cols>
  <sheetData>
    <row r="1" spans="1:15" ht="18" customHeight="1" x14ac:dyDescent="0.5">
      <c r="A1" s="68" t="s">
        <v>12</v>
      </c>
      <c r="B1" s="69"/>
      <c r="C1" s="69"/>
      <c r="D1" s="70"/>
      <c r="E1" s="70"/>
      <c r="F1" s="70"/>
      <c r="G1" s="70"/>
      <c r="H1" s="68"/>
      <c r="I1" s="69"/>
      <c r="J1" s="69"/>
      <c r="K1" s="70"/>
      <c r="L1" s="70"/>
      <c r="M1" s="70"/>
      <c r="N1" s="70"/>
    </row>
    <row r="2" spans="1:15" ht="18" customHeight="1" x14ac:dyDescent="0.5">
      <c r="A2" s="69"/>
      <c r="B2" s="71" t="s">
        <v>95</v>
      </c>
      <c r="C2" s="72"/>
      <c r="D2" s="72"/>
      <c r="E2" s="72"/>
      <c r="F2" s="70"/>
      <c r="G2" s="70"/>
      <c r="H2" s="69"/>
      <c r="I2" s="71"/>
      <c r="J2" s="72"/>
      <c r="K2" s="72"/>
      <c r="L2" s="72"/>
      <c r="M2" s="70"/>
      <c r="N2" s="70"/>
    </row>
    <row r="3" spans="1:15" ht="16" customHeight="1" x14ac:dyDescent="0.4">
      <c r="A3" s="73"/>
      <c r="B3" s="74"/>
      <c r="C3" s="73"/>
      <c r="D3" s="75"/>
      <c r="E3" s="76"/>
      <c r="F3" s="76"/>
      <c r="G3" s="76"/>
      <c r="H3" s="76"/>
      <c r="I3" s="76"/>
      <c r="J3" s="73"/>
      <c r="K3" s="73"/>
      <c r="L3" s="73"/>
      <c r="M3" s="73"/>
      <c r="N3" s="73"/>
      <c r="O3" s="73"/>
    </row>
    <row r="4" spans="1:15" ht="16" customHeight="1" x14ac:dyDescent="0.4">
      <c r="A4" s="73"/>
      <c r="B4" s="77" t="s">
        <v>17</v>
      </c>
      <c r="C4" s="78"/>
      <c r="D4" s="78"/>
      <c r="E4" s="76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ht="16" customHeight="1" x14ac:dyDescent="0.4">
      <c r="A5" s="73"/>
      <c r="B5" s="79" t="s">
        <v>96</v>
      </c>
      <c r="C5" s="76"/>
      <c r="D5" s="105">
        <v>0.18770239037123329</v>
      </c>
      <c r="E5" s="76"/>
      <c r="F5" s="73"/>
      <c r="G5" s="73"/>
      <c r="H5" s="73"/>
      <c r="I5" s="73"/>
      <c r="J5" s="73"/>
      <c r="K5" s="73"/>
      <c r="L5" s="73"/>
      <c r="M5" s="73"/>
      <c r="N5" s="73"/>
      <c r="O5" s="73"/>
    </row>
    <row r="6" spans="1:15" ht="16" customHeight="1" x14ac:dyDescent="0.4">
      <c r="A6" s="73"/>
      <c r="B6" s="79" t="s">
        <v>97</v>
      </c>
      <c r="C6" s="73"/>
      <c r="D6" s="105">
        <v>9.6000000000000002E-2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</row>
    <row r="7" spans="1:15" ht="16" customHeight="1" x14ac:dyDescent="0.4">
      <c r="A7" s="73"/>
      <c r="B7" s="73" t="s">
        <v>98</v>
      </c>
      <c r="C7" s="73"/>
      <c r="D7" s="105">
        <v>0.03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</row>
    <row r="8" spans="1:15" ht="16" customHeight="1" x14ac:dyDescent="0.4">
      <c r="A8" s="73"/>
      <c r="B8" s="73" t="s">
        <v>99</v>
      </c>
      <c r="C8" s="73"/>
      <c r="D8" s="106">
        <v>22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</row>
    <row r="9" spans="1:15" ht="16" customHeight="1" x14ac:dyDescent="0.4">
      <c r="A9" s="73"/>
      <c r="B9" s="73" t="s">
        <v>100</v>
      </c>
      <c r="C9" s="73"/>
      <c r="D9" s="80">
        <v>45930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</row>
    <row r="10" spans="1:15" ht="16" customHeight="1" x14ac:dyDescent="0.4">
      <c r="A10" s="73"/>
      <c r="B10" s="73" t="s">
        <v>101</v>
      </c>
      <c r="C10" s="73"/>
      <c r="D10" s="80">
        <v>46295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</row>
    <row r="11" spans="1:15" ht="16" customHeight="1" x14ac:dyDescent="0.4">
      <c r="A11" s="73"/>
      <c r="B11" s="73" t="s">
        <v>102</v>
      </c>
      <c r="C11" s="73"/>
      <c r="D11" s="107">
        <v>1046.23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</row>
    <row r="12" spans="1:15" ht="16" customHeight="1" x14ac:dyDescent="0.4">
      <c r="A12" s="73"/>
      <c r="B12" s="73" t="s">
        <v>103</v>
      </c>
      <c r="C12" s="73"/>
      <c r="D12" s="108">
        <v>21597.634999999998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</row>
    <row r="13" spans="1:15" ht="16" customHeight="1" x14ac:dyDescent="0.4">
      <c r="A13" s="73"/>
      <c r="B13" s="73" t="s">
        <v>54</v>
      </c>
      <c r="C13" s="73"/>
      <c r="D13" s="108">
        <v>5582389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</row>
    <row r="14" spans="1:15" ht="16" customHeight="1" x14ac:dyDescent="0.4">
      <c r="A14" s="73"/>
      <c r="B14" s="73" t="s">
        <v>47</v>
      </c>
      <c r="C14" s="73"/>
      <c r="D14" s="108">
        <v>304537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</row>
    <row r="15" spans="1:15" ht="16" customHeight="1" x14ac:dyDescent="0.4">
      <c r="A15" s="73"/>
      <c r="B15" s="73" t="s">
        <v>104</v>
      </c>
      <c r="C15" s="73"/>
      <c r="D15" s="109">
        <v>45051.435566564942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</row>
    <row r="16" spans="1:15" ht="16" customHeight="1" x14ac:dyDescent="0.4">
      <c r="A16" s="73"/>
      <c r="B16" s="73"/>
      <c r="C16" s="73"/>
      <c r="D16" s="80"/>
      <c r="J16" s="73"/>
      <c r="K16" s="73"/>
      <c r="L16" s="73"/>
      <c r="M16" s="73"/>
      <c r="N16" s="73"/>
      <c r="O16" s="73"/>
    </row>
    <row r="17" spans="1:15" ht="16" customHeight="1" x14ac:dyDescent="0.4">
      <c r="A17" s="73"/>
      <c r="B17" s="81" t="s">
        <v>105</v>
      </c>
      <c r="C17" s="82"/>
      <c r="D17" s="83" t="s">
        <v>106</v>
      </c>
      <c r="E17" s="84">
        <f>YEAR(E18)</f>
        <v>2026</v>
      </c>
      <c r="F17" s="84">
        <f>YEAR(F18)</f>
        <v>2027</v>
      </c>
      <c r="G17" s="84">
        <f>YEAR(G18)</f>
        <v>2028</v>
      </c>
      <c r="H17" s="84">
        <f>YEAR(H18)</f>
        <v>2029</v>
      </c>
      <c r="I17" s="84">
        <f>YEAR(I18)</f>
        <v>2030</v>
      </c>
      <c r="J17" s="83" t="s">
        <v>107</v>
      </c>
      <c r="K17" s="73"/>
      <c r="L17" s="81" t="s">
        <v>108</v>
      </c>
      <c r="M17" s="82"/>
      <c r="N17" s="82"/>
      <c r="O17" s="73"/>
    </row>
    <row r="18" spans="1:15" ht="16" customHeight="1" x14ac:dyDescent="0.4">
      <c r="A18" s="73"/>
      <c r="B18" s="73" t="s">
        <v>109</v>
      </c>
      <c r="C18" s="73"/>
      <c r="D18" s="85">
        <f>D9</f>
        <v>45930</v>
      </c>
      <c r="E18" s="85">
        <f>DATE(YEAR($D$10)+E19,6,30)</f>
        <v>46203</v>
      </c>
      <c r="F18" s="85">
        <f>DATE(YEAR($D$10)+F19,6,30)</f>
        <v>46568</v>
      </c>
      <c r="G18" s="85">
        <f>DATE(YEAR($D$10)+G19,6,30)</f>
        <v>46934</v>
      </c>
      <c r="H18" s="85">
        <f>DATE(YEAR($D$10)+H19,6,30)</f>
        <v>47299</v>
      </c>
      <c r="I18" s="85">
        <f>DATE(YEAR($D$10)+I19,6,30)</f>
        <v>47664</v>
      </c>
      <c r="J18" s="86">
        <f>I18</f>
        <v>47664</v>
      </c>
      <c r="K18" s="73"/>
      <c r="L18" s="73" t="s">
        <v>110</v>
      </c>
      <c r="M18" s="73"/>
      <c r="N18" s="73">
        <f>(I26*(1+D7))/(D6-D7)</f>
        <v>17353406.987579055</v>
      </c>
      <c r="O18" s="73"/>
    </row>
    <row r="19" spans="1:15" ht="16" customHeight="1" x14ac:dyDescent="0.4">
      <c r="A19" s="73"/>
      <c r="B19" s="87" t="s">
        <v>111</v>
      </c>
      <c r="C19" s="87"/>
      <c r="D19" s="85"/>
      <c r="E19" s="88">
        <v>0</v>
      </c>
      <c r="F19" s="89">
        <f>E19+1</f>
        <v>1</v>
      </c>
      <c r="G19" s="89">
        <f>F19+1</f>
        <v>2</v>
      </c>
      <c r="H19" s="89">
        <f>G19+1</f>
        <v>3</v>
      </c>
      <c r="I19" s="89">
        <f>H19+1</f>
        <v>4</v>
      </c>
      <c r="J19" s="85"/>
      <c r="K19" s="73"/>
      <c r="L19" s="73" t="s">
        <v>112</v>
      </c>
      <c r="M19" s="73"/>
      <c r="N19" s="90">
        <f>D8*(I21+I23)</f>
        <v>32610293.211283945</v>
      </c>
      <c r="O19" s="73"/>
    </row>
    <row r="20" spans="1:15" ht="16" customHeight="1" x14ac:dyDescent="0.4">
      <c r="A20" s="73"/>
      <c r="B20" s="87" t="s">
        <v>113</v>
      </c>
      <c r="C20" s="73"/>
      <c r="D20" s="73"/>
      <c r="E20" s="91">
        <f>YEARFRAC(D18,E18)</f>
        <v>0.75</v>
      </c>
      <c r="F20" s="91">
        <f>YEARFRAC(E18,F18)</f>
        <v>1</v>
      </c>
      <c r="G20" s="91">
        <f>YEARFRAC(F18,G18)</f>
        <v>1</v>
      </c>
      <c r="H20" s="91">
        <f>YEARFRAC(G18,H18)</f>
        <v>1</v>
      </c>
      <c r="I20" s="91">
        <f>YEARFRAC(H18,I18)</f>
        <v>1</v>
      </c>
      <c r="J20" s="73"/>
      <c r="K20" s="73"/>
      <c r="L20" s="73" t="s">
        <v>114</v>
      </c>
      <c r="M20" s="73"/>
      <c r="N20" s="92">
        <f>AVERAGE(N18:N19)</f>
        <v>24981850.0994315</v>
      </c>
      <c r="O20" s="73"/>
    </row>
    <row r="21" spans="1:15" ht="16" customHeight="1" x14ac:dyDescent="0.4">
      <c r="A21" s="73"/>
      <c r="B21" s="73" t="s">
        <v>115</v>
      </c>
      <c r="C21" s="73"/>
      <c r="D21" s="73"/>
      <c r="E21" s="109">
        <v>1052713.0433274379</v>
      </c>
      <c r="F21" s="109">
        <v>1157984.3476601811</v>
      </c>
      <c r="G21" s="109">
        <v>1262202.938949598</v>
      </c>
      <c r="H21" s="109">
        <v>1363179.1740655659</v>
      </c>
      <c r="I21" s="109">
        <v>1458601.7162501549</v>
      </c>
      <c r="J21" s="73"/>
      <c r="K21" s="73"/>
      <c r="L21" s="73"/>
      <c r="M21" s="73"/>
      <c r="N21" s="73"/>
      <c r="O21" s="73"/>
    </row>
    <row r="22" spans="1:15" ht="16" customHeight="1" x14ac:dyDescent="0.4">
      <c r="A22" s="73"/>
      <c r="B22" s="73" t="s">
        <v>116</v>
      </c>
      <c r="C22" s="73"/>
      <c r="D22" s="73"/>
      <c r="E22" s="90">
        <f>E21*$D$5</f>
        <v>197596.75460753578</v>
      </c>
      <c r="F22" s="90">
        <f>F21*$D$5</f>
        <v>217356.43006828925</v>
      </c>
      <c r="G22" s="90">
        <f>G21*$D$5</f>
        <v>236918.50877443538</v>
      </c>
      <c r="H22" s="90">
        <f>H21*$D$5</f>
        <v>255871.98947639024</v>
      </c>
      <c r="I22" s="90">
        <f>I21*$D$5</f>
        <v>273783.0287397374</v>
      </c>
      <c r="J22" s="73"/>
      <c r="K22" s="73"/>
      <c r="L22" s="73"/>
      <c r="M22" s="73"/>
      <c r="N22" s="73"/>
      <c r="O22" s="73"/>
    </row>
    <row r="23" spans="1:15" ht="16" customHeight="1" x14ac:dyDescent="0.4">
      <c r="A23" s="73"/>
      <c r="B23" s="73" t="s">
        <v>117</v>
      </c>
      <c r="C23" s="73"/>
      <c r="D23" s="73"/>
      <c r="E23" s="110">
        <v>17093.639825190421</v>
      </c>
      <c r="F23" s="110">
        <v>18803.003807709469</v>
      </c>
      <c r="G23" s="110">
        <v>20495.274150403318</v>
      </c>
      <c r="H23" s="110">
        <v>22134.896082435589</v>
      </c>
      <c r="I23" s="110">
        <v>23684.338808206081</v>
      </c>
      <c r="J23" s="73"/>
      <c r="K23" s="73"/>
      <c r="L23" s="73"/>
      <c r="M23" s="73"/>
      <c r="N23" s="73"/>
      <c r="O23" s="73"/>
    </row>
    <row r="24" spans="1:15" ht="16" customHeight="1" x14ac:dyDescent="0.4">
      <c r="A24" s="73"/>
      <c r="B24" s="73" t="s">
        <v>118</v>
      </c>
      <c r="C24" s="73"/>
      <c r="D24" s="73"/>
      <c r="E24" s="79">
        <f>$D$15</f>
        <v>45051.435566564942</v>
      </c>
      <c r="F24" s="79">
        <f>$D$15</f>
        <v>45051.435566564942</v>
      </c>
      <c r="G24" s="79">
        <f>$D$15</f>
        <v>45051.435566564942</v>
      </c>
      <c r="H24" s="79">
        <f>$D$15</f>
        <v>45051.435566564942</v>
      </c>
      <c r="I24" s="79">
        <f>$D$15</f>
        <v>45051.435566564942</v>
      </c>
      <c r="J24" s="73"/>
      <c r="K24" s="73"/>
      <c r="L24" s="73"/>
      <c r="M24" s="73"/>
      <c r="N24" s="73"/>
      <c r="O24" s="73"/>
    </row>
    <row r="25" spans="1:15" ht="16" customHeight="1" x14ac:dyDescent="0.4">
      <c r="A25" s="73"/>
      <c r="B25" s="73" t="s">
        <v>119</v>
      </c>
      <c r="C25" s="73"/>
      <c r="D25" s="73"/>
      <c r="E25" s="109">
        <v>71163.545965010184</v>
      </c>
      <c r="F25" s="109">
        <v>56799.654596501146</v>
      </c>
      <c r="G25" s="109">
        <v>56231.658050536062</v>
      </c>
      <c r="H25" s="109">
        <v>54482.228688963813</v>
      </c>
      <c r="I25" s="109">
        <v>51485.706111070816</v>
      </c>
      <c r="J25" s="73"/>
      <c r="K25" s="73"/>
      <c r="L25" s="73"/>
      <c r="M25" s="73"/>
      <c r="N25" s="73"/>
      <c r="O25" s="73"/>
    </row>
    <row r="26" spans="1:15" ht="16" customHeight="1" x14ac:dyDescent="0.4">
      <c r="A26" s="73"/>
      <c r="B26" s="73" t="s">
        <v>120</v>
      </c>
      <c r="C26" s="73"/>
      <c r="D26" s="73"/>
      <c r="E26" s="92">
        <f>E21-E22+E23-E24-E25</f>
        <v>755994.94701351749</v>
      </c>
      <c r="F26" s="92">
        <f>F21-F22+F23-F24-F25</f>
        <v>857579.83123653522</v>
      </c>
      <c r="G26" s="92">
        <f>G21-G22+G23-G24-G25</f>
        <v>944496.61070846498</v>
      </c>
      <c r="H26" s="92">
        <f>H21-H22+H23-H24-H25</f>
        <v>1029908.4164160824</v>
      </c>
      <c r="I26" s="92">
        <f>I21-I22+I23-I24-I25</f>
        <v>1111965.884640988</v>
      </c>
      <c r="J26" s="73"/>
      <c r="K26" s="73"/>
      <c r="L26" s="73"/>
      <c r="M26" s="73"/>
      <c r="N26" s="73"/>
      <c r="O26" s="73"/>
    </row>
    <row r="27" spans="1:15" ht="16" customHeight="1" x14ac:dyDescent="0.4">
      <c r="A27" s="73"/>
      <c r="B27" s="73" t="s">
        <v>121</v>
      </c>
      <c r="C27" s="73"/>
      <c r="D27" s="73">
        <f>-I35</f>
        <v>-27873945.666049998</v>
      </c>
      <c r="E27" s="73"/>
      <c r="F27" s="73"/>
      <c r="G27" s="73"/>
      <c r="H27" s="73"/>
      <c r="I27" s="73"/>
      <c r="J27" s="73">
        <f>N20</f>
        <v>24981850.0994315</v>
      </c>
      <c r="K27" s="73"/>
      <c r="L27" s="73"/>
      <c r="M27" s="73"/>
      <c r="N27" s="73"/>
      <c r="O27" s="73"/>
    </row>
    <row r="28" spans="1:15" ht="16" customHeight="1" x14ac:dyDescent="0.4">
      <c r="A28" s="73"/>
      <c r="B28" s="73" t="s">
        <v>122</v>
      </c>
      <c r="C28" s="73"/>
      <c r="D28" s="92">
        <v>0</v>
      </c>
      <c r="E28" s="92">
        <f>(E27+E26)*E20</f>
        <v>566996.21026013815</v>
      </c>
      <c r="F28" s="92">
        <f>(F27+F26)*F20</f>
        <v>857579.83123653522</v>
      </c>
      <c r="G28" s="92">
        <f>(G27+G26)*G20</f>
        <v>944496.61070846498</v>
      </c>
      <c r="H28" s="92">
        <f>(H27+H26)*H20</f>
        <v>1029908.4164160824</v>
      </c>
      <c r="I28" s="92">
        <f>(I27+I26)*I20</f>
        <v>1111965.884640988</v>
      </c>
      <c r="J28" s="92">
        <f>J27+J26</f>
        <v>24981850.0994315</v>
      </c>
      <c r="K28" s="73"/>
      <c r="L28" s="73"/>
      <c r="M28" s="73"/>
      <c r="N28" s="73"/>
      <c r="O28" s="73"/>
    </row>
    <row r="29" spans="1:15" ht="16" customHeight="1" x14ac:dyDescent="0.4">
      <c r="A29" s="73"/>
      <c r="B29" s="73" t="s">
        <v>122</v>
      </c>
      <c r="C29" s="73"/>
      <c r="D29" s="73">
        <f>D27+D26</f>
        <v>-27873945.666049998</v>
      </c>
      <c r="E29" s="73">
        <f>(E27+E26)*E20</f>
        <v>566996.21026013815</v>
      </c>
      <c r="F29" s="73">
        <f>(F27+F26)*F20</f>
        <v>857579.83123653522</v>
      </c>
      <c r="G29" s="73">
        <f>(G27+G26)*G20</f>
        <v>944496.61070846498</v>
      </c>
      <c r="H29" s="73">
        <f>(H27+H26)*H20</f>
        <v>1029908.4164160824</v>
      </c>
      <c r="I29" s="73">
        <f>(I27+I26)*I20</f>
        <v>1111965.884640988</v>
      </c>
      <c r="J29" s="73">
        <f>J27</f>
        <v>24981850.0994315</v>
      </c>
      <c r="K29" s="73"/>
      <c r="L29" s="73"/>
      <c r="M29" s="73"/>
      <c r="N29" s="73"/>
      <c r="O29" s="73"/>
    </row>
    <row r="30" spans="1:15" ht="16" customHeight="1" x14ac:dyDescent="0.4">
      <c r="A30" s="73"/>
      <c r="B30" s="73"/>
      <c r="C30" s="73"/>
      <c r="D30" s="75"/>
      <c r="E30" s="73"/>
      <c r="G30" s="73"/>
      <c r="H30" s="73"/>
      <c r="I30" s="73"/>
      <c r="J30" s="73"/>
      <c r="L30" s="73"/>
      <c r="M30" s="73"/>
      <c r="N30" s="73"/>
      <c r="O30" s="73"/>
    </row>
    <row r="31" spans="1:15" ht="16" customHeight="1" x14ac:dyDescent="0.4">
      <c r="A31" s="73"/>
      <c r="B31" s="81" t="s">
        <v>123</v>
      </c>
      <c r="C31" s="82"/>
      <c r="D31" s="82"/>
      <c r="E31" s="73"/>
      <c r="G31" s="81" t="s">
        <v>124</v>
      </c>
      <c r="H31" s="82"/>
      <c r="I31" s="82"/>
      <c r="J31" s="73"/>
      <c r="L31" s="81" t="s">
        <v>125</v>
      </c>
      <c r="M31" s="82"/>
      <c r="N31" s="82"/>
      <c r="O31" s="73"/>
    </row>
    <row r="32" spans="1:15" ht="16" customHeight="1" x14ac:dyDescent="0.4">
      <c r="A32" s="73"/>
      <c r="B32" s="73" t="s">
        <v>126</v>
      </c>
      <c r="C32" s="73"/>
      <c r="D32" s="73">
        <f>XNPV(D6,D28:J28,D18:J18)</f>
        <v>19605769.64521474</v>
      </c>
      <c r="E32" s="73"/>
      <c r="G32" s="73" t="s">
        <v>127</v>
      </c>
      <c r="H32" s="73"/>
      <c r="I32" s="73">
        <f>D12*D11</f>
        <v>22596093.666049998</v>
      </c>
      <c r="J32" s="73"/>
      <c r="L32" s="73" t="s">
        <v>128</v>
      </c>
      <c r="M32" s="73"/>
      <c r="N32" s="93">
        <f>D37/I37-1</f>
        <v>-0.36591174311062291</v>
      </c>
      <c r="O32" s="73"/>
    </row>
    <row r="33" spans="1:15" ht="16" customHeight="1" x14ac:dyDescent="0.4">
      <c r="A33" s="73"/>
      <c r="B33" s="73" t="s">
        <v>129</v>
      </c>
      <c r="C33" s="73"/>
      <c r="D33" s="73">
        <f>+D14</f>
        <v>304537</v>
      </c>
      <c r="E33" s="73"/>
      <c r="G33" s="73" t="s">
        <v>130</v>
      </c>
      <c r="H33" s="73"/>
      <c r="I33" s="73">
        <f>D13</f>
        <v>5582389</v>
      </c>
      <c r="J33" s="73"/>
      <c r="L33" s="73" t="s">
        <v>131</v>
      </c>
      <c r="M33" s="73"/>
      <c r="N33" s="93">
        <f>XIRR(D29:J29,D18:J18)</f>
        <v>1.2671819329261782E-2</v>
      </c>
      <c r="O33" s="73"/>
    </row>
    <row r="34" spans="1:15" ht="16" customHeight="1" x14ac:dyDescent="0.4">
      <c r="A34" s="73"/>
      <c r="B34" s="73" t="s">
        <v>132</v>
      </c>
      <c r="C34" s="73"/>
      <c r="D34" s="73">
        <f>+D13</f>
        <v>5582389</v>
      </c>
      <c r="E34" s="73"/>
      <c r="G34" s="73" t="s">
        <v>133</v>
      </c>
      <c r="H34" s="73"/>
      <c r="I34" s="73">
        <f>+D14</f>
        <v>304537</v>
      </c>
      <c r="J34" s="73"/>
      <c r="L34" s="73"/>
      <c r="M34" s="73"/>
      <c r="N34" s="73"/>
      <c r="O34" s="73"/>
    </row>
    <row r="35" spans="1:15" ht="16" customHeight="1" x14ac:dyDescent="0.4">
      <c r="A35" s="73"/>
      <c r="B35" s="73" t="s">
        <v>134</v>
      </c>
      <c r="C35" s="73"/>
      <c r="D35" s="92">
        <f>D32+D33-D34</f>
        <v>14327917.64521474</v>
      </c>
      <c r="E35" s="73"/>
      <c r="G35" s="73" t="s">
        <v>126</v>
      </c>
      <c r="H35" s="73"/>
      <c r="I35" s="92">
        <f>I32+I33-I34</f>
        <v>27873945.666049998</v>
      </c>
      <c r="J35" s="73"/>
      <c r="L35" s="81" t="s">
        <v>135</v>
      </c>
      <c r="M35" s="82"/>
      <c r="N35" s="82"/>
      <c r="O35" s="73"/>
    </row>
    <row r="36" spans="1:15" ht="16" customHeight="1" x14ac:dyDescent="0.4">
      <c r="A36" s="73"/>
      <c r="B36" s="73"/>
      <c r="C36" s="73"/>
      <c r="D36" s="73"/>
      <c r="E36" s="73"/>
      <c r="G36" s="73"/>
      <c r="H36" s="73"/>
      <c r="I36" s="94"/>
      <c r="J36" s="73"/>
      <c r="L36" s="73" t="s">
        <v>124</v>
      </c>
      <c r="M36" s="73"/>
      <c r="N36" s="94">
        <f>I37</f>
        <v>1046.23</v>
      </c>
      <c r="O36" s="73"/>
    </row>
    <row r="37" spans="1:15" ht="16" customHeight="1" x14ac:dyDescent="0.4">
      <c r="A37" s="73"/>
      <c r="B37" s="73" t="s">
        <v>136</v>
      </c>
      <c r="C37" s="73"/>
      <c r="D37" s="94">
        <f>D35/D12</f>
        <v>663.40215700537306</v>
      </c>
      <c r="E37" s="73"/>
      <c r="G37" s="73" t="s">
        <v>136</v>
      </c>
      <c r="H37" s="73"/>
      <c r="I37" s="94">
        <f>D11</f>
        <v>1046.23</v>
      </c>
      <c r="J37" s="73"/>
      <c r="L37" s="73" t="s">
        <v>137</v>
      </c>
      <c r="M37" s="73"/>
      <c r="N37" s="94">
        <f>D37-I37</f>
        <v>-382.82784299462696</v>
      </c>
      <c r="O37" s="73"/>
    </row>
    <row r="38" spans="1:15" ht="16" customHeight="1" x14ac:dyDescent="0.4">
      <c r="A38" s="73"/>
      <c r="B38" s="73"/>
      <c r="C38" s="73"/>
      <c r="D38" s="73"/>
      <c r="E38" s="73"/>
      <c r="G38" s="73"/>
      <c r="H38" s="73"/>
      <c r="I38" s="73"/>
      <c r="J38" s="73"/>
      <c r="L38" s="73" t="s">
        <v>123</v>
      </c>
      <c r="M38" s="73"/>
      <c r="N38" s="94">
        <f>SUM(N36:N37)</f>
        <v>663.40215700537306</v>
      </c>
      <c r="O38" s="73"/>
    </row>
    <row r="39" spans="1:15" ht="16" customHeight="1" x14ac:dyDescent="0.4">
      <c r="A39" s="73"/>
      <c r="C39" s="73"/>
      <c r="D39" s="75"/>
      <c r="E39" s="73"/>
      <c r="G39" s="73"/>
      <c r="H39" s="73"/>
      <c r="I39" s="74"/>
      <c r="J39" s="73"/>
      <c r="L39" s="73"/>
      <c r="M39" s="73"/>
      <c r="N39" s="73"/>
      <c r="O39" s="73"/>
    </row>
    <row r="40" spans="1:15" ht="16" customHeight="1" x14ac:dyDescent="0.4">
      <c r="A40" s="73"/>
      <c r="C40" s="73"/>
      <c r="D40" s="75"/>
      <c r="E40" s="73"/>
      <c r="F40" s="73"/>
      <c r="G40" s="73"/>
      <c r="H40" s="74"/>
      <c r="I40" s="73"/>
      <c r="K40" s="73"/>
      <c r="L40" s="73"/>
      <c r="M40" s="73"/>
      <c r="N40" s="73"/>
      <c r="O40" s="73"/>
    </row>
    <row r="41" spans="1:15" ht="16" customHeight="1" x14ac:dyDescent="0.4">
      <c r="A41" s="73"/>
      <c r="B41" s="81" t="s">
        <v>138</v>
      </c>
      <c r="C41" s="82"/>
      <c r="D41" s="95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73"/>
    </row>
    <row r="42" spans="1:15" ht="16" customHeight="1" x14ac:dyDescent="0.4">
      <c r="A42" s="73"/>
      <c r="B42" s="73" t="s">
        <v>139</v>
      </c>
      <c r="C42" s="73"/>
      <c r="D42" s="75"/>
      <c r="E42" s="73"/>
      <c r="F42" s="73"/>
      <c r="G42" s="73"/>
      <c r="H42" s="73"/>
      <c r="N42" s="96" t="s">
        <v>93</v>
      </c>
      <c r="O42" s="73"/>
    </row>
    <row r="43" spans="1:15" ht="16" customHeight="1" x14ac:dyDescent="0.4">
      <c r="A43" s="73"/>
      <c r="B43" s="73" t="s">
        <v>140</v>
      </c>
      <c r="C43" s="73"/>
      <c r="D43" s="75"/>
      <c r="E43" s="73"/>
      <c r="F43" s="73"/>
      <c r="G43" s="73"/>
      <c r="H43" s="73"/>
      <c r="N43" s="46"/>
      <c r="O43" s="73"/>
    </row>
    <row r="44" spans="1:15" ht="16" customHeight="1" x14ac:dyDescent="0.4">
      <c r="A44" s="73"/>
      <c r="B44" s="97" t="s">
        <v>141</v>
      </c>
      <c r="C44" s="73"/>
      <c r="D44" s="75"/>
      <c r="E44" s="73"/>
      <c r="F44" s="73"/>
      <c r="G44" s="73"/>
      <c r="H44" s="73"/>
      <c r="N44" s="46"/>
      <c r="O44" s="73"/>
    </row>
    <row r="45" spans="1:15" ht="16" customHeight="1" x14ac:dyDescent="0.4">
      <c r="A45" s="73"/>
      <c r="B45" s="97" t="s">
        <v>142</v>
      </c>
      <c r="C45" s="73"/>
      <c r="D45" s="75"/>
      <c r="E45" s="73"/>
      <c r="F45" s="73"/>
      <c r="G45" s="73"/>
      <c r="H45" s="73"/>
      <c r="N45" s="46"/>
      <c r="O45" s="73"/>
    </row>
    <row r="46" spans="1:15" ht="16" customHeight="1" x14ac:dyDescent="0.4">
      <c r="A46" s="73"/>
      <c r="B46" s="97" t="s">
        <v>143</v>
      </c>
      <c r="C46" s="73"/>
      <c r="D46" s="75"/>
      <c r="E46" s="73"/>
      <c r="F46" s="73"/>
      <c r="G46" s="73"/>
      <c r="H46" s="73"/>
      <c r="N46" s="46"/>
      <c r="O46" s="73"/>
    </row>
    <row r="47" spans="1:15" ht="16" customHeight="1" x14ac:dyDescent="0.4">
      <c r="A47" s="73"/>
      <c r="B47" s="73"/>
      <c r="C47" s="73"/>
      <c r="D47" s="75"/>
      <c r="E47" s="73"/>
      <c r="F47" s="73"/>
      <c r="G47" s="73"/>
      <c r="H47" s="73"/>
      <c r="N47" s="46"/>
      <c r="O47" s="73"/>
    </row>
    <row r="48" spans="1:15" ht="16" customHeight="1" x14ac:dyDescent="0.4">
      <c r="A48" s="73"/>
      <c r="B48" s="73"/>
      <c r="C48" s="73"/>
      <c r="D48" s="75"/>
      <c r="E48" s="73"/>
      <c r="F48" s="73"/>
      <c r="G48" s="73"/>
      <c r="H48" s="73"/>
      <c r="N48" s="98" t="s">
        <v>94</v>
      </c>
      <c r="O48" s="73"/>
    </row>
    <row r="49" spans="1:15" ht="16" customHeight="1" x14ac:dyDescent="0.4">
      <c r="A49" s="73"/>
      <c r="B49" s="73"/>
      <c r="C49" s="73"/>
      <c r="D49" s="75"/>
      <c r="E49" s="73"/>
      <c r="F49" s="73"/>
      <c r="G49" s="73"/>
      <c r="H49" s="73"/>
      <c r="N49" s="99" t="s">
        <v>7</v>
      </c>
      <c r="O49" s="73"/>
    </row>
    <row r="50" spans="1:15" ht="16" customHeight="1" x14ac:dyDescent="0.4">
      <c r="A50" s="73"/>
      <c r="B50" s="73"/>
      <c r="C50" s="73"/>
      <c r="D50" s="75"/>
      <c r="E50" s="73"/>
      <c r="F50" s="73"/>
      <c r="G50" s="73"/>
      <c r="H50" s="73"/>
      <c r="O50" s="73"/>
    </row>
    <row r="51" spans="1:15" ht="16" customHeight="1" x14ac:dyDescent="0.4">
      <c r="A51" s="73"/>
      <c r="B51" s="73"/>
      <c r="C51" s="73"/>
      <c r="D51" s="75"/>
      <c r="E51" s="73"/>
      <c r="F51" s="73"/>
      <c r="G51" s="73"/>
      <c r="H51" s="73"/>
      <c r="M51" s="73"/>
      <c r="O51" s="73"/>
    </row>
    <row r="52" spans="1:15" ht="16" customHeight="1" x14ac:dyDescent="0.4">
      <c r="A52" s="73"/>
      <c r="B52" s="73"/>
      <c r="C52" s="73"/>
      <c r="D52" s="75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</row>
    <row r="53" spans="1:15" ht="16" customHeight="1" x14ac:dyDescent="0.4">
      <c r="A53" s="73"/>
      <c r="B53" s="73"/>
      <c r="C53" s="73"/>
      <c r="D53" s="75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</row>
    <row r="54" spans="1:15" ht="16" customHeight="1" x14ac:dyDescent="0.4">
      <c r="A54" s="73"/>
      <c r="B54" s="73"/>
      <c r="C54" s="73"/>
      <c r="D54" s="75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</row>
    <row r="55" spans="1:15" ht="16" customHeight="1" x14ac:dyDescent="0.4">
      <c r="A55" s="73"/>
      <c r="B55" s="73"/>
      <c r="C55" s="73"/>
      <c r="D55" s="75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</row>
    <row r="56" spans="1:15" ht="16" customHeight="1" x14ac:dyDescent="0.4">
      <c r="A56" s="73"/>
      <c r="B56" s="73"/>
      <c r="C56" s="73"/>
      <c r="D56" s="75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</row>
    <row r="57" spans="1:15" ht="16" customHeight="1" x14ac:dyDescent="0.4">
      <c r="A57" s="73"/>
      <c r="B57" s="73"/>
      <c r="C57" s="73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</row>
    <row r="58" spans="1:15" ht="16" customHeight="1" x14ac:dyDescent="0.4">
      <c r="A58" s="73"/>
      <c r="B58" s="73"/>
      <c r="C58" s="73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</row>
    <row r="59" spans="1:15" ht="16" customHeight="1" x14ac:dyDescent="0.4">
      <c r="A59" s="73"/>
      <c r="B59" s="73"/>
      <c r="C59" s="73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</row>
    <row r="60" spans="1:15" ht="16" customHeight="1" x14ac:dyDescent="0.4">
      <c r="A60" s="73"/>
      <c r="B60" s="73"/>
      <c r="C60" s="73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</row>
    <row r="61" spans="1:15" ht="16" customHeight="1" x14ac:dyDescent="0.4">
      <c r="B61" s="73"/>
      <c r="C61" s="73"/>
      <c r="D61" s="75"/>
      <c r="E61" s="73"/>
      <c r="F61" s="73"/>
      <c r="G61" s="73"/>
      <c r="H61" s="73"/>
      <c r="I61" s="73"/>
      <c r="J61" s="73"/>
      <c r="K61" s="73"/>
      <c r="L61" s="7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61</vt:i4>
      </vt:variant>
    </vt:vector>
  </HeadingPairs>
  <TitlesOfParts>
    <vt:vector size="64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DCF_Capex</vt:lpstr>
      <vt:lpstr>DCF_Cash</vt:lpstr>
      <vt:lpstr>DCF_DA_Start</vt:lpstr>
      <vt:lpstr>DCF_Debt</vt:lpstr>
      <vt:lpstr>DCF_DeltaNWC_Start</vt:lpstr>
      <vt:lpstr>DCF_EBIT_Start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2026-08-04T16:54:29Z</dcterms:modified>
</cp:coreProperties>
</file>