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68">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s>
  <fills count="22">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1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5"/>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408" t="inlineStr">
        <is>
          <t>IRR (%)</t>
        </is>
      </c>
      <c r="C55" s="408" t="n">
        <v>3.3</v>
      </c>
      <c r="D55" s="408" t="n">
        <v>27.1</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4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t="n">
        <v>89.985</v>
      </c>
      <c r="E15" s="456" t="n">
        <v>94.48425</v>
      </c>
      <c r="F15" s="456" t="n">
        <v>99.2084625</v>
      </c>
      <c r="G15" s="456" t="n">
        <v>104.168885625</v>
      </c>
      <c r="H15" s="456" t="n">
        <v>109.37732990625</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t="n">
        <v>25.5003</v>
      </c>
      <c r="E19" s="456" t="n">
        <v>26.775315</v>
      </c>
      <c r="F19" s="456" t="n">
        <v>28.11408075</v>
      </c>
      <c r="G19" s="456" t="n">
        <v>29.5197847875</v>
      </c>
      <c r="H19" s="456" t="n">
        <v>30.995774026875</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t="n">
        <v>89.985</v>
      </c>
      <c r="E15" s="456" t="n">
        <v>94.48425</v>
      </c>
      <c r="F15" s="456" t="n">
        <v>99.2084625</v>
      </c>
      <c r="G15" s="456" t="n">
        <v>104.168885625</v>
      </c>
      <c r="H15" s="456" t="n">
        <v>109.37732990625</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t="n">
        <v>23.460276</v>
      </c>
      <c r="E19" s="456" t="n">
        <v>24.6332898</v>
      </c>
      <c r="F19" s="456" t="n">
        <v>25.86495429</v>
      </c>
      <c r="G19" s="456" t="n">
        <v>27.1582020045</v>
      </c>
      <c r="H19" s="456" t="n">
        <v>28.516112104725</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0" customWidth="1" style="408" min="12" max="12"/>
    <col width="42" customWidth="1" style="408" min="13" max="13"/>
    <col width="52" customWidth="1" style="408" min="14" max="14"/>
    <col width="34" customWidth="1" style="409" min="15" max="15"/>
    <col width="38" customWidth="1" style="409" min="16" max="16"/>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515" t="n">
        <v>-68.7</v>
      </c>
      <c r="G50" s="515" t="n">
        <v>-58.3</v>
      </c>
      <c r="H50" s="515" t="n">
        <v>-46.4</v>
      </c>
      <c r="I50" s="515" t="n">
        <v>-32.7</v>
      </c>
      <c r="J50" s="515" t="n">
        <v>-17.3</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515" t="n">
        <v>88.3</v>
      </c>
      <c r="G58" s="515" t="n">
        <v>91.8</v>
      </c>
      <c r="H58" s="515" t="n">
        <v>95.5</v>
      </c>
      <c r="I58" s="515" t="n">
        <v>98.3</v>
      </c>
      <c r="J58" s="515" t="n">
        <v>101.3</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BMC AR.</t>
        </is>
      </c>
      <c r="P76" s="810" t="inlineStr">
        <is>
          <t>YES — AR drives ΔAR cash use in FCF →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0" t="inlineStr">
        <is>
          <t>YES — primary AR/% assumption; pairs with C13 DSO cut</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10" t="inlineStr">
        <is>
          <t>YES — deferred revenue is the largest SaaS NWC cash source</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10" t="inlineStr">
        <is>
          <t>YES — sets ΔDeferred in ΔNWC ≈ ΔAR − ΔDeferred</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10" t="inlineStr">
        <is>
          <t>YES — ΔNWC hits FCF, debt sweep, MOIC/IRR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10" t="inlineStr">
        <is>
          <t>YES — AI case lever vs Base; lifts FCF/debt paydown</t>
        </is>
      </c>
    </row>
    <row r="87" ht="15" customHeight="1" s="409">
      <c r="B87" s="570" t="inlineStr">
        <is>
          <t>LONG LIVED ASSETS</t>
        </is>
      </c>
      <c r="C87" s="577" t="n"/>
      <c r="D87" s="577" t="n"/>
      <c r="E87" s="577" t="n"/>
      <c r="F87" s="578" t="n"/>
      <c r="G87" s="578" t="n"/>
      <c r="H87" s="578" t="n"/>
      <c r="I87" s="578" t="n"/>
      <c r="J87" s="578" t="n"/>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row>
    <row r="91" ht="15" customHeight="1" s="409">
      <c r="B91" s="557" t="inlineStr">
        <is>
          <t>PP&amp;E</t>
        </is>
      </c>
      <c r="C91" s="513" t="n"/>
      <c r="D91" s="573" t="n">
        <v>87.8</v>
      </c>
      <c r="E91" s="573" t="n">
        <v>85.2</v>
      </c>
      <c r="F91" s="537" t="n">
        <v>73.1444897959184</v>
      </c>
      <c r="G91" s="537" t="n">
        <v>63.4073469387755</v>
      </c>
      <c r="H91" s="537" t="n">
        <v>56.4522448979592</v>
      </c>
      <c r="I91" s="537" t="n">
        <v>53.090612244898</v>
      </c>
      <c r="J91" s="537" t="n">
        <v>53.090612244898</v>
      </c>
      <c r="L91" s="537" t="n"/>
    </row>
    <row r="92" ht="15" customHeight="1" s="409">
      <c r="B92" s="574" t="inlineStr">
        <is>
          <t>Capital expenditures</t>
        </is>
      </c>
      <c r="C92" s="553" t="n">
        <v>22</v>
      </c>
      <c r="D92" s="553" t="n">
        <v>26.5</v>
      </c>
      <c r="E92" s="553" t="n">
        <v>24.5</v>
      </c>
      <c r="F92" s="553" t="n">
        <v>26</v>
      </c>
      <c r="G92" s="553" t="n">
        <v>28</v>
      </c>
      <c r="H92" s="553" t="n">
        <v>30</v>
      </c>
      <c r="I92" s="553" t="n">
        <v>29</v>
      </c>
      <c r="J92" s="553" t="n">
        <v>31</v>
      </c>
      <c r="L92" s="515" t="n"/>
    </row>
    <row r="93" ht="15" customHeight="1" s="409">
      <c r="B93" s="574" t="inlineStr">
        <is>
          <t>Depreciation</t>
        </is>
      </c>
      <c r="C93" s="553" t="n">
        <v>-39.1</v>
      </c>
      <c r="D93" s="553" t="n">
        <v>-37.8</v>
      </c>
      <c r="E93" s="553" t="n">
        <v>-38.7</v>
      </c>
      <c r="F93" s="515" t="n">
        <v>-38.0555102040816</v>
      </c>
      <c r="G93" s="515" t="n">
        <v>-37.7371428571429</v>
      </c>
      <c r="H93" s="515" t="n">
        <v>-36.9551020408163</v>
      </c>
      <c r="I93" s="515" t="n">
        <v>-32.3616326530612</v>
      </c>
      <c r="J93" s="515" t="n">
        <v>-31</v>
      </c>
      <c r="K93" s="559" t="inlineStr">
        <is>
          <t>Smoothing?</t>
        </is>
      </c>
      <c r="L93" s="515" t="n"/>
    </row>
    <row r="94" ht="15" customHeight="1" s="409">
      <c r="B94" s="579" t="inlineStr">
        <is>
          <t>Capex as a % of revenue</t>
        </is>
      </c>
      <c r="C94" s="522" t="n">
        <v>0.0106522054907277</v>
      </c>
      <c r="D94" s="522" t="n">
        <v>0.0122007366482505</v>
      </c>
      <c r="E94" s="522" t="n">
        <v>0.0111292813664032</v>
      </c>
      <c r="F94" s="522" t="n">
        <v>0.0114112714394748</v>
      </c>
      <c r="G94" s="522" t="n">
        <v>0.0116483995736528</v>
      </c>
      <c r="H94" s="522" t="n">
        <v>0.0117739887873849</v>
      </c>
      <c r="I94" s="522" t="n">
        <v>0.0108395452328305</v>
      </c>
      <c r="J94" s="522" t="n">
        <v>0.0110563932027424</v>
      </c>
      <c r="K94" s="580" t="inlineStr">
        <is>
          <t>Yes</t>
        </is>
      </c>
    </row>
    <row r="95" ht="15" customHeight="1" s="409">
      <c r="B95" s="579" t="inlineStr">
        <is>
          <t>Depreciation as a % of capex</t>
        </is>
      </c>
      <c r="C95" s="581" t="n">
        <v>1.77727272727273</v>
      </c>
      <c r="D95" s="581" t="n">
        <v>1.42641509433962</v>
      </c>
      <c r="E95" s="581" t="n">
        <v>1.57959183673469</v>
      </c>
      <c r="F95" s="581" t="n">
        <v>1.46367346938776</v>
      </c>
      <c r="G95" s="581" t="n">
        <v>1.34775510204082</v>
      </c>
      <c r="H95" s="581" t="n">
        <v>1.23183673469388</v>
      </c>
      <c r="I95" s="581" t="n">
        <v>1.11591836734694</v>
      </c>
      <c r="J95" s="581" t="n">
        <v>1</v>
      </c>
      <c r="K95" s="528" t="n">
        <v>-0.115918367346939</v>
      </c>
    </row>
    <row r="96" ht="15" customHeight="1" s="409">
      <c r="B96" s="579" t="n"/>
      <c r="C96" s="581" t="n"/>
      <c r="D96" s="581" t="n"/>
      <c r="E96" s="581" t="n"/>
    </row>
    <row r="97" ht="15" customHeight="1" s="409">
      <c r="B97" s="557" t="inlineStr">
        <is>
          <t>Software development costs</t>
        </is>
      </c>
      <c r="C97" s="582" t="n"/>
      <c r="D97" s="573" t="n">
        <v>244.7</v>
      </c>
      <c r="E97" s="573" t="n">
        <v>271.4</v>
      </c>
      <c r="F97" s="537" t="n">
        <v>286.508641975309</v>
      </c>
      <c r="G97" s="537" t="n">
        <v>297.64475308642</v>
      </c>
      <c r="H97" s="537" t="n">
        <v>305.199074074074</v>
      </c>
      <c r="I97" s="537" t="n">
        <v>309.366975308642</v>
      </c>
      <c r="J97" s="537" t="n">
        <v>309.366975308642</v>
      </c>
    </row>
    <row r="98" ht="15" customHeight="1" s="409">
      <c r="B98" s="574" t="inlineStr">
        <is>
          <t>Purchases</t>
        </is>
      </c>
      <c r="C98" s="553" t="n">
        <v>115.8</v>
      </c>
      <c r="D98" s="553" t="n">
        <v>132.5</v>
      </c>
      <c r="E98" s="553" t="n">
        <v>129.6</v>
      </c>
      <c r="F98" s="553" t="n">
        <v>116</v>
      </c>
      <c r="G98" s="553" t="n">
        <v>114</v>
      </c>
      <c r="H98" s="553" t="n">
        <v>116</v>
      </c>
      <c r="I98" s="553" t="n">
        <v>128</v>
      </c>
      <c r="J98" s="553" t="n">
        <v>135</v>
      </c>
    </row>
    <row r="99" ht="15" customHeight="1" s="409">
      <c r="B99" s="574" t="inlineStr">
        <is>
          <t>Amortization</t>
        </is>
      </c>
      <c r="C99" s="553" t="n">
        <v>-75.7</v>
      </c>
      <c r="D99" s="553" t="n">
        <v>-93.59999999999999</v>
      </c>
      <c r="E99" s="553" t="n">
        <v>-108.5</v>
      </c>
      <c r="F99" s="515" t="n">
        <v>-100.891358024691</v>
      </c>
      <c r="G99" s="515" t="n">
        <v>-102.863888888889</v>
      </c>
      <c r="H99" s="515" t="n">
        <v>-108.445679012346</v>
      </c>
      <c r="I99" s="515" t="n">
        <v>-123.832098765432</v>
      </c>
      <c r="J99" s="515" t="n">
        <v>-135</v>
      </c>
      <c r="K99" s="559" t="inlineStr">
        <is>
          <t>Smoothing?</t>
        </is>
      </c>
    </row>
    <row r="100" ht="15" customHeight="1" s="409">
      <c r="B100" s="579" t="inlineStr">
        <is>
          <t>Purchases as % of revenue</t>
        </is>
      </c>
      <c r="C100" s="522" t="n">
        <v>0.0560693361739215</v>
      </c>
      <c r="D100" s="522" t="n">
        <v>0.0610036832412523</v>
      </c>
      <c r="E100" s="522" t="n">
        <v>0.0588716271463614</v>
      </c>
      <c r="F100" s="522" t="n">
        <v>0.0509118264222723</v>
      </c>
      <c r="G100" s="522" t="n">
        <v>0.0474256268355863</v>
      </c>
      <c r="H100" s="522" t="n">
        <v>0.0455260899778882</v>
      </c>
      <c r="I100" s="522" t="n">
        <v>0.047843509993183</v>
      </c>
      <c r="J100" s="522" t="n">
        <v>0.0481488091087168</v>
      </c>
      <c r="K100" s="580" t="inlineStr">
        <is>
          <t>Yes</t>
        </is>
      </c>
    </row>
    <row r="101" ht="15" customHeight="1" s="409">
      <c r="B101" s="579" t="inlineStr">
        <is>
          <t>Amortization as a % of purchases</t>
        </is>
      </c>
      <c r="C101" s="581" t="n">
        <v>0.653713298791019</v>
      </c>
      <c r="D101" s="581" t="n">
        <v>0.706415094339623</v>
      </c>
      <c r="E101" s="581" t="n">
        <v>0.837191358024691</v>
      </c>
      <c r="F101" s="581" t="n">
        <v>0.869753086419753</v>
      </c>
      <c r="G101" s="581" t="n">
        <v>0.902314814814815</v>
      </c>
      <c r="H101" s="581" t="n">
        <v>0.934876543209877</v>
      </c>
      <c r="I101" s="581" t="n">
        <v>0.967438271604938</v>
      </c>
      <c r="J101" s="581" t="n">
        <v>1</v>
      </c>
      <c r="K101" s="528" t="n">
        <v>0.0325617283950617</v>
      </c>
    </row>
    <row r="102" ht="15" customHeight="1" s="409">
      <c r="B102" s="579" t="n"/>
      <c r="C102" s="581" t="n"/>
      <c r="D102" s="581" t="n"/>
      <c r="E102" s="581" t="n"/>
    </row>
    <row r="103" ht="15" customHeight="1" s="409">
      <c r="B103" s="557" t="inlineStr">
        <is>
          <t>Intangible assets</t>
        </is>
      </c>
      <c r="D103" s="573" t="n">
        <v>257.5</v>
      </c>
      <c r="E103" s="573" t="n">
        <v>189.8</v>
      </c>
      <c r="F103" s="537" t="n">
        <v>189.8</v>
      </c>
      <c r="G103" s="537" t="n">
        <v>189.8</v>
      </c>
      <c r="H103" s="537" t="n">
        <v>189.8</v>
      </c>
      <c r="I103" s="537" t="n">
        <v>189.8</v>
      </c>
      <c r="J103" s="537" t="n">
        <v>189.8</v>
      </c>
    </row>
    <row r="104" ht="15" customHeight="1" s="409">
      <c r="B104" s="574" t="inlineStr">
        <is>
          <t>Purchases</t>
        </is>
      </c>
      <c r="C104" s="583" t="n">
        <v>0</v>
      </c>
      <c r="D104" s="553" t="n">
        <v>0</v>
      </c>
      <c r="E104" s="553" t="n">
        <v>0</v>
      </c>
      <c r="F104" s="553" t="n">
        <v>85</v>
      </c>
      <c r="G104" s="553" t="n">
        <v>80</v>
      </c>
      <c r="H104" s="553" t="n">
        <v>77</v>
      </c>
      <c r="I104" s="553" t="n">
        <v>68</v>
      </c>
      <c r="J104" s="553" t="n">
        <v>57</v>
      </c>
    </row>
    <row r="105" ht="15" customHeight="1" s="409">
      <c r="B105" s="574" t="inlineStr">
        <is>
          <t>Amortization</t>
        </is>
      </c>
      <c r="C105" s="553" t="n">
        <v>-79.09999999999999</v>
      </c>
      <c r="D105" s="553" t="n">
        <v>-97.7</v>
      </c>
      <c r="E105" s="553" t="n">
        <v>-86.90000000000001</v>
      </c>
      <c r="F105" s="553" t="n">
        <v>-85</v>
      </c>
      <c r="G105" s="553" t="n">
        <v>-80</v>
      </c>
      <c r="H105" s="553" t="n">
        <v>-77</v>
      </c>
      <c r="I105" s="553" t="n">
        <v>-68</v>
      </c>
      <c r="J105" s="553" t="n">
        <v>-57</v>
      </c>
    </row>
    <row r="106" ht="15" customHeight="1" s="409">
      <c r="B106" s="498" t="n"/>
      <c r="C106" s="515" t="n"/>
      <c r="D106" s="515" t="n"/>
      <c r="E106" s="515" t="n"/>
    </row>
    <row r="107" ht="15" customHeight="1" s="409">
      <c r="B107" s="557" t="inlineStr">
        <is>
          <t>Goodwill and other assets</t>
        </is>
      </c>
      <c r="D107" s="573" t="n">
        <v>1940.3</v>
      </c>
      <c r="E107" s="573" t="n">
        <v>1935.2</v>
      </c>
      <c r="F107" s="573" t="n">
        <v>1935.2</v>
      </c>
      <c r="G107" s="573" t="n">
        <v>1935.2</v>
      </c>
      <c r="H107" s="573" t="n">
        <v>1935.2</v>
      </c>
      <c r="I107" s="573" t="n">
        <v>1935.2</v>
      </c>
      <c r="J107" s="573" t="n">
        <v>1935.2</v>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586" t="n">
        <v>223.946868228773</v>
      </c>
      <c r="G116" s="586" t="n">
        <v>220.601031746032</v>
      </c>
      <c r="H116" s="586" t="n">
        <v>222.400781053162</v>
      </c>
      <c r="I116" s="586" t="n">
        <v>224.193731418493</v>
      </c>
      <c r="J116" s="586" t="n">
        <v>223</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15"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05" t="inlineStr">
        <is>
          <t>ΔNWC in CF = AI_Operating (Drivers C13/C25/C26). Cash line that feeds debt sweep — not the old BMC WC delta.</t>
        </is>
      </c>
      <c r="O119" s="813" t="n"/>
      <c r="P119" s="810" t="inlineStr">
        <is>
          <t>YES — CF ΔNWC is a core LBO cash variable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15" customHeight="1" s="409">
      <c r="B125" s="408" t="inlineStr">
        <is>
          <t>Capital expenditures</t>
        </is>
      </c>
      <c r="F125" s="515" t="n">
        <v>-26</v>
      </c>
      <c r="G125" s="515" t="n">
        <v>-28</v>
      </c>
      <c r="H125" s="515" t="n">
        <v>-30</v>
      </c>
      <c r="I125" s="515" t="n">
        <v>-29</v>
      </c>
      <c r="J125" s="515" t="n">
        <v>-31</v>
      </c>
    </row>
    <row r="126" ht="15" customHeight="1" s="409">
      <c r="B126" s="408" t="inlineStr">
        <is>
          <t xml:space="preserve">Purchases of intangible assets and capitalized software development costs </t>
        </is>
      </c>
      <c r="F126" s="515" t="n">
        <v>-201</v>
      </c>
      <c r="G126" s="515" t="n">
        <v>-194</v>
      </c>
      <c r="H126" s="515" t="n">
        <v>-193</v>
      </c>
      <c r="I126" s="515" t="n">
        <v>-196</v>
      </c>
      <c r="J126" s="515" t="n">
        <v>-192</v>
      </c>
    </row>
    <row r="127" ht="15" customHeight="1" s="409">
      <c r="B127" s="513" t="inlineStr">
        <is>
          <t>Cash from investing activities</t>
        </is>
      </c>
      <c r="F127" s="537" t="n">
        <v>-227</v>
      </c>
      <c r="G127" s="537" t="n">
        <v>-222</v>
      </c>
      <c r="H127" s="537" t="n">
        <v>-223</v>
      </c>
      <c r="I127" s="537" t="n">
        <v>-225</v>
      </c>
      <c r="J127" s="537" t="n">
        <v>-223</v>
      </c>
    </row>
    <row r="128" ht="13.8" customHeight="1" s="409"/>
    <row r="129" ht="15" customHeight="1" s="409">
      <c r="B129" s="408" t="inlineStr">
        <is>
          <t>Required debt principal payments</t>
        </is>
      </c>
      <c r="F129" s="515" t="n">
        <v>-322.1855</v>
      </c>
      <c r="G129" s="515" t="n">
        <v>-177.86405</v>
      </c>
      <c r="H129" s="515" t="n">
        <v>-177.86405</v>
      </c>
      <c r="I129" s="515" t="n">
        <v>-177.86405</v>
      </c>
      <c r="J129" s="515" t="n">
        <v>-177.86405</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537" t="n">
        <v>88.7366611647973</v>
      </c>
      <c r="G131" s="537" t="n">
        <v>341.347888508174</v>
      </c>
      <c r="H131" s="537" t="n">
        <v>430.874867157023</v>
      </c>
      <c r="I131" s="537" t="n">
        <v>495.283971347461</v>
      </c>
      <c r="J131" s="537" t="n">
        <v>586.718180731428</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537" t="n">
        <v>88.7366611647973</v>
      </c>
      <c r="G133" s="537" t="n">
        <v>341.347888508174</v>
      </c>
      <c r="H133" s="537" t="n">
        <v>430.874867157023</v>
      </c>
      <c r="I133" s="537" t="n">
        <v>495.283971347461</v>
      </c>
      <c r="J133" s="537" t="n">
        <v>586.718180731428</v>
      </c>
    </row>
    <row r="134" ht="15" customHeight="1" s="409">
      <c r="B134" s="561" t="inlineStr">
        <is>
          <t>Discretionary Term A paydown</t>
        </is>
      </c>
      <c r="F134" s="515" t="n">
        <v>-88.7366611647973</v>
      </c>
      <c r="G134" s="515" t="n">
        <v>-341.347888508174</v>
      </c>
      <c r="H134" s="515" t="n">
        <v>-430.874867157023</v>
      </c>
      <c r="I134" s="515" t="n">
        <v>-495.283971347461</v>
      </c>
      <c r="J134" s="515" t="n">
        <v>-586.718180731428</v>
      </c>
    </row>
    <row r="135" ht="15" customHeight="1" s="409">
      <c r="B135" s="561" t="inlineStr">
        <is>
          <t>Discretionary Term B paydown</t>
        </is>
      </c>
      <c r="F135" s="515" t="n">
        <v>0</v>
      </c>
      <c r="G135" s="515" t="n">
        <v>0</v>
      </c>
      <c r="H135" s="515" t="n">
        <v>0</v>
      </c>
      <c r="I135" s="515" t="n">
        <v>0</v>
      </c>
      <c r="J135" s="515" t="n">
        <v>2.27373675443232e-13</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15" customHeight="1" s="409">
      <c r="B138" s="570" t="inlineStr">
        <is>
          <t>CASH &amp; DEBT</t>
        </is>
      </c>
      <c r="C138" s="489" t="n"/>
      <c r="D138" s="489" t="n"/>
      <c r="E138" s="489" t="n"/>
      <c r="F138" s="489" t="n"/>
      <c r="G138" s="489" t="n"/>
      <c r="H138" s="489" t="n"/>
      <c r="I138" s="489" t="n"/>
      <c r="J138" s="489" t="n"/>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row>
    <row r="141" ht="15" customHeight="1" s="409">
      <c r="B141" s="541" t="n"/>
    </row>
    <row r="142" ht="15" customHeight="1" s="409">
      <c r="B142" s="498" t="inlineStr">
        <is>
          <t>Cash, BOP</t>
        </is>
      </c>
      <c r="F142" s="588" t="n">
        <v>180</v>
      </c>
      <c r="G142" s="515" t="n">
        <v>180</v>
      </c>
      <c r="H142" s="515" t="n">
        <v>180</v>
      </c>
      <c r="I142" s="515" t="n">
        <v>180</v>
      </c>
      <c r="J142" s="515" t="n">
        <v>180</v>
      </c>
    </row>
    <row r="143" ht="15" customHeight="1" s="409">
      <c r="B143" s="498" t="inlineStr">
        <is>
          <t>Increases / (decreases)</t>
        </is>
      </c>
      <c r="F143" s="515" t="n">
        <v>0</v>
      </c>
      <c r="G143" s="515" t="n">
        <v>0</v>
      </c>
      <c r="H143" s="515" t="n">
        <v>0</v>
      </c>
      <c r="I143" s="515" t="n">
        <v>0</v>
      </c>
      <c r="J143" s="515" t="n">
        <v>2.27373675443232e-13</v>
      </c>
    </row>
    <row r="144" ht="15" customHeight="1" s="409">
      <c r="B144" s="557" t="inlineStr">
        <is>
          <t>Cash, EOP</t>
        </is>
      </c>
      <c r="C144" s="513" t="n"/>
      <c r="D144" s="573" t="n">
        <v>1635.6</v>
      </c>
      <c r="E144" s="537" t="n">
        <v>1581.9</v>
      </c>
      <c r="F144" s="537" t="n">
        <v>180</v>
      </c>
      <c r="G144" s="537" t="n">
        <v>180</v>
      </c>
      <c r="H144" s="537" t="n">
        <v>180</v>
      </c>
      <c r="I144" s="537" t="n">
        <v>180</v>
      </c>
      <c r="J144" s="537" t="n">
        <v>180</v>
      </c>
    </row>
    <row r="145" ht="15" customHeight="1" s="409">
      <c r="B145" s="498" t="inlineStr">
        <is>
          <t>Interest rate on cash</t>
        </is>
      </c>
      <c r="D145" s="589" t="n">
        <v>0.00648080215211543</v>
      </c>
      <c r="E145" s="589" t="n">
        <v>0.00515928515928516</v>
      </c>
      <c r="F145" s="590" t="n">
        <v>0.00515928515928516</v>
      </c>
      <c r="G145" s="590" t="n">
        <v>0.00515928515928516</v>
      </c>
      <c r="H145" s="590" t="n">
        <v>0.00515928515928516</v>
      </c>
      <c r="I145" s="590" t="n">
        <v>0.00515928515928516</v>
      </c>
      <c r="J145" s="590" t="n">
        <v>0.00515928515928516</v>
      </c>
    </row>
    <row r="146" ht="15" customHeight="1" s="409">
      <c r="B146" s="498" t="inlineStr">
        <is>
          <t>Interest income</t>
        </is>
      </c>
      <c r="C146" s="510" t="n"/>
      <c r="D146" s="515" t="n">
        <v>10.6</v>
      </c>
      <c r="E146" s="515" t="n">
        <v>8.300000000000001</v>
      </c>
      <c r="F146" s="515" t="n">
        <v>0.928671328671329</v>
      </c>
      <c r="G146" s="515" t="n">
        <v>0.928671328671329</v>
      </c>
      <c r="H146" s="515" t="n">
        <v>0.928671328671329</v>
      </c>
      <c r="I146" s="515" t="n">
        <v>0.928671328671329</v>
      </c>
      <c r="J146" s="515" t="n">
        <v>0.928671328671329</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t="n">
        <v>180</v>
      </c>
      <c r="G149" s="515" t="n">
        <v>180</v>
      </c>
      <c r="H149" s="515" t="n">
        <v>180</v>
      </c>
      <c r="I149" s="515" t="n">
        <v>180</v>
      </c>
      <c r="J149" s="515" t="n">
        <v>180</v>
      </c>
    </row>
    <row r="150" ht="15" customHeight="1" s="409">
      <c r="B150" s="574" t="inlineStr">
        <is>
          <t>Less: Minimum cash desired</t>
        </is>
      </c>
      <c r="F150" s="515" t="n">
        <v>-180</v>
      </c>
      <c r="G150" s="515" t="n">
        <v>-180</v>
      </c>
      <c r="H150" s="515" t="n">
        <v>-180</v>
      </c>
      <c r="I150" s="515" t="n">
        <v>-180</v>
      </c>
      <c r="J150" s="515" t="n">
        <v>-180</v>
      </c>
    </row>
    <row r="151" ht="15" customHeight="1" s="409">
      <c r="B151" s="574" t="inlineStr">
        <is>
          <t>Equals: Excess cash at BOP</t>
        </is>
      </c>
      <c r="F151" s="515" t="n">
        <v>0</v>
      </c>
      <c r="G151" s="515" t="n">
        <v>0</v>
      </c>
      <c r="H151" s="515" t="n">
        <v>0</v>
      </c>
      <c r="I151" s="515" t="n">
        <v>0</v>
      </c>
      <c r="J151" s="515" t="n">
        <v>0</v>
      </c>
    </row>
    <row r="152" ht="15" customHeight="1" s="409">
      <c r="B152" s="591" t="inlineStr">
        <is>
          <t>Plus: Free cash flows generated during period</t>
        </is>
      </c>
      <c r="C152" s="555" t="n"/>
      <c r="D152" s="555" t="n"/>
      <c r="E152" s="555" t="n"/>
      <c r="F152" s="592" t="n">
        <v>88.7366611647973</v>
      </c>
      <c r="G152" s="592" t="n">
        <v>341.347888508174</v>
      </c>
      <c r="H152" s="592" t="n">
        <v>430.874867157023</v>
      </c>
      <c r="I152" s="592" t="n">
        <v>495.283971347461</v>
      </c>
      <c r="J152" s="592" t="n">
        <v>586.718180731428</v>
      </c>
    </row>
    <row r="153" ht="15" customHeight="1" s="409">
      <c r="B153" s="593" t="inlineStr">
        <is>
          <t>Cash available (needed) to paydown (draw from) revolver</t>
        </is>
      </c>
      <c r="C153" s="500" t="n"/>
      <c r="D153" s="500" t="n"/>
      <c r="E153" s="500" t="n"/>
      <c r="F153" s="576" t="n">
        <v>88.7366611647973</v>
      </c>
      <c r="G153" s="576" t="n">
        <v>341.347888508174</v>
      </c>
      <c r="H153" s="576" t="n">
        <v>430.874867157023</v>
      </c>
      <c r="I153" s="576" t="n">
        <v>495.283971347461</v>
      </c>
      <c r="J153" s="576" t="n">
        <v>586.718180731428</v>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15" customHeight="1" s="409">
      <c r="B157" s="557" t="inlineStr">
        <is>
          <t>Revolver, EOP</t>
        </is>
      </c>
      <c r="D157" s="555" t="inlineStr">
        <is>
          <t>% AR</t>
        </is>
      </c>
      <c r="E157" s="555" t="inlineStr">
        <is>
          <t>% Other Assets</t>
        </is>
      </c>
      <c r="F157" s="537" t="n">
        <v>0</v>
      </c>
      <c r="G157" s="537" t="n">
        <v>0</v>
      </c>
      <c r="H157" s="537" t="n">
        <v>0</v>
      </c>
      <c r="I157" s="537" t="n">
        <v>0</v>
      </c>
      <c r="J157" s="537" t="n">
        <v>0</v>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15" customHeight="1" s="409">
      <c r="B162" s="498" t="inlineStr">
        <is>
          <t>Term Loan A, BOP</t>
        </is>
      </c>
      <c r="F162" s="588" t="n">
        <v>2886.429</v>
      </c>
      <c r="G162" s="515" t="n">
        <v>2509.0494388352</v>
      </c>
      <c r="H162" s="515" t="n">
        <v>2023.38010032703</v>
      </c>
      <c r="I162" s="515" t="n">
        <v>1448.18378317001</v>
      </c>
      <c r="J162" s="515" t="n">
        <v>808.578361822546</v>
      </c>
    </row>
    <row r="163" ht="15" customHeight="1" s="409">
      <c r="B163" s="498" t="inlineStr">
        <is>
          <t>Mandatory paydown $</t>
        </is>
      </c>
      <c r="F163" s="515" t="n">
        <v>288.6429</v>
      </c>
      <c r="G163" s="515" t="n">
        <v>144.32145</v>
      </c>
      <c r="H163" s="515" t="n">
        <v>144.32145</v>
      </c>
      <c r="I163" s="515" t="n">
        <v>144.32145</v>
      </c>
      <c r="J163" s="515" t="n">
        <v>144.32145</v>
      </c>
    </row>
    <row r="164" ht="15" customHeight="1" s="409">
      <c r="B164" s="498" t="inlineStr">
        <is>
          <t>Cash sweep (paydown from excess cash flows)</t>
        </is>
      </c>
      <c r="F164" s="515" t="n">
        <v>88.7366611647973</v>
      </c>
      <c r="G164" s="515" t="n">
        <v>341.347888508174</v>
      </c>
      <c r="H164" s="515" t="n">
        <v>430.874867157023</v>
      </c>
      <c r="I164" s="515" t="n">
        <v>495.283971347461</v>
      </c>
      <c r="J164" s="515" t="n">
        <v>586.718180731429</v>
      </c>
    </row>
    <row r="165" ht="15" customHeight="1" s="409">
      <c r="B165" s="557" t="inlineStr">
        <is>
          <t>Term Loan A, EOP</t>
        </is>
      </c>
      <c r="C165" s="513" t="n"/>
      <c r="D165" s="597" t="n"/>
      <c r="E165" s="513" t="n"/>
      <c r="F165" s="537" t="n">
        <v>2509.0494388352</v>
      </c>
      <c r="G165" s="537" t="n">
        <v>2023.38010032703</v>
      </c>
      <c r="H165" s="537" t="n">
        <v>1448.18378317001</v>
      </c>
      <c r="I165" s="537" t="n">
        <v>808.578361822546</v>
      </c>
      <c r="J165" s="537" t="n">
        <v>77.5387310911168</v>
      </c>
    </row>
    <row r="166" ht="15" customHeight="1" s="409">
      <c r="B166" s="593" t="inlineStr">
        <is>
          <t>Mandatory paydown (% of original)</t>
        </is>
      </c>
      <c r="C166" s="500" t="n"/>
      <c r="E166" s="559" t="inlineStr">
        <is>
          <t>% of available cash used</t>
        </is>
      </c>
      <c r="F166" s="598" t="n">
        <v>0.1</v>
      </c>
      <c r="G166" s="598" t="n">
        <v>0.05</v>
      </c>
      <c r="H166" s="598" t="n">
        <v>0.05</v>
      </c>
      <c r="I166" s="598" t="n">
        <v>0.05</v>
      </c>
      <c r="J166" s="598" t="n">
        <v>0.05</v>
      </c>
    </row>
    <row r="167" ht="15" customHeight="1" s="409">
      <c r="B167" s="593" t="inlineStr">
        <is>
          <t>Cash sweep</t>
        </is>
      </c>
      <c r="C167" s="500" t="n"/>
      <c r="E167" s="599" t="n">
        <v>1</v>
      </c>
      <c r="F167" s="600" t="n">
        <v>88.7366611647973</v>
      </c>
      <c r="G167" s="600" t="n">
        <v>341.347888508174</v>
      </c>
      <c r="H167" s="600" t="n">
        <v>430.874867157023</v>
      </c>
      <c r="I167" s="600" t="n">
        <v>495.283971347461</v>
      </c>
      <c r="J167" s="600" t="n">
        <v>586.718180731428</v>
      </c>
    </row>
    <row r="168" ht="15" customHeight="1" s="409">
      <c r="B168" s="498" t="n"/>
      <c r="F168" s="510" t="n"/>
      <c r="G168" s="510" t="n"/>
      <c r="H168" s="510" t="n"/>
      <c r="I168" s="510" t="n"/>
      <c r="J168" s="510" t="n"/>
    </row>
    <row r="169" ht="15" customHeight="1" s="409">
      <c r="B169" s="555" t="inlineStr">
        <is>
          <t>Term Loan B</t>
        </is>
      </c>
      <c r="F169" s="510" t="n"/>
    </row>
    <row r="170" ht="15" customHeight="1" s="409">
      <c r="B170" s="498" t="inlineStr">
        <is>
          <t>Term Loan B, BOP</t>
        </is>
      </c>
      <c r="F170" s="588" t="n">
        <v>670.852</v>
      </c>
      <c r="G170" s="515" t="n">
        <v>637.3094</v>
      </c>
      <c r="H170" s="515" t="n">
        <v>603.7668</v>
      </c>
      <c r="I170" s="515" t="n">
        <v>570.2242</v>
      </c>
      <c r="J170" s="515" t="n">
        <v>536.6816</v>
      </c>
    </row>
    <row r="171" ht="15" customHeight="1" s="409">
      <c r="B171" s="498" t="inlineStr">
        <is>
          <t>Mandatory amortization $</t>
        </is>
      </c>
      <c r="F171" s="515" t="n">
        <v>33.5426</v>
      </c>
      <c r="G171" s="515" t="n">
        <v>33.5426</v>
      </c>
      <c r="H171" s="515" t="n">
        <v>33.5426</v>
      </c>
      <c r="I171" s="515" t="n">
        <v>33.5426</v>
      </c>
      <c r="J171" s="515" t="n">
        <v>33.5426</v>
      </c>
    </row>
    <row r="172" ht="15" customHeight="1" s="409">
      <c r="B172" s="498" t="inlineStr">
        <is>
          <t>Cash sweep (paydown from excess cash flows)</t>
        </is>
      </c>
      <c r="F172" s="515" t="n">
        <v>0</v>
      </c>
      <c r="G172" s="515" t="n">
        <v>0</v>
      </c>
      <c r="H172" s="515" t="n">
        <v>0</v>
      </c>
      <c r="I172" s="515" t="n">
        <v>0</v>
      </c>
      <c r="J172" s="515" t="n">
        <v>2.27373675443232e-13</v>
      </c>
    </row>
    <row r="173" ht="15" customHeight="1" s="409">
      <c r="B173" s="557" t="inlineStr">
        <is>
          <t>Term Loan B, EOP</t>
        </is>
      </c>
      <c r="C173" s="513" t="n"/>
      <c r="F173" s="537" t="n">
        <v>637.3094</v>
      </c>
      <c r="G173" s="537" t="n">
        <v>603.7668</v>
      </c>
      <c r="H173" s="537" t="n">
        <v>570.2242</v>
      </c>
      <c r="I173" s="537" t="n">
        <v>536.6816</v>
      </c>
      <c r="J173" s="537" t="n">
        <v>503.139</v>
      </c>
    </row>
    <row r="174" ht="15" customHeight="1" s="409">
      <c r="B174" s="593" t="inlineStr">
        <is>
          <t>Mandatory paydown (% of original)</t>
        </is>
      </c>
      <c r="C174" s="500" t="n"/>
      <c r="E174" s="559" t="inlineStr">
        <is>
          <t>% of available cash used</t>
        </is>
      </c>
      <c r="F174" s="598" t="n">
        <v>0.05</v>
      </c>
      <c r="G174" s="598" t="n">
        <v>0.05</v>
      </c>
      <c r="H174" s="598" t="n">
        <v>0.05</v>
      </c>
      <c r="I174" s="598" t="n">
        <v>0.05</v>
      </c>
      <c r="J174" s="598" t="n">
        <v>0.05</v>
      </c>
    </row>
    <row r="175" ht="15" customHeight="1" s="409">
      <c r="B175" s="593" t="inlineStr">
        <is>
          <t>Cash available for cash sweep</t>
        </is>
      </c>
      <c r="C175" s="500" t="n"/>
      <c r="E175" s="599" t="n">
        <v>1</v>
      </c>
      <c r="F175" s="576" t="n">
        <v>0</v>
      </c>
      <c r="G175" s="576" t="n">
        <v>0</v>
      </c>
      <c r="H175" s="576" t="n">
        <v>0</v>
      </c>
      <c r="I175" s="576" t="n">
        <v>0</v>
      </c>
      <c r="J175" s="576" t="n">
        <v>-2.27373675443232e-13</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15" customHeight="1" s="409">
      <c r="B178" s="498" t="inlineStr">
        <is>
          <t>Senior Note, BOP</t>
        </is>
      </c>
      <c r="F178" s="588" t="n">
        <v>1632.995</v>
      </c>
      <c r="G178" s="515" t="n">
        <v>1632.995</v>
      </c>
      <c r="H178" s="515" t="n">
        <v>1632.995</v>
      </c>
      <c r="I178" s="515" t="n">
        <v>1632.995</v>
      </c>
      <c r="J178" s="515" t="n">
        <v>1632.995</v>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537" t="n">
        <v>1632.995</v>
      </c>
      <c r="G180" s="537" t="n">
        <v>1632.995</v>
      </c>
      <c r="H180" s="537" t="n">
        <v>1632.995</v>
      </c>
      <c r="I180" s="537" t="n">
        <v>1632.995</v>
      </c>
      <c r="J180" s="537" t="n">
        <v>1632.995</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15" customHeight="1" s="409">
      <c r="B208" s="498" t="inlineStr">
        <is>
          <t>Term Loan A</t>
        </is>
      </c>
      <c r="C208" s="608" t="n">
        <v>0.04</v>
      </c>
      <c r="D208" s="519" t="n">
        <v>0.01</v>
      </c>
      <c r="F208" s="586" t="n">
        <v>134.88696097088</v>
      </c>
      <c r="G208" s="586" t="n">
        <v>113.310738479056</v>
      </c>
      <c r="H208" s="586" t="n">
        <v>92.8330898085942</v>
      </c>
      <c r="I208" s="586" t="n">
        <v>65.9448466388274</v>
      </c>
      <c r="J208" s="586" t="n">
        <v>27.5254552571771</v>
      </c>
      <c r="M208" s="589" t="n"/>
    </row>
    <row r="209" ht="15" customHeight="1" s="409">
      <c r="B209" s="498" t="inlineStr">
        <is>
          <t>Term Loan B</t>
        </is>
      </c>
      <c r="C209" s="608" t="n">
        <v>0.04</v>
      </c>
      <c r="D209" s="519" t="n">
        <v>0</v>
      </c>
      <c r="F209" s="586" t="n">
        <v>29.3734560756</v>
      </c>
      <c r="G209" s="586" t="n">
        <v>29.9633026966</v>
      </c>
      <c r="H209" s="586" t="n">
        <v>31.393693331</v>
      </c>
      <c r="I209" s="586" t="n">
        <v>32.3448943818</v>
      </c>
      <c r="J209" s="586" t="n">
        <v>32.2999472978</v>
      </c>
    </row>
    <row r="210" ht="15" customHeight="1" s="409">
      <c r="B210" s="498" t="inlineStr">
        <is>
          <t>Senior Note</t>
        </is>
      </c>
      <c r="E210" s="609" t="n">
        <v>0.08125</v>
      </c>
      <c r="F210" s="515" t="n">
        <v>132.68084375</v>
      </c>
      <c r="G210" s="515" t="n">
        <v>132.68084375</v>
      </c>
      <c r="H210" s="515" t="n">
        <v>132.68084375</v>
      </c>
      <c r="I210" s="515" t="n">
        <v>132.68084375</v>
      </c>
      <c r="J210" s="515" t="n">
        <v>132.68084375</v>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row>
    <row r="215" ht="15" customHeight="1" s="409">
      <c r="B215" s="408" t="inlineStr">
        <is>
          <t>EXIT VALUATION (GTM AI case — not BMC)</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616" t="inlineStr">
        <is>
          <t>Net debt:</t>
        </is>
      </c>
      <c r="F221" s="510" t="n"/>
    </row>
    <row r="222" ht="15" customHeight="1" s="409">
      <c r="B222" s="574" t="inlineStr">
        <is>
          <t>Revolver</t>
        </is>
      </c>
      <c r="F222" s="517" t="n">
        <v>0</v>
      </c>
      <c r="G222" s="517" t="n">
        <v>0</v>
      </c>
      <c r="H222" s="517" t="n">
        <v>0</v>
      </c>
      <c r="I222" s="517" t="n">
        <v>0</v>
      </c>
      <c r="J222" s="517" t="n">
        <v>0</v>
      </c>
    </row>
    <row r="223" ht="15" customHeight="1" s="409">
      <c r="B223" s="574" t="inlineStr">
        <is>
          <t>Term Loan A</t>
        </is>
      </c>
      <c r="F223" s="517" t="n">
        <v>6.36046720066304</v>
      </c>
      <c r="G223" s="517" t="n">
        <v>6.36046720066304</v>
      </c>
      <c r="H223" s="517" t="n">
        <v>6.36046720066304</v>
      </c>
      <c r="I223" s="517" t="n">
        <v>6.36046720066304</v>
      </c>
      <c r="J223" s="517" t="n">
        <v>6.36046720066304</v>
      </c>
    </row>
    <row r="224" ht="15" customHeight="1" s="409">
      <c r="B224" s="574" t="inlineStr">
        <is>
          <t>Term Loan B</t>
        </is>
      </c>
      <c r="F224" s="517" t="n">
        <v>0</v>
      </c>
      <c r="G224" s="517" t="n">
        <v>0</v>
      </c>
      <c r="H224" s="517" t="n">
        <v>0</v>
      </c>
      <c r="I224" s="517" t="n">
        <v>0</v>
      </c>
      <c r="J224" s="517" t="n">
        <v>0</v>
      </c>
    </row>
    <row r="225" ht="15" customHeight="1" s="409">
      <c r="B225" s="574" t="inlineStr">
        <is>
          <t>Senior Note</t>
        </is>
      </c>
      <c r="E225" s="555" t="n"/>
      <c r="F225" s="517" t="n">
        <v>0</v>
      </c>
      <c r="G225" s="517" t="n">
        <v>0</v>
      </c>
      <c r="H225" s="517" t="n">
        <v>0</v>
      </c>
      <c r="I225" s="517" t="n">
        <v>0</v>
      </c>
      <c r="J225" s="517" t="n">
        <v>0</v>
      </c>
    </row>
    <row r="226" ht="15" customHeight="1" s="409">
      <c r="B226" s="574" t="inlineStr">
        <is>
          <t>Sub Note</t>
        </is>
      </c>
      <c r="E226" s="617" t="n"/>
      <c r="F226" s="517" t="n">
        <v>0</v>
      </c>
      <c r="G226" s="517" t="n">
        <v>0</v>
      </c>
      <c r="H226" s="517" t="n">
        <v>0</v>
      </c>
      <c r="I226" s="517" t="n">
        <v>0</v>
      </c>
      <c r="J226" s="517" t="n">
        <v>0</v>
      </c>
    </row>
    <row r="227" ht="15" customHeight="1" s="409">
      <c r="B227" s="574" t="inlineStr">
        <is>
          <t>Pref. stock</t>
        </is>
      </c>
      <c r="E227" s="617" t="n"/>
      <c r="F227" s="517" t="n">
        <v>0</v>
      </c>
      <c r="G227" s="517" t="n">
        <v>0</v>
      </c>
      <c r="H227" s="517" t="n">
        <v>0</v>
      </c>
      <c r="I227" s="517" t="n">
        <v>0</v>
      </c>
      <c r="J227" s="517" t="n">
        <v>0</v>
      </c>
    </row>
    <row r="228" ht="15" customHeight="1" s="409">
      <c r="B228" s="574" t="inlineStr">
        <is>
          <t>Cash</t>
        </is>
      </c>
      <c r="F228" s="517" t="n">
        <v>-50</v>
      </c>
      <c r="G228" s="517" t="n">
        <v>-50</v>
      </c>
      <c r="H228" s="517" t="n">
        <v>-50</v>
      </c>
      <c r="I228" s="517" t="n">
        <v>-50</v>
      </c>
      <c r="J228" s="517" t="n">
        <v>-50</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row>
    <row r="259" ht="15" customHeight="1" s="409">
      <c r="B259" s="561" t="inlineStr">
        <is>
          <t>Sponsor's Equity at exit EBITDA multiple of:</t>
        </is>
      </c>
      <c r="C259" s="597" t="n"/>
      <c r="D259" s="637" t="n"/>
      <c r="E259" s="510" t="n"/>
      <c r="F259" s="582" t="n"/>
      <c r="G259" s="582" t="n"/>
      <c r="H259" s="582" t="n"/>
      <c r="I259" s="582" t="n"/>
      <c r="J259" s="638" t="n"/>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1">
    <mergeCell ref="F302:J302"/>
    <mergeCell ref="G321:I321"/>
    <mergeCell ref="D291:J291"/>
    <mergeCell ref="D290:J290"/>
    <mergeCell ref="D300:J300"/>
    <mergeCell ref="D310:J310"/>
    <mergeCell ref="F292:J292"/>
    <mergeCell ref="F311:J311"/>
    <mergeCell ref="F216:J216"/>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2026-08-16T16:29:33Z</dcterms:modified>
  <cp:revision>0</cp:revision>
</cp:coreProperties>
</file>