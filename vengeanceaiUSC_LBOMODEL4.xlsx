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71">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s>
  <fills count="23">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c r="L138" s="809" t="inlineStr">
        <is>
          <t>CASH &amp; DEBT — wired to Sources debt stack ($915.5m), Drivers C14–C18, and AI_Operating FCF (replaced stale oversized loan hardcodes).</t>
        </is>
      </c>
      <c r="M138" s="829">
        <f>HYPERLINK("https://raw.githubusercontent.com/vengeanceaiUSC/Rainmaker/cursor/lbomodel4-dcf-shares-gtm-44dc/LBO/output/LBOMODEL4_CASH_AND_DEBT_SOURCES.pdf","PDF: Cash &amp; Debt Growth / Source / Verbatim / Why / Major Variable")</f>
        <v/>
      </c>
      <c r="N138" s="830" t="inlineStr">
        <is>
          <t>Click M138 for the Cash &amp; Debt documentation PDF (same columns as on-sheet: Growth trajectory, Source, Verbatim, Why, Major Variable).</t>
        </is>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32"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1">
        <f>HYPERLINK("https://raw.githubusercontent.com/vengeanceaiUSC/Rainmaker/cursor/lbomodel4-dcf-shares-gtm-44dc/LBO/output/LBOMODEL4_CASH_AND_DEBT_SOURCES.pdf","Open Cash &amp; Debt PDF")</f>
        <v/>
      </c>
    </row>
    <row r="142" ht="15" customHeight="1" s="409">
      <c r="B142" s="498" t="inlineStr">
        <is>
          <t>Cash, BOP</t>
        </is>
      </c>
      <c r="F142" s="588">
        <f>$D$16</f>
        <v/>
      </c>
      <c r="G142" s="515">
        <f>$D$16</f>
        <v/>
      </c>
      <c r="H142" s="515">
        <f>$D$16</f>
        <v/>
      </c>
      <c r="I142" s="515">
        <f>$D$16</f>
        <v/>
      </c>
      <c r="J142" s="515">
        <f>$D$16</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11" t="inlineStr">
        <is>
          <t>NO — cash stock stays flat. Not the main lever; the sweep of extra cash is.</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14"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19" t="inlineStr">
        <is>
          <t>YES — OUTFLOW of usable cash (locked as minimum). NET − vs using that cash to cut debt, but needed so the company can operate.</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14"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20" t="inlineStr">
        <is>
          <t>YES — INFLOW of cash to the LBO. NET + for the LBO. More free cash means more debt paydown and a better equity outcome.</t>
        </is>
      </c>
    </row>
    <row r="153" ht="15"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11" t="inlineStr">
        <is>
          <t>NO — not used. If drawn it would be an INFLOW of cash but also NET − (more debt). Here it is idle.</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20" t="inlineStr">
        <is>
          <t>YES — debt balance (not cash flow by itself). NET + for equity when the balance falls; lower TLA means less interest and more exit equity.</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14"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20" t="inlineStr">
        <is>
          <t>YES — OUTFLOW of cash to lenders. NET + for the LBO. Required paydown shrinks debt and helps the buyout delever.</t>
        </is>
      </c>
    </row>
    <row r="164" ht="88"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14"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20" t="inlineStr">
        <is>
          <t>YES — OUTFLOW of cash (to pay debt). NET + for the LBO. Sweeping cash to Term Loan A is how the deal gets safer and equity value rises.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14"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20" t="inlineStr">
        <is>
          <t>YES — OUTFLOW rule. NET + for the LBO. A full sweep is credit-positive: cash goes to debt, not dividends or idle cash.</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20" t="inlineStr">
        <is>
          <t>YES — debt balance. NET + for equity as it declines, but less than TLA because most extra cash hits TLA first.</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14"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20" t="inlineStr">
        <is>
          <t>YES — OUTFLOW of cash to TLB lenders. NET + for the LBO because it still reduces total debt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88"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19" t="inlineStr">
        <is>
          <t>YES — debt still outstanding. NET − vs TLA/TLB paydowns: Notes keep interest expense alive until exit/refi.</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14"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19" t="inlineStr">
        <is>
          <t>YES — OUTFLOW of cash (interest). NET − for the LBO each year it is paid, but falling TLA makes this outflow smaller over time (good).</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14"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19" t="inlineStr">
        <is>
          <t>YES — OUTFLOW of cash (interest). NET − for the LBO. Higher rate than TLA, and the balance falls only slowly.</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14"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19" t="inlineStr">
        <is>
          <t>YES — OUTFLOW of cash (interest). NET − for the LBO until exit or refinance clears the Notes.</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2026-08-17T14:04:07Z</dcterms:modified>
  <cp:revision>0</cp:revision>
</cp:coreProperties>
</file>