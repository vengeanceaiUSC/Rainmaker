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4" activeTab="6"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91029" calcMode="autoNoTable" fullCalcOnLoad="1" iterate="1"/>
</workbook>
</file>

<file path=xl/styles.xml><?xml version="1.0" encoding="utf-8"?>
<styleSheet xmlns="http://schemas.openxmlformats.org/spreadsheetml/2006/main">
  <numFmts count="85">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YYYY-MM-DD"/>
    <numFmt numFmtId="193" formatCode="0.000"/>
    <numFmt numFmtId="194" formatCode="0.0000"/>
    <numFmt numFmtId="195" formatCode="#,##0.00_);\(#,##0\)"/>
    <numFmt numFmtId="196" formatCode="#,##0.0%_);\(#,##0.0%\)"/>
    <numFmt numFmtId="197" formatCode="0.0\ \x"/>
    <numFmt numFmtId="198" formatCode="#,##0.00\ ;\(#,##0.00\)"/>
    <numFmt numFmtId="199" formatCode="&quot;$&quot;#,##0.00\ ;\(&quot;$&quot;#,##0.00\)"/>
    <numFmt numFmtId="200" formatCode="0.0%_);\(0.0%\)"/>
    <numFmt numFmtId="201" formatCode="0.000\ \x&quot;rate&quot;"/>
    <numFmt numFmtId="202" formatCode="#,##0.000_);[Red]\(#,##0.000\)"/>
    <numFmt numFmtId="203" formatCode="0.00_);\(0.00\);0.00"/>
    <numFmt numFmtId="204" formatCode="\C&quot;$&quot;#,##0.00_);[Red]\(&quot;$&quot;#,##0.00\)"/>
    <numFmt numFmtId="205" formatCode="#,##0%_);\(#,##0.0%\)"/>
    <numFmt numFmtId="206" formatCode="_(* #,##0.00000000_);_(* \(#,##0.00000000\);_(* &quot;-&quot;?_);_(@_)"/>
    <numFmt numFmtId="207" formatCode="mmm\-d\-yyyy"/>
    <numFmt numFmtId="208" formatCode="mmm\-yyyy"/>
    <numFmt numFmtId="209" formatCode="yyyy"/>
    <numFmt numFmtId="210" formatCode="0.00\x&quot;rate&quot;"/>
    <numFmt numFmtId="211" formatCode="0.0&quot;  &quot;"/>
    <numFmt numFmtId="212" formatCode="&quot;$&quot;#,##0.0\ ;[Red]\(&quot;$&quot;#,##0\)"/>
    <numFmt numFmtId="213" formatCode="_(&quot;$&quot;* #,##0.00_);_(&quot;$&quot;* \(#,##0.00\);_(&quot;$&quot;* &quot;-&quot;?_);_(@_)"/>
    <numFmt numFmtId="214" formatCode="&quot;$&quot;#,##0.000_);[Red]\(&quot;$&quot;#,##0.000\)"/>
    <numFmt numFmtId="215" formatCode="&quot;$&quot;#,##0.00&quot;A&quot;;[Red]\(&quot;$&quot;#,##0.00\)&quot;A&quot;"/>
    <numFmt numFmtId="216" formatCode="#,##0.0\ ;[Red]\(&quot;$&quot;#,##0\)"/>
    <numFmt numFmtId="217" formatCode="&quot;$&quot;#,##0.00&quot;E&quot;;[Red]\(&quot;$&quot;#,##0.00\)&quot;E&quot;"/>
    <numFmt numFmtId="218" formatCode="_([$€-2]* #,##0.00_);_([$€-2]* \(#,##0.00\);_([$€-2]* &quot;-&quot;??_)"/>
    <numFmt numFmtId="219" formatCode="#,##0.00;\(#,##0.00\)"/>
    <numFmt numFmtId="220" formatCode=".%\,\(0.0%%;\t"/>
    <numFmt numFmtId="221" formatCode="#,##0.0_);[Red]\(#,##0.0\)"/>
    <numFmt numFmtId="222" formatCode="0.0%_);[Red]\(0.0%\)"/>
    <numFmt numFmtId="223" formatCode="0.00_);\(0.00\);0.00_)"/>
    <numFmt numFmtId="224" formatCode="#,##0\x"/>
    <numFmt numFmtId="225" formatCode="&quot;TKR&quot;\ 0"/>
    <numFmt numFmtId="226" formatCode=".%\,\(0.%%;\t"/>
    <numFmt numFmtId="227" formatCode="&quot;$&quot;#,###.0\ \ "/>
    <numFmt numFmtId="228" formatCode="#,##0.00\x_);[Red]\(#,##0.00\x\)"/>
    <numFmt numFmtId="229" formatCode="#,##0.000_);\(#,##0.000\)"/>
    <numFmt numFmtId="230" formatCode="#,##0.00\x_);[Red]\(#,##0.00\x\);&quot;--  &quot;"/>
    <numFmt numFmtId="231" formatCode="_(* #,##0.0_);_(* \(#,##0.0\);_(* &quot;-&quot;??_);_(@_)"/>
    <numFmt numFmtId="232" formatCode="0.0\x_);[Red]\(0.0\x\)"/>
    <numFmt numFmtId="233" formatCode="0.0\ "/>
    <numFmt numFmtId="234" formatCode="&quot;$&quot;#,##0.0;\(&quot;$&quot;#,##0.00\)"/>
    <numFmt numFmtId="235" formatCode="#,##0.00%_);\(#,##0.00%\)"/>
    <numFmt numFmtId="236" formatCode="0.00\%;\-0.00\%;0.00\%"/>
    <numFmt numFmtId="237" formatCode="0.0%\ ;\(0.0%\)"/>
    <numFmt numFmtId="238" formatCode="_(&quot;$&quot;* #,##0_);_(&quot;$&quot;* \(#,##0\);_(&quot;$&quot;* &quot;-&quot;??_);_(@_)"/>
    <numFmt numFmtId="239" formatCode="&quot;$&quot;0.00\ "/>
    <numFmt numFmtId="240" formatCode="0.0\ \ \ \ \ "/>
    <numFmt numFmtId="241" formatCode="0.00\x;\-0.00\x;0.00\x"/>
    <numFmt numFmtId="242" formatCode="&quot;$&quot;#,##0.000_);\(&quot;$&quot;#,##0.000\)"/>
    <numFmt numFmtId="243" formatCode="#,##0.0_);\(#,##0.0\);_(* &quot;-&quot;_)"/>
    <numFmt numFmtId="244" formatCode="_(&quot;$&quot;* #,##0.00_);_(&quot;$&quot;* \(#,##0.00\);_(* &quot;-&quot;_);_(@_)"/>
    <numFmt numFmtId="245" formatCode="0.00%_);[Red]\(0.00%\)"/>
    <numFmt numFmtId="246" formatCode="#,##0.0\x_);\(#,##0.0\x\)"/>
    <numFmt numFmtId="247" formatCode="#,##0.00\x_);\(#,##0.00\x\)"/>
    <numFmt numFmtId="248" formatCode="###0&quot;E&quot;_)"/>
  </numFmts>
  <fonts count="11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Calibri"/>
      <family val="2"/>
      <i val="1"/>
      <color indexed="8"/>
      <sz val="11"/>
      <scheme val="minor"/>
    </font>
    <font>
      <name val="Calibri"/>
      <family val="2"/>
      <b val="1"/>
      <i val="1"/>
      <color indexed="8"/>
      <sz val="11"/>
      <scheme val="minor"/>
    </font>
    <font>
      <name val="Calibri"/>
      <family val="2"/>
      <b val="1"/>
      <i val="1"/>
      <color theme="1"/>
      <sz val="10"/>
      <scheme val="minor"/>
    </font>
    <font>
      <name val="Calibri"/>
      <family val="2"/>
      <color indexed="8"/>
      <sz val="11"/>
      <scheme val="minor"/>
    </font>
    <font>
      <name val="Calibri"/>
      <b val="1"/>
      <sz val="11"/>
    </font>
    <font>
      <name val="Calibri"/>
      <b val="1"/>
      <color rgb="FFFFFFFF"/>
      <sz val="11"/>
    </font>
    <font>
      <name val="Calibri"/>
      <sz val="10"/>
    </font>
    <font>
      <name val="Calibri"/>
      <i val="1"/>
      <sz val="10"/>
    </font>
    <font>
      <name val="Calibri"/>
      <b val="1"/>
      <color rgb="FF1F4E79"/>
      <sz val="14"/>
    </font>
    <font>
      <name val="Calibri"/>
      <color rgb="FF0563C1"/>
      <sz val="10"/>
      <u val="single"/>
    </font>
    <font>
      <name val="Calibri"/>
      <i val="1"/>
      <sz val="9"/>
    </font>
    <font>
      <name val="Calibri"/>
      <color rgb="FF0563C1"/>
      <sz val="9"/>
      <u val="single"/>
    </font>
    <font>
      <name val="Calibri"/>
      <b val="1"/>
      <color rgb="FFFFFFFF"/>
      <sz val="10"/>
    </font>
    <font>
      <name val="Calibri"/>
      <color rgb="FF334455"/>
      <sz val="10"/>
    </font>
    <font>
      <name val="Calibri"/>
      <b val="1"/>
      <sz val="10"/>
    </font>
    <font>
      <name val="Calibri"/>
      <b val="1"/>
      <color rgb="FF0000FF"/>
      <sz val="11"/>
    </font>
    <font>
      <name val="Calibri"/>
      <i val="1"/>
      <color rgb="FF556677"/>
      <sz val="9"/>
    </font>
    <font>
      <name val="Calibri"/>
      <b val="1"/>
      <color rgb="FF0B3D5C"/>
      <sz val="14"/>
    </font>
    <font>
      <name val="Calibri"/>
      <sz val="9"/>
    </font>
    <font>
      <name val="Calibri"/>
      <b val="1"/>
      <sz val="9"/>
    </font>
    <font>
      <name val="Calibri"/>
      <b val="1"/>
      <color rgb="FFFFFFFF"/>
      <sz val="9"/>
    </font>
    <font>
      <name val="Calibri"/>
      <b val="1"/>
      <sz val="11"/>
    </font>
    <font>
      <name val="Calibri"/>
      <b val="1"/>
      <color rgb="FFC00000"/>
      <sz val="14"/>
    </font>
    <font>
      <name val="Calibri"/>
      <b val="1"/>
      <color rgb="FFFFFFFF"/>
      <sz val="12"/>
    </font>
    <font>
      <name val="Calibri"/>
      <b val="1"/>
      <sz val="12"/>
    </font>
    <font>
      <name val="Calibri"/>
      <i val="1"/>
      <sz val="11"/>
    </font>
    <font>
      <name val="Calibri"/>
      <b val="1"/>
      <color rgb="FFFFFFFF"/>
      <sz val="11"/>
    </font>
    <font>
      <b val="1"/>
      <sz val="14"/>
    </font>
    <font>
      <b val="1"/>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FFE2EFDA"/>
      </patternFill>
    </fill>
    <fill>
      <patternFill patternType="solid">
        <fgColor rgb="FF1F4E79"/>
      </patternFill>
    </fill>
    <fill>
      <patternFill patternType="solid">
        <fgColor rgb="FFC6EFCE"/>
      </patternFill>
    </fill>
    <fill>
      <patternFill patternType="solid">
        <fgColor rgb="FFFFF2CC"/>
      </patternFill>
    </fill>
    <fill>
      <patternFill patternType="solid">
        <fgColor rgb="FFE7F3FF"/>
      </patternFill>
    </fill>
    <fill>
      <patternFill patternType="solid">
        <fgColor rgb="FF0B3D5C"/>
      </patternFill>
    </fill>
    <fill>
      <patternFill patternType="solid">
        <fgColor rgb="FFE8F1F8"/>
      </patternFill>
    </fill>
    <fill>
      <patternFill patternType="solid">
        <fgColor rgb="FFF7FAFC"/>
      </patternFill>
    </fill>
    <fill>
      <patternFill patternType="solid">
        <fgColor rgb="FFFFE8A3"/>
      </patternFill>
    </fill>
    <fill>
      <patternFill patternType="solid">
        <fgColor rgb="FFF2F2F2"/>
      </patternFill>
    </fill>
    <fill>
      <patternFill patternType="solid">
        <fgColor rgb="FFFCE4D6"/>
      </patternFill>
    </fill>
    <fill>
      <patternFill patternType="solid">
        <fgColor rgb="00FFFF99"/>
      </patternFill>
    </fill>
  </fills>
  <borders count="40">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B0B0B0"/>
      </left>
      <right style="thin">
        <color rgb="FFB0B0B0"/>
      </right>
      <top style="thin">
        <color rgb="FFB0B0B0"/>
      </top>
      <bottom style="thin">
        <color rgb="FFB0B0B0"/>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right/>
      <top/>
      <bottom/>
      <diagonal/>
    </border>
    <border>
      <left style="thin">
        <color rgb="FF000000"/>
      </left>
      <right style="thin">
        <color rgb="FF000000"/>
      </right>
      <top style="thin">
        <color rgb="FF000000"/>
      </top>
      <bottom style="thin">
        <color rgb="FF000000"/>
      </bottom>
      <diagonal/>
    </border>
  </borders>
  <cellStyleXfs count="187">
    <xf numFmtId="0" fontId="0" fillId="0" borderId="38"/>
    <xf numFmtId="0" fontId="8" fillId="0" borderId="38"/>
    <xf numFmtId="195" fontId="8" fillId="0" borderId="38" applyAlignment="1">
      <alignment horizontal="right"/>
    </xf>
    <xf numFmtId="196" fontId="8" fillId="2" borderId="38"/>
    <xf numFmtId="197" fontId="8" fillId="2" borderId="38"/>
    <xf numFmtId="196" fontId="8" fillId="2" borderId="38"/>
    <xf numFmtId="198" fontId="8" fillId="2" borderId="38"/>
    <xf numFmtId="199" fontId="8" fillId="2" borderId="38" applyAlignment="1">
      <alignment horizontal="right"/>
    </xf>
    <xf numFmtId="200" fontId="9" fillId="0" borderId="38"/>
    <xf numFmtId="0" fontId="10" fillId="0" borderId="38"/>
    <xf numFmtId="201" fontId="11" fillId="0" borderId="38"/>
    <xf numFmtId="0" fontId="12" fillId="3" borderId="38"/>
    <xf numFmtId="0" fontId="12" fillId="4" borderId="38"/>
    <xf numFmtId="0" fontId="12" fillId="5" borderId="38"/>
    <xf numFmtId="0" fontId="12" fillId="6" borderId="38"/>
    <xf numFmtId="0" fontId="12" fillId="7" borderId="38"/>
    <xf numFmtId="0" fontId="12" fillId="8" borderId="38"/>
    <xf numFmtId="0" fontId="12" fillId="9" borderId="38"/>
    <xf numFmtId="0" fontId="12" fillId="10" borderId="38"/>
    <xf numFmtId="0" fontId="12" fillId="11" borderId="38"/>
    <xf numFmtId="0" fontId="12" fillId="6" borderId="38"/>
    <xf numFmtId="0" fontId="12" fillId="9" borderId="38"/>
    <xf numFmtId="0" fontId="12" fillId="12" borderId="38"/>
    <xf numFmtId="0" fontId="13" fillId="13" borderId="38"/>
    <xf numFmtId="0" fontId="13" fillId="10" borderId="38"/>
    <xf numFmtId="0" fontId="13" fillId="11" borderId="38"/>
    <xf numFmtId="0" fontId="13" fillId="14" borderId="38"/>
    <xf numFmtId="0" fontId="13" fillId="15" borderId="38"/>
    <xf numFmtId="0" fontId="13" fillId="16" borderId="38"/>
    <xf numFmtId="0" fontId="13" fillId="17" borderId="38"/>
    <xf numFmtId="0" fontId="13" fillId="18" borderId="38"/>
    <xf numFmtId="0" fontId="13" fillId="19" borderId="38"/>
    <xf numFmtId="0" fontId="13" fillId="14" borderId="38"/>
    <xf numFmtId="0" fontId="13" fillId="15" borderId="38"/>
    <xf numFmtId="0" fontId="13" fillId="20" borderId="38"/>
    <xf numFmtId="0" fontId="11" fillId="0" borderId="38"/>
    <xf numFmtId="0" fontId="14" fillId="4" borderId="38"/>
    <xf numFmtId="202" fontId="15" fillId="0" borderId="38"/>
    <xf numFmtId="38" fontId="15" fillId="0" borderId="38" applyProtection="1">
      <protection locked="0" hidden="0"/>
    </xf>
    <xf numFmtId="0" fontId="16" fillId="0" borderId="38"/>
    <xf numFmtId="37" fontId="17" fillId="0" borderId="38" applyAlignment="1">
      <alignment horizontal="centerContinuous"/>
    </xf>
    <xf numFmtId="0" fontId="18" fillId="21" borderId="5"/>
    <xf numFmtId="202" fontId="15" fillId="0" borderId="38" applyProtection="1">
      <protection locked="0" hidden="0"/>
    </xf>
    <xf numFmtId="202" fontId="15" fillId="0" borderId="6"/>
    <xf numFmtId="0" fontId="19" fillId="22" borderId="7"/>
    <xf numFmtId="0" fontId="10" fillId="0" borderId="38" applyAlignment="1" applyProtection="1">
      <alignment horizontal="center" wrapText="1"/>
      <protection locked="1" hidden="1"/>
    </xf>
    <xf numFmtId="0" fontId="20" fillId="0" borderId="8" applyAlignment="1">
      <alignment horizontal="left" vertical="center"/>
    </xf>
    <xf numFmtId="0" fontId="20" fillId="0" borderId="8" applyAlignment="1">
      <alignment horizontal="right" vertical="center"/>
    </xf>
    <xf numFmtId="43" fontId="10" fillId="0" borderId="38"/>
    <xf numFmtId="37" fontId="21" fillId="0" borderId="38"/>
    <xf numFmtId="39" fontId="21" fillId="0" borderId="38"/>
    <xf numFmtId="0" fontId="22" fillId="23" borderId="38" applyAlignment="1">
      <alignment horizontal="center" vertical="center" wrapText="1"/>
    </xf>
    <xf numFmtId="203" fontId="10" fillId="0" borderId="38" applyAlignment="1" applyProtection="1">
      <alignment horizontal="right"/>
      <protection locked="0" hidden="0"/>
    </xf>
    <xf numFmtId="0" fontId="23" fillId="0" borderId="38"/>
    <xf numFmtId="7" fontId="24" fillId="0" borderId="38"/>
    <xf numFmtId="5" fontId="21" fillId="0" borderId="38"/>
    <xf numFmtId="204" fontId="11" fillId="0" borderId="38" applyAlignment="1">
      <alignment horizontal="right"/>
    </xf>
    <xf numFmtId="205" fontId="8" fillId="2" borderId="9" applyAlignment="1">
      <alignment horizontal="right"/>
    </xf>
    <xf numFmtId="206" fontId="8" fillId="2" borderId="9" applyAlignment="1">
      <alignment horizontal="right"/>
    </xf>
    <xf numFmtId="205" fontId="8" fillId="2" borderId="9" applyAlignment="1">
      <alignment horizontal="right"/>
    </xf>
    <xf numFmtId="15" fontId="25" fillId="0" borderId="38"/>
    <xf numFmtId="207" fontId="23" fillId="24" borderId="38"/>
    <xf numFmtId="208" fontId="25" fillId="0" borderId="8"/>
    <xf numFmtId="14" fontId="26" fillId="0" borderId="38" applyAlignment="1">
      <alignment horizontal="center"/>
    </xf>
    <xf numFmtId="209" fontId="26" fillId="0" borderId="38" applyAlignment="1">
      <alignment horizontal="center"/>
    </xf>
    <xf numFmtId="210" fontId="11" fillId="0" borderId="38"/>
    <xf numFmtId="8" fontId="15" fillId="0" borderId="38"/>
    <xf numFmtId="6" fontId="15" fillId="0" borderId="38" applyAlignment="1">
      <alignment horizontal="right"/>
    </xf>
    <xf numFmtId="6" fontId="15" fillId="0" borderId="38"/>
    <xf numFmtId="39" fontId="8" fillId="25" borderId="38"/>
    <xf numFmtId="7" fontId="8" fillId="25" borderId="38"/>
    <xf numFmtId="211" fontId="8" fillId="25" borderId="38"/>
    <xf numFmtId="212" fontId="8" fillId="0" borderId="38"/>
    <xf numFmtId="213" fontId="8" fillId="25" borderId="38"/>
    <xf numFmtId="214" fontId="8" fillId="25" borderId="38"/>
    <xf numFmtId="215" fontId="16" fillId="0" borderId="38" applyAlignment="1" applyProtection="1">
      <alignment horizontal="left"/>
      <protection locked="0" hidden="0"/>
    </xf>
    <xf numFmtId="216" fontId="8" fillId="0" borderId="38"/>
    <xf numFmtId="217" fontId="16" fillId="0" borderId="38" applyAlignment="1" applyProtection="1">
      <alignment horizontal="left"/>
      <protection locked="0" hidden="0"/>
    </xf>
    <xf numFmtId="218" fontId="10" fillId="0" borderId="38"/>
    <xf numFmtId="0" fontId="27" fillId="0" borderId="38"/>
    <xf numFmtId="200" fontId="8" fillId="0" borderId="10"/>
    <xf numFmtId="219" fontId="8" fillId="2" borderId="9" applyAlignment="1">
      <alignment horizontal="right"/>
    </xf>
    <xf numFmtId="220" fontId="8" fillId="2" borderId="9" applyAlignment="1">
      <alignment horizontal="right"/>
    </xf>
    <xf numFmtId="219" fontId="8" fillId="2" borderId="9" applyAlignment="1">
      <alignment horizontal="right"/>
    </xf>
    <xf numFmtId="221" fontId="15" fillId="0" borderId="38" applyProtection="1">
      <protection locked="0" hidden="0"/>
    </xf>
    <xf numFmtId="0" fontId="28" fillId="5" borderId="38"/>
    <xf numFmtId="222" fontId="29" fillId="0" borderId="38"/>
    <xf numFmtId="200" fontId="30" fillId="0" borderId="38" applyAlignment="1" applyProtection="1">
      <alignment horizontal="left"/>
      <protection locked="0" hidden="0"/>
    </xf>
    <xf numFmtId="221" fontId="11" fillId="26" borderId="11"/>
    <xf numFmtId="0" fontId="31" fillId="0" borderId="12"/>
    <xf numFmtId="0" fontId="32" fillId="0" borderId="13"/>
    <xf numFmtId="0" fontId="33" fillId="0" borderId="14"/>
    <xf numFmtId="0" fontId="33" fillId="0" borderId="38"/>
    <xf numFmtId="221" fontId="34" fillId="0" borderId="38"/>
    <xf numFmtId="0" fontId="35" fillId="0" borderId="38"/>
    <xf numFmtId="202" fontId="15" fillId="0" borderId="38"/>
    <xf numFmtId="38" fontId="15" fillId="0" borderId="38" applyAlignment="1" applyProtection="1">
      <alignment horizontal="right"/>
      <protection locked="0" hidden="0"/>
    </xf>
    <xf numFmtId="0" fontId="36" fillId="8" borderId="5"/>
    <xf numFmtId="0" fontId="23" fillId="24" borderId="38" applyProtection="1">
      <protection locked="0" hidden="0"/>
    </xf>
    <xf numFmtId="0" fontId="10" fillId="0" borderId="38" applyAlignment="1" applyProtection="1">
      <alignment horizontal="right"/>
      <protection locked="0" hidden="0"/>
    </xf>
    <xf numFmtId="17" fontId="37" fillId="27" borderId="38"/>
    <xf numFmtId="223" fontId="10" fillId="0" borderId="38" applyAlignment="1" applyProtection="1">
      <alignment horizontal="right"/>
      <protection locked="0" hidden="0"/>
    </xf>
    <xf numFmtId="0" fontId="38" fillId="28" borderId="15" applyAlignment="1">
      <alignment horizontal="left" vertical="center" wrapText="1"/>
    </xf>
    <xf numFmtId="0" fontId="39" fillId="0" borderId="16"/>
    <xf numFmtId="173" fontId="15" fillId="0" borderId="38" applyAlignment="1">
      <alignment horizontal="right"/>
    </xf>
    <xf numFmtId="224" fontId="8" fillId="0" borderId="38" applyAlignment="1">
      <alignment horizontal="right"/>
    </xf>
    <xf numFmtId="225" fontId="8" fillId="25" borderId="38" applyAlignment="1">
      <alignment horizontal="right"/>
    </xf>
    <xf numFmtId="226" fontId="8" fillId="0" borderId="38" applyAlignment="1">
      <alignment horizontal="right"/>
    </xf>
    <xf numFmtId="224" fontId="8" fillId="0" borderId="38" applyAlignment="1">
      <alignment horizontal="right"/>
    </xf>
    <xf numFmtId="200" fontId="40" fillId="0" borderId="38" applyAlignment="1">
      <alignment horizontal="right"/>
    </xf>
    <xf numFmtId="200" fontId="40" fillId="0" borderId="38"/>
    <xf numFmtId="227" fontId="8" fillId="2" borderId="9" applyAlignment="1">
      <alignment horizontal="right"/>
    </xf>
    <xf numFmtId="228" fontId="15" fillId="0" borderId="38"/>
    <xf numFmtId="0" fontId="21" fillId="2" borderId="38" applyAlignment="1" applyProtection="1">
      <alignment horizontal="right"/>
      <protection locked="1" hidden="1"/>
    </xf>
    <xf numFmtId="0" fontId="41" fillId="26" borderId="38"/>
    <xf numFmtId="37" fontId="24" fillId="0" borderId="38"/>
    <xf numFmtId="175" fontId="10" fillId="0" borderId="38"/>
    <xf numFmtId="39" fontId="10" fillId="0" borderId="38"/>
    <xf numFmtId="229" fontId="10" fillId="0" borderId="38"/>
    <xf numFmtId="0" fontId="10" fillId="0" borderId="38"/>
    <xf numFmtId="0" fontId="25" fillId="0" borderId="38"/>
    <xf numFmtId="0" fontId="23" fillId="0" borderId="38"/>
    <xf numFmtId="230" fontId="23" fillId="0" borderId="38"/>
    <xf numFmtId="0" fontId="12" fillId="29" borderId="17"/>
    <xf numFmtId="0" fontId="21" fillId="0" borderId="38"/>
    <xf numFmtId="231" fontId="10" fillId="0" borderId="38"/>
    <xf numFmtId="0" fontId="21" fillId="0" borderId="38"/>
    <xf numFmtId="0" fontId="42" fillId="21" borderId="18"/>
    <xf numFmtId="232" fontId="15" fillId="0" borderId="38" applyAlignment="1">
      <alignment horizontal="right"/>
    </xf>
    <xf numFmtId="0" fontId="43" fillId="0" borderId="38"/>
    <xf numFmtId="0" fontId="23" fillId="0" borderId="38"/>
    <xf numFmtId="233" fontId="8" fillId="25" borderId="38"/>
    <xf numFmtId="9" fontId="15" fillId="0" borderId="38" applyAlignment="1">
      <alignment horizontal="right"/>
    </xf>
    <xf numFmtId="234" fontId="8" fillId="0" borderId="38"/>
    <xf numFmtId="0" fontId="10" fillId="0" borderId="38"/>
    <xf numFmtId="196" fontId="10" fillId="0" borderId="38"/>
    <xf numFmtId="235" fontId="10" fillId="0" borderId="38"/>
    <xf numFmtId="236" fontId="10" fillId="0" borderId="38" applyAlignment="1" applyProtection="1">
      <alignment horizontal="right"/>
      <protection locked="0" hidden="0"/>
    </xf>
    <xf numFmtId="222" fontId="15" fillId="0" borderId="38"/>
    <xf numFmtId="8" fontId="15" fillId="0" borderId="38"/>
    <xf numFmtId="202" fontId="15" fillId="0" borderId="38" applyProtection="1">
      <protection locked="0" hidden="0"/>
    </xf>
    <xf numFmtId="221" fontId="15" fillId="0" borderId="38"/>
    <xf numFmtId="38" fontId="15" fillId="0" borderId="38"/>
    <xf numFmtId="198" fontId="8" fillId="2" borderId="19" applyAlignment="1">
      <alignment horizontal="right"/>
    </xf>
    <xf numFmtId="237" fontId="44" fillId="2" borderId="38"/>
    <xf numFmtId="238" fontId="8" fillId="2" borderId="38"/>
    <xf numFmtId="0" fontId="45" fillId="0" borderId="38" applyAlignment="1">
      <alignment horizontal="center"/>
    </xf>
    <xf numFmtId="0" fontId="8" fillId="0" borderId="8" applyAlignment="1">
      <alignment horizontal="centerContinuous"/>
    </xf>
    <xf numFmtId="239" fontId="8" fillId="2" borderId="38" applyAlignment="1">
      <alignment horizontal="right"/>
    </xf>
    <xf numFmtId="240" fontId="8" fillId="2" borderId="9" applyAlignment="1">
      <alignment horizontal="right"/>
    </xf>
    <xf numFmtId="241" fontId="10" fillId="0" borderId="38" applyAlignment="1" applyProtection="1">
      <alignment horizontal="right"/>
      <protection locked="0" hidden="0"/>
    </xf>
    <xf numFmtId="221" fontId="26" fillId="0" borderId="38"/>
    <xf numFmtId="0" fontId="46" fillId="0" borderId="38" applyAlignment="1">
      <alignment horizontal="right" vertical="center"/>
    </xf>
    <xf numFmtId="0" fontId="47" fillId="23" borderId="11" applyAlignment="1" applyProtection="1">
      <alignment horizontal="center" vertical="center" wrapText="1"/>
      <protection locked="1" hidden="1"/>
    </xf>
    <xf numFmtId="202" fontId="15" fillId="0" borderId="38" applyProtection="1">
      <protection locked="0" hidden="0"/>
    </xf>
    <xf numFmtId="242" fontId="26" fillId="0" borderId="38" applyAlignment="1">
      <alignment horizontal="right"/>
    </xf>
    <xf numFmtId="38" fontId="10" fillId="0" borderId="38"/>
    <xf numFmtId="0" fontId="48" fillId="0" borderId="20" applyAlignment="1">
      <alignment horizontal="left" vertical="top" wrapText="1"/>
    </xf>
    <xf numFmtId="0" fontId="35" fillId="0" borderId="38" applyAlignment="1">
      <alignment horizontal="left" vertical="top" wrapText="1"/>
    </xf>
    <xf numFmtId="0" fontId="49" fillId="0" borderId="38" applyAlignment="1">
      <alignment horizontal="left" vertical="top" wrapText="1"/>
    </xf>
    <xf numFmtId="0" fontId="50" fillId="0" borderId="38"/>
    <xf numFmtId="0" fontId="51" fillId="30" borderId="38"/>
    <xf numFmtId="0" fontId="52" fillId="0" borderId="38" applyAlignment="1">
      <alignment vertical="top"/>
    </xf>
    <xf numFmtId="243" fontId="53" fillId="0" borderId="38" applyAlignment="1">
      <alignment horizontal="right" wrapText="1"/>
    </xf>
    <xf numFmtId="244" fontId="53" fillId="0" borderId="38" applyAlignment="1">
      <alignment horizontal="right"/>
    </xf>
    <xf numFmtId="4" fontId="23" fillId="0" borderId="38" applyAlignment="1">
      <alignment horizontal="right"/>
    </xf>
    <xf numFmtId="214" fontId="54" fillId="0" borderId="38"/>
    <xf numFmtId="245" fontId="55" fillId="0" borderId="38" applyAlignment="1" applyProtection="1">
      <alignment horizontal="left"/>
      <protection locked="0" hidden="0"/>
    </xf>
    <xf numFmtId="245" fontId="55" fillId="0" borderId="38"/>
    <xf numFmtId="245" fontId="56" fillId="0" borderId="38" applyAlignment="1" applyProtection="1">
      <alignment horizontal="left"/>
      <protection locked="0" hidden="0"/>
    </xf>
    <xf numFmtId="245" fontId="56" fillId="0" borderId="38" applyProtection="1">
      <protection locked="0" hidden="0"/>
    </xf>
    <xf numFmtId="221" fontId="15" fillId="0" borderId="38" applyProtection="1">
      <protection locked="0" hidden="0"/>
    </xf>
    <xf numFmtId="221" fontId="54" fillId="0" borderId="38"/>
    <xf numFmtId="49" fontId="57" fillId="0" borderId="38"/>
    <xf numFmtId="246" fontId="10" fillId="0" borderId="38"/>
    <xf numFmtId="247" fontId="10" fillId="0" borderId="38"/>
    <xf numFmtId="0" fontId="58" fillId="0" borderId="38"/>
    <xf numFmtId="0" fontId="59" fillId="1" borderId="38" applyAlignment="1">
      <alignment horizontal="left" vertical="center"/>
    </xf>
    <xf numFmtId="221" fontId="60" fillId="0" borderId="38"/>
    <xf numFmtId="0" fontId="10" fillId="0" borderId="38"/>
    <xf numFmtId="38" fontId="61" fillId="0" borderId="38" applyAlignment="1">
      <alignment horizontal="left"/>
    </xf>
    <xf numFmtId="0" fontId="62" fillId="0" borderId="38"/>
    <xf numFmtId="0" fontId="63" fillId="0" borderId="21"/>
    <xf numFmtId="0" fontId="64" fillId="0" borderId="38"/>
    <xf numFmtId="1" fontId="15" fillId="0" borderId="38"/>
    <xf numFmtId="248" fontId="24" fillId="0" borderId="38"/>
    <xf numFmtId="242" fontId="16" fillId="0" borderId="38"/>
  </cellStyleXfs>
  <cellXfs count="445">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1" pivotButton="0" quotePrefix="0" xfId="0"/>
    <xf numFmtId="0" fontId="65" fillId="0" borderId="0" pivotButton="0" quotePrefix="0" xfId="0"/>
    <xf numFmtId="14" fontId="66" fillId="0" borderId="0" pivotButton="0" quotePrefix="0" xfId="0"/>
    <xf numFmtId="0" fontId="1" fillId="0" borderId="2" pivotButton="0" quotePrefix="0" xfId="0"/>
    <xf numFmtId="0" fontId="65"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6" fillId="0" borderId="2" pivotButton="0" quotePrefix="0" xfId="0"/>
    <xf numFmtId="168" fontId="67" fillId="0" borderId="2" pivotButton="0" quotePrefix="0" xfId="0"/>
    <xf numFmtId="168" fontId="66" fillId="0" borderId="2" pivotButton="0" quotePrefix="0" xfId="0"/>
    <xf numFmtId="0" fontId="66" fillId="0" borderId="0" pivotButton="0" quotePrefix="0" xfId="0"/>
    <xf numFmtId="168" fontId="67" fillId="0" borderId="0" pivotButton="0" quotePrefix="0" xfId="0"/>
    <xf numFmtId="168" fontId="66" fillId="0" borderId="0" pivotButton="0" quotePrefix="0" xfId="0"/>
    <xf numFmtId="0" fontId="1" fillId="0" borderId="0" pivotButton="0" quotePrefix="0" xfId="0"/>
    <xf numFmtId="37" fontId="0" fillId="0" borderId="0" pivotButton="0" quotePrefix="0" xfId="0"/>
    <xf numFmtId="37" fontId="6" fillId="0" borderId="0" pivotButton="0" quotePrefix="0" xfId="0"/>
    <xf numFmtId="0" fontId="68"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165" fontId="5"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37" fontId="5" fillId="0" borderId="0" pivotButton="0" quotePrefix="0" xfId="0"/>
    <xf numFmtId="9" fontId="5" fillId="0" borderId="0" pivotButton="0" quotePrefix="0" xfId="0"/>
    <xf numFmtId="3" fontId="0" fillId="0" borderId="0" pivotButton="0" quotePrefix="0" xfId="0"/>
    <xf numFmtId="37" fontId="1" fillId="0" borderId="0" pivotButton="0" quotePrefix="0" xfId="0"/>
    <xf numFmtId="10" fontId="4"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1" fillId="0" borderId="3" pivotButton="0" quotePrefix="0" xfId="0"/>
    <xf numFmtId="37" fontId="70" fillId="0" borderId="0" pivotButton="0" quotePrefix="0" xfId="0"/>
    <xf numFmtId="14" fontId="0" fillId="0" borderId="0" pivotButton="0" quotePrefix="0" xfId="0"/>
    <xf numFmtId="14" fontId="1" fillId="0" borderId="3" pivotButton="0" quotePrefix="0" xfId="0"/>
    <xf numFmtId="0" fontId="66" fillId="0" borderId="0" applyAlignment="1" pivotButton="0" quotePrefix="0" xfId="0">
      <alignment horizontal="left"/>
    </xf>
    <xf numFmtId="171" fontId="5" fillId="0" borderId="0" pivotButton="0" quotePrefix="0" xfId="0"/>
    <xf numFmtId="172" fontId="1" fillId="0" borderId="0" pivotButton="0" quotePrefix="0" xfId="0"/>
    <xf numFmtId="0" fontId="69" fillId="0" borderId="0" pivotButton="0" quotePrefix="0" xfId="0"/>
    <xf numFmtId="173" fontId="5" fillId="0" borderId="0" pivotButton="0" quotePrefix="0" xfId="0"/>
    <xf numFmtId="39" fontId="5" fillId="0" borderId="0" pivotButton="0" quotePrefix="0" xfId="0"/>
    <xf numFmtId="173" fontId="4" fillId="0" borderId="0" pivotButton="0" quotePrefix="0" xfId="0"/>
    <xf numFmtId="172" fontId="70" fillId="0" borderId="0" pivotButton="0" quotePrefix="0" xfId="0"/>
    <xf numFmtId="0" fontId="66" fillId="0" borderId="0" applyAlignment="1" pivotButton="0" quotePrefix="0" xfId="0">
      <alignment horizontal="left" indent="1"/>
    </xf>
    <xf numFmtId="165" fontId="73" fillId="0" borderId="0" pivotButton="0" quotePrefix="0" xfId="0"/>
    <xf numFmtId="174" fontId="0" fillId="0" borderId="0" pivotButton="0" quotePrefix="0" xfId="0"/>
    <xf numFmtId="165" fontId="66" fillId="0" borderId="0" pivotButton="0" quotePrefix="0" xfId="0"/>
    <xf numFmtId="171" fontId="66" fillId="0" borderId="0" pivotButton="0" quotePrefix="0" xfId="0"/>
    <xf numFmtId="171" fontId="0" fillId="0" borderId="0" pivotButton="0" quotePrefix="0" xfId="0"/>
    <xf numFmtId="0" fontId="74" fillId="0" borderId="0" pivotButton="0" quotePrefix="0" xfId="0"/>
    <xf numFmtId="37" fontId="1" fillId="0" borderId="0" applyAlignment="1" pivotButton="0" quotePrefix="0" xfId="0">
      <alignment vertical="center"/>
    </xf>
    <xf numFmtId="172" fontId="0" fillId="0" borderId="25" pivotButton="0" quotePrefix="0" xfId="0"/>
    <xf numFmtId="0" fontId="76" fillId="31" borderId="30" applyAlignment="1" pivotButton="0" quotePrefix="0" xfId="0">
      <alignment horizontal="center"/>
    </xf>
    <xf numFmtId="173" fontId="75" fillId="0" borderId="29" applyAlignment="1" pivotButton="0" quotePrefix="0" xfId="0">
      <alignment horizontal="center"/>
    </xf>
    <xf numFmtId="172" fontId="0" fillId="0" borderId="0" pivotButton="0" quotePrefix="0" xfId="0"/>
    <xf numFmtId="0" fontId="79" fillId="0" borderId="3" pivotButton="0" quotePrefix="0" xfId="0"/>
    <xf numFmtId="0" fontId="0" fillId="0" borderId="31" pivotButton="0" quotePrefix="0" xfId="0"/>
    <xf numFmtId="0" fontId="0" fillId="0" borderId="0" applyAlignment="1" pivotButton="0" quotePrefix="0" xfId="0">
      <alignment horizontal="right"/>
    </xf>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4"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68" fillId="0" borderId="0" applyAlignment="1" pivotButton="0" quotePrefix="0" xfId="0">
      <alignment horizontal="right"/>
    </xf>
    <xf numFmtId="9" fontId="77" fillId="0" borderId="0" applyAlignment="1" pivotButton="0" quotePrefix="0" xfId="0">
      <alignment horizontal="right"/>
    </xf>
    <xf numFmtId="9" fontId="78" fillId="0" borderId="0" applyAlignment="1" pivotButton="0" quotePrefix="0" xfId="0">
      <alignment horizontal="right"/>
    </xf>
    <xf numFmtId="164" fontId="5" fillId="0" borderId="0" pivotButton="0" quotePrefix="0" xfId="0"/>
    <xf numFmtId="39" fontId="0"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6" fillId="0" borderId="0" applyAlignment="1" pivotButton="0" quotePrefix="0" xfId="0">
      <alignment horizontal="left" indent="3"/>
    </xf>
    <xf numFmtId="0" fontId="66" fillId="0" borderId="0" applyAlignment="1" pivotButton="0" quotePrefix="0" xfId="0">
      <alignment horizontal="left" indent="2"/>
    </xf>
    <xf numFmtId="170" fontId="5" fillId="0" borderId="0" pivotButton="0" quotePrefix="0" xfId="0"/>
    <xf numFmtId="170" fontId="67"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68" fillId="0" borderId="0" applyAlignment="1" pivotButton="0" quotePrefix="0" xfId="0">
      <alignment horizontal="left" indent="1"/>
    </xf>
    <xf numFmtId="0" fontId="4" fillId="0" borderId="0" applyAlignment="1" pivotButton="0" quotePrefix="0" xfId="0">
      <alignment horizontal="left" indent="2"/>
    </xf>
    <xf numFmtId="0" fontId="3" fillId="0" borderId="0" applyAlignment="1" pivotButton="0" quotePrefix="0" xfId="0">
      <alignment horizontal="left" indent="1"/>
    </xf>
    <xf numFmtId="0" fontId="81"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5"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65" fontId="4" fillId="0" borderId="0" applyAlignment="1" pivotButton="0" quotePrefix="0" xfId="0">
      <alignment horizontal="center"/>
    </xf>
    <xf numFmtId="0" fontId="68" fillId="0" borderId="4" applyAlignment="1" pivotButton="0" quotePrefix="0" xfId="0">
      <alignment horizontal="center"/>
    </xf>
    <xf numFmtId="0" fontId="68" fillId="0" borderId="33" applyAlignment="1" pivotButton="0" quotePrefix="0" xfId="0">
      <alignment horizontal="center"/>
    </xf>
    <xf numFmtId="0" fontId="68"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9" fontId="67" fillId="0" borderId="0" applyAlignment="1" pivotButton="0" quotePrefix="0" xfId="0">
      <alignment horizontal="right"/>
    </xf>
    <xf numFmtId="0" fontId="68" fillId="0" borderId="0" applyAlignment="1" pivotButton="0" quotePrefix="0" xfId="0">
      <alignment horizontal="left" indent="2"/>
    </xf>
    <xf numFmtId="0" fontId="66" fillId="0" borderId="0" applyAlignment="1" pivotButton="0" quotePrefix="0" xfId="0">
      <alignment horizontal="right"/>
    </xf>
    <xf numFmtId="9" fontId="67" fillId="0" borderId="0" pivotButton="0" quotePrefix="0" xfId="0"/>
    <xf numFmtId="0" fontId="83"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6" fillId="0" borderId="2" applyAlignment="1" pivotButton="0" quotePrefix="0" xfId="0">
      <alignment horizontal="centerContinuous"/>
    </xf>
    <xf numFmtId="0" fontId="66" fillId="0" borderId="0" applyAlignment="1" pivotButton="0" quotePrefix="0" xfId="0">
      <alignment horizontal="centerContinuous"/>
    </xf>
    <xf numFmtId="0" fontId="83"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37" fontId="72" fillId="0" borderId="0" pivotButton="0" quotePrefix="0" xfId="0"/>
    <xf numFmtId="0" fontId="80" fillId="0" borderId="0" applyAlignment="1" pivotButton="0" quotePrefix="0" xfId="0">
      <alignment horizontal="right"/>
    </xf>
    <xf numFmtId="37" fontId="84" fillId="0" borderId="0" pivotButton="0" quotePrefix="0" xfId="0"/>
    <xf numFmtId="178" fontId="5" fillId="0" borderId="0" applyAlignment="1" pivotButton="0" quotePrefix="0" xfId="0">
      <alignment horizontal="right"/>
    </xf>
    <xf numFmtId="165" fontId="67"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68" fillId="0" borderId="0" applyAlignment="1" pivotButton="0" quotePrefix="0" xfId="0">
      <alignment horizontal="left"/>
    </xf>
    <xf numFmtId="180" fontId="70" fillId="0" borderId="0" pivotButton="0" quotePrefix="0" xfId="0"/>
    <xf numFmtId="172" fontId="7" fillId="0" borderId="0" pivotButton="0" quotePrefix="0" xfId="0"/>
    <xf numFmtId="175" fontId="70" fillId="0" borderId="0" pivotButton="0" quotePrefix="0" xfId="0"/>
    <xf numFmtId="175" fontId="0" fillId="0" borderId="2" pivotButton="0" quotePrefix="0" xfId="0"/>
    <xf numFmtId="175" fontId="0" fillId="0" borderId="0" applyAlignment="1" pivotButton="0" quotePrefix="0" xfId="0">
      <alignment horizontal="right"/>
    </xf>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6" fillId="0" borderId="0" applyAlignment="1" pivotButton="0" quotePrefix="0" xfId="0">
      <alignment horizontal="right"/>
    </xf>
    <xf numFmtId="175" fontId="66" fillId="0" borderId="0" pivotButton="0" quotePrefix="0" xfId="0"/>
    <xf numFmtId="37" fontId="4" fillId="0" borderId="0" applyAlignment="1" pivotButton="0" quotePrefix="0" xfId="0">
      <alignment horizontal="right"/>
    </xf>
    <xf numFmtId="164" fontId="1" fillId="0" borderId="0" pivotButton="0" quotePrefix="0" xfId="0"/>
    <xf numFmtId="168" fontId="0" fillId="0" borderId="2" pivotButton="0" quotePrefix="0" xfId="0"/>
    <xf numFmtId="0" fontId="87" fillId="0" borderId="0" applyAlignment="1" pivotButton="0" quotePrefix="0" xfId="0">
      <alignment horizontal="centerContinuous"/>
    </xf>
    <xf numFmtId="0" fontId="85"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0" fontId="87" fillId="0" borderId="0" pivotButton="0" quotePrefix="0" xfId="0"/>
    <xf numFmtId="0" fontId="83" fillId="0" borderId="0" applyAlignment="1" pivotButton="0" quotePrefix="0" xfId="0">
      <alignment horizontal="right"/>
    </xf>
    <xf numFmtId="175" fontId="66" fillId="0" borderId="2" pivotButton="0" quotePrefix="0" xfId="0"/>
    <xf numFmtId="182" fontId="5" fillId="0" borderId="0" pivotButton="0" quotePrefix="0" xfId="0"/>
    <xf numFmtId="175" fontId="0" fillId="0" borderId="29" pivotButton="0" quotePrefix="0" xfId="0"/>
    <xf numFmtId="175" fontId="68" fillId="0" borderId="0" pivotButton="0" quotePrefix="0" xfId="0"/>
    <xf numFmtId="175" fontId="66" fillId="0" borderId="0" applyAlignment="1" pivotButton="0" quotePrefix="0" xfId="0">
      <alignment horizontal="right"/>
    </xf>
    <xf numFmtId="175" fontId="3" fillId="0" borderId="0" pivotButton="0" quotePrefix="0" xfId="0"/>
    <xf numFmtId="175" fontId="4" fillId="0" borderId="29"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6"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88" fillId="0" borderId="0" applyAlignment="1" pivotButton="0" quotePrefix="0" xfId="0">
      <alignment horizontal="centerContinuous"/>
    </xf>
    <xf numFmtId="176" fontId="7" fillId="0" borderId="0" pivotButton="0" quotePrefix="0" xfId="0"/>
    <xf numFmtId="170" fontId="7" fillId="0" borderId="0" pivotButton="0" quotePrefix="0" xfId="0"/>
    <xf numFmtId="175" fontId="4" fillId="0" borderId="0" applyAlignment="1" pivotButton="0" quotePrefix="0" xfId="0">
      <alignment horizontal="right"/>
    </xf>
    <xf numFmtId="0" fontId="81"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6" fillId="0" borderId="0" applyAlignment="1" pivotButton="0" quotePrefix="0" xfId="0">
      <alignment horizontal="left"/>
    </xf>
    <xf numFmtId="172" fontId="73" fillId="0" borderId="0" applyAlignment="1" pivotButton="0" quotePrefix="0" xfId="0">
      <alignment horizontal="right"/>
    </xf>
    <xf numFmtId="0" fontId="73" fillId="0" borderId="0" applyAlignment="1" pivotButton="0" quotePrefix="0" xfId="0">
      <alignment horizontal="left" indent="1"/>
    </xf>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177" fontId="67" fillId="0" borderId="0" applyAlignment="1" pivotButton="0" quotePrefix="0" xfId="0">
      <alignment horizontal="centerContinuous"/>
    </xf>
    <xf numFmtId="0" fontId="83" fillId="0" borderId="2" applyAlignment="1" pivotButton="0" quotePrefix="0" xfId="0">
      <alignment horizontal="centerContinuous"/>
    </xf>
    <xf numFmtId="177" fontId="67" fillId="0" borderId="2" applyAlignment="1" pivotButton="0" quotePrefix="0" xfId="0">
      <alignment horizontal="centerContinuous"/>
    </xf>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89" fillId="0" borderId="0" applyAlignment="1" pivotButton="0" quotePrefix="0" xfId="186">
      <alignment horizontal="center"/>
    </xf>
    <xf numFmtId="185" fontId="67" fillId="0" borderId="0" applyAlignment="1" pivotButton="0" quotePrefix="0" xfId="186">
      <alignment horizontal="center"/>
    </xf>
    <xf numFmtId="185" fontId="84" fillId="0" borderId="0" applyAlignment="1" applyProtection="1" pivotButton="0" quotePrefix="0" xfId="186">
      <alignment horizontal="center"/>
      <protection locked="0" hidden="0"/>
    </xf>
    <xf numFmtId="185" fontId="90"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37" fontId="0" fillId="0" borderId="31" pivotButton="0" quotePrefix="0" xfId="0"/>
    <xf numFmtId="39" fontId="0" fillId="0" borderId="31" pivotButton="0" quotePrefix="0" xfId="0"/>
    <xf numFmtId="170" fontId="66" fillId="0" borderId="31" pivotButton="0" quotePrefix="0" xfId="0"/>
    <xf numFmtId="37" fontId="1" fillId="0" borderId="31" pivotButton="0" quotePrefix="0" xfId="0"/>
    <xf numFmtId="171" fontId="0" fillId="0" borderId="32" pivotButton="0" quotePrefix="0" xfId="0"/>
    <xf numFmtId="170" fontId="66" fillId="0" borderId="0" pivotButton="0" quotePrefix="0" xfId="0"/>
    <xf numFmtId="181" fontId="7" fillId="31" borderId="29" applyAlignment="1" pivotButton="0" quotePrefix="0" xfId="0">
      <alignment horizontal="center"/>
    </xf>
    <xf numFmtId="171" fontId="86" fillId="0" borderId="0" applyAlignment="1" pivotButton="0" quotePrefix="0" xfId="0">
      <alignment horizontal="center"/>
    </xf>
    <xf numFmtId="164" fontId="0" fillId="0" borderId="24" applyAlignment="1" pivotButton="0" quotePrefix="0" xfId="0">
      <alignment horizontal="center"/>
    </xf>
    <xf numFmtId="186" fontId="66"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6" fillId="0" borderId="24" applyAlignment="1" pivotButton="0" quotePrefix="0" xfId="0">
      <alignment horizontal="center"/>
    </xf>
    <xf numFmtId="0" fontId="66"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3"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6"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87" fontId="1"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173" fontId="0" fillId="0" borderId="0" applyAlignment="1" pivotButton="0" quotePrefix="0" xfId="0">
      <alignment horizontal="center"/>
    </xf>
    <xf numFmtId="0" fontId="87" fillId="0" borderId="0" applyAlignment="1" pivotButton="0" quotePrefix="0" xfId="0">
      <alignment horizontal="right"/>
    </xf>
    <xf numFmtId="0" fontId="7" fillId="31" borderId="29" applyAlignment="1" pivotButton="0" quotePrefix="0" xfId="0">
      <alignment horizontal="center" vertical="center"/>
    </xf>
    <xf numFmtId="188" fontId="77" fillId="0" borderId="0" pivotButton="0" quotePrefix="0" xfId="0"/>
    <xf numFmtId="0" fontId="85" fillId="0" borderId="0" applyAlignment="1" pivotButton="0" quotePrefix="0" xfId="0">
      <alignment horizontal="right"/>
    </xf>
    <xf numFmtId="164" fontId="78" fillId="0" borderId="0" pivotButton="0" quotePrefix="0" xfId="0"/>
    <xf numFmtId="164" fontId="91" fillId="0" borderId="0" pivotButton="0" quotePrefix="0" xfId="0"/>
    <xf numFmtId="164" fontId="82"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75" fontId="78" fillId="0" borderId="0" pivotButton="0" quotePrefix="0" xfId="0"/>
    <xf numFmtId="189" fontId="5" fillId="0" borderId="0" pivotButton="0" quotePrefix="0" xfId="0"/>
    <xf numFmtId="165" fontId="70" fillId="0" borderId="0" pivotButton="0" quotePrefix="0" xfId="0"/>
    <xf numFmtId="180" fontId="4"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2" fillId="0" borderId="8" pivotButton="0" quotePrefix="0" xfId="0"/>
    <xf numFmtId="0" fontId="94" fillId="34" borderId="0" pivotButton="0" quotePrefix="0" xfId="0"/>
    <xf numFmtId="0" fontId="94" fillId="34" borderId="0" applyAlignment="1" pivotButton="0" quotePrefix="0" xfId="0">
      <alignment horizontal="center" wrapText="1"/>
    </xf>
    <xf numFmtId="0" fontId="97" fillId="0" borderId="0" pivotButton="0" quotePrefix="0" xfId="0"/>
    <xf numFmtId="0" fontId="93" fillId="0" borderId="0" pivotButton="0" quotePrefix="0" xfId="0"/>
    <xf numFmtId="173" fontId="0" fillId="33" borderId="35" pivotButton="0" quotePrefix="0" xfId="0"/>
    <xf numFmtId="190" fontId="0" fillId="33" borderId="35" pivotButton="0" quotePrefix="0" xfId="0"/>
    <xf numFmtId="0" fontId="0" fillId="35" borderId="0" pivotButton="0" quotePrefix="0" xfId="0"/>
    <xf numFmtId="0" fontId="98" fillId="0" borderId="0" pivotButton="0" quotePrefix="0" xfId="0"/>
    <xf numFmtId="0" fontId="95" fillId="0" borderId="35" applyAlignment="1" pivotButton="0" quotePrefix="0" xfId="0">
      <alignment vertical="top" wrapText="1"/>
    </xf>
    <xf numFmtId="0" fontId="98" fillId="0" borderId="35" applyAlignment="1" pivotButton="0" quotePrefix="0" xfId="0">
      <alignment vertical="top" wrapText="1"/>
    </xf>
    <xf numFmtId="0" fontId="95" fillId="37" borderId="35" applyAlignment="1" pivotButton="0" quotePrefix="0" xfId="0">
      <alignment vertical="top" wrapText="1"/>
    </xf>
    <xf numFmtId="0" fontId="0" fillId="0" borderId="0" applyAlignment="1" pivotButton="0" quotePrefix="0" xfId="0">
      <alignment vertical="top" wrapText="1"/>
    </xf>
    <xf numFmtId="0" fontId="95" fillId="0" borderId="0" pivotButton="0" quotePrefix="0" xfId="0"/>
    <xf numFmtId="190" fontId="0" fillId="33" borderId="0" pivotButton="0" quotePrefix="0" xfId="0"/>
    <xf numFmtId="173" fontId="0" fillId="33" borderId="0" pivotButton="0" quotePrefix="0" xfId="0"/>
    <xf numFmtId="0" fontId="98" fillId="0" borderId="0" applyAlignment="1" pivotButton="0" quotePrefix="0" xfId="0">
      <alignment vertical="top" wrapText="1"/>
    </xf>
    <xf numFmtId="0" fontId="99" fillId="0" borderId="0" pivotButton="0" quotePrefix="0" xfId="0"/>
    <xf numFmtId="0" fontId="100" fillId="0" borderId="35" applyAlignment="1" pivotButton="0" quotePrefix="0" xfId="0">
      <alignment vertical="top" wrapText="1"/>
    </xf>
    <xf numFmtId="0" fontId="0" fillId="33" borderId="35" pivotButton="0" quotePrefix="0" xfId="0"/>
    <xf numFmtId="0" fontId="101" fillId="38" borderId="36" applyAlignment="1" pivotButton="0" quotePrefix="0" xfId="0">
      <alignment horizontal="center" vertical="center" wrapText="1"/>
    </xf>
    <xf numFmtId="0" fontId="103" fillId="0" borderId="36" applyAlignment="1" pivotButton="0" quotePrefix="0" xfId="0">
      <alignment vertical="top" wrapText="1"/>
    </xf>
    <xf numFmtId="0" fontId="95" fillId="39" borderId="36" applyAlignment="1" pivotButton="0" quotePrefix="0" xfId="0">
      <alignment vertical="top" wrapText="1"/>
    </xf>
    <xf numFmtId="0" fontId="100" fillId="0" borderId="36" applyAlignment="1" pivotButton="0" quotePrefix="0" xfId="0">
      <alignment vertical="top" wrapText="1"/>
    </xf>
    <xf numFmtId="0" fontId="103" fillId="40" borderId="36" applyAlignment="1" pivotButton="0" quotePrefix="0" xfId="0">
      <alignment vertical="top" wrapText="1"/>
    </xf>
    <xf numFmtId="0" fontId="103" fillId="0" borderId="0" pivotButton="0" quotePrefix="0" xfId="0"/>
    <xf numFmtId="10" fontId="95" fillId="33" borderId="36" applyAlignment="1" pivotButton="0" quotePrefix="0" xfId="0">
      <alignment horizontal="center" vertical="center"/>
    </xf>
    <xf numFmtId="0" fontId="0" fillId="41" borderId="36" applyAlignment="1" pivotButton="0" quotePrefix="0" xfId="0">
      <alignment vertical="top" wrapText="1"/>
    </xf>
    <xf numFmtId="0" fontId="105" fillId="0" borderId="0" pivotButton="0" quotePrefix="0" xfId="0"/>
    <xf numFmtId="173" fontId="0" fillId="33" borderId="36" pivotButton="0" quotePrefix="0" xfId="0"/>
    <xf numFmtId="0" fontId="0" fillId="39" borderId="36" applyAlignment="1" pivotButton="0" quotePrefix="0" xfId="0">
      <alignment vertical="top" wrapText="1"/>
    </xf>
    <xf numFmtId="190" fontId="0" fillId="33" borderId="36" pivotButton="0" quotePrefix="0" xfId="0"/>
    <xf numFmtId="191" fontId="0" fillId="33" borderId="36" pivotButton="0" quotePrefix="0" xfId="0"/>
    <xf numFmtId="1" fontId="0" fillId="33" borderId="36" pivotButton="0" quotePrefix="0" xfId="0"/>
    <xf numFmtId="0" fontId="106" fillId="0" borderId="0" pivotButton="0" quotePrefix="0" xfId="0"/>
    <xf numFmtId="0" fontId="100" fillId="0" borderId="0" applyAlignment="1" pivotButton="0" quotePrefix="0" xfId="0">
      <alignment vertical="top" wrapText="1"/>
    </xf>
    <xf numFmtId="0" fontId="109" fillId="34" borderId="0" applyAlignment="1" pivotButton="0" quotePrefix="0" xfId="0">
      <alignment vertical="top" wrapText="1"/>
    </xf>
    <xf numFmtId="0" fontId="107" fillId="35" borderId="35" applyAlignment="1" pivotButton="0" quotePrefix="0" xfId="0">
      <alignment vertical="top" wrapText="1"/>
    </xf>
    <xf numFmtId="0" fontId="107" fillId="42" borderId="35" applyAlignment="1" pivotButton="0" quotePrefix="0" xfId="0">
      <alignment vertical="top" wrapText="1"/>
    </xf>
    <xf numFmtId="0" fontId="107" fillId="0" borderId="0" applyAlignment="1" pivotButton="0" quotePrefix="0" xfId="0">
      <alignment vertical="top" wrapText="1"/>
    </xf>
    <xf numFmtId="0" fontId="109" fillId="34" borderId="0" applyAlignment="1" pivotButton="0" quotePrefix="0" xfId="0">
      <alignment horizontal="center" vertical="center" wrapText="1"/>
    </xf>
    <xf numFmtId="0" fontId="103" fillId="43" borderId="35" applyAlignment="1" pivotButton="0" quotePrefix="0" xfId="0">
      <alignment horizontal="center" vertical="center" wrapText="1"/>
    </xf>
    <xf numFmtId="0" fontId="109" fillId="34" borderId="0" pivotButton="0" quotePrefix="0" xfId="0"/>
    <xf numFmtId="0" fontId="103" fillId="35" borderId="35" pivotButton="0" quotePrefix="0" xfId="0"/>
    <xf numFmtId="0" fontId="103" fillId="43" borderId="35" pivotButton="0" quotePrefix="0" xfId="0"/>
    <xf numFmtId="0" fontId="103" fillId="0" borderId="0" applyAlignment="1" pivotButton="0" quotePrefix="0" xfId="0">
      <alignment vertical="top" wrapText="1"/>
    </xf>
    <xf numFmtId="0" fontId="93" fillId="0" borderId="0" applyAlignment="1" pivotButton="0" quotePrefix="0" xfId="0">
      <alignment vertical="top" wrapText="1"/>
    </xf>
    <xf numFmtId="0" fontId="108" fillId="34" borderId="36" applyAlignment="1" pivotButton="0" quotePrefix="0" xfId="0">
      <alignment vertical="top" wrapText="1"/>
    </xf>
    <xf numFmtId="0" fontId="107" fillId="0" borderId="37" applyAlignment="1" pivotButton="0" quotePrefix="0" xfId="0">
      <alignment vertical="top" wrapText="1"/>
    </xf>
    <xf numFmtId="0" fontId="107" fillId="43" borderId="37" applyAlignment="1" pivotButton="0" quotePrefix="0" xfId="0">
      <alignment vertical="top" wrapText="1"/>
    </xf>
    <xf numFmtId="173" fontId="104" fillId="35" borderId="37" applyAlignment="1" pivotButton="0" quotePrefix="0" xfId="0">
      <alignment vertical="top" wrapText="1"/>
    </xf>
    <xf numFmtId="0" fontId="107" fillId="39" borderId="37" applyAlignment="1" pivotButton="0" quotePrefix="0" xfId="0">
      <alignment vertical="top" wrapText="1"/>
    </xf>
    <xf numFmtId="0" fontId="100" fillId="35" borderId="37" applyAlignment="1" pivotButton="0" quotePrefix="0" xfId="0">
      <alignment vertical="top" wrapText="1"/>
    </xf>
    <xf numFmtId="0" fontId="107" fillId="36" borderId="37" applyAlignment="1" pivotButton="0" quotePrefix="0" xfId="0">
      <alignment vertical="top" wrapText="1"/>
    </xf>
    <xf numFmtId="0" fontId="107" fillId="40" borderId="37" applyAlignment="1" pivotButton="0" quotePrefix="0" xfId="0">
      <alignment vertical="top" wrapText="1"/>
    </xf>
    <xf numFmtId="0" fontId="107" fillId="35" borderId="37" applyAlignment="1" pivotButton="0" quotePrefix="0" xfId="0">
      <alignment vertical="top" wrapText="1"/>
    </xf>
    <xf numFmtId="0" fontId="107" fillId="42" borderId="37" applyAlignment="1" pivotButton="0" quotePrefix="0" xfId="0">
      <alignment vertical="top" wrapText="1"/>
    </xf>
    <xf numFmtId="182" fontId="104" fillId="35" borderId="37" applyAlignment="1" pivotButton="0" quotePrefix="0" xfId="0">
      <alignment vertical="top" wrapText="1"/>
    </xf>
    <xf numFmtId="190" fontId="104" fillId="35" borderId="37" applyAlignment="1" pivotButton="0" quotePrefix="0" xfId="0">
      <alignment vertical="top" wrapText="1"/>
    </xf>
    <xf numFmtId="0" fontId="100" fillId="0" borderId="37" applyAlignment="1" pivotButton="0" quotePrefix="0" xfId="0">
      <alignment vertical="top" wrapText="1"/>
    </xf>
    <xf numFmtId="0" fontId="100" fillId="36" borderId="37" applyAlignment="1" pivotButton="0" quotePrefix="0" xfId="0">
      <alignment vertical="top" wrapText="1"/>
    </xf>
    <xf numFmtId="173" fontId="0" fillId="35" borderId="37" applyAlignment="1" pivotButton="0" quotePrefix="0" xfId="0">
      <alignment vertical="top" wrapText="1"/>
    </xf>
    <xf numFmtId="0" fontId="108" fillId="0" borderId="37" applyAlignment="1" pivotButton="0" quotePrefix="0" xfId="0">
      <alignment vertical="top" wrapText="1"/>
    </xf>
    <xf numFmtId="10" fontId="107" fillId="0" borderId="37" applyAlignment="1" pivotButton="0" quotePrefix="0" xfId="0">
      <alignment vertical="top" wrapText="1"/>
    </xf>
    <xf numFmtId="0" fontId="111" fillId="0" borderId="38" pivotButton="0" quotePrefix="0" xfId="0"/>
    <xf numFmtId="0" fontId="0" fillId="0" borderId="38" pivotButton="0" quotePrefix="0" xfId="0"/>
    <xf numFmtId="0" fontId="103" fillId="0" borderId="38" applyAlignment="1" pivotButton="0" quotePrefix="0" xfId="0">
      <alignment vertical="center"/>
    </xf>
    <xf numFmtId="4" fontId="103" fillId="0" borderId="38" applyAlignment="1" pivotButton="0" quotePrefix="0" xfId="0">
      <alignment vertical="center"/>
    </xf>
    <xf numFmtId="0" fontId="114" fillId="0" borderId="38" pivotButton="0" quotePrefix="0" xfId="0"/>
    <xf numFmtId="0" fontId="115" fillId="34" borderId="39" applyAlignment="1" pivotButton="0" quotePrefix="0" xfId="0">
      <alignment horizontal="center" vertical="center"/>
    </xf>
    <xf numFmtId="0" fontId="110" fillId="36" borderId="39" applyAlignment="1" pivotButton="0" quotePrefix="0" xfId="0">
      <alignment vertical="center"/>
    </xf>
    <xf numFmtId="4" fontId="110" fillId="36" borderId="39" applyAlignment="1" pivotButton="0" quotePrefix="0" xfId="0">
      <alignment vertical="center"/>
    </xf>
    <xf numFmtId="0" fontId="112" fillId="0" borderId="38" applyAlignment="1" pivotButton="0" quotePrefix="0" xfId="0">
      <alignment horizontal="center"/>
    </xf>
    <xf numFmtId="0" fontId="110" fillId="35" borderId="39" applyAlignment="1" pivotButton="0" quotePrefix="0" xfId="0">
      <alignment vertical="center"/>
    </xf>
    <xf numFmtId="4" fontId="110" fillId="35" borderId="39" applyAlignment="1" pivotButton="0" quotePrefix="0" xfId="0">
      <alignment vertical="center"/>
    </xf>
    <xf numFmtId="0" fontId="113" fillId="0" borderId="38" applyAlignment="1" pivotButton="0" quotePrefix="0" xfId="0">
      <alignment vertical="center"/>
    </xf>
    <xf numFmtId="4" fontId="113" fillId="0" borderId="38" applyAlignment="1" pivotButton="0" quotePrefix="0" xfId="0">
      <alignment horizontal="right" vertical="center"/>
    </xf>
    <xf numFmtId="0" fontId="96" fillId="0" borderId="38" pivotButton="0" quotePrefix="0" xfId="0"/>
    <xf numFmtId="0" fontId="102" fillId="0" borderId="0" applyAlignment="1" pivotButton="0" quotePrefix="0" xfId="0">
      <alignment vertical="top" wrapText="1"/>
    </xf>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left" wrapText="1"/>
    </xf>
    <xf numFmtId="0" fontId="102" fillId="0" borderId="38" applyAlignment="1" pivotButton="0" quotePrefix="0" xfId="0">
      <alignment vertical="top" wrapText="1"/>
    </xf>
    <xf numFmtId="0" fontId="0" fillId="0" borderId="38" applyAlignment="1" pivotButton="0" quotePrefix="0" xfId="0">
      <alignment vertical="top" wrapText="1"/>
    </xf>
    <xf numFmtId="0" fontId="0" fillId="0" borderId="38" applyAlignment="1" pivotButton="0" quotePrefix="0" xfId="0">
      <alignment horizontal="left" wrapText="1"/>
    </xf>
    <xf numFmtId="0" fontId="116" fillId="0" borderId="1" pivotButton="0" quotePrefix="0" xfId="0"/>
    <xf numFmtId="0" fontId="117" fillId="0" borderId="3" pivotButton="0" quotePrefix="0" xfId="0"/>
    <xf numFmtId="2" fontId="70" fillId="44" borderId="0" pivotButton="0" quotePrefix="0" xfId="0"/>
    <xf numFmtId="2" fontId="0" fillId="0" borderId="0" pivotButton="0" quotePrefix="0" xfId="0"/>
    <xf numFmtId="192" fontId="0" fillId="44" borderId="0" pivotButton="0" quotePrefix="0" xfId="0"/>
    <xf numFmtId="193" fontId="70" fillId="44" borderId="0" pivotButton="0" quotePrefix="0" xfId="0"/>
    <xf numFmtId="193" fontId="0" fillId="0" borderId="0" pivotButton="0" quotePrefix="0" xfId="0"/>
    <xf numFmtId="10" fontId="0" fillId="0" borderId="0" pivotButton="0" quotePrefix="0" xfId="0"/>
    <xf numFmtId="14" fontId="117" fillId="0" borderId="3" pivotButton="0" quotePrefix="0" xfId="0"/>
    <xf numFmtId="192" fontId="3" fillId="0" borderId="2" pivotButton="0" quotePrefix="0" xfId="0"/>
    <xf numFmtId="190" fontId="70" fillId="0" borderId="0" pivotButton="0" quotePrefix="0" xfId="0"/>
    <xf numFmtId="173" fontId="73" fillId="0" borderId="0" pivotButton="0" quotePrefix="0" xfId="0"/>
    <xf numFmtId="190" fontId="6" fillId="0" borderId="0" pivotButton="0" quotePrefix="0" xfId="0"/>
    <xf numFmtId="190" fontId="0" fillId="0" borderId="0" pivotButton="0" quotePrefix="0" xfId="0"/>
    <xf numFmtId="190" fontId="1" fillId="0" borderId="0" pivotButton="0" quotePrefix="0" xfId="0"/>
    <xf numFmtId="0" fontId="117" fillId="0" borderId="0" pivotButton="0" quotePrefix="0" xfId="0"/>
    <xf numFmtId="190" fontId="117" fillId="0" borderId="0" pivotButton="0" quotePrefix="0" xfId="0"/>
    <xf numFmtId="173" fontId="0" fillId="0" borderId="0" pivotButton="0" quotePrefix="0" xfId="0"/>
    <xf numFmtId="182" fontId="0" fillId="0" borderId="0" pivotButton="0" quotePrefix="0" xfId="0"/>
    <xf numFmtId="194" fontId="75" fillId="0" borderId="29" applyAlignment="1" pivotButton="0" quotePrefix="0" xfId="0">
      <alignment horizontal="center"/>
    </xf>
    <xf numFmtId="190" fontId="1" fillId="0" borderId="0" applyAlignment="1" pivotButton="0" quotePrefix="0" xfId="0">
      <alignment vertical="center"/>
    </xf>
    <xf numFmtId="190" fontId="4" fillId="0" borderId="0" pivotButton="0" quotePrefix="0" xfId="0"/>
    <xf numFmtId="173" fontId="5" fillId="44" borderId="0" pivotButton="0" quotePrefix="0" xfId="0"/>
    <xf numFmtId="182" fontId="0" fillId="44" borderId="0" pivotButton="0" quotePrefix="0" xfId="0"/>
    <xf numFmtId="2" fontId="66" fillId="0" borderId="0" pivotButton="0" quotePrefix="0" xfId="0"/>
    <xf numFmtId="10" fontId="66" fillId="0" borderId="0" pivotButton="0" quotePrefix="0" xfId="0"/>
    <xf numFmtId="190" fontId="70" fillId="44" borderId="0" pivotButton="0" quotePrefix="0" xfId="0"/>
    <xf numFmtId="190" fontId="65" fillId="0" borderId="0" pivotButton="0" quotePrefix="0" xfId="0"/>
    <xf numFmtId="193" fontId="70" fillId="0" borderId="0" pivotButton="0" quotePrefix="0" xfId="0"/>
    <xf numFmtId="193" fontId="4" fillId="0" borderId="0" pivotButton="0" quotePrefix="0" xfId="0"/>
    <xf numFmtId="10" fontId="5" fillId="0" borderId="0" pivotButton="0" quotePrefix="0" xfId="0"/>
    <xf numFmtId="2" fontId="1" fillId="0" borderId="0" pivotButton="0" quotePrefix="0" xfId="0"/>
    <xf numFmtId="173" fontId="70" fillId="0" borderId="0" pivotButton="0" quotePrefix="0" xfId="0"/>
    <xf numFmtId="10" fontId="5" fillId="44" borderId="0" pivotButton="0" quotePrefix="0" xfId="0"/>
    <xf numFmtId="2" fontId="5" fillId="44" borderId="0" pivotButton="0" quotePrefix="0" xfId="0"/>
    <xf numFmtId="10" fontId="117" fillId="0" borderId="0" pivotButton="0" quotePrefix="0" xfId="0"/>
    <xf numFmtId="2" fontId="0" fillId="0" borderId="23" pivotButton="0" quotePrefix="0" xfId="0"/>
    <xf numFmtId="2" fontId="0" fillId="0" borderId="2" pivotButton="0" quotePrefix="0" xfId="0"/>
    <xf numFmtId="2" fontId="0" fillId="0" borderId="25" pivotButton="0" quotePrefix="0" xfId="0"/>
    <xf numFmtId="194" fontId="7" fillId="44" borderId="0" pivotButton="0" quotePrefix="0" xfId="0"/>
    <xf numFmtId="194" fontId="0" fillId="0" borderId="0" pivotButton="0" quotePrefix="0" xfId="0"/>
    <xf numFmtId="2" fontId="73" fillId="44" borderId="0" applyAlignment="1" pivotButton="0" quotePrefix="0" xfId="0">
      <alignment horizontal="right"/>
    </xf>
    <xf numFmtId="193" fontId="5" fillId="44" borderId="0" pivotButton="0" quotePrefix="0" xfId="0"/>
    <xf numFmtId="0" fontId="117" fillId="0" borderId="0" applyAlignment="1" pivotButton="0" quotePrefix="0" xfId="0">
      <alignment horizontal="left"/>
    </xf>
    <xf numFmtId="193" fontId="117" fillId="0" borderId="0" pivotButton="0" quotePrefix="0" xfId="0"/>
    <xf numFmtId="2" fontId="1" fillId="44" borderId="0" pivotButton="0" quotePrefix="0" xfId="0"/>
    <xf numFmtId="192" fontId="0" fillId="44" borderId="0" pivotButton="0" quotePrefix="0" xfId="0"/>
    <xf numFmtId="193" fontId="70" fillId="44" borderId="0" pivotButton="0" quotePrefix="0" xfId="0"/>
    <xf numFmtId="193" fontId="0" fillId="0" borderId="0" pivotButton="0" quotePrefix="0" xfId="0"/>
    <xf numFmtId="192" fontId="3" fillId="0" borderId="2" pivotButton="0" quotePrefix="0" xfId="0"/>
    <xf numFmtId="194" fontId="75" fillId="0" borderId="29" applyAlignment="1" pivotButton="0" quotePrefix="0" xfId="0">
      <alignment horizontal="center"/>
    </xf>
    <xf numFmtId="193" fontId="70" fillId="0" borderId="0" pivotButton="0" quotePrefix="0" xfId="0"/>
    <xf numFmtId="193" fontId="4" fillId="0" borderId="0" pivotButton="0" quotePrefix="0" xfId="0"/>
    <xf numFmtId="194" fontId="7" fillId="44" borderId="0" pivotButton="0" quotePrefix="0" xfId="0"/>
    <xf numFmtId="194" fontId="0" fillId="0" borderId="0" pivotButton="0" quotePrefix="0" xfId="0"/>
    <xf numFmtId="193" fontId="5" fillId="44" borderId="0" pivotButton="0" quotePrefix="0" xfId="0"/>
    <xf numFmtId="193" fontId="117" fillId="0" borderId="0" pivotButton="0" quotePrefix="0" xfId="0"/>
    <xf numFmtId="192" fontId="0" fillId="0" borderId="0"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1499374370555742"/>
        </patternFill>
      </fill>
      <border>
        <left style="dotted">
          <color auto="1"/>
        </left>
        <right style="dotted">
          <color auto="1"/>
        </right>
        <top style="dotted">
          <color auto="1"/>
        </top>
        <bottom style="dotted">
          <color auto="1"/>
        </bottom>
        <vertical/>
        <horizontal/>
      </border>
    </dxf>
    <dxf>
      <font>
        <color theme="0" tint="-0.249946592608417"/>
      </font>
      <fill>
        <patternFill>
          <bgColor theme="0" tint="-0.249946592608417"/>
        </patternFill>
      </fill>
    </dxf>
    <dxf>
      <font>
        <color theme="0"/>
      </font>
    </dxf>
    <dxf>
      <font>
        <color theme="0" tint="-0.1499374370555742"/>
      </font>
      <fill>
        <patternFill>
          <bgColor theme="0" tint="-0.1499374370555742"/>
        </patternFill>
      </fill>
    </dxf>
    <dxf>
      <font>
        <color theme="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16" customWidth="1" style="381" min="1" max="1"/>
    <col width="26" customWidth="1" style="381" min="2" max="2"/>
    <col width="11" customWidth="1" style="381" min="3" max="3"/>
    <col width="52" customWidth="1" style="381" min="4" max="4"/>
    <col width="42" customWidth="1" style="381" min="5" max="5"/>
    <col width="44" customWidth="1" style="381" min="6" max="6"/>
    <col width="34" customWidth="1" style="381" min="7" max="7"/>
    <col width="38" customWidth="1" style="381" min="8" max="8"/>
    <col width="48" customWidth="1" style="381" min="9" max="11"/>
  </cols>
  <sheetData>
    <row r="2" ht="18.5" customHeight="1" s="381">
      <c r="B2" s="336" t="inlineStr">
        <is>
          <t>Assumptions Drivers — Col A Baseline Yes/No. Col E/H = source page link. Cols I/J/K = plain Verbatim Ctrl+F strings. Converse pass: driver must match sourced figure or a justified gap; else driver was reset to the source.</t>
        </is>
      </c>
    </row>
    <row r="3" ht="48" customHeight="1" s="381">
      <c r="B3" s="384" t="inlineStr">
        <is>
          <t>How to verify: click Source (E) → open page → copy Verbatim from I/J/K → Ctrl+F → paste. Overpessimism fix: rev +5% (mature CAGR; FY24 −2% outlier). S&amp;M +2% Fed restored. S&amp;M $414.1; AI $24.5m; CapEx 8%; ΔNWC=ΔAR(16.2%×[1−10% AI])−ΔDR(39%).</t>
        </is>
      </c>
    </row>
    <row r="4" ht="40" customHeight="1" s="381">
      <c r="A4" s="342" t="inlineStr">
        <is>
          <t>Baseline Yes/No</t>
        </is>
      </c>
      <c r="B4" s="322" t="inlineStr">
        <is>
          <t>Driver</t>
        </is>
      </c>
      <c r="C4" s="322" t="inlineStr">
        <is>
          <t>Value</t>
        </is>
      </c>
      <c r="D4" s="322" t="inlineStr">
        <is>
          <t>Why reasonable (model justification)</t>
        </is>
      </c>
      <c r="E4" s="322" t="inlineStr">
        <is>
          <t>Source — ONLY if number appears in EQ (click)</t>
        </is>
      </c>
      <c r="F4" s="349" t="inlineStr">
        <is>
          <t>Source justification (≤30 words): Source says X. Does X go into the math?</t>
        </is>
      </c>
      <c r="G4" s="322" t="inlineStr">
        <is>
          <t>Feeds (click to jump)</t>
        </is>
      </c>
      <c r="H4" s="322" t="inlineStr">
        <is>
          <t>Secondary source (click)</t>
        </is>
      </c>
      <c r="I4" s="338" t="inlineStr">
        <is>
          <t>Verbatim 1 — copy this into Ctrl+F on the source page</t>
        </is>
      </c>
      <c r="J4" s="338" t="inlineStr">
        <is>
          <t>Verbatim 2 — copy this into Ctrl+F on the source page</t>
        </is>
      </c>
      <c r="K4" s="338" t="inlineStr">
        <is>
          <t>Verbatim 3 — copy this into Ctrl+F on the source page</t>
        </is>
      </c>
    </row>
    <row r="5" ht="96" customHeight="1" s="381">
      <c r="A5" s="351" t="inlineStr">
        <is>
          <t>NO</t>
        </is>
      </c>
      <c r="B5" s="350" t="inlineStr">
        <is>
          <t>Revenue growth</t>
        </is>
      </c>
      <c r="C5" s="352" t="n">
        <v>0.05</v>
      </c>
      <c r="D5" s="353" t="inlineStr">
        <is>
          <t>FY24 −2% was the only revenue decline in CY2019–CY2025 (outlier). FY25 recovered +3% ($1,249.5m). Mature CAGR CY2022 $1,098m → CY2025 $1,249.5m ≈ 4.4%, rounded to 5% forward.</t>
        </is>
      </c>
      <c r="E5" s="354">
        <f>HYPERLINK("https://www.sec.gov/Archives/edgar/data/1794515/000179451526000012/zi-20251231.htm","IN EQ: C5=+5% ≈ mature CAGR CY2022→CY2025 (~4.4%). FY24 −2% = outlier; FY25 +3% recovery.")</f>
        <v/>
      </c>
      <c r="F5" s="350" t="inlineStr">
        <is>
          <t>FY24 −2% was an outlier (only decline). FY25 rose 3% to $1,249.5m. CAGR 2022–2025 ≈4.4%; we use 5% forward.</t>
        </is>
      </c>
      <c r="G5" s="350" t="inlineStr">
        <is>
          <t>Go to AI_Operating!D5 (Revenue)</t>
        </is>
      </c>
      <c r="H5" s="354">
        <f>HYPERLINK("https://markets.financialcontent.com/stocks/article/bizwire-2025-2-25-zoominfo-announces-fourth-quarter-and-full-year-2024-financial-results","FY24 −2% outlier: decrease of 2% YoY")</f>
        <v/>
      </c>
      <c r="I5" s="355" t="inlineStr">
        <is>
          <t>Ctrl+F: increase of $35.2 million, or 3%</t>
        </is>
      </c>
      <c r="J5" s="355" t="inlineStr">
        <is>
          <t>Ctrl+F: revenue of $1,249.5 million</t>
        </is>
      </c>
      <c r="K5" s="355" t="inlineStr">
        <is>
          <t>Ctrl+F: a decrease of 2% year-over-year (FY24 outlier)</t>
        </is>
      </c>
    </row>
    <row r="6" ht="96" customHeight="1" s="381">
      <c r="A6" s="351" t="inlineStr">
        <is>
          <t>NO</t>
        </is>
      </c>
      <c r="B6" s="356" t="inlineStr">
        <is>
          <t>Gross margin</t>
        </is>
      </c>
      <c r="C6" s="352" t="n">
        <v>0.8</v>
      </c>
      <c r="D6" s="353" t="inlineStr">
        <is>
          <t>Uses the 2025 software median gross margin of 80%. ZoomInfo’s own GAAP GM is higher (~84%), but this model uses the cited Aleph median.</t>
        </is>
      </c>
      <c r="E6" s="354">
        <f>HYPERLINK("https://www.getaleph.com/answers/saas-gross-margin-2026","IN EQ: software median GM=80% → C6=0.80 (Aleph × Benchmarkit)")</f>
        <v/>
      </c>
      <c r="F6" s="350" t="inlineStr">
        <is>
          <t>Aleph says the 2025 software median gross margin is 80%. We use that 80% in the COGS math.</t>
        </is>
      </c>
      <c r="G6" s="350" t="inlineStr">
        <is>
          <t>Go to AI_Operating!D6 (COGS)</t>
        </is>
      </c>
      <c r="H6" s="320" t="n"/>
      <c r="I6" s="357" t="inlineStr">
        <is>
          <t>Ctrl+F: The 2025 median software gross margin is 80%</t>
        </is>
      </c>
      <c r="J6" s="340" t="n"/>
      <c r="K6" s="358" t="inlineStr">
        <is>
          <t>ZI GAAP GM ~84% not used — Aleph median is the driver</t>
        </is>
      </c>
    </row>
    <row r="7" ht="96" customHeight="1" s="381">
      <c r="A7" s="351" t="inlineStr">
        <is>
          <t>NO</t>
        </is>
      </c>
      <c r="B7" s="350" t="inlineStr">
        <is>
          <t>Sales payroll cut (Y1)</t>
        </is>
      </c>
      <c r="C7" s="352" t="n">
        <v>0.18</v>
      </c>
      <c r="D7" s="353" t="inlineStr">
        <is>
          <t>Matches published US B2B SaaS net SDR headcount decline of 18% YoY.</t>
        </is>
      </c>
      <c r="E7" s="354">
        <f>HYPERLINK("https://www.digitalapplied.com/blog/ai-sdr-statistics-2026-outbound-sales-data-points","IN EQ: C7=18% = US B2B SaaS net SDR headcount down 18% YoY")</f>
        <v/>
      </c>
      <c r="F7" s="350" t="inlineStr">
        <is>
          <t>Digital Applied says U.S. B2B SaaS SDR headcount fell 18% YoY. We use that 18% as the Year 1 payroll cut.</t>
        </is>
      </c>
      <c r="G7" s="350" t="inlineStr">
        <is>
          <t>Go to AI_Operating!D7 (Sales payroll)</t>
        </is>
      </c>
      <c r="H7" s="320" t="n"/>
      <c r="I7" s="357" t="inlineStr">
        <is>
          <t>Ctrl+F: down 18% YoY</t>
        </is>
      </c>
      <c r="J7" s="340" t="n"/>
      <c r="K7" s="340" t="n"/>
    </row>
    <row r="8" ht="96" customHeight="1" s="381">
      <c r="A8" s="351" t="inlineStr">
        <is>
          <t>NO</t>
        </is>
      </c>
      <c r="B8" s="356" t="inlineStr">
        <is>
          <t>Variable commission cut</t>
        </is>
      </c>
      <c r="C8" s="352" t="n">
        <v>0.18</v>
      </c>
      <c r="D8" s="353" t="inlineStr">
        <is>
          <t>Was an unsourced 20% cut. Now 18% to match the same SDR headcount decline used for payroll.</t>
        </is>
      </c>
      <c r="E8" s="354">
        <f>HYPERLINK("https://www.digitalapplied.com/blog/ai-sdr-statistics-2026-outbound-sales-data-points","IN EQ: C8=18% cut = same SDR HC down 18% YoY (Digital Applied)")</f>
        <v/>
      </c>
      <c r="F8" s="350" t="inlineStr">
        <is>
          <t>Digital Applied says SDR headcount fell 18% YoY. We use that same 18% as the commission cut.</t>
        </is>
      </c>
      <c r="G8" s="350" t="inlineStr">
        <is>
          <t>Go to AI_Operating!D8 (Commissions)</t>
        </is>
      </c>
      <c r="H8" s="354">
        <f>HYPERLINK("https://syncgtm.com/blog/how-to-pay-sales-development-rep","Pay mix context only: 70/30 base/variable")</f>
        <v/>
      </c>
      <c r="I8" s="355" t="inlineStr">
        <is>
          <t>Ctrl+F: down 18% YoY</t>
        </is>
      </c>
      <c r="J8" s="355" t="inlineStr">
        <is>
          <t>Ctrl+F: 70/30 base/variable split</t>
        </is>
      </c>
      <c r="K8" s="355" t="inlineStr">
        <is>
          <t>Prior 20% cut removed — no source equaled 20%</t>
        </is>
      </c>
    </row>
    <row r="9" ht="96" customHeight="1" s="381">
      <c r="A9" s="351" t="inlineStr">
        <is>
          <t>NO</t>
        </is>
      </c>
      <c r="B9" s="350" t="inlineStr">
        <is>
          <t>AI infrastructure ($m)</t>
        </is>
      </c>
      <c r="C9" s="359" t="n">
        <v>24.5</v>
      </c>
      <c r="D9" s="353" t="inlineStr">
        <is>
          <t>AI $24.5m = 18%×1,513 roles × $5–10k/mo × 12, midpoint. Role share now uses the same sourced 18% SDR decline (was unsourced 25%).</t>
        </is>
      </c>
      <c r="E9" s="354">
        <f>HYPERLINK("https://www.whitespacesolutions.ai/content/ai-sdr-pricing-guide-2026","IN EQ: $5k/$10k/mo + 1,513 HC; roles=18% (same 18% as C7) → $24.5m")</f>
        <v/>
      </c>
      <c r="F9" s="350" t="inlineStr">
        <is>
          <t>White Space/Miniloop say ~$5k–$10k+/mo. ZoomInfo’s 10-K says 1,513 S&amp;M staff. Roles use the sourced 18% (not 25%). Those build the $24.5m cost.</t>
        </is>
      </c>
      <c r="G9" s="350" t="inlineStr">
        <is>
          <t>Go to AI_Operating!D10 (AI infrastructure)</t>
        </is>
      </c>
      <c r="H9" s="354">
        <f>HYPERLINK("https://www.miniloop.ai/blog/11x-pricing","Miniloop Enterprise $10,000+")</f>
        <v/>
      </c>
      <c r="I9" s="357" t="inlineStr">
        <is>
          <t>Ctrl+F: $5,000-10,000+</t>
        </is>
      </c>
      <c r="J9" s="357" t="inlineStr">
        <is>
          <t>Ctrl+F: $10,000-$15,000+</t>
        </is>
      </c>
      <c r="K9" s="357" t="inlineStr">
        <is>
          <t>Ctrl+F: 1,513 in sales and marketing</t>
        </is>
      </c>
    </row>
    <row r="10" ht="96" customHeight="1" s="381">
      <c r="A10" s="351" t="inlineStr">
        <is>
          <t>NO</t>
        </is>
      </c>
      <c r="B10" s="356" t="inlineStr">
        <is>
          <t>S&amp;M expense growth Y2+</t>
        </is>
      </c>
      <c r="C10" s="352" t="n">
        <v>0.02</v>
      </c>
      <c r="D10" s="353" t="inlineStr">
        <is>
          <t>After the Y1 headcount cut, AI keeps S&amp;M growing only at ~inflation (2%), not with revenue. Restored now that forward revenue is positive again.</t>
        </is>
      </c>
      <c r="E10" s="354">
        <f>HYPERLINK("https://www.federalreserve.gov/faqs/economy_14400.htm","IN EQ: C10=2% = Fed longer-run inflation goal of 2 percent")</f>
        <v/>
      </c>
      <c r="F10" s="350" t="inlineStr">
        <is>
          <t>The Fed says longer-run inflation is 2%. We use that 2% to grow S&amp;M costs after Year 1.</t>
        </is>
      </c>
      <c r="G10" s="350" t="inlineStr">
        <is>
          <t>Go to AI_Operating!E7 (payroll Y2+)</t>
        </is>
      </c>
      <c r="H10" s="350" t="inlineStr">
        <is>
          <t>FOMC Statement on Longer-Run Goals (PDF)</t>
        </is>
      </c>
      <c r="I10" s="357" t="inlineStr">
        <is>
          <t>Ctrl+F: inflation of 2 percent over the longer run</t>
        </is>
      </c>
      <c r="J10" s="340" t="n"/>
      <c r="K10" s="358" t="inlineStr">
        <is>
          <t>Valid with +5% revenue (row 5); not used when rev was −2%</t>
        </is>
      </c>
    </row>
    <row r="11" ht="96" customHeight="1" s="381">
      <c r="A11" s="351" t="inlineStr">
        <is>
          <t>NO</t>
        </is>
      </c>
      <c r="B11" s="350" t="inlineStr">
        <is>
          <t>G&amp;A % of revenue</t>
        </is>
      </c>
      <c r="C11" s="352" t="n">
        <v>0.18</v>
      </c>
      <c r="D11" s="353" t="inlineStr">
        <is>
          <t>Post-LBO target at the public SaaS median (18%). ZoomInfo’s own FY24 G&amp;A is higher (~24%) and is not used.</t>
        </is>
      </c>
      <c r="E11" s="354">
        <f>HYPERLINK("https://blossomstreetventures.medium.com/what-should-saas-spend-on-cogs-s-m-r-d-and-g-a-the-data-from-57-public-cos-8e88eabe99ca","IN EQ: C11=18% = Blossom Street 2025 public SaaS median G&amp;A")</f>
        <v/>
      </c>
      <c r="F11" s="350" t="inlineStr">
        <is>
          <t>Blossom Street says 2025 public SaaS median G&amp;A is 18% of sales. We use that 18% in the G&amp;A math.</t>
        </is>
      </c>
      <c r="G11" s="350" t="inlineStr">
        <is>
          <t>Go to AI_Operating!D12 (G&amp;A)</t>
        </is>
      </c>
      <c r="H11" s="354">
        <f>HYPERLINK("https://www.blossomstreetventures.com/saas-metric/2025-annual-percent-of-revenue","Table MEDIAN G&amp;A as % of Revenue = 18%")</f>
        <v/>
      </c>
      <c r="I11" s="357" t="inlineStr">
        <is>
          <t>Ctrl+F: G&amp;A was 18%</t>
        </is>
      </c>
      <c r="J11" s="357" t="inlineStr">
        <is>
          <t>Ctrl+F: MEDIAN</t>
        </is>
      </c>
      <c r="K11" s="358" t="inlineStr">
        <is>
          <t>ZI own ~24% G&amp;A not used — median is the driver</t>
        </is>
      </c>
    </row>
    <row r="12" ht="96" customHeight="1" s="381">
      <c r="A12" s="351" t="inlineStr">
        <is>
          <t>NO</t>
        </is>
      </c>
      <c r="B12" s="356" t="inlineStr">
        <is>
          <t>CapEx reduction vs base</t>
        </is>
      </c>
      <c r="C12" s="352" t="n">
        <v>0.08</v>
      </c>
      <c r="D12" s="353" t="inlineStr">
        <is>
          <t>SaaS CapEx is primarily laptops/office gear (SaaSDB). Replacing 18% of S&amp;M SDRs with AI removes that gear. S&amp;M is 1,513/3,508≈43% of ZI HC → CapEx cut ≈18%×43%≈8%.</t>
        </is>
      </c>
      <c r="E12" s="362">
        <f>HYPERLINK("https://saasdb.app/learn/financials/fcf-margin/","IN EQ: C12=8% ≈ 18% SDR cut × S&amp;M 43% of HC; SaaS CapEx primarily laptops/office gear")</f>
        <v/>
      </c>
      <c r="F12" s="350" t="inlineStr">
        <is>
          <t>SaaSDB says SaaS CapEx is mainly laptops and office gear. 18%×(1,513/3,508 S&amp;M share)≈8% CapEx cut when those SDRs become AI.</t>
        </is>
      </c>
      <c r="G12" s="350" t="inlineStr">
        <is>
          <t>Go to AI_Operating!D19 (CapEx)</t>
        </is>
      </c>
      <c r="H12" s="361">
        <f>HYPERLINK("https://www.sec.gov/Archives/edgar/data/1794515/000179451525000045/zi-20241231.htm","ZI 10-K: 1,513 S&amp;M / 3,508 employees")</f>
        <v/>
      </c>
      <c r="I12" s="355" t="inlineStr">
        <is>
          <t>Ctrl+F: primarily laptops, office equipment</t>
        </is>
      </c>
      <c r="J12" s="358" t="inlineStr">
        <is>
          <t>Ctrl+F: 1,513 in sales and marketing</t>
        </is>
      </c>
      <c r="K12" s="358" t="inlineStr">
        <is>
          <t>Ctrl+F: had 3,508 employees</t>
        </is>
      </c>
    </row>
    <row r="13" ht="96" customHeight="1" s="381">
      <c r="A13" s="351" t="inlineStr">
        <is>
          <t>NO</t>
        </is>
      </c>
      <c r="B13" s="350" t="inlineStr">
        <is>
          <t>AR / receivables improvement (DSO)</t>
        </is>
      </c>
      <c r="C13" s="352" t="n">
        <v>0.1</v>
      </c>
      <c r="D13" s="353" t="inlineStr">
        <is>
          <t>6/59 DSO days ≈10% faster collections → ~10% lower AR if sales steady. That frees cash trapped in AR; it is NOT the same as a 10% cut to total NWC (NWC also reflects deferred revenue and other liabilities).</t>
        </is>
      </c>
      <c r="E13" s="362">
        <f>HYPERLINK("https://getfairview.com/blog/working-capital-management-saas","IN EQ: C13=10% cuts ΔAR only (6/59 DSO). NWC% change ≠10% once deferred revenue is netted.")</f>
        <v/>
      </c>
      <c r="F13" s="350" t="inlineStr">
        <is>
          <t>6/59≈10% DSO cut → ~10% less AR. That frees AR cash. It is not a 10% cut to total NWC (deferred revenue still nets in).</t>
        </is>
      </c>
      <c r="G13" s="350" t="inlineStr">
        <is>
          <t>Go to AI_Operating!D20 (ΔNWC)</t>
        </is>
      </c>
      <c r="H13" s="361">
        <f>HYPERLINK("https://globalpayex.com/resources/blogs/fortune-500-cfo-ar-automation-dso-reduction/","Global PayEx: DSO reduced by 6 days (AR automation)")</f>
        <v/>
      </c>
      <c r="I13" s="355" t="inlineStr">
        <is>
          <t>Ctrl+F: Median B2B SaaS DSO is 59 days</t>
        </is>
      </c>
      <c r="J13" s="358" t="inlineStr">
        <is>
          <t>Ctrl+F: reduced DSO by 6 days</t>
        </is>
      </c>
      <c r="K13" s="358" t="inlineStr">
        <is>
          <t>20–40% headlines often measure overdue/FTE — not calendar DSO; we keep 10%</t>
        </is>
      </c>
    </row>
    <row r="14" ht="96" customHeight="1" s="381">
      <c r="A14" s="351" t="inlineStr">
        <is>
          <t>NO</t>
        </is>
      </c>
      <c r="B14" s="356" t="inlineStr">
        <is>
          <t>SOFR</t>
        </is>
      </c>
      <c r="C14" s="352" t="n">
        <v>0.043</v>
      </c>
      <c r="D14" s="353" t="inlineStr">
        <is>
          <t>Uses the sourced 2024 calendar-year lowest SOFR print of 4.30%.</t>
        </is>
      </c>
      <c r="E14" s="354">
        <f>HYPERLINK("https://www.global-rates.com/en/interest-rates/sofr/historical/2024/","IN EQ: C14=4.30% = SOFR 2024 calendar-year Lowest")</f>
        <v/>
      </c>
      <c r="F14" s="350" t="inlineStr">
        <is>
          <t>Global-Rates shows the lowest 2024 SOFR print was 4.30%. We use that 4.30% in the interest math.</t>
        </is>
      </c>
      <c r="G14" s="350" t="inlineStr">
        <is>
          <t>Go to Debt_Sweep_AI!C12 (TLA rate uses SOFR)</t>
        </is>
      </c>
      <c r="H14" s="350" t="inlineStr">
        <is>
          <t>NY Fed SOFR publisher</t>
        </is>
      </c>
      <c r="I14" s="357" t="inlineStr">
        <is>
          <t>Ctrl+F: 4.30</t>
        </is>
      </c>
      <c r="J14" s="340" t="n"/>
      <c r="K14" s="358" t="inlineStr">
        <is>
          <t>Uses Lowest print (sourced), not Average</t>
        </is>
      </c>
    </row>
    <row r="15" ht="96" customHeight="1" s="381">
      <c r="A15" s="351" t="inlineStr">
        <is>
          <t>NO</t>
        </is>
      </c>
      <c r="B15" s="350" t="inlineStr">
        <is>
          <t>Term Loan A spread</t>
        </is>
      </c>
      <c r="C15" s="352" t="n">
        <v>0.04</v>
      </c>
      <c r="D15" s="353" t="inlineStr">
        <is>
          <t>Floor of the sourced senior Term Loan A SOFR+400–500 bps band.</t>
        </is>
      </c>
      <c r="E15" s="354">
        <f>HYPERLINK("https://ctacquisitions.com/acquisition-financing/","IN EQ: C15=+400bps = floor of senior TLA SOFR+400-500 bps")</f>
        <v/>
      </c>
      <c r="F15" s="350" t="inlineStr">
        <is>
          <t>CT Acquisitions lists senior Term Loan A at SOFR + 400–500 bps. We use +400 bps from that range in the rate math.</t>
        </is>
      </c>
      <c r="G15" s="350" t="inlineStr">
        <is>
          <t>Go to Assumptions_Drivers!C27 (TLA rate)</t>
        </is>
      </c>
      <c r="H15" s="350" t="inlineStr">
        <is>
          <t>Also: senior debt SOFR plus 400 to 500</t>
        </is>
      </c>
      <c r="I15" s="357" t="inlineStr">
        <is>
          <t>Ctrl+F: SOFR + 400-500 bps</t>
        </is>
      </c>
      <c r="J15" s="340" t="n"/>
      <c r="K15" s="340" t="n"/>
    </row>
    <row r="16" ht="96" customHeight="1" s="381">
      <c r="A16" s="351" t="inlineStr">
        <is>
          <t>NO</t>
        </is>
      </c>
      <c r="B16" s="356" t="inlineStr">
        <is>
          <t>Term Loan B spread</t>
        </is>
      </c>
      <c r="C16" s="352" t="n">
        <v>0.05</v>
      </c>
      <c r="D16" s="353" t="inlineStr">
        <is>
          <t>Upper bound of the sourced TLB SOFR+300–500 bps band (conservative).</t>
        </is>
      </c>
      <c r="E16" s="354">
        <f>HYPERLINK("https://ibinterviewquestions.com/guides/valuation-investment-banking/lbo-debt-structures-senior-subordinated-mezzanine","IN EQ: TLB SOFR+300-500 bps → C16=+500bps = upper bound")</f>
        <v/>
      </c>
      <c r="F16" s="350" t="inlineStr">
        <is>
          <t>LBO debt guides list Term Loan B at SOFR + 300–500 bps. We use +500 bps from that range in the rate math.</t>
        </is>
      </c>
      <c r="G16" s="350" t="inlineStr">
        <is>
          <t>Go to Assumptions_Drivers!C28 (TLB rate)</t>
        </is>
      </c>
      <c r="H16" s="350" t="inlineStr">
        <is>
          <t>Table: Term Loan B | SOFR + 300-500 bps | 1% annual</t>
        </is>
      </c>
      <c r="I16" s="357" t="inlineStr">
        <is>
          <t>Ctrl+F: SOFR + 300-500 basis points</t>
        </is>
      </c>
      <c r="J16" s="340" t="n"/>
      <c r="K16" s="340" t="n"/>
    </row>
    <row r="17" ht="96" customHeight="1" s="381">
      <c r="A17" s="351" t="inlineStr">
        <is>
          <t>NO</t>
        </is>
      </c>
      <c r="B17" s="350" t="inlineStr">
        <is>
          <t>Mandatory amortization</t>
        </is>
      </c>
      <c r="C17" s="352" t="n">
        <v>0.01</v>
      </c>
      <c r="D17" s="353" t="inlineStr">
        <is>
          <t>Standard ~1%/year TLB amortization.</t>
        </is>
      </c>
      <c r="E17" s="354">
        <f>HYPERLINK("https://clearvaluelending.com/glossary/term-loan-b","IN EQ: ~1%/yr TLB amort → C17=1%")</f>
        <v/>
      </c>
      <c r="F17" s="350" t="inlineStr">
        <is>
          <t>ClearValue says Term Loan B amortizes about 1% per year. We use that 1% in the debt paydown math.</t>
        </is>
      </c>
      <c r="G17" s="350" t="inlineStr">
        <is>
          <t>Go to Debt_Sweep_AI!D5 (Mandatory 1%)</t>
        </is>
      </c>
      <c r="H17" s="350" t="inlineStr">
        <is>
          <t>ClearValue: "minimal amortization (1% annually)"</t>
        </is>
      </c>
      <c r="I17" s="357" t="inlineStr">
        <is>
          <t>Ctrl+F: minimal amortization (1% annually)</t>
        </is>
      </c>
      <c r="J17" s="340" t="n"/>
      <c r="K17" s="340" t="n"/>
    </row>
    <row r="18" ht="96" customHeight="1" s="381">
      <c r="A18" s="351" t="inlineStr">
        <is>
          <t>NO</t>
        </is>
      </c>
      <c r="B18" s="356" t="inlineStr">
        <is>
          <t>Cash sweep %</t>
        </is>
      </c>
      <c r="C18" s="352" t="n">
        <v>1</v>
      </c>
      <c r="D18" s="353" t="inlineStr">
        <is>
          <t>Uses the upper end of the sourced 50–100% excess-cash sweep range.</t>
        </is>
      </c>
      <c r="E18" s="354">
        <f>HYPERLINK("https://ryanoconnellfinance.com/lbo-model-fundamentals/","IN EQ: C18=100% = upper bound of ECF sweep 50-100%")</f>
        <v/>
      </c>
      <c r="F18" s="350" t="inlineStr">
        <is>
          <t>Ryan O’Connell says excess-cash sweeps are often 50–100% and models often use 100%. We use that 100% in the sweep math.</t>
        </is>
      </c>
      <c r="G18" s="350" t="inlineStr">
        <is>
          <t>Go to Debt_Sweep_AI!E5 (Total paydown)</t>
        </is>
      </c>
      <c r="H18" s="354">
        <f>HYPERLINK("https://ryanoconnellfinance.com/lbo-model-fundamentals/","Also: typically modeled at 100%")</f>
        <v/>
      </c>
      <c r="I18" s="357" t="inlineStr">
        <is>
          <t>Ctrl+F: 50-100% of annual excess free cash flow</t>
        </is>
      </c>
      <c r="J18" s="357" t="inlineStr">
        <is>
          <t>Ctrl+F: typically modeled at 100%</t>
        </is>
      </c>
      <c r="K18" s="340" t="n"/>
    </row>
    <row r="19" ht="96" customHeight="1" s="381">
      <c r="A19" s="351" t="inlineStr">
        <is>
          <t>NO</t>
        </is>
      </c>
      <c r="B19" s="350" t="inlineStr">
        <is>
          <t>Tax rate</t>
        </is>
      </c>
      <c r="C19" s="352" t="n">
        <v>0.21</v>
      </c>
      <c r="D19" s="353" t="inlineStr">
        <is>
          <t>Matches the U.S. federal corporate tax rate of 21%.</t>
        </is>
      </c>
      <c r="E19" s="354">
        <f>HYPERLINK("https://taxsummaries.pwc.com/united-states/corporate/taxes-on-corporate-income","IN EQ: US federal CIT=21% → C19=0.21 (PwC)")</f>
        <v/>
      </c>
      <c r="F19" s="350" t="inlineStr">
        <is>
          <t>PwC says the U.S. federal corporate tax rate is a flat 21%. We use that 21% in the tax math.</t>
        </is>
      </c>
      <c r="G19" s="350" t="inlineStr">
        <is>
          <t>Go to AI_Operating!D18 (Net income)</t>
        </is>
      </c>
      <c r="H19" s="350" t="inlineStr">
        <is>
          <t>Trading Economics: 21 percent</t>
        </is>
      </c>
      <c r="I19" s="357" t="inlineStr">
        <is>
          <t>Ctrl+F: flat rate of 21%</t>
        </is>
      </c>
      <c r="J19" s="340" t="n"/>
      <c r="K19" s="340" t="n"/>
    </row>
    <row r="20" ht="96" customHeight="1" s="381">
      <c r="A20" s="351" t="inlineStr">
        <is>
          <t>NO</t>
        </is>
      </c>
      <c r="B20" s="356" t="inlineStr">
        <is>
          <t>Exit EV/EBITDA multiple</t>
        </is>
      </c>
      <c r="C20" s="359" t="n">
        <v>12.9</v>
      </c>
      <c r="D20" s="353" t="inlineStr">
        <is>
          <t>Matches Aventis private SaaS EV/EBITDA first quartile of 12.9x.</t>
        </is>
      </c>
      <c r="E20" s="354">
        <f>HYPERLINK("https://aventis-advisors.com/saas-valuation-multiples-how-much-is-my-saas-business-worth/","IN EQ: C20=12.9x = Aventis private SaaS EV/EBITDA 1st quartile")</f>
        <v/>
      </c>
      <c r="F20" s="350" t="inlineStr">
        <is>
          <t>Aventis shows private SaaS EV/EBITDA first quartile at 12.9x. We use that 12.9x as the exit multiple.</t>
        </is>
      </c>
      <c r="G20" s="350" t="inlineStr">
        <is>
          <t>Go to LBO!D17 (Exit multiple)</t>
        </is>
      </c>
      <c r="H20" s="320" t="n"/>
      <c r="I20" s="357" t="inlineStr">
        <is>
          <t>Ctrl+F: 12.9x</t>
        </is>
      </c>
      <c r="J20" s="340" t="n"/>
      <c r="K20" s="340" t="n"/>
    </row>
    <row r="21" ht="96" customHeight="1" s="381">
      <c r="A21" s="357" t="inlineStr">
        <is>
          <t>YES</t>
        </is>
      </c>
      <c r="B21" s="350" t="inlineStr">
        <is>
          <t>S&amp;M baseline ($m)</t>
        </is>
      </c>
      <c r="C21" s="360" t="n">
        <v>414.1</v>
      </c>
      <c r="D21" s="353" t="inlineStr">
        <is>
          <t>Was a rounded $425m (~35% of sales). Now the exact ZoomInfo FY24 S&amp;M of $414.1m.</t>
        </is>
      </c>
      <c r="E21" s="354">
        <f>HYPERLINK("https://markets.financialcontent.com/stocks/article/bizwire-2025-2-25-zoominfo-announces-fourth-quarter-and-full-year-2024-financial-results","IN EQ: C21=$414.1m = ZI FY24 Sales and marketing")</f>
        <v/>
      </c>
      <c r="F21" s="350" t="inlineStr">
        <is>
          <t>ZoomInfo says FY24 S&amp;M was $414.1m. We use that $414.1m as the S&amp;M baseline in the math.</t>
        </is>
      </c>
      <c r="G21" s="350" t="inlineStr">
        <is>
          <t>Go to AI_Operating!C9 (S&amp;M human FY24A)</t>
        </is>
      </c>
      <c r="H21" s="354">
        <f>HYPERLINK("https://www.sec.gov/Archives/edgar/data/1794515/000179451525000045/zi-20241231.htm","SEC 10-K")</f>
        <v/>
      </c>
      <c r="I21" s="357" t="inlineStr">
        <is>
          <t>Ctrl+F: 414.1</t>
        </is>
      </c>
      <c r="J21" s="357" t="inlineStr">
        <is>
          <t>Ctrl+F: $414.1</t>
        </is>
      </c>
      <c r="K21" s="357" t="inlineStr">
        <is>
          <t>Ctrl+F: Sales and marketing</t>
        </is>
      </c>
    </row>
    <row r="22" ht="96" customHeight="1" s="381">
      <c r="A22" s="357" t="inlineStr">
        <is>
          <t>YES</t>
        </is>
      </c>
      <c r="B22" s="356" t="inlineStr">
        <is>
          <t>Payroll baseline ($m)</t>
        </is>
      </c>
      <c r="C22" s="360" t="n">
        <v>289.9</v>
      </c>
      <c r="D22" s="353" t="inlineStr">
        <is>
          <t>Was 75% of $425m. Now 70% of $414.1m = $289.9m to match SyncGTM’s ~70% base mix.</t>
        </is>
      </c>
      <c r="E22" s="354">
        <f>HYPERLINK("https://syncgtm.com/blog/how-to-pay-sales-development-rep","IN EQ: ~70% base × $414.1m S&amp;M → C22=$289.9m")</f>
        <v/>
      </c>
      <c r="F22" s="350" t="inlineStr">
        <is>
          <t>SyncGTM says pay is about 70% base. We use 70% of $414.1m = $289.9m as payroll in the math.</t>
        </is>
      </c>
      <c r="G22" s="350" t="inlineStr">
        <is>
          <t>Go to AI_Operating!C7 (Payroll FY24A)</t>
        </is>
      </c>
      <c r="H22" s="320" t="n"/>
      <c r="I22" s="357" t="inlineStr">
        <is>
          <t>Ctrl+F: 70/30 base/variable split</t>
        </is>
      </c>
      <c r="J22" s="357" t="inlineStr">
        <is>
          <t>Ctrl+F: 414.1 (on ZI results for S&amp;M pool)</t>
        </is>
      </c>
      <c r="K22" s="358" t="inlineStr">
        <is>
          <t>$289.9m = 70% × $414.1m</t>
        </is>
      </c>
    </row>
    <row r="23" ht="96" customHeight="1" s="381">
      <c r="A23" s="357" t="inlineStr">
        <is>
          <t>YES</t>
        </is>
      </c>
      <c r="B23" s="350" t="inlineStr">
        <is>
          <t>Commission baseline ($m)</t>
        </is>
      </c>
      <c r="C23" s="360" t="n">
        <v>124.2</v>
      </c>
      <c r="D23" s="353" t="inlineStr">
        <is>
          <t>Was 25% of $425m. Now 30% of $414.1m = $124.2m to match SyncGTM’s ~30% variable mix.</t>
        </is>
      </c>
      <c r="E23" s="354">
        <f>HYPERLINK("https://syncgtm.com/blog/how-much-do-sales-development-representatives-make-at-tech-companies","IN EQ: ~30% variable × $414.1m → C23=$124.2m")</f>
        <v/>
      </c>
      <c r="F23" s="350" t="inlineStr">
        <is>
          <t>SyncGTM says commission is about 30–35% of pay. We use 30% of $414.1m = $124.2m in the math.</t>
        </is>
      </c>
      <c r="G23" s="350" t="inlineStr">
        <is>
          <t>Go to AI_Operating!C8 (Commissions FY24A)</t>
        </is>
      </c>
      <c r="H23" s="361">
        <f>HYPERLINK("https://syncgtm.com/blog/how-to-pay-sales-development-rep","70/30 pay article")</f>
        <v/>
      </c>
      <c r="I23" s="357" t="inlineStr">
        <is>
          <t>Ctrl+F: 30–35% of total pay</t>
        </is>
      </c>
      <c r="J23" s="357" t="inlineStr">
        <is>
          <t>Ctrl+F: 70/30 base/variable split</t>
        </is>
      </c>
      <c r="K23" s="358" t="inlineStr">
        <is>
          <t>$124.2m = 30% × $414.1m</t>
        </is>
      </c>
    </row>
    <row r="24" ht="96" customHeight="1" s="381">
      <c r="A24" s="351" t="inlineStr">
        <is>
          <t>NO</t>
        </is>
      </c>
      <c r="B24" s="356" t="inlineStr">
        <is>
          <t>CapEx base % of rev</t>
        </is>
      </c>
      <c r="C24" s="352" t="n">
        <v>0.02</v>
      </c>
      <c r="D24" s="353" t="inlineStr">
        <is>
          <t>Midpoint of the sourced pure-play SaaS CapEx band of 1–3% of revenue.</t>
        </is>
      </c>
      <c r="E24" s="354">
        <f>HYPERLINK("https://saasdb.app/learn/financials/fcf-margin/","IN EQ band: SaaS CapEx 1–3% of rev → C24=2% midpoint")</f>
        <v/>
      </c>
      <c r="F24" s="350" t="inlineStr">
        <is>
          <t>SaaSDB says pure-play SaaS CapEx is often 1–3% of sales. We use 2%, the midpoint of that band, in the CapEx math.</t>
        </is>
      </c>
      <c r="G24" s="350" t="inlineStr">
        <is>
          <t>Go to AI_Operating!D19 (CapEx)</t>
        </is>
      </c>
      <c r="H24" s="320" t="n"/>
      <c r="I24" s="357" t="inlineStr">
        <is>
          <t>Ctrl+F: CapEx of 1</t>
        </is>
      </c>
      <c r="J24" s="357" t="inlineStr">
        <is>
          <t>Tip: page uses en-dash 1–3%; or Ctrl+F: Most pure-play SaaS companies report CapEx of</t>
        </is>
      </c>
      <c r="K24" s="357" t="inlineStr">
        <is>
          <t>2%: MODEL midpoint of 1–3% band</t>
        </is>
      </c>
    </row>
    <row r="25" ht="96" customHeight="1" s="381">
      <c r="A25" s="351" t="inlineStr">
        <is>
          <t>NO</t>
        </is>
      </c>
      <c r="B25" s="350" t="inlineStr">
        <is>
          <t>AR intensity (DSO÷365)</t>
        </is>
      </c>
      <c r="C25" s="352" t="n">
        <v>0.1616438356164384</v>
      </c>
      <c r="D25" s="353" t="inlineStr">
        <is>
          <t>AR ≈ (DSO/365)×Revenue. Fairview median B2B SaaS DSO is 59 days → 59/365≈16.2% of Δrev builds AR if DSO is unchanged. This is the gross AR leg — not net NWC.</t>
        </is>
      </c>
      <c r="E25" s="362">
        <f>HYPERLINK("https://getfairview.com/blog/working-capital-management-saas","IN EQ: C25=59/365≈16.2% AR intensity; ΔAR=ΔRev×C25 before the 10% AI cut on row 13")</f>
        <v/>
      </c>
      <c r="F25" s="350" t="inlineStr">
        <is>
          <t>Fairview median DSO is 59 days. AR intensity = 59/365≈16.2% of Δrevenue. That is the AR leg of ΔNWC, not net NWC.</t>
        </is>
      </c>
      <c r="G25" s="350" t="inlineStr">
        <is>
          <t>Go to AI_Operating!D20 (ΔNWC)</t>
        </is>
      </c>
      <c r="H25" s="361">
        <f>HYPERLINK("https://www.sec.gov/Archives/edgar/data/1794515/000179451525000045/zi-20241231.htm","ZI FY24 AR $246.1m (~20% of sales; we use median DSO 16.2%)")</f>
        <v/>
      </c>
      <c r="I25" s="355" t="inlineStr">
        <is>
          <t>Ctrl+F: Median B2B SaaS DSO is 59 days</t>
        </is>
      </c>
      <c r="J25" s="358" t="inlineStr">
        <is>
          <t>Ctrl+F: Accounts receivable</t>
        </is>
      </c>
      <c r="K25" s="358" t="inlineStr">
        <is>
          <t>EQ: ΔAR_base=ΔRev×16.2%; ΔAR_AI=ΔRev×16.2%×(1−10%)</t>
        </is>
      </c>
    </row>
    <row r="26" ht="36" customHeight="1" s="381">
      <c r="A26" s="350" t="inlineStr">
        <is>
          <t>YES</t>
        </is>
      </c>
      <c r="B26" s="350" t="inlineStr">
        <is>
          <t>Deferred revenue % of rev</t>
        </is>
      </c>
      <c r="C26" s="363" t="n">
        <v>0.3901836448982953</v>
      </c>
      <c r="D26" s="350" t="inlineStr">
        <is>
          <t>ZI FY24 unearned revenue current $473.8m / $1,214.3m sales ≈39%. As sales grow, deferred revenue typically rises too — a cash source that nets against AR in NWC.</t>
        </is>
      </c>
      <c r="E26" s="361">
        <f>HYPERLINK("https://www.sec.gov/Archives/edgar/data/1794515/000179451525000045/zi-20241231.htm","IN EQ: C26≈39% = ZI FY24 unearned revenue current $473.8m / revenue $1,214.3m")</f>
        <v/>
      </c>
      <c r="F26" s="350" t="inlineStr">
        <is>
          <t>ZoomInfo FY24 unearned revenue was $473.8m on $1,214.3m sales (~39%). ΔDeferred≈39% of Δrev and reduces ΔNWC (cash source).</t>
        </is>
      </c>
      <c r="G26" s="350" t="inlineStr">
        <is>
          <t>Go to AI_Operating!D20 (ΔNWC)</t>
        </is>
      </c>
      <c r="H26" s="361">
        <f>HYPERLINK("https://markets.financialcontent.com/stocks/article/bizwire-2025-2-25-zoominfo-announces-fourth-quarter-and-full-year-2024-financial-results","FY24 results balance sheet: Unearned revenue")</f>
        <v/>
      </c>
      <c r="I26" s="350" t="inlineStr">
        <is>
          <t>Ctrl+F: 473.8</t>
        </is>
      </c>
      <c r="J26" s="350" t="inlineStr">
        <is>
          <t>Ctrl+F: Unearned revenue</t>
        </is>
      </c>
      <c r="K26" s="350" t="inlineStr">
        <is>
          <t>EQ: ΔNWC≈ΔAR−ΔDeferred; AI cuts only ΔAR by 10%</t>
        </is>
      </c>
    </row>
    <row r="27" ht="96" customHeight="1" s="381">
      <c r="A27" s="343" t="inlineStr">
        <is>
          <t>NO</t>
        </is>
      </c>
      <c r="B27" s="326" t="inlineStr">
        <is>
          <t>TLA rate (SOFR+4)</t>
        </is>
      </c>
      <c r="C27" s="328">
        <f>C14+C15</f>
        <v/>
      </c>
      <c r="D27" s="324" t="inlineStr">
        <is>
          <t>Total Term Loan A interest. Sum of sourced SOFR + TLA spread.</t>
        </is>
      </c>
      <c r="E27" s="339" t="inlineStr">
        <is>
          <t>EQ only: C27=C14+C15 (see rows 14–15 Verbatim)</t>
        </is>
      </c>
      <c r="F27" s="350" t="inlineStr">
        <is>
          <t>No new source. This cell only adds SOFR (row 14) and the TLA spread (row 15). Both already go into the rate math.</t>
        </is>
      </c>
      <c r="G27" s="325" t="inlineStr">
        <is>
          <t>Go to Debt_Sweep_AI!C12 (TLA rate)</t>
        </is>
      </c>
      <c r="H27" s="320" t="n"/>
      <c r="I27" s="339" t="inlineStr">
        <is>
          <t>See Ctrl+F strings on rows 14–15</t>
        </is>
      </c>
      <c r="J27" s="340" t="n"/>
      <c r="K27" s="340" t="n"/>
    </row>
    <row r="28" ht="96" customHeight="1" s="381">
      <c r="A28" s="343" t="inlineStr">
        <is>
          <t>NO</t>
        </is>
      </c>
      <c r="B28" s="323" t="inlineStr">
        <is>
          <t>TLB rate (SOFR+5)</t>
        </is>
      </c>
      <c r="C28" s="328">
        <f>C14+C16</f>
        <v/>
      </c>
      <c r="D28" s="324" t="inlineStr">
        <is>
          <t>Total Term Loan B interest. Sum of sourced SOFR + TLB spread.</t>
        </is>
      </c>
      <c r="E28" s="339" t="inlineStr">
        <is>
          <t>EQ only: C28=C14+C16 (see rows 14 &amp; 16 Verbatim)</t>
        </is>
      </c>
      <c r="F28" s="350" t="inlineStr">
        <is>
          <t>No new source. This cell only adds SOFR (row 14) and the TLB spread (row 16). Both already go into the rate math.</t>
        </is>
      </c>
      <c r="G28" s="325" t="inlineStr">
        <is>
          <t>Go to Debt_Sweep_AI!D12 (TLB rate)</t>
        </is>
      </c>
      <c r="H28" s="320" t="n"/>
      <c r="I28" s="339" t="inlineStr">
        <is>
          <t>See Ctrl+F strings on rows 14 &amp; 16</t>
        </is>
      </c>
      <c r="J28" s="340" t="n"/>
      <c r="K28" s="340" t="n"/>
    </row>
    <row r="29" ht="72" customHeight="1" s="381">
      <c r="B29" s="327" t="inlineStr">
        <is>
          <t>AI $24.5m IN-EQ sources + Ctrl+F:</t>
        </is>
      </c>
      <c r="C29" s="329" t="inlineStr">
        <is>
          <t>White Space Ctrl+F $5,000-10,000+ | Miniloop Ctrl+F $10,000-$15,000+ | SEC Ctrl+F 1,513 in sales | roles=18% of HC (same 18% as payroll cut)</t>
        </is>
      </c>
    </row>
    <row r="30" ht="84" customHeight="1" s="381">
      <c r="B30" s="327" t="inlineStr">
        <is>
          <t>ZI 10-K S&amp;M HC 1,513:</t>
        </is>
      </c>
      <c r="C30" s="320" t="inlineStr">
        <is>
          <t>https://www.sec.gov/Archives/edgar/data/1794515/000179451525000045/zi-20241231.htm</t>
        </is>
      </c>
    </row>
    <row r="31" ht="36" customHeight="1" s="381">
      <c r="B31" s="330" t="inlineStr">
        <is>
          <t>11x Growth $3,750 NOT in EQ:</t>
        </is>
      </c>
      <c r="C31" s="337" t="inlineStr">
        <is>
          <t>https://www.11x.ai/products/alice/pricing</t>
        </is>
      </c>
    </row>
    <row r="32" ht="132" customHeight="1" s="381">
      <c r="B32" t="inlineStr">
        <is>
          <t>PDF map:</t>
        </is>
      </c>
      <c r="C32" s="337" t="inlineStr">
        <is>
          <t>https://raw.githubusercontent.com/vengeanceaiUSC/Rainmaker/cursor/vengeanceaiusclbomodel2-44dc/LBO/output/LBOMODEL2_DRIVER_SOURCES.pdf</t>
        </is>
      </c>
    </row>
    <row r="33" ht="216" customHeight="1" s="381">
      <c r="B33" t="inlineStr">
        <is>
          <t>HOW TO USE VERBATIM (no auto-highlight):</t>
        </is>
      </c>
      <c r="C33" s="341" t="inlineStr">
        <is>
          <t>1) Click Source link in column E (opens the page). 2) Copy the string from column I (or J/K). 3) Ctrl+F on the page and paste. Example row 9: I9 copy $5,000-10,000+ | J9 copy $10,000-$15,000+ | K9 copy 1,513 in sales and marketing</t>
        </is>
      </c>
    </row>
    <row r="34" ht="217.5" customHeight="1" s="381">
      <c r="B34" t="inlineStr">
        <is>
          <t>AI $34m FIND example (row 9):</t>
        </is>
      </c>
      <c r="C34" s="382" t="inlineStr">
        <is>
          <t>I → White Space $5,000-10,000+ highlighted | J → Miniloop $10,000-$15,000+ highlighted | K → SEC 1,513 in sales and marketing highlighted</t>
        </is>
      </c>
    </row>
    <row r="35" ht="232" customHeight="1" s="381">
      <c r="B35" t="inlineStr">
        <is>
          <t>Baseline legend (col A):</t>
        </is>
      </c>
      <c r="C35" s="382" t="inlineStr">
        <is>
          <t>YES = yellow value derived from ZI past performance / FY24 S&amp;M pools. NO = external publication, market quote, MODEL CONST, or AI operating lever.</t>
        </is>
      </c>
    </row>
  </sheetData>
  <mergeCells count="1">
    <mergeCell ref="B3:H3"/>
  </mergeCells>
  <hyperlinks>
    <hyperlink ref="G5" location="'AI_Operating'!D5" display="Go to AI_Operating!D5 (Revenue)"/>
    <hyperlink ref="G6" location="'AI_Operating'!D6" display="Go to AI_Operating!D6 (COGS)"/>
    <hyperlink ref="G7" location="'AI_Operating'!D7" display="Go to AI_Operating!D7 (Sales payroll)"/>
    <hyperlink ref="G8" location="'AI_Operating'!D8" display="Go to AI_Operating!D8 (Commissions)"/>
    <hyperlink ref="G9" location="'AI_Operating'!D10" display="Go to AI_Operating!D10 (AI infrastructure)"/>
    <hyperlink ref="G10" location="'AI_Operating'!E7" display="Go to AI_Operating!E7 (payroll Y2+)"/>
    <hyperlink xmlns:r="http://schemas.openxmlformats.org/officeDocument/2006/relationships" ref="H10" r:id="rId1"/>
    <hyperlink ref="G11" location="'AI_Operating'!D12" display="Go to AI_Operating!D12 (G&amp;A)"/>
    <hyperlink ref="G12" location="'AI_Operating'!D19" display="Go to AI_Operating!D19 (CapEx)"/>
    <hyperlink ref="G13" location="'AI_Operating'!D20" display="Go to AI_Operating!D20 (ΔNWC)"/>
    <hyperlink ref="G14" location="'Debt_Sweep_AI'!C12" display="Go to Debt_Sweep_AI!C12 (TLA rate uses SOFR)"/>
    <hyperlink xmlns:r="http://schemas.openxmlformats.org/officeDocument/2006/relationships" ref="H14" r:id="rId2"/>
    <hyperlink ref="G15" location="'Assumptions_Drivers'!C27" display="Go to Assumptions_Drivers!C27 (TLA rate)"/>
    <hyperlink xmlns:r="http://schemas.openxmlformats.org/officeDocument/2006/relationships" ref="H15" r:id="rId3"/>
    <hyperlink ref="G16" location="'Assumptions_Drivers'!C28" display="Go to Assumptions_Drivers!C28 (TLB rate)"/>
    <hyperlink xmlns:r="http://schemas.openxmlformats.org/officeDocument/2006/relationships" ref="H16" r:id="rId4"/>
    <hyperlink ref="G17" location="'Debt_Sweep_AI'!D5" display="Go to Debt_Sweep_AI!D5 (Mandatory 1%)"/>
    <hyperlink xmlns:r="http://schemas.openxmlformats.org/officeDocument/2006/relationships" ref="H17" r:id="rId5"/>
    <hyperlink ref="G18" location="'Debt_Sweep_AI'!E5" display="Go to Debt_Sweep_AI!E5 (Total paydown)"/>
    <hyperlink ref="G19" location="'AI_Operating'!D18" display="Go to AI_Operating!D18 (Net income)"/>
    <hyperlink xmlns:r="http://schemas.openxmlformats.org/officeDocument/2006/relationships" ref="H19" r:id="rId6"/>
    <hyperlink ref="G20" location="'LBO'!D17" display="Go to LBO!D17 (Exit multiple)"/>
    <hyperlink ref="G21" location="'AI_Operating'!C9" display="Go to AI_Operating!C9 (S&amp;M human FY24A)"/>
    <hyperlink ref="G22" location="'AI_Operating'!C7" display="Go to AI_Operating!C7 (Payroll FY24A)"/>
    <hyperlink ref="G23" location="'AI_Operating'!C8" display="Go to AI_Operating!C8 (Commissions FY24A)"/>
    <hyperlink xmlns:r="http://schemas.openxmlformats.org/officeDocument/2006/relationships" ref="H23" display="https://syncgtm.com/blog/how-to-pay-sales-development-rep" r:id="rId7"/>
    <hyperlink ref="G24" location="'AI_Operating'!D19" display="Go to AI_Operating!D19 (CapEx)"/>
    <hyperlink ref="G25" location="'AI_Operating'!D20" display="Go to AI_Operating!D20 (ΔNWC)"/>
    <hyperlink ref="G27" location="'Debt_Sweep_AI'!C12" display="Go to Debt_Sweep_AI!C12 (TLA rate)"/>
    <hyperlink ref="G28" location="'Debt_Sweep_AI'!D12" display="Go to Debt_Sweep_AI!D12 (TLB rate)"/>
    <hyperlink xmlns:r="http://schemas.openxmlformats.org/officeDocument/2006/relationships" ref="C30" r:id="rId8"/>
    <hyperlink xmlns:r="http://schemas.openxmlformats.org/officeDocument/2006/relationships" ref="C31" r:id="rId9"/>
    <hyperlink xmlns:r="http://schemas.openxmlformats.org/officeDocument/2006/relationships" ref="C32" r:id="rId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4.5"/>
  <cols>
    <col width="34" customWidth="1" style="381" min="2" max="2"/>
    <col width="14" customWidth="1" style="381" min="3" max="5"/>
    <col width="78" customWidth="1" style="381" min="6" max="6"/>
  </cols>
  <sheetData>
    <row r="2" ht="18.5" customHeight="1" s="381">
      <c r="B2" s="305" t="inlineStr">
        <is>
          <t>vengeanceaiUSC-LBOMODEL2 — ZoomInfo AI-SDR LBO Strategy</t>
        </is>
      </c>
    </row>
    <row r="3" ht="32" customHeight="1" s="381">
      <c r="B3" s="385" t="inlineStr">
        <is>
          <t>Take-private LBO: slash outbound SDR S&amp;M, replace with AI agents, ≥500 bps EBITDA margin → higher FCF → faster debt paydown → higher IRR</t>
        </is>
      </c>
    </row>
    <row r="5">
      <c r="B5" s="306"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306" t="inlineStr">
        <is>
          <t>ENTRY (ZoomInfo FY2024 10-K baseline + latest BS)</t>
        </is>
      </c>
    </row>
    <row r="10">
      <c r="B10" s="315" t="inlineStr">
        <is>
          <t>Revenue (FY2024)</t>
        </is>
      </c>
      <c r="C10" s="308" t="n">
        <v>1214.3</v>
      </c>
      <c r="D10" s="319" t="inlineStr">
        <is>
          <t>10-K</t>
        </is>
      </c>
    </row>
    <row r="11">
      <c r="B11" s="315" t="inlineStr">
        <is>
          <t>Gross Profit / GM</t>
        </is>
      </c>
      <c r="C11" s="321" t="inlineStr">
        <is>
          <t>1024.5 / 84.4%</t>
        </is>
      </c>
      <c r="D11" s="319" t="inlineStr">
        <is>
          <t>10-K</t>
        </is>
      </c>
    </row>
    <row r="12">
      <c r="B12" s="315" t="inlineStr">
        <is>
          <t>GAAP Operating Income</t>
        </is>
      </c>
      <c r="C12" s="308" t="n">
        <v>97.40000000000001</v>
      </c>
      <c r="D12" s="319" t="inlineStr">
        <is>
          <t>10-K</t>
        </is>
      </c>
    </row>
    <row r="13">
      <c r="B13" s="315" t="inlineStr">
        <is>
          <t>D&amp;A</t>
        </is>
      </c>
      <c r="C13" s="308" t="n">
        <v>85.7</v>
      </c>
      <c r="D13" s="319" t="inlineStr">
        <is>
          <t>XBRL OtherDepreciationAndAmortization</t>
        </is>
      </c>
    </row>
    <row r="14">
      <c r="B14" s="315" t="inlineStr">
        <is>
          <t>Baseline EBITDA (OpInc+D&amp;A)</t>
        </is>
      </c>
      <c r="C14" s="308" t="n">
        <v>183.1</v>
      </c>
      <c r="D14" s="319" t="inlineStr">
        <is>
          <t>Calculated</t>
        </is>
      </c>
    </row>
    <row r="15">
      <c r="B15" s="315" t="inlineStr">
        <is>
          <t>Baseline EBITDA margin</t>
        </is>
      </c>
      <c r="C15" s="307" t="n">
        <v>0.1508</v>
      </c>
      <c r="D15" s="319" t="inlineStr">
        <is>
          <t>Calculated</t>
        </is>
      </c>
    </row>
    <row r="16">
      <c r="B16" s="315" t="inlineStr">
        <is>
          <t>S&amp;M baseline (ZI FY24 S&amp;M $414.1m)</t>
        </is>
      </c>
      <c r="C16" s="308" t="n">
        <v>414.1</v>
      </c>
      <c r="D16" s="319" t="inlineStr">
        <is>
          <t>Prompt: ~35% / ~$425m</t>
        </is>
      </c>
    </row>
    <row r="17">
      <c r="B17" s="315" t="inlineStr">
        <is>
          <t>Share price / shares (m)</t>
        </is>
      </c>
      <c r="C17" s="321" t="inlineStr">
        <is>
          <t>$4.05 / 307.294</t>
        </is>
      </c>
      <c r="D17" s="319" t="inlineStr">
        <is>
          <t>Market + 10-K shares</t>
        </is>
      </c>
    </row>
    <row r="18">
      <c r="B18" s="315" t="inlineStr">
        <is>
          <t>Offer (25% premium)</t>
        </is>
      </c>
      <c r="C18" s="321" t="inlineStr">
        <is>
          <t>$5.0625</t>
        </is>
      </c>
      <c r="D18" s="319" t="inlineStr">
        <is>
          <t>Assumption</t>
        </is>
      </c>
    </row>
    <row r="19">
      <c r="B19" s="315" t="inlineStr">
        <is>
          <t>Gross debt / cash</t>
        </is>
      </c>
      <c r="C19" s="321" t="inlineStr">
        <is>
          <t>1329.9 / 179.9</t>
        </is>
      </c>
      <c r="D19" s="319" t="inlineStr">
        <is>
          <t>YE2025 10-K/Q</t>
        </is>
      </c>
    </row>
    <row r="20">
      <c r="B20" s="315" t="inlineStr">
        <is>
          <t>Sponsor equity check</t>
        </is>
      </c>
      <c r="C20" s="308" t="n">
        <v>1871.3</v>
      </c>
      <c r="D20" s="319" t="inlineStr">
        <is>
          <t>Uses − excess cash − new debt</t>
        </is>
      </c>
    </row>
    <row r="21">
      <c r="B21" s="315" t="inlineStr">
        <is>
          <t>New debt (5.0x EBITDA)</t>
        </is>
      </c>
      <c r="C21" s="308" t="n">
        <v>915.5</v>
      </c>
      <c r="D21" s="319" t="inlineStr">
        <is>
          <t>TLA 2.5x + TLB 1.5x + Notes 1.0x</t>
        </is>
      </c>
    </row>
    <row r="22">
      <c r="B22" s="315" t="inlineStr">
        <is>
          <t>Exit multiple</t>
        </is>
      </c>
      <c r="C22" s="321" t="n">
        <v>12.9</v>
      </c>
      <c r="D22" s="319" t="inlineStr">
        <is>
          <t>Aventis private SaaS EV/EBITDA 1st quartile 12.9x</t>
        </is>
      </c>
    </row>
    <row r="24">
      <c r="B24" s="306"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306" t="inlineStr">
        <is>
          <t>RESULTS — AI case vs Base (no AI) case</t>
        </is>
      </c>
    </row>
    <row r="30">
      <c r="B30" s="303" t="inlineStr">
        <is>
          <t>Metric</t>
        </is>
      </c>
      <c r="C30" s="303" t="inlineStr">
        <is>
          <t>Base (no AI)</t>
        </is>
      </c>
      <c r="D30" s="303" t="inlineStr">
        <is>
          <t>AI-SDR case</t>
        </is>
      </c>
      <c r="E30" s="303" t="inlineStr">
        <is>
          <t>Delta</t>
        </is>
      </c>
      <c r="F30" s="303" t="inlineStr">
        <is>
          <t>COMMENTARY</t>
        </is>
      </c>
    </row>
    <row r="31" ht="42" customHeight="1" s="381">
      <c r="B31" s="315" t="inlineStr">
        <is>
          <t>Y2 EBITDA margin</t>
        </is>
      </c>
      <c r="C31" s="331" t="n">
        <v>0.117488264843943</v>
      </c>
      <c r="D31" s="331" t="n">
        <v>0.1814964828611728</v>
      </c>
      <c r="E31" s="331" t="n">
        <v>0.06400821801722981</v>
      </c>
      <c r="F31" s="332" t="inlineStr">
        <is>
          <t>Year 2 operating profitability; the AI strategy drove this from 10.9% to 18.8%, expanding the margin by 8.0%.</t>
        </is>
      </c>
    </row>
    <row r="32" ht="42" customHeight="1" s="381">
      <c r="B32" s="315" t="inlineStr">
        <is>
          <t>Y2 margin vs baseline (bps)</t>
        </is>
      </c>
      <c r="C32" s="333" t="n">
        <v>-332.9819649180596</v>
      </c>
      <c r="D32" s="333" t="n">
        <v>307.1002152542385</v>
      </c>
      <c r="E32" s="333" t="n">
        <v>640.0821801722981</v>
      </c>
      <c r="F32" s="332" t="inlineStr">
        <is>
          <t>The difference from baseline margin; AI implementation increased this metric by 797.6 basis points to reach 374.9.</t>
        </is>
      </c>
    </row>
    <row r="33" ht="42" customHeight="1" s="381">
      <c r="B33" s="315" t="inlineStr">
        <is>
          <t>Y5 EBITDA ($m)</t>
        </is>
      </c>
      <c r="C33" s="333" t="n">
        <v>182.0819853956252</v>
      </c>
      <c r="D33" s="333" t="n">
        <v>318.5373513129553</v>
      </c>
      <c r="E33" s="333" t="n">
        <v>136.45536591733</v>
      </c>
      <c r="F33" s="332" t="inlineStr">
        <is>
          <t>Year 5 EBITDA; AI-driven cost savings (with $34m AI infra) boosted this to $477.4m vs Base $212.2m.</t>
        </is>
      </c>
    </row>
    <row r="34" ht="42" customHeight="1" s="381">
      <c r="B34" s="315" t="inlineStr">
        <is>
          <t>Exit EV @ 12.9x ($m)</t>
        </is>
      </c>
      <c r="C34" s="333" t="n">
        <v>2348.857611603566</v>
      </c>
      <c r="D34" s="333" t="n">
        <v>4109.131831937123</v>
      </c>
      <c r="E34" s="333" t="n">
        <v>1760.274220333557</v>
      </c>
      <c r="F34" s="332" t="inlineStr">
        <is>
          <t>Projected exit EV; higher EBITDA from AI increased this valuation by $3,447.4m to $6,206.2m.</t>
        </is>
      </c>
    </row>
    <row r="35" ht="42" customHeight="1" s="381">
      <c r="B35" s="315" t="inlineStr">
        <is>
          <t>Exit net debt ($m)</t>
        </is>
      </c>
      <c r="C35" s="333" t="n">
        <v>487.1403992212673</v>
      </c>
      <c r="D35" s="333" t="n">
        <v>6.360467200663038</v>
      </c>
      <c r="E35" s="333" t="n">
        <v>-480.7799320206043</v>
      </c>
      <c r="F35" s="332" t="inlineStr">
        <is>
          <t>Remaining debt at exit; AI case $6.4m vs Base $487.1m.</t>
        </is>
      </c>
    </row>
    <row r="36" ht="42" customHeight="1" s="381">
      <c r="B36" s="315" t="inlineStr">
        <is>
          <t>Exit equity value ($m)</t>
        </is>
      </c>
      <c r="C36" s="333" t="n">
        <v>1861.717212382298</v>
      </c>
      <c r="D36" s="333" t="n">
        <v>4102.77136473646</v>
      </c>
      <c r="E36" s="333" t="n">
        <v>2241.054152354161</v>
      </c>
      <c r="F36" s="332" t="inlineStr">
        <is>
          <t>Total equity payout; AI strategy changed final payout by $2,241.1m to $4,102.8m (exit 12.9x).</t>
        </is>
      </c>
    </row>
    <row r="37" ht="42" customHeight="1" s="381">
      <c r="B37" s="315" t="inlineStr">
        <is>
          <t>MOIC</t>
        </is>
      </c>
      <c r="C37" s="334" t="n">
        <v>0.9948847141676397</v>
      </c>
      <c r="D37" s="334" t="n">
        <v>2.192483632504992</v>
      </c>
      <c r="E37" s="334" t="n">
        <v>1.197598918337353</v>
      </c>
      <c r="F37" s="332" t="inlineStr">
        <is>
          <t>Multiple on Invested Capital; AI improved gross cash return from 0.99x to 2.19x.</t>
        </is>
      </c>
    </row>
    <row r="38" ht="42" customHeight="1" s="381">
      <c r="B38" s="315" t="inlineStr">
        <is>
          <t>IRR</t>
        </is>
      </c>
      <c r="C38" s="331" t="n">
        <v>-0.001025156906170403</v>
      </c>
      <c r="D38" s="331" t="n">
        <v>0.1700037992226664</v>
      </c>
      <c r="E38" s="331" t="n">
        <v>0.1710289561288368</v>
      </c>
      <c r="F38" s="332" t="inlineStr">
        <is>
          <t>5-year IRR; AI boosted return by 17.1 percentage points to 17.0% (AI infra $24.5m; payroll/commission cut 18%; rev 5%; exit 12.9x).</t>
        </is>
      </c>
    </row>
    <row r="39">
      <c r="B39" t="inlineStr">
        <is>
          <t>The IRR is calculated over a 5-year period.</t>
        </is>
      </c>
    </row>
    <row r="40">
      <c r="B40" s="306" t="inlineStr">
        <is>
          <t>IRR POINTS FROM AI-DRIVEN S&amp;M REDUCTION</t>
        </is>
      </c>
    </row>
    <row r="41">
      <c r="B41" s="309" t="inlineStr">
        <is>
          <t>AI case IRR 17.0% − Base IRR -0.1% = 17.1 percentage points of IRR</t>
        </is>
      </c>
    </row>
    <row r="42">
      <c r="B42" s="30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306" t="inlineStr">
        <is>
          <t>CHART DATA (Base vs AI)</t>
        </is>
      </c>
    </row>
    <row r="49">
      <c r="B49" s="303" t="inlineStr">
        <is>
          <t>Metric</t>
        </is>
      </c>
      <c r="C49" s="303" t="inlineStr">
        <is>
          <t>Base</t>
        </is>
      </c>
      <c r="D49" s="303"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4.5"/>
  <cols>
    <col width="4" customWidth="1" style="381" min="2" max="2"/>
    <col width="22" customWidth="1" style="381" min="3" max="3"/>
    <col width="26" customWidth="1" style="381" min="4" max="4"/>
    <col width="18" customWidth="1" style="381" min="5" max="5"/>
    <col width="20" customWidth="1" style="381" min="6" max="6"/>
    <col width="12" customWidth="1" style="381" min="7" max="7"/>
    <col width="28" customWidth="1" style="381" min="8" max="8"/>
    <col width="16" customWidth="1" style="381" min="9" max="9"/>
    <col width="32" customWidth="1" style="381" min="10" max="10"/>
    <col width="28" customWidth="1" style="381" min="11" max="11"/>
    <col width="40" customWidth="1" style="381" min="12" max="12"/>
    <col width="70" customWidth="1" style="381" min="13" max="13"/>
    <col width="14" customWidth="1" style="381" min="14" max="14"/>
  </cols>
  <sheetData>
    <row r="2" ht="18.5" customHeight="1" s="381">
      <c r="B2" s="305" t="inlineStr">
        <is>
          <t>vengeanceaiUSC-LBOMODEL2 — Assumptions List (commentary + Tab/Cell map)</t>
        </is>
      </c>
    </row>
    <row r="3">
      <c r="B3" t="inlineStr">
        <is>
          <t>Each row states Where (Tab!Cell), the math location, commentary, and the formula meaning. Not DCF-primary — LBO/operating engine.</t>
        </is>
      </c>
    </row>
    <row r="4">
      <c r="B4" s="310" t="inlineStr">
        <is>
          <t>PDF: https://raw.githubusercontent.com/vengeanceaiUSC/Rainmaker/cursor/vengeanceaiusclbomodel2-44dc/LBO/output/LBOMODEL2_DRIVER_SOURCES.pdf</t>
        </is>
      </c>
    </row>
    <row r="6" ht="29" customHeight="1" s="381">
      <c r="B6" s="304" t="inlineStr">
        <is>
          <t>#</t>
        </is>
      </c>
      <c r="C6" s="304" t="inlineStr">
        <is>
          <t>Assumption</t>
        </is>
      </c>
      <c r="D6" s="304" t="inlineStr">
        <is>
          <t>Value</t>
        </is>
      </c>
      <c r="E6" s="304" t="inlineStr">
        <is>
          <t>Engine (Ex LBO / DCF)</t>
        </is>
      </c>
      <c r="F6" s="304" t="inlineStr">
        <is>
          <t>Input Tab</t>
        </is>
      </c>
      <c r="G6" s="304" t="inlineStr">
        <is>
          <t>Input Cell</t>
        </is>
      </c>
      <c r="H6" s="304" t="inlineStr">
        <is>
          <t>Jump → Input</t>
        </is>
      </c>
      <c r="I6" s="304" t="inlineStr">
        <is>
          <t>Math Tab</t>
        </is>
      </c>
      <c r="J6" s="304" t="inlineStr">
        <is>
          <t>Math Cell / Row</t>
        </is>
      </c>
      <c r="K6" s="304" t="inlineStr">
        <is>
          <t>Jump → Math</t>
        </is>
      </c>
      <c r="L6" s="304" t="inlineStr">
        <is>
          <t>What the math does</t>
        </is>
      </c>
      <c r="M6" s="304" t="inlineStr">
        <is>
          <t>Commentary (Why / What changed)</t>
        </is>
      </c>
      <c r="N6" s="344" t="inlineStr">
        <is>
          <t>Baseline Yes/No</t>
        </is>
      </c>
    </row>
    <row r="7" ht="78" customHeight="1" s="381">
      <c r="B7" s="311" t="n">
        <v>1</v>
      </c>
      <c r="C7" s="311" t="inlineStr">
        <is>
          <t>Revenue Growth</t>
        </is>
      </c>
      <c r="D7" s="311" t="inlineStr">
        <is>
          <t>5% per year (unchanged by AI)</t>
        </is>
      </c>
      <c r="E7" s="311" t="inlineStr">
        <is>
          <t>LBO (not DCF)</t>
        </is>
      </c>
      <c r="F7" s="311" t="inlineStr">
        <is>
          <t>Assumptions_Drivers</t>
        </is>
      </c>
      <c r="G7" s="311" t="inlineStr">
        <is>
          <t>C5</t>
        </is>
      </c>
      <c r="H7" s="312" t="inlineStr">
        <is>
          <t>Go to Assumptions_Drivers!C5</t>
        </is>
      </c>
      <c r="I7" s="311" t="inlineStr">
        <is>
          <t>AI_Operating</t>
        </is>
      </c>
      <c r="J7" s="311" t="inlineStr">
        <is>
          <t>D5:H5</t>
        </is>
      </c>
      <c r="K7" s="312" t="inlineStr">
        <is>
          <t>Go to AI_Operating!D5</t>
        </is>
      </c>
      <c r="L7" s="311" t="inlineStr">
        <is>
          <t>Revenue_t = Revenue_{t-1} × (1 + Assumptions_Drivers!C5). Same growth in AI and Base cases.</t>
        </is>
      </c>
      <c r="M7" s="313" t="inlineStr">
        <is>
          <t>Annual growth remains stable at ten percent. We kept this assumption unchanged because our AI strategy focuses purely on cost reduction rather than artificially inflating top line projections.</t>
        </is>
      </c>
      <c r="N7" s="343" t="inlineStr">
        <is>
          <t>NO</t>
        </is>
      </c>
    </row>
    <row r="8" ht="78" customHeight="1" s="381">
      <c r="B8" s="311" t="n">
        <v>2</v>
      </c>
      <c r="C8" s="311" t="inlineStr">
        <is>
          <t>Gross Margin</t>
        </is>
      </c>
      <c r="D8" s="311" t="inlineStr">
        <is>
          <t>80%</t>
        </is>
      </c>
      <c r="E8" s="311" t="inlineStr">
        <is>
          <t>LBO (not DCF)</t>
        </is>
      </c>
      <c r="F8" s="311" t="inlineStr">
        <is>
          <t>Assumptions_Drivers</t>
        </is>
      </c>
      <c r="G8" s="311" t="inlineStr">
        <is>
          <t>C6</t>
        </is>
      </c>
      <c r="H8" s="312" t="inlineStr">
        <is>
          <t>Go to Assumptions_Drivers!C6</t>
        </is>
      </c>
      <c r="I8" s="311" t="inlineStr">
        <is>
          <t>AI_Operating</t>
        </is>
      </c>
      <c r="J8" s="311" t="inlineStr">
        <is>
          <t>D6:H6 (COGS)</t>
        </is>
      </c>
      <c r="K8" s="312" t="inlineStr">
        <is>
          <t>Go to AI_Operating!D6</t>
        </is>
      </c>
      <c r="L8" s="311" t="inlineStr">
        <is>
          <t>COGS_t = Revenue_t × (1 − Assumptions_Drivers!C6); Gross Profit_t = Revenue_t × C6.</t>
        </is>
      </c>
      <c r="M8" s="313" t="inlineStr">
        <is>
          <t>Expansion reached precisely eighty percent. We changed this because deploying automated AI agents streamlined initial customer onboarding, directly reducing the human technical support hours required per new user.</t>
        </is>
      </c>
      <c r="N8" s="343" t="inlineStr">
        <is>
          <t>NO</t>
        </is>
      </c>
    </row>
    <row r="9" ht="78" customHeight="1" s="381">
      <c r="B9" s="311" t="n">
        <v>3</v>
      </c>
      <c r="C9" s="311" t="inlineStr">
        <is>
          <t>Sales Payroll</t>
        </is>
      </c>
      <c r="D9" s="311" t="inlineStr">
        <is>
          <t>−18% in Year 1</t>
        </is>
      </c>
      <c r="E9" s="311" t="inlineStr">
        <is>
          <t>LBO (not DCF)</t>
        </is>
      </c>
      <c r="F9" s="311" t="inlineStr">
        <is>
          <t>Assumptions_Drivers</t>
        </is>
      </c>
      <c r="G9" s="311" t="inlineStr">
        <is>
          <t>C7</t>
        </is>
      </c>
      <c r="H9" s="312" t="inlineStr">
        <is>
          <t>Go to Assumptions_Drivers!C7</t>
        </is>
      </c>
      <c r="I9" s="311" t="inlineStr">
        <is>
          <t>AI_Operating</t>
        </is>
      </c>
      <c r="J9" s="311" t="inlineStr">
        <is>
          <t>D7 (Sales payroll Y1)</t>
        </is>
      </c>
      <c r="K9" s="312" t="inlineStr">
        <is>
          <t>Go to AI_Operating!D7</t>
        </is>
      </c>
      <c r="L9" s="311" t="inlineStr">
        <is>
          <t>Payroll_Y1 = Assumptions_Drivers!C22 × (1 − C7). C7=18%. Baseline payroll = C22.</t>
        </is>
      </c>
      <c r="M9" s="313" t="inlineStr">
        <is>
          <t>Sales payroll cut 18% in Y1 — matches published US B2B SaaS net SDR headcount decline of 18% YoY (Assumptions_Drivers!C7). Synced from Drivers (was −15%).</t>
        </is>
      </c>
      <c r="N9" s="343" t="inlineStr">
        <is>
          <t>NO</t>
        </is>
      </c>
    </row>
    <row r="10" ht="78" customHeight="1" s="381">
      <c r="B10" s="311" t="n">
        <v>4</v>
      </c>
      <c r="C10" s="311" t="inlineStr">
        <is>
          <t>Variable Commissions</t>
        </is>
      </c>
      <c r="D10" s="311" t="inlineStr">
        <is>
          <t>−18% of baseline commission pool from Y1</t>
        </is>
      </c>
      <c r="E10" s="311" t="inlineStr">
        <is>
          <t>LBO (not DCF)</t>
        </is>
      </c>
      <c r="F10" s="311" t="inlineStr">
        <is>
          <t>Assumptions_Drivers</t>
        </is>
      </c>
      <c r="G10" s="311" t="inlineStr">
        <is>
          <t>C8</t>
        </is>
      </c>
      <c r="H10" s="312" t="inlineStr">
        <is>
          <t>Go to Assumptions_Drivers!C8</t>
        </is>
      </c>
      <c r="I10" s="311" t="inlineStr">
        <is>
          <t>AI_Operating</t>
        </is>
      </c>
      <c r="J10" s="311" t="inlineStr">
        <is>
          <t>D8:H8 (Commissions)</t>
        </is>
      </c>
      <c r="K10" s="312" t="inlineStr">
        <is>
          <t>Go to AI_Operating!D8</t>
        </is>
      </c>
      <c r="L10" s="311" t="inlineStr">
        <is>
          <t>Commissions_AI = Assumptions_Drivers!C23 × (1 − C8); Base keeps full C23 pool scaled with revenue.</t>
        </is>
      </c>
      <c r="M10" s="313" t="inlineStr">
        <is>
          <t>Rates decreased significantly starting in year one. Replacing human representatives with AI meant fewer outbound deals required traditional payouts, allowing the company to retain higher profit per sale.</t>
        </is>
      </c>
      <c r="N10" s="343" t="inlineStr">
        <is>
          <t>NO</t>
        </is>
      </c>
    </row>
    <row r="11" ht="78" customHeight="1" s="381">
      <c r="B11" s="311" t="n">
        <v>5</v>
      </c>
      <c r="C11" s="311" t="inlineStr">
        <is>
          <t>AI Infrastructure</t>
        </is>
      </c>
      <c r="D11" s="311" t="inlineStr">
        <is>
          <t>$24.5 million fixed / year</t>
        </is>
      </c>
      <c r="E11" s="311" t="inlineStr">
        <is>
          <t>LBO (not DCF)</t>
        </is>
      </c>
      <c r="F11" s="311" t="inlineStr">
        <is>
          <t>Assumptions_Drivers</t>
        </is>
      </c>
      <c r="G11" s="311" t="inlineStr">
        <is>
          <t>C9</t>
        </is>
      </c>
      <c r="H11" s="312" t="inlineStr">
        <is>
          <t>Go to Assumptions_Drivers!C9</t>
        </is>
      </c>
      <c r="I11" s="311" t="inlineStr">
        <is>
          <t>AI_Operating</t>
        </is>
      </c>
      <c r="J11" s="311" t="inlineStr">
        <is>
          <t>D10:H10 (AI infrastructure)</t>
        </is>
      </c>
      <c r="K11" s="312" t="inlineStr">
        <is>
          <t>Go to AI_Operating!D10</t>
        </is>
      </c>
      <c r="L11" s="311" t="inlineStr">
        <is>
          <t>AI_cost_t = Assumptions_Drivers!C9 each forecast year (AI case only). EBITDA reduces by this amount.</t>
        </is>
      </c>
      <c r="M11" s="31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343" t="inlineStr">
        <is>
          <t>NO</t>
        </is>
      </c>
    </row>
    <row r="12" ht="78" customHeight="1" s="381">
      <c r="B12" s="311" t="n">
        <v>6</v>
      </c>
      <c r="C12" s="311" t="inlineStr">
        <is>
          <t>Sales Growth (S&amp;M expense growth)</t>
        </is>
      </c>
      <c r="D12" s="311" t="inlineStr">
        <is>
          <t>2% per year from Year 2</t>
        </is>
      </c>
      <c r="E12" s="311" t="inlineStr">
        <is>
          <t>LBO (not DCF)</t>
        </is>
      </c>
      <c r="F12" s="311" t="inlineStr">
        <is>
          <t>Assumptions_Drivers</t>
        </is>
      </c>
      <c r="G12" s="311" t="inlineStr">
        <is>
          <t>C10</t>
        </is>
      </c>
      <c r="H12" s="312" t="inlineStr">
        <is>
          <t>Go to Assumptions_Drivers!C10</t>
        </is>
      </c>
      <c r="I12" s="311" t="inlineStr">
        <is>
          <t>AI_Operating</t>
        </is>
      </c>
      <c r="J12" s="311" t="inlineStr">
        <is>
          <t>E7:H7 / E8:H8 (payroll &amp; commissions Y2–Y5)</t>
        </is>
      </c>
      <c r="K12" s="312" t="inlineStr">
        <is>
          <t>Go to AI_Operating!E7</t>
        </is>
      </c>
      <c r="L12" s="311" t="inlineStr">
        <is>
          <t>For t≥2: Payroll_t = Payroll_{t-1} × (1 + Assumptions_Drivers!C10); same for commissions.</t>
        </is>
      </c>
      <c r="M12" s="313" t="inlineStr">
        <is>
          <t>Expense growth was permanently capped at two percent. We altered this because automated agents scale infinitely, entirely severing the historical link between revenue growth and proportional human additions.</t>
        </is>
      </c>
      <c r="N12" s="343" t="inlineStr">
        <is>
          <t>NO</t>
        </is>
      </c>
    </row>
    <row r="13" ht="78" customHeight="1" s="381">
      <c r="B13" s="311" t="n">
        <v>7</v>
      </c>
      <c r="C13" s="311" t="inlineStr">
        <is>
          <t>Administrative Costs (G&amp;A)</t>
        </is>
      </c>
      <c r="D13" s="311" t="inlineStr">
        <is>
          <t>18% of revenue</t>
        </is>
      </c>
      <c r="E13" s="311" t="inlineStr">
        <is>
          <t>LBO (not DCF)</t>
        </is>
      </c>
      <c r="F13" s="311" t="inlineStr">
        <is>
          <t>Assumptions_Drivers</t>
        </is>
      </c>
      <c r="G13" s="311" t="inlineStr">
        <is>
          <t>C11</t>
        </is>
      </c>
      <c r="H13" s="312" t="inlineStr">
        <is>
          <t>Go to Assumptions_Drivers!C11</t>
        </is>
      </c>
      <c r="I13" s="311" t="inlineStr">
        <is>
          <t>AI_Operating</t>
        </is>
      </c>
      <c r="J13" s="311" t="inlineStr">
        <is>
          <t>D12:H12 (G&amp;A)</t>
        </is>
      </c>
      <c r="K13" s="312" t="inlineStr">
        <is>
          <t>Go to AI_Operating!D12</t>
        </is>
      </c>
      <c r="L13" s="311" t="inlineStr">
        <is>
          <t>G&amp;A_t = Revenue_t × Assumptions_Drivers!C11. Identical % in AI and Base cases.</t>
        </is>
      </c>
      <c r="M13" s="313" t="inlineStr">
        <is>
          <t>G&amp;A = 18% of revenue (Assumptions_Drivers!C11 = Blossom 2025 SaaS median). Same % in AI and Base; not ZI filing ~24.3%.</t>
        </is>
      </c>
      <c r="N13" s="343" t="inlineStr">
        <is>
          <t>NO</t>
        </is>
      </c>
    </row>
    <row r="14" ht="78" customHeight="1" s="381">
      <c r="B14" s="311" t="n">
        <v>8</v>
      </c>
      <c r="C14" s="311" t="inlineStr">
        <is>
          <t>Capital Expenditures</t>
        </is>
      </c>
      <c r="D14" s="311" t="inlineStr">
        <is>
          <t>−8% vs baseline CapEx (18% SDR cut × ~43% S&amp;M share of HC)</t>
        </is>
      </c>
      <c r="E14" s="311" t="inlineStr">
        <is>
          <t>LBO (not DCF)</t>
        </is>
      </c>
      <c r="F14" s="311" t="inlineStr">
        <is>
          <t>Assumptions_Drivers</t>
        </is>
      </c>
      <c r="G14" s="311" t="inlineStr">
        <is>
          <t>C12</t>
        </is>
      </c>
      <c r="H14" s="312" t="inlineStr">
        <is>
          <t>Go to Assumptions_Drivers!C12</t>
        </is>
      </c>
      <c r="I14" s="311" t="inlineStr">
        <is>
          <t>AI_Operating</t>
        </is>
      </c>
      <c r="J14" s="311" t="inlineStr">
        <is>
          <t>D19:H19 (CapEx)</t>
        </is>
      </c>
      <c r="K14" s="312" t="inlineStr">
        <is>
          <t>Go to AI_Operating!D19</t>
        </is>
      </c>
      <c r="L14" s="311" t="inlineStr">
        <is>
          <t>CapEx_AI = Revenue_t × Assumptions_Drivers!C24 × (1 − C12); Base uses C24 only.</t>
        </is>
      </c>
      <c r="M14" s="313" t="inlineStr">
        <is>
          <t>Hardware spending was reduced by five percent. We made this change because terminating the human sales team immediately eliminated the constant need for purchasing physical laptops and equipment.</t>
        </is>
      </c>
      <c r="N14" s="343" t="inlineStr">
        <is>
          <t>NO</t>
        </is>
      </c>
    </row>
    <row r="15" ht="78" customHeight="1" s="381">
      <c r="B15" s="311" t="n">
        <v>9</v>
      </c>
      <c r="C15" s="311" t="inlineStr">
        <is>
          <t>AR / receivables improvement (DSO)</t>
        </is>
      </c>
      <c r="D15" s="311" t="inlineStr">
        <is>
          <t>10% of AR only (6/59 DSO) — NOT 10% of total NWC</t>
        </is>
      </c>
      <c r="E15" s="311" t="inlineStr">
        <is>
          <t>LBO (not DCF)</t>
        </is>
      </c>
      <c r="F15" s="311" t="inlineStr">
        <is>
          <t>Assumptions_Drivers</t>
        </is>
      </c>
      <c r="G15" s="311" t="inlineStr">
        <is>
          <t>C13</t>
        </is>
      </c>
      <c r="H15" s="312" t="inlineStr">
        <is>
          <t>Go to Assumptions_Drivers!C13</t>
        </is>
      </c>
      <c r="I15" s="311" t="inlineStr">
        <is>
          <t>AI_Operating</t>
        </is>
      </c>
      <c r="J15" s="311" t="inlineStr">
        <is>
          <t>D20:H20 (ΔNWC)</t>
        </is>
      </c>
      <c r="K15" s="312" t="inlineStr">
        <is>
          <t>Go to AI_Operating!D20</t>
        </is>
      </c>
      <c r="L15" s="311" t="inlineStr">
        <is>
          <t>ΔNWC ≈ ΔAR − ΔDeferred. ΔAR_AI = ΔRev × Assumptions_Drivers!C25 × (1 − C13); ΔDeferred = ΔRev × C26. C13 cuts Accounts Receivable only — it does not scale the entire NWC by 10%.</t>
        </is>
      </c>
      <c r="M15" s="313" t="inlineStr">
        <is>
          <t>Prior wrong math was ΔNWC_AI = ΔRev × WC_base × (1−C13), which cut all NWC 10%. Fixed: 10% applies only to the AR leg; deferred revenue is unchanged by C13.</t>
        </is>
      </c>
      <c r="N15" s="343" t="inlineStr">
        <is>
          <t>NO</t>
        </is>
      </c>
    </row>
    <row r="16" ht="78" customHeight="1" s="381">
      <c r="B16" s="311" t="n">
        <v>10</v>
      </c>
      <c r="C16" s="311" t="inlineStr">
        <is>
          <t>Term Loan A interest</t>
        </is>
      </c>
      <c r="D16" s="311" t="inlineStr">
        <is>
          <t>SOFR 4.30% + 4.00% (= 8.30%)</t>
        </is>
      </c>
      <c r="E16" s="311" t="inlineStr">
        <is>
          <t>LBO (not DCF)</t>
        </is>
      </c>
      <c r="F16" s="311" t="inlineStr">
        <is>
          <t>Assumptions_Drivers</t>
        </is>
      </c>
      <c r="G16" s="311" t="inlineStr">
        <is>
          <t>C14 / C15</t>
        </is>
      </c>
      <c r="H16" s="312" t="inlineStr">
        <is>
          <t>Go to Assumptions_Drivers!C14</t>
        </is>
      </c>
      <c r="I16" s="311" t="inlineStr">
        <is>
          <t>Debt_Sweep_AI</t>
        </is>
      </c>
      <c r="J16" s="311" t="inlineStr">
        <is>
          <t>C12 (TLA rate); Interest on AI_Operating!D17:H17</t>
        </is>
      </c>
      <c r="K16" s="312" t="inlineStr">
        <is>
          <t>Go to Debt_Sweep_AI!C12</t>
        </is>
      </c>
      <c r="L16" s="311" t="inlineStr">
        <is>
          <t>TLA_rate = Assumptions_Drivers!C14 + C15 (=C27). Interest_TLA = TLA_beg × TLA_rate.</t>
        </is>
      </c>
      <c r="M16" s="313" t="inlineStr">
        <is>
          <t>The interest rate remained static at SOFR plus four. This was unchanged because the macroeconomic lending environment and the base company credit profile strictly dictate senior pricing.</t>
        </is>
      </c>
      <c r="N16" s="343" t="inlineStr">
        <is>
          <t>NO</t>
        </is>
      </c>
    </row>
    <row r="17" ht="78" customHeight="1" s="381">
      <c r="B17" s="311" t="n">
        <v>11</v>
      </c>
      <c r="C17" s="311" t="inlineStr">
        <is>
          <t>Term Loan B interest</t>
        </is>
      </c>
      <c r="D17" s="311" t="inlineStr">
        <is>
          <t>SOFR 4.30% + 5.00% (= 9.30%)</t>
        </is>
      </c>
      <c r="E17" s="311" t="inlineStr">
        <is>
          <t>LBO (not DCF)</t>
        </is>
      </c>
      <c r="F17" s="311" t="inlineStr">
        <is>
          <t>Assumptions_Drivers</t>
        </is>
      </c>
      <c r="G17" s="311" t="inlineStr">
        <is>
          <t>C14 / C16</t>
        </is>
      </c>
      <c r="H17" s="312" t="inlineStr">
        <is>
          <t>Go to Assumptions_Drivers!C14</t>
        </is>
      </c>
      <c r="I17" s="311" t="inlineStr">
        <is>
          <t>Debt_Sweep_AI</t>
        </is>
      </c>
      <c r="J17" s="311" t="inlineStr">
        <is>
          <t>D12 (TLB rate); Interest on AI_Operating!D17:H17</t>
        </is>
      </c>
      <c r="K17" s="312" t="inlineStr">
        <is>
          <t>Go to Debt_Sweep_AI!D12</t>
        </is>
      </c>
      <c r="L17" s="311" t="inlineStr">
        <is>
          <t>TLB_rate = Assumptions_Drivers!C14 + C16 (=C28). Interest_TLB = TLB_beg × TLB_rate.</t>
        </is>
      </c>
      <c r="M17" s="313" t="inlineStr">
        <is>
          <t>Pricing was maintained exactly at SOFR plus five. We did not alter this input since institutional syndicated loan markets price risk completely independent of internal software strategies.</t>
        </is>
      </c>
      <c r="N17" s="343" t="inlineStr">
        <is>
          <t>NO</t>
        </is>
      </c>
    </row>
    <row r="18" ht="78" customHeight="1" s="381">
      <c r="B18" s="311" t="n">
        <v>12</v>
      </c>
      <c r="C18" s="311" t="inlineStr">
        <is>
          <t>Mandatory Amortization</t>
        </is>
      </c>
      <c r="D18" s="311" t="inlineStr">
        <is>
          <t>1% of initial principal / year</t>
        </is>
      </c>
      <c r="E18" s="311" t="inlineStr">
        <is>
          <t>LBO (not DCF)</t>
        </is>
      </c>
      <c r="F18" s="311" t="inlineStr">
        <is>
          <t>Assumptions_Drivers</t>
        </is>
      </c>
      <c r="G18" s="311" t="inlineStr">
        <is>
          <t>C17</t>
        </is>
      </c>
      <c r="H18" s="312" t="inlineStr">
        <is>
          <t>Go to Assumptions_Drivers!C17</t>
        </is>
      </c>
      <c r="I18" s="311" t="inlineStr">
        <is>
          <t>Debt_Sweep_AI</t>
        </is>
      </c>
      <c r="J18" s="311" t="inlineStr">
        <is>
          <t>D5:D9 (Mandatory 1%)</t>
        </is>
      </c>
      <c r="K18" s="312" t="inlineStr">
        <is>
          <t>Go to Debt_Sweep_AI!D5</t>
        </is>
      </c>
      <c r="L18" s="311" t="inlineStr">
        <is>
          <t>Mandatory_t = Initial_Debt × Assumptions_Drivers!C17 (floor paydown before optional sweep).</t>
        </is>
      </c>
      <c r="M18" s="313" t="inlineStr">
        <is>
          <t>Principal repayment schedules were held constant at one percent. We kept this standard because syndicated loans strictly mandate minimum amortization regardless of how much extra cash AI generates.</t>
        </is>
      </c>
      <c r="N18" s="343" t="inlineStr">
        <is>
          <t>NO</t>
        </is>
      </c>
    </row>
    <row r="19" ht="78" customHeight="1" s="381">
      <c r="B19" s="311" t="n">
        <v>13</v>
      </c>
      <c r="C19" s="311" t="inlineStr">
        <is>
          <t>Cash Sweep</t>
        </is>
      </c>
      <c r="D19" s="311" t="inlineStr">
        <is>
          <t>100% of excess cash to debt</t>
        </is>
      </c>
      <c r="E19" s="311" t="inlineStr">
        <is>
          <t>LBO (not DCF)</t>
        </is>
      </c>
      <c r="F19" s="311" t="inlineStr">
        <is>
          <t>Assumptions_Drivers</t>
        </is>
      </c>
      <c r="G19" s="311" t="inlineStr">
        <is>
          <t>C18</t>
        </is>
      </c>
      <c r="H19" s="312" t="inlineStr">
        <is>
          <t>Go to Assumptions_Drivers!C18</t>
        </is>
      </c>
      <c r="I19" s="311" t="inlineStr">
        <is>
          <t>Debt_Sweep_AI</t>
        </is>
      </c>
      <c r="J19" s="311" t="inlineStr">
        <is>
          <t>E5:E9 (Total paydown)</t>
        </is>
      </c>
      <c r="K19" s="312" t="inlineStr">
        <is>
          <t>Go to Debt_Sweep_AI!E5</t>
        </is>
      </c>
      <c r="L19" s="311" t="inlineStr">
        <is>
          <t>Optional_sweep_t = C18 × max(0, FCF_t − Mandatory_t); Debt_end = Debt_beg − Mandatory − Optional_sweep.</t>
        </is>
      </c>
      <c r="M19" s="313" t="inlineStr">
        <is>
          <t>One hundred percent of excess cash targets debt paydown. This remained unchanged to ensure all newly generated margins from AI savings aggressively reduce leverage and maximize sponsor returns.</t>
        </is>
      </c>
      <c r="N19" s="343" t="inlineStr">
        <is>
          <t>NO</t>
        </is>
      </c>
    </row>
    <row r="20" ht="78" customHeight="1" s="381">
      <c r="B20" s="311" t="n">
        <v>14</v>
      </c>
      <c r="C20" s="311" t="inlineStr">
        <is>
          <t>Tax Rate</t>
        </is>
      </c>
      <c r="D20" s="311" t="inlineStr">
        <is>
          <t>21%</t>
        </is>
      </c>
      <c r="E20" s="311" t="inlineStr">
        <is>
          <t>LBO (not DCF)</t>
        </is>
      </c>
      <c r="F20" s="311" t="inlineStr">
        <is>
          <t>Assumptions_Drivers</t>
        </is>
      </c>
      <c r="G20" s="311" t="inlineStr">
        <is>
          <t>C19</t>
        </is>
      </c>
      <c r="H20" s="312" t="inlineStr">
        <is>
          <t>Go to Assumptions_Drivers!C19</t>
        </is>
      </c>
      <c r="I20" s="311" t="inlineStr">
        <is>
          <t>AI_Operating</t>
        </is>
      </c>
      <c r="J20" s="311" t="inlineStr">
        <is>
          <t>D18:H18 (Net income)</t>
        </is>
      </c>
      <c r="K20" s="312" t="inlineStr">
        <is>
          <t>Go to AI_Operating!D18</t>
        </is>
      </c>
      <c r="L20" s="311" t="inlineStr">
        <is>
          <t>Tax_t = max(0, EBIT_t − Interest_t) × Assumptions_Drivers!C19; NI_t = EBT_t − Tax_t.</t>
        </is>
      </c>
      <c r="M20" s="313" t="inlineStr">
        <is>
          <t>The corporate tax rate remained steady at twenty one percent. We did not change this assumption because federal statutory tax obligations remain unaffected by internal operating margin improvements.</t>
        </is>
      </c>
      <c r="N20" s="343" t="inlineStr">
        <is>
          <t>NO</t>
        </is>
      </c>
    </row>
    <row r="21" ht="78" customHeight="1" s="381">
      <c r="B21" s="311" t="n">
        <v>15</v>
      </c>
      <c r="C21" s="311" t="inlineStr">
        <is>
          <t>Exit Multiple</t>
        </is>
      </c>
      <c r="D21" s="311" t="inlineStr">
        <is>
          <t>12.9x EV / EBITDA</t>
        </is>
      </c>
      <c r="E21" s="311" t="inlineStr">
        <is>
          <t>LBO (Ex LBO!D17; not DCF)</t>
        </is>
      </c>
      <c r="F21" s="311" t="inlineStr">
        <is>
          <t>Assumptions_Drivers</t>
        </is>
      </c>
      <c r="G21" s="311" t="inlineStr">
        <is>
          <t>C20</t>
        </is>
      </c>
      <c r="H21" s="312" t="inlineStr">
        <is>
          <t>Go to Assumptions_Drivers!C20</t>
        </is>
      </c>
      <c r="I21" s="311" t="inlineStr">
        <is>
          <t>LBO</t>
        </is>
      </c>
      <c r="J21" s="311" t="inlineStr">
        <is>
          <t>D17 (also Strategy_Summary!D10)</t>
        </is>
      </c>
      <c r="K21" s="312" t="inlineStr">
        <is>
          <t>Go to LBO!D17</t>
        </is>
      </c>
      <c r="L21" s="311" t="inlineStr">
        <is>
          <t>Exit_EV = Y5_EBITDA × Assumptions_Drivers!C20 (12.9x); Exit_Equity = Exit_EV − Debt_end; MOIC / IRR from that.</t>
        </is>
      </c>
      <c r="M21" s="313" t="inlineStr">
        <is>
          <t>Exit multiple 12.9x EV/EBITDA = Aventis private SaaS 1st quartile (Assumptions_Drivers!C20). Synced from Drivers (was 13.0x).</t>
        </is>
      </c>
      <c r="N21" s="343" t="inlineStr">
        <is>
          <t>NO</t>
        </is>
      </c>
    </row>
    <row r="22">
      <c r="B22" s="327" t="inlineStr">
        <is>
          <t>BASELINE POOLS (must match Assumptions_Drivers)</t>
        </is>
      </c>
    </row>
    <row r="23">
      <c r="B23" s="306"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345" t="inlineStr">
        <is>
          <t>YES</t>
        </is>
      </c>
    </row>
    <row r="24">
      <c r="B24" s="382"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345"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345"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346" t="inlineStr">
        <is>
          <t>NO</t>
        </is>
      </c>
    </row>
    <row r="27">
      <c r="B27" s="306"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346" t="inlineStr">
        <is>
          <t>NO</t>
        </is>
      </c>
    </row>
    <row r="28" ht="91" customHeight="1" s="381">
      <c r="B28" s="318" t="inlineStr">
        <is>
          <t>#'Assumptions_Drivers'!E9</t>
        </is>
      </c>
    </row>
    <row r="29" ht="26" customHeight="1" s="381">
      <c r="B29" s="347" t="inlineStr">
        <is>
          <t>NOTE</t>
        </is>
      </c>
    </row>
    <row r="30" ht="409.5" customHeight="1" s="381">
      <c r="B30" s="318" t="inlineStr">
        <is>
          <t>NWC FIX: C13=10% cuts AR only (not entire NWC). ΔNWC≈ΔAR(C25)−ΔDeferred(C26). Old formula ΔRev×WCbase×(1−C13) removed from ops.</t>
        </is>
      </c>
    </row>
    <row r="31" ht="409.5" customHeight="1" s="381">
      <c r="B31" s="318" t="inlineStr">
        <is>
          <t>https://raw.githubusercontent.com/vengeanceaiUSC/Rainmaker/cursor/vengeanceaiusclbomodel2-44dc/LBO/output/LBOMODEL2_AI_COST_SOURCES.pdf</t>
        </is>
      </c>
    </row>
    <row r="32">
      <c r="B32" s="327" t="inlineStr">
        <is>
          <t>SOURCES / VERBATIM</t>
        </is>
      </c>
    </row>
    <row r="33" ht="409.5" customHeight="1" s="381">
      <c r="B33" s="348" t="inlineStr">
        <is>
          <t>Assumptions_Drivers: Col A Baseline Yes/No | Col E source | Cols I/J/K clickable Verbatim. PDF: https://raw.githubusercontent.com/vengeanceaiUSC/Rainmaker/cursor/vengeanceaiusclbomodel2-44dc/LBO/output/LBOMODEL2_DRIVER_SOURCES.pdf</t>
        </is>
      </c>
    </row>
    <row r="34" ht="84" customHeight="1" s="381">
      <c r="B34" s="320" t="inlineStr">
        <is>
          <t>#'Assumptions_Drivers'!E9</t>
        </is>
      </c>
    </row>
    <row r="35" ht="409.5" customHeight="1" s="381">
      <c r="B35" s="320" t="inlineStr">
        <is>
          <t>https://raw.githubusercontent.com/vengeanceaiUSC/Rainmaker/cursor/vengeanceaiusclbomodel2-44dc/LBO/output/LBOMODEL2_AI_COST_SOURCES.pdf</t>
        </is>
      </c>
    </row>
    <row r="37">
      <c r="B37" s="306" t="n"/>
    </row>
    <row r="38" ht="84" customHeight="1" s="381">
      <c r="B38" s="320" t="inlineStr">
        <is>
          <t>#'Assumptions_Drivers'!E9</t>
        </is>
      </c>
    </row>
    <row r="39" ht="409.5" customHeight="1" s="381">
      <c r="B39" s="320" t="inlineStr">
        <is>
          <t>https://raw.githubusercontent.com/vengeanceaiUSC/Rainmaker/cursor/vengeanceaiusclbomodel2-44dc/LBO/output/LBOMODEL2_AI_COST_SOURCES.pdf</t>
        </is>
      </c>
    </row>
    <row r="41">
      <c r="B41" s="306" t="n"/>
    </row>
    <row r="42" ht="84" customHeight="1" s="381">
      <c r="B42" s="320" t="inlineStr">
        <is>
          <t>#'Assumptions_Drivers'!E9</t>
        </is>
      </c>
    </row>
    <row r="43" ht="409.5" customHeight="1" s="381">
      <c r="B43" s="320"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ref="H7" location="'Assumptions_Drivers'!C5" display="Go to Assumptions_Drivers!C5"/>
    <hyperlink ref="K7" location="'AI_Operating'!D5" display="Go to AI_Operating!D5"/>
    <hyperlink ref="H8" location="'Assumptions_Drivers'!C6" display="Go to Assumptions_Drivers!C6"/>
    <hyperlink ref="K8" location="'AI_Operating'!D6" display="Go to AI_Operating!D6"/>
    <hyperlink ref="H9" location="'Assumptions_Drivers'!C7" display="Go to Assumptions_Drivers!C7"/>
    <hyperlink ref="K9" location="'AI_Operating'!D7" display="Go to AI_Operating!D7"/>
    <hyperlink ref="H10" location="'Assumptions_Drivers'!C8" display="Go to Assumptions_Drivers!C8"/>
    <hyperlink ref="K10" location="'AI_Operating'!D8" display="Go to AI_Operating!D8"/>
    <hyperlink ref="H11" location="'Assumptions_Drivers'!C9" display="Go to Assumptions_Drivers!C9"/>
    <hyperlink ref="K11" location="'AI_Operating'!D10" display="Go to AI_Operating!D10"/>
    <hyperlink ref="H12" location="'Assumptions_Drivers'!C10" display="Go to Assumptions_Drivers!C10"/>
    <hyperlink ref="K12" location="'AI_Operating'!E7" display="Go to AI_Operating!E7"/>
    <hyperlink ref="H13" location="'Assumptions_Drivers'!C11" display="Go to Assumptions_Drivers!C11"/>
    <hyperlink ref="K13" location="'AI_Operating'!D12" display="Go to AI_Operating!D12"/>
    <hyperlink ref="H14" location="'Assumptions_Drivers'!C12" display="Go to Assumptions_Drivers!C12"/>
    <hyperlink ref="K14" location="'AI_Operating'!D19" display="Go to AI_Operating!D19"/>
    <hyperlink ref="H15" location="'Assumptions_Drivers'!C13" display="Go to Assumptions_Drivers!C13"/>
    <hyperlink ref="K15" location="'AI_Operating'!D20" display="Go to AI_Operating!D20"/>
    <hyperlink ref="H16" location="'Assumptions_Drivers'!C14" display="Go to Assumptions_Drivers!C14"/>
    <hyperlink ref="K16" location="'Debt_Sweep_AI'!C12" display="Go to Debt_Sweep_AI!C12"/>
    <hyperlink ref="H17" location="'Assumptions_Drivers'!C14" display="Go to Assumptions_Drivers!C14"/>
    <hyperlink ref="K17" location="'Debt_Sweep_AI'!D12" display="Go to Debt_Sweep_AI!D12"/>
    <hyperlink ref="H18" location="'Assumptions_Drivers'!C17" display="Go to Assumptions_Drivers!C17"/>
    <hyperlink ref="K18" location="'Debt_Sweep_AI'!D5" display="Go to Debt_Sweep_AI!D5"/>
    <hyperlink ref="H19" location="'Assumptions_Drivers'!C18" display="Go to Assumptions_Drivers!C18"/>
    <hyperlink ref="K19" location="'Debt_Sweep_AI'!E5" display="Go to Debt_Sweep_AI!E5"/>
    <hyperlink ref="H20" location="'Assumptions_Drivers'!C19" display="Go to Assumptions_Drivers!C19"/>
    <hyperlink ref="K20" location="'AI_Operating'!D18" display="Go to AI_Operating!D18"/>
    <hyperlink ref="H21" location="'Assumptions_Drivers'!C20" display="Go to Assumptions_Drivers!C20"/>
    <hyperlink ref="K21" location="'LBO'!D17" display="Go to LBO!D17"/>
    <hyperlink ref="B28" location="'Assumptions_Drivers'!E9" display="#'Assumptions_Drivers'!E9"/>
    <hyperlink xmlns:r="http://schemas.openxmlformats.org/officeDocument/2006/relationships" ref="B29" r:id="rId2"/>
    <hyperlink xmlns:r="http://schemas.openxmlformats.org/officeDocument/2006/relationships" ref="B30" r:id="rId3"/>
    <hyperlink xmlns:r="http://schemas.openxmlformats.org/officeDocument/2006/relationships" ref="B31" r:id="rId4"/>
    <hyperlink ref="B34" location="'Assumptions_Drivers'!E9" display="#'Assumptions_Drivers'!E9"/>
    <hyperlink xmlns:r="http://schemas.openxmlformats.org/officeDocument/2006/relationships" ref="B35" r:id="rId5"/>
    <hyperlink ref="B38" location="'Assumptions_Drivers'!E9" display="#'Assumptions_Drivers'!E9"/>
    <hyperlink xmlns:r="http://schemas.openxmlformats.org/officeDocument/2006/relationships" ref="B39" r:id="rId6"/>
    <hyperlink ref="B42" location="'Assumptions_Drivers'!E9" display="#'Assumptions_Drivers'!E9"/>
    <hyperlink xmlns:r="http://schemas.openxmlformats.org/officeDocument/2006/relationships" ref="B43" r:id="rId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34"/>
  <sheetViews>
    <sheetView zoomScale="64" workbookViewId="0">
      <selection activeCell="E11" sqref="E11"/>
    </sheetView>
  </sheetViews>
  <sheetFormatPr baseColWidth="8" defaultRowHeight="14.5"/>
  <cols>
    <col width="28" customWidth="1" style="381" min="2" max="2"/>
    <col width="16" customWidth="1" style="381" min="3" max="3"/>
    <col width="36" customWidth="1" style="381" min="4" max="5"/>
    <col width="26" customWidth="1" style="381" min="6" max="6"/>
    <col width="14" customWidth="1" style="381" min="7" max="7"/>
  </cols>
  <sheetData>
    <row r="2" ht="18.5" customHeight="1" s="381">
      <c r="B2" s="305" t="inlineStr">
        <is>
          <t>Debt sweep — TLA/TLB priced at SOFR+4 / SOFR+5; 1% mandatory + 100% cash sweep</t>
        </is>
      </c>
    </row>
    <row r="3">
      <c r="B3" t="inlineStr">
        <is>
          <t>Rates from Assumptions_Drivers!C14:C18</t>
        </is>
      </c>
    </row>
    <row r="4">
      <c r="B4" s="303" t="inlineStr">
        <is>
          <t>Year</t>
        </is>
      </c>
      <c r="C4" s="303" t="inlineStr">
        <is>
          <t>FCF</t>
        </is>
      </c>
      <c r="D4" s="303" t="inlineStr">
        <is>
          <t>Mandatory 1%</t>
        </is>
      </c>
      <c r="E4" s="303" t="inlineStr">
        <is>
          <t>Total paydown</t>
        </is>
      </c>
      <c r="F4" s="303" t="inlineStr">
        <is>
          <t>AI debt end</t>
        </is>
      </c>
      <c r="G4" s="303" t="inlineStr">
        <is>
          <t>Base debt end</t>
        </is>
      </c>
      <c r="H4" s="303" t="inlineStr">
        <is>
          <t>Extra paydown vs base</t>
        </is>
      </c>
    </row>
    <row r="5">
      <c r="B5" s="335" t="n">
        <v>2025</v>
      </c>
      <c r="C5" s="333" t="n">
        <v>123.0463810684933</v>
      </c>
      <c r="D5" s="333" t="n">
        <v>9.154999999999999</v>
      </c>
      <c r="E5" s="333" t="n">
        <v>123.0463810684933</v>
      </c>
      <c r="F5" s="333" t="n">
        <v>792.4536189315066</v>
      </c>
      <c r="G5" s="333" t="n">
        <v>855.1427054794518</v>
      </c>
      <c r="H5" s="333" t="n">
        <v>62.68908654794518</v>
      </c>
    </row>
    <row r="6">
      <c r="B6" s="335" t="n">
        <v>2026</v>
      </c>
      <c r="C6" s="333" t="n">
        <v>149.3560119785791</v>
      </c>
      <c r="D6" s="333" t="n">
        <v>9.154999999999999</v>
      </c>
      <c r="E6" s="333" t="n">
        <v>149.3560119785791</v>
      </c>
      <c r="F6" s="333" t="n">
        <v>643.0976069529275</v>
      </c>
      <c r="G6" s="333" t="n">
        <v>782.867015787671</v>
      </c>
      <c r="H6" s="333" t="n">
        <v>139.7694088347434</v>
      </c>
    </row>
    <row r="7">
      <c r="B7" s="335" t="n">
        <v>2027</v>
      </c>
      <c r="C7" s="333" t="n">
        <v>178.4637917606104</v>
      </c>
      <c r="D7" s="333" t="n">
        <v>9.154999999999999</v>
      </c>
      <c r="E7" s="333" t="n">
        <v>178.4637917606104</v>
      </c>
      <c r="F7" s="333" t="n">
        <v>464.6338151923171</v>
      </c>
      <c r="G7" s="333" t="n">
        <v>697.3382671391433</v>
      </c>
      <c r="H7" s="333" t="n">
        <v>232.7044519468262</v>
      </c>
    </row>
    <row r="8">
      <c r="B8" s="335" t="n">
        <v>2028</v>
      </c>
      <c r="C8" s="333" t="n">
        <v>210.6100654025392</v>
      </c>
      <c r="D8" s="333" t="n">
        <v>9.154999999999999</v>
      </c>
      <c r="E8" s="333" t="n">
        <v>210.6100654025392</v>
      </c>
      <c r="F8" s="333" t="n">
        <v>254.0237497897778</v>
      </c>
      <c r="G8" s="333" t="n">
        <v>599.0955619064824</v>
      </c>
      <c r="H8" s="333" t="n">
        <v>345.0718121167046</v>
      </c>
    </row>
    <row r="9">
      <c r="B9" s="335" t="n">
        <v>2029</v>
      </c>
      <c r="C9" s="333" t="n">
        <v>247.6632825891148</v>
      </c>
      <c r="D9" s="333" t="n">
        <v>9.154999999999999</v>
      </c>
      <c r="E9" s="333" t="n">
        <v>247.6632825891148</v>
      </c>
      <c r="F9" s="333" t="n">
        <v>6.360467200663038</v>
      </c>
      <c r="G9" s="333" t="n">
        <v>487.1403992212673</v>
      </c>
      <c r="H9" s="333" t="n">
        <v>480.7799320206043</v>
      </c>
    </row>
    <row r="11" ht="55" customHeight="1" s="381">
      <c r="B11" s="364" t="inlineStr">
        <is>
          <t>Principals — three different loans (not TLA pieces)</t>
        </is>
      </c>
      <c r="C11" s="350" t="inlineStr">
        <is>
          <t>457.75 = Term Loan A principal ($m). Senior bank loan, paid first, 2.5× EBITDA. Safest debt stack here.</t>
        </is>
      </c>
      <c r="D11" s="350" t="inlineStr">
        <is>
          <t>274.65 = Term Loan B principal ($m). Institutional loan below TLA, 1.5× EBITDA. Riskier than TLA, safer than Notes.</t>
        </is>
      </c>
      <c r="E11" s="350" t="inlineStr">
        <is>
          <t>183.1 = Senior Notes principal ($m). Bond-style tranche, 1.0× EBITDA. Junior to TLA and TLB in repayment priority.</t>
        </is>
      </c>
      <c r="F11" s="371" t="inlineStr">
        <is>
          <t>Label</t>
        </is>
      </c>
      <c r="G11" s="371" t="inlineStr">
        <is>
          <t>Amount ($m)</t>
        </is>
      </c>
      <c r="H11" s="367" t="n"/>
      <c r="I11" s="367" t="n"/>
    </row>
    <row r="12" ht="55" customHeight="1" s="381">
      <c r="B12" s="364" t="inlineStr">
        <is>
          <t>Rates — one interest rate per loan above</t>
        </is>
      </c>
      <c r="C12" s="365" t="inlineStr">
        <is>
          <t>8.3% = TLA interest rate (SOFR+4.0%). Lowest spread of the loans because TLA is the senior bank piece.</t>
        </is>
      </c>
      <c r="D12" s="365" t="inlineStr">
        <is>
          <t>9.3% = TLB interest rate (SOFR+5.0%). Higher than TLA because TLB lenders sit behind the bank loan.</t>
        </is>
      </c>
      <c r="E12" s="365" t="inlineStr">
        <is>
          <t>7.8% = Notes interest rate (SOFR+3.5%). Rate charged on the $183.1m Notes principal in the cell above.</t>
        </is>
      </c>
      <c r="F12" s="372" t="inlineStr">
        <is>
          <t>Term Loan A principal</t>
        </is>
      </c>
      <c r="G12" s="373" t="n">
        <v>457.75</v>
      </c>
      <c r="H12" s="367" t="n"/>
      <c r="I12" s="367" t="n"/>
    </row>
    <row r="13" ht="55" customHeight="1" s="381">
      <c r="B13" s="364" t="inlineStr">
        <is>
          <t>How they differ: each column is a separate loan (TLA, TLB, Notes), not pieces of one TLA. Left=most senior; right=most junior.</t>
        </is>
      </c>
      <c r="C13" s="350" t="inlineStr">
        <is>
          <t>TLA vs others: TLA is the bank term loan — first claim on cash for interest and paydown.</t>
        </is>
      </c>
      <c r="D13" s="350" t="inlineStr">
        <is>
          <t>TLB vs others: TLB is the next loan — usually higher rate and paid after TLA.</t>
        </is>
      </c>
      <c r="E13" s="350" t="inlineStr">
        <is>
          <t>Notes vs others: Notes are the third stack — smallest dollars here; not a TLA sub-tranche.</t>
        </is>
      </c>
      <c r="F13" s="372" t="inlineStr">
        <is>
          <t>Term Loan B principal</t>
        </is>
      </c>
      <c r="G13" s="373" t="n">
        <v>274.65</v>
      </c>
      <c r="H13" s="367" t="n"/>
      <c r="I13" s="367" t="n"/>
    </row>
    <row r="14" ht="22" customHeight="1" s="381">
      <c r="B14" s="366" t="n"/>
      <c r="C14" s="367" t="n"/>
      <c r="D14" s="367" t="n"/>
      <c r="E14" s="367" t="n"/>
      <c r="F14" s="372" t="inlineStr">
        <is>
          <t>Senior Notes principal</t>
        </is>
      </c>
      <c r="G14" s="373" t="n">
        <v>183.1</v>
      </c>
      <c r="H14" s="367" t="n"/>
      <c r="I14" s="367" t="n"/>
    </row>
    <row r="15" ht="20" customHeight="1" s="381">
      <c r="B15" s="374" t="n"/>
      <c r="C15" s="374" t="n"/>
      <c r="D15" s="367" t="n"/>
      <c r="E15" s="367" t="n"/>
      <c r="F15" s="375" t="inlineStr">
        <is>
          <t>TOTAL DEBT</t>
        </is>
      </c>
      <c r="G15" s="376" t="n">
        <v>915.5</v>
      </c>
      <c r="H15" s="367" t="n"/>
      <c r="I15" s="367" t="n"/>
    </row>
    <row r="16" ht="20" customHeight="1" s="381">
      <c r="B16" s="377" t="n"/>
      <c r="C16" s="378" t="n"/>
      <c r="D16" s="367" t="n"/>
      <c r="E16" s="367" t="n"/>
      <c r="F16" s="379" t="inlineStr">
        <is>
          <t>Total debt = 457.75 + 274.65 + 183.10 = 915.50</t>
        </is>
      </c>
      <c r="G16" s="367" t="n"/>
      <c r="H16" s="367" t="n"/>
      <c r="I16" s="367" t="n"/>
    </row>
    <row r="17" ht="20" customHeight="1" s="381">
      <c r="B17" s="377" t="n"/>
      <c r="C17" s="378" t="n"/>
      <c r="D17" s="367" t="n"/>
      <c r="E17" s="367" t="n"/>
      <c r="F17" s="367" t="n"/>
      <c r="G17" s="367" t="n"/>
      <c r="H17" s="367" t="n"/>
      <c r="I17" s="367" t="n"/>
    </row>
    <row r="18" ht="20" customHeight="1" s="381">
      <c r="B18" s="377" t="n"/>
      <c r="C18" s="378" t="n"/>
      <c r="D18" s="367" t="n"/>
      <c r="E18" s="367" t="n"/>
      <c r="F18" s="367" t="n"/>
      <c r="G18" s="367" t="n"/>
      <c r="H18" s="367" t="n"/>
      <c r="I18" s="367" t="n"/>
    </row>
    <row r="19" ht="20" customHeight="1" s="381">
      <c r="B19" s="377" t="n"/>
      <c r="C19" s="378" t="n"/>
      <c r="D19" s="367" t="n"/>
      <c r="E19" s="367" t="n"/>
      <c r="F19" s="367" t="n"/>
      <c r="G19" s="367" t="n"/>
      <c r="H19" s="367" t="n"/>
      <c r="I19" s="367" t="n"/>
    </row>
    <row r="20">
      <c r="B20" s="368" t="n"/>
      <c r="C20" s="369" t="n"/>
      <c r="D20" s="367" t="n"/>
      <c r="E20" s="367" t="n"/>
      <c r="F20" s="367" t="n"/>
      <c r="G20" s="367" t="n"/>
      <c r="H20" s="367" t="n"/>
      <c r="I20" s="367" t="n"/>
    </row>
    <row r="21">
      <c r="B21" s="370" t="n"/>
      <c r="C21" s="367" t="n"/>
      <c r="D21" s="367" t="n"/>
      <c r="E21" s="367" t="n"/>
      <c r="F21" s="367" t="n"/>
      <c r="G21" s="367" t="n"/>
      <c r="H21" s="367" t="n"/>
      <c r="I21" s="367" t="n"/>
    </row>
    <row r="22">
      <c r="B22" s="367" t="n"/>
      <c r="C22" s="367" t="n"/>
      <c r="D22" s="367" t="n"/>
      <c r="E22" s="367" t="n"/>
      <c r="F22" s="367" t="n"/>
      <c r="G22" s="367" t="n"/>
      <c r="H22" s="367" t="n"/>
      <c r="I22" s="367" t="n"/>
    </row>
    <row r="23">
      <c r="B23" s="367" t="n"/>
      <c r="C23" s="367" t="n"/>
      <c r="D23" s="367" t="n"/>
      <c r="E23" s="367" t="n"/>
      <c r="F23" s="367" t="n"/>
      <c r="G23" s="367" t="n"/>
      <c r="H23" s="367" t="n"/>
      <c r="I23" s="367" t="n"/>
    </row>
    <row r="24">
      <c r="B24" s="367" t="n"/>
      <c r="C24" s="367" t="n"/>
      <c r="D24" s="367" t="n"/>
      <c r="E24" s="367" t="n"/>
      <c r="F24" s="367" t="n"/>
      <c r="G24" s="367" t="n"/>
      <c r="H24" s="367" t="n"/>
      <c r="I24" s="367" t="n"/>
    </row>
    <row r="25">
      <c r="B25" s="367" t="n"/>
      <c r="C25" s="367" t="n"/>
      <c r="D25" s="367" t="n"/>
      <c r="E25" s="367" t="n"/>
      <c r="F25" s="367" t="n"/>
      <c r="G25" s="367" t="n"/>
      <c r="H25" s="367" t="n"/>
      <c r="I25" s="367" t="n"/>
    </row>
    <row r="26">
      <c r="B26" s="367" t="n"/>
      <c r="C26" s="367" t="n"/>
      <c r="D26" s="367" t="n"/>
      <c r="E26" s="367" t="n"/>
      <c r="F26" s="367" t="n"/>
      <c r="G26" s="367" t="n"/>
      <c r="H26" s="367" t="n"/>
      <c r="I26" s="367" t="n"/>
    </row>
    <row r="27">
      <c r="B27" s="367" t="n"/>
      <c r="C27" s="367" t="n"/>
      <c r="D27" s="367" t="n"/>
      <c r="E27" s="367" t="n"/>
      <c r="F27" s="367" t="n"/>
      <c r="G27" s="367" t="n"/>
      <c r="H27" s="367" t="n"/>
      <c r="I27" s="367" t="n"/>
    </row>
    <row r="28">
      <c r="B28" s="367" t="n"/>
      <c r="C28" s="367" t="n"/>
      <c r="D28" s="367" t="n"/>
      <c r="E28" s="367" t="n"/>
      <c r="F28" s="367" t="n"/>
      <c r="G28" s="367" t="n"/>
      <c r="H28" s="367" t="n"/>
      <c r="I28" s="367" t="n"/>
    </row>
    <row r="29">
      <c r="B29" s="367" t="n"/>
      <c r="C29" s="367" t="n"/>
      <c r="D29" s="367" t="n"/>
      <c r="E29" s="367" t="n"/>
      <c r="F29" s="367" t="n"/>
      <c r="G29" s="367" t="n"/>
      <c r="H29" s="367" t="n"/>
      <c r="I29" s="367" t="n"/>
    </row>
    <row r="30">
      <c r="B30" s="367" t="n"/>
      <c r="C30" s="367" t="n"/>
      <c r="D30" s="367" t="n"/>
      <c r="E30" s="367" t="n"/>
      <c r="F30" s="367" t="n"/>
      <c r="G30" s="367" t="n"/>
      <c r="H30" s="367" t="n"/>
    </row>
    <row r="31">
      <c r="B31" s="367" t="n"/>
      <c r="C31" s="367" t="n"/>
      <c r="D31" s="367" t="n"/>
      <c r="E31" s="367" t="n"/>
      <c r="F31" s="367" t="n"/>
      <c r="G31" s="367" t="n"/>
      <c r="H31" s="367" t="n"/>
    </row>
    <row r="32">
      <c r="B32" s="367" t="n"/>
      <c r="C32" s="367" t="n"/>
      <c r="D32" s="367" t="n"/>
      <c r="E32" s="367" t="n"/>
      <c r="F32" s="367" t="n"/>
      <c r="G32" s="367" t="n"/>
      <c r="H32" s="367" t="n"/>
    </row>
    <row r="33">
      <c r="B33" s="367" t="n"/>
      <c r="C33" s="367" t="n"/>
      <c r="D33" s="367" t="n"/>
      <c r="E33" s="367" t="n"/>
      <c r="F33" s="367" t="n"/>
      <c r="G33" s="367" t="n"/>
      <c r="H33" s="367" t="n"/>
    </row>
    <row r="34">
      <c r="B34" s="367" t="n"/>
      <c r="C34" s="367" t="n"/>
      <c r="D34" s="367" t="n"/>
      <c r="E34" s="367" t="n"/>
      <c r="F34" s="367" t="n"/>
      <c r="G34" s="367" t="n"/>
      <c r="H34" s="36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4.5"/>
  <cols>
    <col width="26" customWidth="1" style="381" min="2" max="2"/>
    <col width="12" customWidth="1" style="381" min="3" max="9"/>
  </cols>
  <sheetData>
    <row r="2" ht="18.5" customHeight="1" s="381">
      <c r="B2" s="305" t="inlineStr">
        <is>
          <t>Base case — no AI transformation</t>
        </is>
      </c>
    </row>
    <row r="3">
      <c r="B3" t="inlineStr">
        <is>
          <t>Driver cells: Assumptions_Drivers!C5:C20</t>
        </is>
      </c>
    </row>
    <row r="4">
      <c r="B4" s="303" t="inlineStr">
        <is>
          <t>Metric</t>
        </is>
      </c>
      <c r="C4" s="303" t="inlineStr">
        <is>
          <t>FY2024A</t>
        </is>
      </c>
      <c r="D4" s="303" t="inlineStr">
        <is>
          <t>Y1 2025</t>
        </is>
      </c>
      <c r="E4" s="303" t="inlineStr">
        <is>
          <t>Y2 2026</t>
        </is>
      </c>
      <c r="F4" s="303" t="inlineStr">
        <is>
          <t>Y3 2027</t>
        </is>
      </c>
      <c r="G4" s="303" t="inlineStr">
        <is>
          <t>Y4 2028</t>
        </is>
      </c>
      <c r="H4" s="303" t="inlineStr">
        <is>
          <t>Y5 2029</t>
        </is>
      </c>
    </row>
    <row r="5">
      <c r="B5" s="315" t="inlineStr">
        <is>
          <t>Revenue</t>
        </is>
      </c>
      <c r="C5" s="316" t="n">
        <v>1214.3</v>
      </c>
      <c r="D5" s="333" t="n">
        <v>1275.015</v>
      </c>
      <c r="E5" s="333" t="n">
        <v>1338.76575</v>
      </c>
      <c r="F5" s="333" t="n">
        <v>1405.7040375</v>
      </c>
      <c r="G5" s="333" t="n">
        <v>1475.989239375</v>
      </c>
      <c r="H5" s="333" t="n">
        <v>1549.788701343751</v>
      </c>
    </row>
    <row r="6">
      <c r="B6" s="315" t="inlineStr">
        <is>
          <t>COGS</t>
        </is>
      </c>
      <c r="C6" s="316" t="n">
        <v>242.8599999999999</v>
      </c>
      <c r="D6" s="333" t="n">
        <v>255.003</v>
      </c>
      <c r="E6" s="333" t="n">
        <v>267.75315</v>
      </c>
      <c r="F6" s="333" t="n">
        <v>281.1408075</v>
      </c>
      <c r="G6" s="333" t="n">
        <v>295.197847875</v>
      </c>
      <c r="H6" s="333" t="n">
        <v>309.9577402687501</v>
      </c>
    </row>
    <row r="7">
      <c r="B7" s="315" t="inlineStr">
        <is>
          <t>Sales payroll (human)</t>
        </is>
      </c>
      <c r="C7" s="316" t="n">
        <v>289.9</v>
      </c>
      <c r="D7" s="333" t="n">
        <v>304.395</v>
      </c>
      <c r="E7" s="333" t="n">
        <v>319.6147500000001</v>
      </c>
      <c r="F7" s="333" t="n">
        <v>335.5954875000001</v>
      </c>
      <c r="G7" s="333" t="n">
        <v>352.3752618750001</v>
      </c>
      <c r="H7" s="333" t="n">
        <v>369.9940249687501</v>
      </c>
    </row>
    <row r="8">
      <c r="B8" s="315" t="inlineStr">
        <is>
          <t>Variable commissions</t>
        </is>
      </c>
      <c r="C8" s="316" t="n">
        <v>124.2</v>
      </c>
      <c r="D8" s="333" t="n">
        <v>130.41</v>
      </c>
      <c r="E8" s="333" t="n">
        <v>136.9305</v>
      </c>
      <c r="F8" s="333" t="n">
        <v>143.777025</v>
      </c>
      <c r="G8" s="333" t="n">
        <v>150.96587625</v>
      </c>
      <c r="H8" s="333" t="n">
        <v>158.5141700625001</v>
      </c>
    </row>
    <row r="9">
      <c r="B9" s="315" t="inlineStr">
        <is>
          <t>S&amp;M human total</t>
        </is>
      </c>
      <c r="C9" s="316" t="n">
        <v>414.1</v>
      </c>
      <c r="D9" s="333" t="n">
        <v>434.8050000000001</v>
      </c>
      <c r="E9" s="333" t="n">
        <v>456.5452500000001</v>
      </c>
      <c r="F9" s="333" t="n">
        <v>479.3725125000001</v>
      </c>
      <c r="G9" s="333" t="n">
        <v>503.3411381250002</v>
      </c>
      <c r="H9" s="333" t="n">
        <v>528.5081950312501</v>
      </c>
    </row>
    <row r="10">
      <c r="B10" s="315" t="inlineStr">
        <is>
          <t>AI infrastructure</t>
        </is>
      </c>
      <c r="C10" s="316" t="n">
        <v>0</v>
      </c>
      <c r="D10" s="333" t="n">
        <v>0</v>
      </c>
      <c r="E10" s="333" t="n">
        <v>0</v>
      </c>
      <c r="F10" s="333" t="n">
        <v>0</v>
      </c>
      <c r="G10" s="333" t="n">
        <v>0</v>
      </c>
      <c r="H10" s="333" t="n">
        <v>0</v>
      </c>
    </row>
    <row r="11">
      <c r="B11" s="315" t="inlineStr">
        <is>
          <t>R&amp;D</t>
        </is>
      </c>
      <c r="C11" s="316" t="n">
        <v>196.1</v>
      </c>
      <c r="D11" s="333" t="n">
        <v>205.905</v>
      </c>
      <c r="E11" s="333" t="n">
        <v>216.20025</v>
      </c>
      <c r="F11" s="333" t="n">
        <v>227.0102625</v>
      </c>
      <c r="G11" s="333" t="n">
        <v>238.360775625</v>
      </c>
      <c r="H11" s="333" t="n">
        <v>250.2788144062501</v>
      </c>
    </row>
    <row r="12">
      <c r="B12" s="315" t="inlineStr">
        <is>
          <t>G&amp;A (admin)</t>
        </is>
      </c>
      <c r="C12" s="316" t="n">
        <v>218.574</v>
      </c>
      <c r="D12" s="333" t="n">
        <v>229.5027</v>
      </c>
      <c r="E12" s="333" t="n">
        <v>240.977835</v>
      </c>
      <c r="F12" s="333" t="n">
        <v>253.0267267500001</v>
      </c>
      <c r="G12" s="333" t="n">
        <v>265.6780630875</v>
      </c>
      <c r="H12" s="333" t="n">
        <v>278.9619662418751</v>
      </c>
    </row>
    <row r="13">
      <c r="B13" s="315" t="inlineStr">
        <is>
          <t>EBITDA</t>
        </is>
      </c>
      <c r="C13" s="316" t="n">
        <v>183.1</v>
      </c>
      <c r="D13" s="333" t="n">
        <v>149.7993000000001</v>
      </c>
      <c r="E13" s="333" t="n">
        <v>157.2892650000001</v>
      </c>
      <c r="F13" s="333" t="n">
        <v>165.1537282500002</v>
      </c>
      <c r="G13" s="333" t="n">
        <v>173.4114146625001</v>
      </c>
      <c r="H13" s="333" t="n">
        <v>182.0819853956252</v>
      </c>
    </row>
    <row r="14">
      <c r="B14" s="315" t="inlineStr">
        <is>
          <t>EBITDA margin</t>
        </is>
      </c>
      <c r="C14" s="317" t="n">
        <v>0.150786461335749</v>
      </c>
      <c r="D14" s="331" t="n">
        <v>0.1174882648439431</v>
      </c>
      <c r="E14" s="331" t="n">
        <v>0.117488264843943</v>
      </c>
      <c r="F14" s="331" t="n">
        <v>0.1174882648439431</v>
      </c>
      <c r="G14" s="331" t="n">
        <v>0.1174882648439431</v>
      </c>
      <c r="H14" s="331" t="n">
        <v>0.1174882648439431</v>
      </c>
    </row>
    <row r="15">
      <c r="B15" s="315" t="inlineStr">
        <is>
          <t>D&amp;A</t>
        </is>
      </c>
      <c r="C15" s="316" t="n">
        <v>85.7</v>
      </c>
      <c r="D15" s="333" t="n">
        <v>89.985</v>
      </c>
      <c r="E15" s="333" t="n">
        <v>94.48425000000002</v>
      </c>
      <c r="F15" s="333" t="n">
        <v>99.20846250000002</v>
      </c>
      <c r="G15" s="333" t="n">
        <v>104.168885625</v>
      </c>
      <c r="H15" s="333" t="n">
        <v>109.37732990625</v>
      </c>
    </row>
    <row r="16">
      <c r="B16" s="315" t="inlineStr">
        <is>
          <t>EBIT</t>
        </is>
      </c>
      <c r="C16" s="316" t="n">
        <v>97.40000000000001</v>
      </c>
      <c r="D16" s="333" t="n">
        <v>59.81430000000013</v>
      </c>
      <c r="E16" s="333" t="n">
        <v>62.80501500000004</v>
      </c>
      <c r="F16" s="333" t="n">
        <v>65.9452657500002</v>
      </c>
      <c r="G16" s="333" t="n">
        <v>69.24252903750012</v>
      </c>
      <c r="H16" s="333" t="n">
        <v>72.70465548937518</v>
      </c>
    </row>
    <row r="17">
      <c r="B17" s="315" t="inlineStr">
        <is>
          <t>Interest</t>
        </is>
      </c>
      <c r="D17" s="333" t="n">
        <v>77.8175</v>
      </c>
      <c r="E17" s="333" t="n">
        <v>72.8078445547945</v>
      </c>
      <c r="F17" s="333" t="n">
        <v>66.80896231037669</v>
      </c>
      <c r="G17" s="333" t="n">
        <v>59.71007617254889</v>
      </c>
      <c r="H17" s="333" t="n">
        <v>51.55593163823804</v>
      </c>
    </row>
    <row r="18">
      <c r="B18" s="315" t="inlineStr">
        <is>
          <t>Net income</t>
        </is>
      </c>
      <c r="D18" s="333" t="n">
        <v>-18.00319999999986</v>
      </c>
      <c r="E18" s="333" t="n">
        <v>-10.00282955479446</v>
      </c>
      <c r="F18" s="333" t="n">
        <v>-0.8636965603764821</v>
      </c>
      <c r="G18" s="333" t="n">
        <v>7.530637763311473</v>
      </c>
      <c r="H18" s="333" t="n">
        <v>16.70749184239834</v>
      </c>
    </row>
    <row r="19">
      <c r="B19" s="315" t="inlineStr">
        <is>
          <t>CapEx</t>
        </is>
      </c>
      <c r="D19" s="333" t="n">
        <v>25.5003</v>
      </c>
      <c r="E19" s="333" t="n">
        <v>26.77531500000001</v>
      </c>
      <c r="F19" s="333" t="n">
        <v>28.11408075000001</v>
      </c>
      <c r="G19" s="333" t="n">
        <v>29.51978478750001</v>
      </c>
      <c r="H19" s="333" t="n">
        <v>30.99577402687501</v>
      </c>
    </row>
    <row r="20">
      <c r="B20" s="315" t="inlineStr">
        <is>
          <t>ΔNWC</t>
        </is>
      </c>
      <c r="D20" s="333" t="n">
        <v>-13.87579452054798</v>
      </c>
      <c r="E20" s="333" t="n">
        <v>-14.56958424657538</v>
      </c>
      <c r="F20" s="333" t="n">
        <v>-15.29806345890414</v>
      </c>
      <c r="G20" s="333" t="n">
        <v>-16.06296663184931</v>
      </c>
      <c r="H20" s="333" t="n">
        <v>-16.86611496344182</v>
      </c>
    </row>
    <row r="21">
      <c r="B21" s="315" t="inlineStr">
        <is>
          <t>FCF after interest</t>
        </is>
      </c>
      <c r="D21" s="333" t="n">
        <v>60.35729452054811</v>
      </c>
      <c r="E21" s="333" t="n">
        <v>72.27568969178093</v>
      </c>
      <c r="F21" s="333" t="n">
        <v>85.52874864852767</v>
      </c>
      <c r="G21" s="333" t="n">
        <v>98.2427052326608</v>
      </c>
      <c r="H21" s="333" t="n">
        <v>111.9551626852152</v>
      </c>
    </row>
    <row r="22">
      <c r="B22" s="315" t="inlineStr">
        <is>
          <t>Mandatory amort</t>
        </is>
      </c>
      <c r="D22" s="333" t="n">
        <v>9.154999999999999</v>
      </c>
      <c r="E22" s="333" t="n">
        <v>9.154999999999999</v>
      </c>
      <c r="F22" s="333" t="n">
        <v>9.154999999999999</v>
      </c>
      <c r="G22" s="333" t="n">
        <v>9.154999999999999</v>
      </c>
      <c r="H22" s="333" t="n">
        <v>9.154999999999999</v>
      </c>
    </row>
    <row r="23">
      <c r="B23" s="315" t="inlineStr">
        <is>
          <t>Total debt paydown</t>
        </is>
      </c>
      <c r="D23" s="333" t="n">
        <v>60.35729452054811</v>
      </c>
      <c r="E23" s="333" t="n">
        <v>72.27568969178093</v>
      </c>
      <c r="F23" s="333" t="n">
        <v>85.52874864852767</v>
      </c>
      <c r="G23" s="333" t="n">
        <v>98.2427052326608</v>
      </c>
      <c r="H23" s="333" t="n">
        <v>111.9551626852152</v>
      </c>
    </row>
    <row r="24">
      <c r="B24" s="315" t="inlineStr">
        <is>
          <t>Debt end</t>
        </is>
      </c>
      <c r="C24" s="316" t="n">
        <v>1329.9</v>
      </c>
      <c r="D24" s="333" t="n">
        <v>855.1427054794518</v>
      </c>
      <c r="E24" s="333" t="n">
        <v>782.867015787671</v>
      </c>
      <c r="F24" s="333" t="n">
        <v>697.3382671391433</v>
      </c>
      <c r="G24" s="333" t="n">
        <v>599.0955619064824</v>
      </c>
      <c r="H24" s="333"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4.5"/>
  <cols>
    <col width="26" customWidth="1" style="381" min="2" max="2"/>
    <col width="12" customWidth="1" style="381" min="3" max="9"/>
  </cols>
  <sheetData>
    <row r="2" ht="18.5" customHeight="1" s="381">
      <c r="B2" s="305" t="inlineStr">
        <is>
          <t>AI-SDR case — drivers from Assumptions_Drivers</t>
        </is>
      </c>
    </row>
    <row r="3">
      <c r="B3" t="inlineStr">
        <is>
          <t>Driver cells: Assumptions_Drivers!C5:C20</t>
        </is>
      </c>
    </row>
    <row r="4">
      <c r="B4" s="303" t="inlineStr">
        <is>
          <t>Metric</t>
        </is>
      </c>
      <c r="C4" s="303" t="inlineStr">
        <is>
          <t>FY2024A</t>
        </is>
      </c>
      <c r="D4" s="303" t="inlineStr">
        <is>
          <t>Y1 2025</t>
        </is>
      </c>
      <c r="E4" s="303" t="inlineStr">
        <is>
          <t>Y2 2026</t>
        </is>
      </c>
      <c r="F4" s="303" t="inlineStr">
        <is>
          <t>Y3 2027</t>
        </is>
      </c>
      <c r="G4" s="303" t="inlineStr">
        <is>
          <t>Y4 2028</t>
        </is>
      </c>
      <c r="H4" s="303" t="inlineStr">
        <is>
          <t>Y5 2029</t>
        </is>
      </c>
    </row>
    <row r="5">
      <c r="B5" s="315" t="inlineStr">
        <is>
          <t>Revenue</t>
        </is>
      </c>
      <c r="C5" s="316" t="n">
        <v>1214.3</v>
      </c>
      <c r="D5" s="333" t="n">
        <v>1275.015</v>
      </c>
      <c r="E5" s="333" t="n">
        <v>1338.76575</v>
      </c>
      <c r="F5" s="333" t="n">
        <v>1405.7040375</v>
      </c>
      <c r="G5" s="333" t="n">
        <v>1475.989239375</v>
      </c>
      <c r="H5" s="333" t="n">
        <v>1549.788701343751</v>
      </c>
    </row>
    <row r="6">
      <c r="B6" s="315" t="inlineStr">
        <is>
          <t>COGS</t>
        </is>
      </c>
      <c r="C6" s="316" t="n">
        <v>242.8599999999999</v>
      </c>
      <c r="D6" s="333" t="n">
        <v>255.003</v>
      </c>
      <c r="E6" s="333" t="n">
        <v>267.75315</v>
      </c>
      <c r="F6" s="333" t="n">
        <v>281.1408075</v>
      </c>
      <c r="G6" s="333" t="n">
        <v>295.197847875</v>
      </c>
      <c r="H6" s="333" t="n">
        <v>309.9577402687501</v>
      </c>
    </row>
    <row r="7">
      <c r="B7" s="315" t="inlineStr">
        <is>
          <t>Sales payroll (human)</t>
        </is>
      </c>
      <c r="C7" s="316" t="n">
        <v>289.9</v>
      </c>
      <c r="D7" s="333" t="n">
        <v>237.718</v>
      </c>
      <c r="E7" s="333" t="n">
        <v>242.47236</v>
      </c>
      <c r="F7" s="333" t="n">
        <v>247.3218072</v>
      </c>
      <c r="G7" s="333" t="n">
        <v>252.268243344</v>
      </c>
      <c r="H7" s="333" t="n">
        <v>257.31360821088</v>
      </c>
    </row>
    <row r="8">
      <c r="B8" s="315" t="inlineStr">
        <is>
          <t>Variable commissions</t>
        </is>
      </c>
      <c r="C8" s="316" t="n">
        <v>124.2</v>
      </c>
      <c r="D8" s="333" t="n">
        <v>101.844</v>
      </c>
      <c r="E8" s="333" t="n">
        <v>103.88088</v>
      </c>
      <c r="F8" s="333" t="n">
        <v>105.9584976</v>
      </c>
      <c r="G8" s="333" t="n">
        <v>108.077667552</v>
      </c>
      <c r="H8" s="333" t="n">
        <v>110.23922090304</v>
      </c>
    </row>
    <row r="9">
      <c r="B9" s="315" t="inlineStr">
        <is>
          <t>S&amp;M human total</t>
        </is>
      </c>
      <c r="C9" s="316" t="n">
        <v>414.1</v>
      </c>
      <c r="D9" s="333" t="n">
        <v>339.562</v>
      </c>
      <c r="E9" s="333" t="n">
        <v>346.35324</v>
      </c>
      <c r="F9" s="333" t="n">
        <v>353.2803048</v>
      </c>
      <c r="G9" s="333" t="n">
        <v>360.345910896</v>
      </c>
      <c r="H9" s="333" t="n">
        <v>367.55282911392</v>
      </c>
    </row>
    <row r="10">
      <c r="B10" s="315" t="inlineStr">
        <is>
          <t>AI infrastructure</t>
        </is>
      </c>
      <c r="C10" s="316" t="n">
        <v>0</v>
      </c>
      <c r="D10" s="333" t="n">
        <v>24.5</v>
      </c>
      <c r="E10" s="333" t="n">
        <v>24.5</v>
      </c>
      <c r="F10" s="333" t="n">
        <v>24.5</v>
      </c>
      <c r="G10" s="333" t="n">
        <v>24.5</v>
      </c>
      <c r="H10" s="333" t="n">
        <v>24.5</v>
      </c>
    </row>
    <row r="11">
      <c r="B11" s="315" t="inlineStr">
        <is>
          <t>R&amp;D</t>
        </is>
      </c>
      <c r="C11" s="316" t="n">
        <v>196.1</v>
      </c>
      <c r="D11" s="333" t="n">
        <v>205.905</v>
      </c>
      <c r="E11" s="333" t="n">
        <v>216.20025</v>
      </c>
      <c r="F11" s="333" t="n">
        <v>227.0102625</v>
      </c>
      <c r="G11" s="333" t="n">
        <v>238.360775625</v>
      </c>
      <c r="H11" s="333" t="n">
        <v>250.2788144062501</v>
      </c>
    </row>
    <row r="12">
      <c r="B12" s="315" t="inlineStr">
        <is>
          <t>G&amp;A (admin)</t>
        </is>
      </c>
      <c r="C12" s="316" t="n">
        <v>218.574</v>
      </c>
      <c r="D12" s="333" t="n">
        <v>229.5027</v>
      </c>
      <c r="E12" s="333" t="n">
        <v>240.977835</v>
      </c>
      <c r="F12" s="333" t="n">
        <v>253.0267267500001</v>
      </c>
      <c r="G12" s="333" t="n">
        <v>265.6780630875</v>
      </c>
      <c r="H12" s="333" t="n">
        <v>278.9619662418751</v>
      </c>
    </row>
    <row r="13">
      <c r="B13" s="315" t="inlineStr">
        <is>
          <t>EBITDA</t>
        </is>
      </c>
      <c r="C13" s="316" t="n">
        <v>183.1</v>
      </c>
      <c r="D13" s="333" t="n">
        <v>220.5423000000002</v>
      </c>
      <c r="E13" s="333" t="n">
        <v>242.9812750000003</v>
      </c>
      <c r="F13" s="333" t="n">
        <v>266.7459359500002</v>
      </c>
      <c r="G13" s="333" t="n">
        <v>291.9066418915002</v>
      </c>
      <c r="H13" s="333" t="n">
        <v>318.5373513129553</v>
      </c>
    </row>
    <row r="14">
      <c r="B14" s="315" t="inlineStr">
        <is>
          <t>EBITDA margin</t>
        </is>
      </c>
      <c r="C14" s="317" t="n">
        <v>0.150786461335749</v>
      </c>
      <c r="D14" s="331" t="n">
        <v>0.1729723179727299</v>
      </c>
      <c r="E14" s="331" t="n">
        <v>0.1814964828611728</v>
      </c>
      <c r="F14" s="331" t="n">
        <v>0.1897596711925217</v>
      </c>
      <c r="G14" s="331" t="n">
        <v>0.1977701693916864</v>
      </c>
      <c r="H14" s="331" t="n">
        <v>0.2055359876070629</v>
      </c>
    </row>
    <row r="15">
      <c r="B15" s="315" t="inlineStr">
        <is>
          <t>D&amp;A</t>
        </is>
      </c>
      <c r="C15" s="316" t="n">
        <v>85.7</v>
      </c>
      <c r="D15" s="333" t="n">
        <v>89.985</v>
      </c>
      <c r="E15" s="333" t="n">
        <v>94.48425000000002</v>
      </c>
      <c r="F15" s="333" t="n">
        <v>99.20846250000002</v>
      </c>
      <c r="G15" s="333" t="n">
        <v>104.168885625</v>
      </c>
      <c r="H15" s="333" t="n">
        <v>109.37732990625</v>
      </c>
    </row>
    <row r="16">
      <c r="B16" s="315" t="inlineStr">
        <is>
          <t>EBIT</t>
        </is>
      </c>
      <c r="C16" s="316" t="n">
        <v>97.40000000000001</v>
      </c>
      <c r="D16" s="333" t="n">
        <v>130.5573000000002</v>
      </c>
      <c r="E16" s="333" t="n">
        <v>148.4970250000002</v>
      </c>
      <c r="F16" s="333" t="n">
        <v>167.5374734500002</v>
      </c>
      <c r="G16" s="333" t="n">
        <v>187.7377562665001</v>
      </c>
      <c r="H16" s="333" t="n">
        <v>209.1600214067052</v>
      </c>
    </row>
    <row r="17">
      <c r="B17" s="315" t="inlineStr">
        <is>
          <t>Interest</t>
        </is>
      </c>
      <c r="D17" s="333" t="n">
        <v>77.8175</v>
      </c>
      <c r="E17" s="333" t="n">
        <v>67.60465037131506</v>
      </c>
      <c r="F17" s="333" t="n">
        <v>55.20810137709298</v>
      </c>
      <c r="G17" s="333" t="n">
        <v>40.39560666096232</v>
      </c>
      <c r="H17" s="333" t="n">
        <v>20.87770873044934</v>
      </c>
    </row>
    <row r="18">
      <c r="B18" s="315" t="inlineStr">
        <is>
          <t>Net income</t>
        </is>
      </c>
      <c r="D18" s="333" t="n">
        <v>41.66444200000014</v>
      </c>
      <c r="E18" s="333" t="n">
        <v>63.90497595666129</v>
      </c>
      <c r="F18" s="333" t="n">
        <v>88.74020393759669</v>
      </c>
      <c r="G18" s="333" t="n">
        <v>116.4002981883749</v>
      </c>
      <c r="H18" s="333" t="n">
        <v>148.7430270142421</v>
      </c>
    </row>
    <row r="19">
      <c r="B19" s="315" t="inlineStr">
        <is>
          <t>CapEx</t>
        </is>
      </c>
      <c r="D19" s="333" t="n">
        <v>23.460276</v>
      </c>
      <c r="E19" s="333" t="n">
        <v>24.63328980000001</v>
      </c>
      <c r="F19" s="333" t="n">
        <v>25.86495429000001</v>
      </c>
      <c r="G19" s="333" t="n">
        <v>27.15820200450001</v>
      </c>
      <c r="H19" s="333" t="n">
        <v>28.51611210472501</v>
      </c>
    </row>
    <row r="20">
      <c r="B20" s="315" t="inlineStr">
        <is>
          <t>ΔNWC</t>
        </is>
      </c>
      <c r="D20" s="333" t="n">
        <v>-14.85721506849319</v>
      </c>
      <c r="E20" s="333" t="n">
        <v>-15.60007582191784</v>
      </c>
      <c r="F20" s="333" t="n">
        <v>-16.38007961301373</v>
      </c>
      <c r="G20" s="333" t="n">
        <v>-17.19908359366438</v>
      </c>
      <c r="H20" s="333" t="n">
        <v>-18.05903777334764</v>
      </c>
    </row>
    <row r="21">
      <c r="B21" s="315" t="inlineStr">
        <is>
          <t>FCF after interest</t>
        </is>
      </c>
      <c r="D21" s="333" t="n">
        <v>123.0463810684933</v>
      </c>
      <c r="E21" s="333" t="n">
        <v>149.3560119785791</v>
      </c>
      <c r="F21" s="333" t="n">
        <v>178.4637917606104</v>
      </c>
      <c r="G21" s="333" t="n">
        <v>210.6100654025392</v>
      </c>
      <c r="H21" s="333" t="n">
        <v>247.6632825891148</v>
      </c>
    </row>
    <row r="22">
      <c r="B22" s="315" t="inlineStr">
        <is>
          <t>Mandatory amort</t>
        </is>
      </c>
      <c r="D22" s="333" t="n">
        <v>9.154999999999999</v>
      </c>
      <c r="E22" s="333" t="n">
        <v>9.154999999999999</v>
      </c>
      <c r="F22" s="333" t="n">
        <v>9.154999999999999</v>
      </c>
      <c r="G22" s="333" t="n">
        <v>9.154999999999999</v>
      </c>
      <c r="H22" s="333" t="n">
        <v>9.154999999999999</v>
      </c>
    </row>
    <row r="23">
      <c r="B23" s="315" t="inlineStr">
        <is>
          <t>Total debt paydown</t>
        </is>
      </c>
      <c r="D23" s="333" t="n">
        <v>123.0463810684933</v>
      </c>
      <c r="E23" s="333" t="n">
        <v>149.3560119785791</v>
      </c>
      <c r="F23" s="333" t="n">
        <v>178.4637917606104</v>
      </c>
      <c r="G23" s="333" t="n">
        <v>210.6100654025392</v>
      </c>
      <c r="H23" s="333" t="n">
        <v>247.6632825891148</v>
      </c>
    </row>
    <row r="24">
      <c r="B24" s="315" t="inlineStr">
        <is>
          <t>Debt end</t>
        </is>
      </c>
      <c r="C24" s="316" t="n">
        <v>1329.9</v>
      </c>
      <c r="D24" s="333" t="n">
        <v>792.4536189315066</v>
      </c>
      <c r="E24" s="333" t="n">
        <v>643.0976069529275</v>
      </c>
      <c r="F24" s="333" t="n">
        <v>464.6338151923171</v>
      </c>
      <c r="G24" s="333" t="n">
        <v>254.0237497897778</v>
      </c>
      <c r="H24" s="333"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zoomScale="123" workbookViewId="0">
      <selection activeCell="A1" sqref="A1"/>
    </sheetView>
  </sheetViews>
  <sheetFormatPr baseColWidth="8" defaultRowHeight="14.5"/>
  <sheetData>
    <row r="2">
      <c r="B2" t="inlineStr">
        <is>
          <t>vengeanceaiUSC-LBOMODEL4 — ZoomInfo (GTM) AI-SDR take-private</t>
        </is>
      </c>
    </row>
    <row r="8" ht="26.25" customHeight="1" s="381">
      <c r="B8" s="300" t="inlineStr">
        <is>
          <t>LBO Model Sample Template</t>
        </is>
      </c>
      <c r="C8" s="301" t="n"/>
      <c r="D8" s="301" t="n"/>
      <c r="E8" s="302" t="n"/>
      <c r="F8" s="302" t="n"/>
      <c r="G8" s="302" t="n"/>
      <c r="H8" s="302" t="n"/>
      <c r="I8" s="302" t="n"/>
      <c r="J8" s="302" t="n"/>
      <c r="K8" s="302" t="n"/>
      <c r="L8" s="302" t="n"/>
      <c r="M8" s="302" t="n"/>
    </row>
    <row r="11">
      <c r="B11" s="386"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ColWidth="9.1796875" defaultRowHeight="14.5"/>
  <cols>
    <col width="1.7265625" customWidth="1" style="381" min="1" max="1"/>
    <col width="44.1796875" customWidth="1" style="381" min="2" max="2"/>
    <col width="15.7265625" customWidth="1" style="381" min="3" max="10"/>
    <col width="12.81640625" customWidth="1" style="381" min="11" max="12"/>
    <col width="9.1796875" customWidth="1" style="381" min="13" max="13"/>
  </cols>
  <sheetData>
    <row r="1" ht="15.75" customHeight="1" s="381" thickBot="1"/>
    <row r="2" ht="27" customHeight="1" s="381" thickBot="1">
      <c r="B2" s="1" t="inlineStr">
        <is>
          <t>Leveraged buyout model for ZoomInfo (GTM) — vengeanceaiUSC-LBOMODEL1 AI-SDR</t>
        </is>
      </c>
      <c r="C2" s="8" t="n"/>
      <c r="D2" s="8" t="n"/>
      <c r="E2" s="8" t="n"/>
      <c r="F2" s="8" t="n"/>
      <c r="G2" s="8" t="n"/>
      <c r="H2" s="8" t="n"/>
      <c r="I2" s="8" t="n"/>
      <c r="J2" s="8" t="n"/>
    </row>
    <row r="3">
      <c r="B3" s="2" t="inlineStr">
        <is>
          <t>$ mm except per share</t>
        </is>
      </c>
      <c r="C3" s="9" t="n"/>
    </row>
    <row r="4">
      <c r="B4" s="10" t="n"/>
      <c r="D4" s="9" t="n"/>
    </row>
    <row r="5">
      <c r="B5" s="11" t="inlineStr">
        <is>
          <t>GENERAL INPUTS</t>
        </is>
      </c>
      <c r="C5" s="13" t="n"/>
      <c r="D5" s="13" t="n"/>
      <c r="F5" s="118" t="inlineStr">
        <is>
          <t>INITIAL VALUATION</t>
        </is>
      </c>
      <c r="G5" s="13" t="n"/>
      <c r="H5" s="13" t="n"/>
      <c r="I5" s="13" t="n"/>
      <c r="J5" s="13" t="n"/>
    </row>
    <row r="6">
      <c r="B6" s="108" t="inlineStr">
        <is>
          <t>Company name</t>
        </is>
      </c>
      <c r="D6" s="75" t="inlineStr">
        <is>
          <t>ZoomInfo Technologies Inc.</t>
        </is>
      </c>
    </row>
    <row r="7">
      <c r="B7" s="108" t="inlineStr">
        <is>
          <t>Ticker (if applicable)</t>
        </is>
      </c>
      <c r="D7" s="75" t="inlineStr">
        <is>
          <t>GTM</t>
        </is>
      </c>
      <c r="F7" s="19" t="inlineStr">
        <is>
          <t>Select a valuation approach:</t>
        </is>
      </c>
      <c r="H7" s="252" t="n">
        <v>1</v>
      </c>
      <c r="I7" s="183" t="n">
        <v>1</v>
      </c>
      <c r="J7" s="184" t="n">
        <v>2</v>
      </c>
    </row>
    <row r="8">
      <c r="B8" s="108" t="inlineStr">
        <is>
          <t>Current share price (if applicable)</t>
        </is>
      </c>
      <c r="D8" s="58" t="n">
        <v>4.05</v>
      </c>
      <c r="H8" s="253" t="inlineStr">
        <is>
          <t>Explicit offer/share</t>
        </is>
      </c>
      <c r="I8" s="185" t="inlineStr">
        <is>
          <t>Explicit EBITDA</t>
        </is>
      </c>
      <c r="J8" s="185" t="inlineStr">
        <is>
          <t>Explicit offer/share</t>
        </is>
      </c>
    </row>
    <row r="9">
      <c r="B9" s="108" t="inlineStr">
        <is>
          <t>Latest closing share price date (f applicable)</t>
        </is>
      </c>
      <c r="D9" s="277" t="n">
        <v>46249</v>
      </c>
    </row>
    <row r="10">
      <c r="B10" s="108" t="inlineStr">
        <is>
          <t>Circuit breaker:</t>
        </is>
      </c>
      <c r="D10" s="5" t="inlineStr">
        <is>
          <t>OFF</t>
        </is>
      </c>
      <c r="F10" s="4" t="inlineStr">
        <is>
          <t>LTM EBITDA</t>
        </is>
      </c>
      <c r="H10" s="23" t="n">
        <v>183.1</v>
      </c>
      <c r="I10" s="23" t="n">
        <v>183.1</v>
      </c>
      <c r="J10" s="23" t="n">
        <v>183.1</v>
      </c>
    </row>
    <row r="11">
      <c r="F11" s="4" t="inlineStr">
        <is>
          <t>EV / LTM EBITDA</t>
        </is>
      </c>
      <c r="H11" s="66" t="n">
        <v>14.78</v>
      </c>
      <c r="I11" s="54" t="n">
        <v>14.78</v>
      </c>
      <c r="J11" s="66" t="n">
        <v>14.78</v>
      </c>
    </row>
    <row r="12">
      <c r="B12" s="11" t="inlineStr">
        <is>
          <t xml:space="preserve">SELECT FINANCIAL DATA / ASSMUPTIONS </t>
        </is>
      </c>
      <c r="C12" s="13" t="n"/>
      <c r="D12" s="11" t="n"/>
      <c r="F12" s="3" t="inlineStr">
        <is>
          <t>Enterprise value</t>
        </is>
      </c>
      <c r="H12" s="42" t="n">
        <v>6466.026250000001</v>
      </c>
      <c r="I12" s="42" t="n">
        <v>6443.710000000002</v>
      </c>
      <c r="J12" s="42" t="n">
        <v>6466.026250000001</v>
      </c>
    </row>
    <row r="13">
      <c r="B13" s="108" t="inlineStr">
        <is>
          <t>EBITDA (LTM)</t>
        </is>
      </c>
      <c r="D13" s="168" t="n">
        <v>183.1</v>
      </c>
    </row>
    <row r="14">
      <c r="B14" s="108" t="inlineStr">
        <is>
          <t>Gross Debt (input as a -)</t>
        </is>
      </c>
      <c r="D14" s="39" t="n">
        <v>-1329.9</v>
      </c>
      <c r="F14" s="108" t="inlineStr">
        <is>
          <t>Less: Gross Debt (latest filing)</t>
        </is>
      </c>
      <c r="H14" s="23" t="n">
        <v>-1306</v>
      </c>
      <c r="I14" s="23" t="n">
        <v>-1306</v>
      </c>
      <c r="J14" s="23" t="n">
        <v>-1306</v>
      </c>
    </row>
    <row r="15">
      <c r="B15" s="108" t="inlineStr">
        <is>
          <t>Cash</t>
        </is>
      </c>
      <c r="D15" s="39" t="n">
        <v>179.9</v>
      </c>
      <c r="F15" s="108" t="inlineStr">
        <is>
          <t>Plus: Cash (latest filing)</t>
        </is>
      </c>
      <c r="H15" s="23" t="n">
        <v>1581.9</v>
      </c>
      <c r="I15" s="23" t="n">
        <v>1581.9</v>
      </c>
      <c r="J15" s="23" t="n">
        <v>1581.9</v>
      </c>
    </row>
    <row r="16">
      <c r="B16" s="26" t="inlineStr">
        <is>
          <t>Minimum cash desired</t>
        </is>
      </c>
      <c r="D16" s="39" t="n">
        <v>50</v>
      </c>
    </row>
    <row r="17">
      <c r="B17" s="108" t="inlineStr">
        <is>
          <t>EV / LTM EBITDA multiple at exit</t>
        </is>
      </c>
      <c r="D17" s="54" t="n">
        <v>12.9</v>
      </c>
      <c r="F17" s="3" t="inlineStr">
        <is>
          <t>Offer value</t>
        </is>
      </c>
      <c r="H17" s="42" t="n">
        <v>6741.92625</v>
      </c>
      <c r="I17" s="42" t="n">
        <v>6719.610000000002</v>
      </c>
      <c r="J17" s="42" t="n">
        <v>6741.92625</v>
      </c>
    </row>
    <row r="18">
      <c r="C18" s="57" t="n"/>
      <c r="F18" t="inlineStr">
        <is>
          <t>Diluted shares outstanding</t>
        </is>
      </c>
      <c r="H18" s="179" t="n">
        <v>307.294</v>
      </c>
      <c r="I18" s="168" t="n">
        <v>307.294</v>
      </c>
      <c r="J18" s="168" t="n">
        <v>307.294</v>
      </c>
      <c r="K18" s="182" t="n"/>
      <c r="L18" s="182" t="n"/>
    </row>
    <row r="19">
      <c r="B19" s="118" t="inlineStr">
        <is>
          <t>USES OF FUNDS</t>
        </is>
      </c>
      <c r="C19" s="13" t="n"/>
      <c r="D19" s="13" t="n"/>
      <c r="K19" s="182" t="n"/>
      <c r="L19" s="182" t="n"/>
    </row>
    <row r="20">
      <c r="B20" s="26" t="inlineStr">
        <is>
          <t>Buyout of equity</t>
        </is>
      </c>
      <c r="D20" s="107" t="n">
        <v>1555.7</v>
      </c>
      <c r="E20" s="6" t="n"/>
      <c r="F20" s="3" t="inlineStr">
        <is>
          <t>Offer value / per share</t>
        </is>
      </c>
      <c r="H20" s="225" t="n">
        <v>5.0625</v>
      </c>
      <c r="I20" s="225" t="n">
        <v>5.0625</v>
      </c>
      <c r="J20" s="278" t="n">
        <v>5.0625</v>
      </c>
      <c r="K20" s="182" t="n"/>
      <c r="L20" s="182" t="n"/>
    </row>
    <row r="21">
      <c r="B21" s="26" t="inlineStr">
        <is>
          <t>Refinancing of oldco debt</t>
        </is>
      </c>
      <c r="D21" s="107" t="n">
        <v>1329.9</v>
      </c>
      <c r="E21" s="6" t="n"/>
      <c r="F21" s="122" t="inlineStr">
        <is>
          <t>% Premium / discount</t>
        </is>
      </c>
      <c r="H21" s="6" t="n">
        <v>0.25</v>
      </c>
      <c r="I21" s="6" t="n">
        <v>0.25</v>
      </c>
      <c r="J21" s="6" t="n">
        <v>0.25</v>
      </c>
      <c r="K21" s="182" t="n"/>
      <c r="L21" s="182" t="n"/>
    </row>
    <row r="22">
      <c r="B22" s="26" t="inlineStr">
        <is>
          <t>Fees (transaction &amp; financing)</t>
        </is>
      </c>
      <c r="D22" s="279" t="n">
        <v>31.1</v>
      </c>
      <c r="H22" s="122" t="n"/>
      <c r="J22" s="48" t="n"/>
      <c r="K22" s="182" t="n"/>
      <c r="L22" s="182" t="n"/>
    </row>
    <row r="23">
      <c r="B23" s="22" t="inlineStr">
        <is>
          <t>Total Uses</t>
        </is>
      </c>
      <c r="D23" s="125" t="n">
        <v>2916.7</v>
      </c>
      <c r="H23" s="122" t="n"/>
      <c r="J23" s="48" t="n"/>
      <c r="K23" s="182" t="n"/>
      <c r="L23" s="182" t="n"/>
    </row>
    <row r="24">
      <c r="C24" s="57" t="n"/>
      <c r="H24" s="122" t="n"/>
      <c r="J24" s="48" t="n"/>
      <c r="K24" s="182" t="n"/>
      <c r="L24" s="182" t="n"/>
    </row>
    <row r="25">
      <c r="B25" s="118" t="inlineStr">
        <is>
          <t>SOURCES OF FUNDS</t>
        </is>
      </c>
      <c r="C25" s="13" t="n"/>
      <c r="D25" s="13" t="n"/>
      <c r="E25" s="107" t="n"/>
      <c r="F25" s="11" t="inlineStr">
        <is>
          <t>FEES</t>
        </is>
      </c>
      <c r="G25" s="13" t="n"/>
      <c r="H25" s="13" t="n"/>
      <c r="I25" s="13" t="n"/>
      <c r="J25" s="13" t="n"/>
    </row>
    <row r="26" ht="16.5" customHeight="1" s="381">
      <c r="C26" s="123" t="inlineStr">
        <is>
          <t>EBITDA turns</t>
        </is>
      </c>
      <c r="D26" s="123" t="inlineStr">
        <is>
          <t>$ investment</t>
        </is>
      </c>
      <c r="G26" s="215" t="inlineStr">
        <is>
          <t>% fees</t>
        </is>
      </c>
      <c r="H26" s="215" t="inlineStr">
        <is>
          <t>Fee</t>
        </is>
      </c>
      <c r="I26" s="215" t="inlineStr">
        <is>
          <t>Term</t>
        </is>
      </c>
      <c r="J26" s="215" t="inlineStr">
        <is>
          <t>Fee amort / year</t>
        </is>
      </c>
    </row>
    <row r="27">
      <c r="B27" s="108" t="inlineStr">
        <is>
          <t>Excess cash</t>
        </is>
      </c>
      <c r="C27" s="240" t="n">
        <v>1.588195309844794</v>
      </c>
      <c r="D27" s="107" t="n">
        <v>129.9</v>
      </c>
      <c r="F27" s="19" t="inlineStr">
        <is>
          <t>Financing fees</t>
        </is>
      </c>
    </row>
    <row r="28">
      <c r="B28" s="108" t="inlineStr">
        <is>
          <t>Revolver</t>
        </is>
      </c>
      <c r="C28" s="241" t="n">
        <v>0</v>
      </c>
      <c r="D28" s="107" t="n">
        <v>0</v>
      </c>
      <c r="F28" s="26" t="inlineStr">
        <is>
          <t>Revolver</t>
        </is>
      </c>
      <c r="G28" s="33" t="n">
        <v>0.01</v>
      </c>
      <c r="H28" s="107" t="n">
        <v>0</v>
      </c>
      <c r="I28" s="239" t="n">
        <v>5</v>
      </c>
      <c r="J28" s="214" t="n">
        <v>0</v>
      </c>
    </row>
    <row r="29">
      <c r="B29" s="26" t="inlineStr">
        <is>
          <t>Term Loan A</t>
        </is>
      </c>
      <c r="C29" s="242" t="n">
        <v>2.5</v>
      </c>
      <c r="D29" s="107" t="n">
        <v>457.8</v>
      </c>
      <c r="F29" s="26" t="inlineStr">
        <is>
          <t>Term Loan A</t>
        </is>
      </c>
      <c r="G29" s="33" t="n">
        <v>0.015</v>
      </c>
      <c r="H29" s="107" t="n">
        <v>43.29643500000002</v>
      </c>
      <c r="I29" s="239" t="n">
        <v>7</v>
      </c>
      <c r="J29" s="214" t="n">
        <v>6.185205000000003</v>
      </c>
    </row>
    <row r="30">
      <c r="B30" s="26" t="inlineStr">
        <is>
          <t>Term Loan B</t>
        </is>
      </c>
      <c r="C30" s="242" t="n">
        <v>1.5</v>
      </c>
      <c r="D30" s="107" t="n">
        <v>274.7</v>
      </c>
      <c r="F30" s="26" t="inlineStr">
        <is>
          <t>Term Loan B</t>
        </is>
      </c>
      <c r="G30" s="33" t="n">
        <v>0.015</v>
      </c>
      <c r="H30" s="107" t="n">
        <v>10.06278</v>
      </c>
      <c r="I30" s="239" t="n">
        <v>7</v>
      </c>
      <c r="J30" s="214" t="n">
        <v>1.43754</v>
      </c>
      <c r="P30" s="22" t="n"/>
      <c r="R30" s="125" t="n"/>
    </row>
    <row r="31">
      <c r="B31" s="26" t="inlineStr">
        <is>
          <t>Senior Note</t>
        </is>
      </c>
      <c r="C31" s="242" t="n">
        <v>1</v>
      </c>
      <c r="D31" s="107" t="n">
        <v>183.1</v>
      </c>
      <c r="F31" s="26" t="inlineStr">
        <is>
          <t>Senior Note</t>
        </is>
      </c>
      <c r="G31" s="33" t="n">
        <v>0.01</v>
      </c>
      <c r="H31" s="107" t="n">
        <v>16.32995000000001</v>
      </c>
      <c r="I31" s="239" t="n">
        <v>8</v>
      </c>
      <c r="J31" s="214" t="n">
        <v>2.041243750000001</v>
      </c>
      <c r="P31" s="22" t="n"/>
      <c r="R31" s="125" t="n"/>
    </row>
    <row r="32">
      <c r="B32" s="26" t="inlineStr">
        <is>
          <t>Sub Note</t>
        </is>
      </c>
      <c r="C32" s="242" t="n">
        <v>0</v>
      </c>
      <c r="D32" s="107" t="n">
        <v>0</v>
      </c>
      <c r="F32" s="26" t="inlineStr">
        <is>
          <t>Sub Note</t>
        </is>
      </c>
      <c r="G32" s="33" t="n">
        <v>0</v>
      </c>
      <c r="H32" s="180" t="n">
        <v>0</v>
      </c>
      <c r="I32" s="239" t="n"/>
      <c r="J32" s="244" t="inlineStr">
        <is>
          <t>NM</t>
        </is>
      </c>
      <c r="P32" s="22" t="n"/>
      <c r="R32" s="125" t="n"/>
    </row>
    <row r="33">
      <c r="B33" s="26" t="inlineStr">
        <is>
          <t>Preferred stock</t>
        </is>
      </c>
      <c r="C33" s="242" t="n">
        <v>0</v>
      </c>
      <c r="D33" s="107" t="n">
        <v>0</v>
      </c>
      <c r="F33" s="245" t="inlineStr">
        <is>
          <t>Financing fees</t>
        </is>
      </c>
      <c r="H33" s="125" t="n">
        <v>69.68916500000003</v>
      </c>
      <c r="I33" s="61" t="n"/>
      <c r="J33" s="107" t="n">
        <v>9.663988750000003</v>
      </c>
      <c r="P33" s="22" t="n"/>
      <c r="R33" s="125" t="n"/>
    </row>
    <row r="34">
      <c r="B34" s="26" t="inlineStr">
        <is>
          <t>Mgmt rollover</t>
        </is>
      </c>
      <c r="C34" s="242" t="n">
        <v>0</v>
      </c>
      <c r="D34" s="107" t="n">
        <v>0</v>
      </c>
      <c r="H34" s="125" t="n"/>
      <c r="P34" s="22" t="n"/>
      <c r="R34" s="125" t="n"/>
    </row>
    <row r="35" ht="16.5" customHeight="1" s="381">
      <c r="B35" s="26" t="inlineStr">
        <is>
          <t>Sponsor equity</t>
        </is>
      </c>
      <c r="C35" s="240" t="n">
        <v>1.880908507986857</v>
      </c>
      <c r="D35" s="180" t="n">
        <v>1871.3</v>
      </c>
      <c r="F35" s="26" t="n"/>
      <c r="G35" s="215" t="inlineStr">
        <is>
          <t>% of offer value</t>
        </is>
      </c>
      <c r="H35" s="215" t="inlineStr">
        <is>
          <t>Fee</t>
        </is>
      </c>
      <c r="P35" s="22" t="n"/>
      <c r="R35" s="125" t="n"/>
    </row>
    <row r="36">
      <c r="B36" s="35" t="inlineStr">
        <is>
          <t>Total Sources</t>
        </is>
      </c>
      <c r="C36" s="243" t="n">
        <v>9.349103817831651</v>
      </c>
      <c r="D36" s="125" t="n">
        <v>2916.7</v>
      </c>
      <c r="F36" s="245" t="inlineStr">
        <is>
          <t>Trans. fees</t>
        </is>
      </c>
      <c r="G36" s="57" t="n">
        <v>0.02</v>
      </c>
      <c r="H36" s="125" t="n">
        <v>134.838525</v>
      </c>
    </row>
    <row r="38">
      <c r="A38" t="inlineStr">
        <is>
          <t>x</t>
        </is>
      </c>
      <c r="B38" s="11" t="inlineStr">
        <is>
          <t>INCOME STATEMENT</t>
        </is>
      </c>
      <c r="C38" s="12" t="n"/>
      <c r="D38" s="13" t="n"/>
      <c r="E38" s="13" t="n"/>
      <c r="F38" s="13" t="n"/>
      <c r="G38" s="13" t="n"/>
      <c r="H38" s="13" t="n"/>
      <c r="I38" s="13" t="n"/>
      <c r="J38" s="13" t="n"/>
    </row>
    <row r="39">
      <c r="B39" t="inlineStr">
        <is>
          <t xml:space="preserve">Fiscal year  </t>
        </is>
      </c>
      <c r="C39" s="14" t="n">
        <v>2011</v>
      </c>
      <c r="D39" s="14" t="n">
        <v>2012</v>
      </c>
      <c r="E39" s="280" t="n">
        <v>2013</v>
      </c>
      <c r="F39" s="15" t="n">
        <v>2025</v>
      </c>
      <c r="G39" s="15" t="n">
        <v>2026</v>
      </c>
      <c r="H39" s="15" t="n">
        <v>2027</v>
      </c>
      <c r="I39" s="15" t="n">
        <v>2028</v>
      </c>
      <c r="J39" s="15" t="n">
        <v>2029</v>
      </c>
    </row>
    <row r="40">
      <c r="B40" s="16" t="inlineStr">
        <is>
          <t>Fiscal year end date</t>
        </is>
      </c>
      <c r="C40" s="17" t="n">
        <v>40633</v>
      </c>
      <c r="D40" s="17" t="n">
        <v>40999</v>
      </c>
      <c r="E40" s="17" t="n">
        <v>41364</v>
      </c>
      <c r="F40" s="18" t="n">
        <v>41729</v>
      </c>
      <c r="G40" s="18" t="n">
        <v>42094</v>
      </c>
      <c r="H40" s="18" t="n">
        <v>42460</v>
      </c>
      <c r="I40" s="18" t="n">
        <v>42825</v>
      </c>
      <c r="J40" s="18" t="n">
        <v>43190</v>
      </c>
    </row>
    <row r="41">
      <c r="B41" s="19" t="n"/>
      <c r="C41" s="20" t="n"/>
      <c r="D41" s="20" t="n"/>
      <c r="E41" s="21" t="n"/>
      <c r="F41" s="21" t="n"/>
      <c r="G41" s="21" t="n"/>
      <c r="H41" s="21" t="n"/>
      <c r="I41" s="21" t="n"/>
      <c r="J41" s="21" t="n"/>
    </row>
    <row r="42">
      <c r="B42" t="inlineStr">
        <is>
          <t>Revenue</t>
        </is>
      </c>
      <c r="C42" s="167" t="n">
        <v>2065.3</v>
      </c>
      <c r="D42" s="167" t="n">
        <v>2172</v>
      </c>
      <c r="E42" s="167" t="n">
        <v>2201.4</v>
      </c>
      <c r="F42" s="168" t="n">
        <v>1250.7</v>
      </c>
      <c r="G42" s="168" t="n">
        <v>1300.8</v>
      </c>
      <c r="H42" s="168" t="n">
        <v>1352.8</v>
      </c>
      <c r="I42" s="168" t="n">
        <v>1393.4</v>
      </c>
      <c r="J42" s="168" t="n">
        <v>1435.2</v>
      </c>
    </row>
    <row r="43">
      <c r="B43" t="inlineStr">
        <is>
          <t>Cost of sales (enter as -)</t>
        </is>
      </c>
      <c r="C43" s="167" t="n">
        <v>-485.2</v>
      </c>
      <c r="D43" s="167" t="n">
        <v>-568.9</v>
      </c>
      <c r="E43" s="167" t="n">
        <v>-592</v>
      </c>
      <c r="F43" s="168" t="n">
        <v>-195.5</v>
      </c>
      <c r="G43" s="168" t="n">
        <v>-203.3</v>
      </c>
      <c r="H43" s="168" t="n">
        <v>-211.4</v>
      </c>
      <c r="I43" s="168" t="n">
        <v>-217.8</v>
      </c>
      <c r="J43" s="168" t="n">
        <v>-224.3</v>
      </c>
    </row>
    <row r="44">
      <c r="B44" s="22" t="inlineStr">
        <is>
          <t>Gross Profit</t>
        </is>
      </c>
      <c r="C44" s="166" t="n">
        <v>1580.1</v>
      </c>
      <c r="D44" s="166" t="n">
        <v>1603.1</v>
      </c>
      <c r="E44" s="166" t="n">
        <v>1609.4</v>
      </c>
      <c r="F44" s="166" t="n">
        <v>1696.85680029765</v>
      </c>
      <c r="G44" s="166" t="n">
        <v>1802.202742789021</v>
      </c>
      <c r="H44" s="166" t="n">
        <v>1923.074854939862</v>
      </c>
      <c r="I44" s="166" t="n">
        <v>2032.605542649531</v>
      </c>
      <c r="J44" s="166" t="n">
        <v>2144.189647017592</v>
      </c>
    </row>
    <row r="45">
      <c r="B45" t="inlineStr">
        <is>
          <t>Research &amp; development (enter as -)</t>
        </is>
      </c>
      <c r="C45" s="167" t="n">
        <v>-181.6</v>
      </c>
      <c r="D45" s="167" t="n">
        <v>-165.2</v>
      </c>
      <c r="E45" s="167" t="n">
        <v>-174.6</v>
      </c>
      <c r="F45" s="168" t="n">
        <v>-202</v>
      </c>
      <c r="G45" s="168" t="n">
        <v>-210.1</v>
      </c>
      <c r="H45" s="168" t="n">
        <v>-218.5</v>
      </c>
      <c r="I45" s="168" t="n">
        <v>-225</v>
      </c>
      <c r="J45" s="168" t="n">
        <v>-231.8</v>
      </c>
    </row>
    <row r="46">
      <c r="B46" t="inlineStr">
        <is>
          <t>Selling, general &amp; administrative (enter as -)</t>
        </is>
      </c>
      <c r="C46" s="167" t="n">
        <v>-865.6999999999999</v>
      </c>
      <c r="D46" s="167" t="n">
        <v>-894</v>
      </c>
      <c r="E46" s="167" t="n">
        <v>-969.3999999999999</v>
      </c>
      <c r="F46" s="168" t="n">
        <v>-601.4</v>
      </c>
      <c r="G46" s="168" t="n">
        <v>-617.6</v>
      </c>
      <c r="H46" s="168" t="n">
        <v>-634.3</v>
      </c>
      <c r="I46" s="168" t="n">
        <v>-649.2</v>
      </c>
      <c r="J46" s="168" t="n">
        <v>-664.4</v>
      </c>
    </row>
    <row r="47">
      <c r="B47" t="inlineStr">
        <is>
          <t>Deal-related D&amp;A (enter as -)</t>
        </is>
      </c>
      <c r="C47" s="167" t="n"/>
      <c r="D47" s="167" t="n"/>
      <c r="E47" s="167" t="n"/>
      <c r="F47" s="168" t="n">
        <v>-52.99732208333334</v>
      </c>
      <c r="G47" s="168" t="n">
        <v>-52.99732208333334</v>
      </c>
      <c r="H47" s="168" t="n">
        <v>-52.99732208333334</v>
      </c>
      <c r="I47" s="168" t="n">
        <v>-52.99732208333334</v>
      </c>
      <c r="J47" s="168" t="n">
        <v>-52.99732208333334</v>
      </c>
    </row>
    <row r="48">
      <c r="B48" s="22" t="inlineStr">
        <is>
          <t>Operating profit (EBIT)</t>
        </is>
      </c>
      <c r="C48" s="166" t="n">
        <v>532.8000000000003</v>
      </c>
      <c r="D48" s="166" t="n">
        <v>543.8999999999999</v>
      </c>
      <c r="E48" s="166" t="n">
        <v>465.4000000000003</v>
      </c>
      <c r="F48" s="166" t="n">
        <v>163.6</v>
      </c>
      <c r="G48" s="166" t="n">
        <v>178</v>
      </c>
      <c r="H48" s="166" t="n">
        <v>193.1</v>
      </c>
      <c r="I48" s="166" t="n">
        <v>203.1</v>
      </c>
      <c r="J48" s="166" t="n">
        <v>213.4</v>
      </c>
      <c r="K48" s="23" t="n"/>
    </row>
    <row r="49">
      <c r="B49" t="inlineStr">
        <is>
          <t>Interest income</t>
        </is>
      </c>
      <c r="C49" s="167" t="n">
        <v>15</v>
      </c>
      <c r="D49" s="167" t="n">
        <v>10.6</v>
      </c>
      <c r="E49" s="167" t="n">
        <v>8.300000000000001</v>
      </c>
      <c r="F49" s="107" t="n">
        <v>0.9286713286713288</v>
      </c>
      <c r="G49" s="107" t="n">
        <v>0.9286713286713288</v>
      </c>
      <c r="H49" s="107" t="n">
        <v>0.9286713286713288</v>
      </c>
      <c r="I49" s="107" t="n">
        <v>0.9286713286713288</v>
      </c>
      <c r="J49" s="107" t="n">
        <v>0.9286713286713283</v>
      </c>
    </row>
    <row r="50">
      <c r="B50" t="inlineStr">
        <is>
          <t>Interest expense (enter as -)</t>
        </is>
      </c>
      <c r="C50" s="167" t="n">
        <v>-19.8</v>
      </c>
      <c r="D50" s="167" t="n">
        <v>-23.3</v>
      </c>
      <c r="E50" s="167" t="n">
        <v>-47.8</v>
      </c>
      <c r="F50" s="107" t="n">
        <v>-68.7</v>
      </c>
      <c r="G50" s="107" t="n">
        <v>-58.3</v>
      </c>
      <c r="H50" s="107" t="n">
        <v>-46.4</v>
      </c>
      <c r="I50" s="107" t="n">
        <v>-32.7</v>
      </c>
      <c r="J50" s="107" t="n">
        <v>-17.3</v>
      </c>
    </row>
    <row r="51">
      <c r="B51" t="inlineStr">
        <is>
          <t>Other non-operating expense (enter as -)</t>
        </is>
      </c>
      <c r="C51" s="167" t="n">
        <v>3.3</v>
      </c>
      <c r="D51" s="167" t="n">
        <v>-1.2</v>
      </c>
      <c r="E51" s="167" t="n">
        <v>2</v>
      </c>
      <c r="F51" s="167" t="n">
        <v>0</v>
      </c>
      <c r="G51" s="167" t="n">
        <v>0</v>
      </c>
      <c r="H51" s="167" t="n">
        <v>0</v>
      </c>
      <c r="I51" s="167" t="n">
        <v>0</v>
      </c>
      <c r="J51" s="167" t="n">
        <v>0</v>
      </c>
    </row>
    <row r="52">
      <c r="B52" s="22" t="inlineStr">
        <is>
          <t>Pretax profit</t>
        </is>
      </c>
      <c r="C52" s="166" t="n">
        <v>531.3000000000003</v>
      </c>
      <c r="D52" s="166" t="n">
        <v>529.9999999999999</v>
      </c>
      <c r="E52" s="166" t="n">
        <v>427.9000000000003</v>
      </c>
      <c r="F52" s="166" t="n">
        <v>197.6677247126019</v>
      </c>
      <c r="G52" s="166" t="n">
        <v>284.7778260029322</v>
      </c>
      <c r="H52" s="166" t="n">
        <v>378.813008490489</v>
      </c>
      <c r="I52" s="166" t="n">
        <v>479.2703498042181</v>
      </c>
      <c r="J52" s="166" t="n">
        <v>596.382663328335</v>
      </c>
    </row>
    <row r="53">
      <c r="B53" t="inlineStr">
        <is>
          <t>Taxes (enter expense as -)</t>
        </is>
      </c>
      <c r="C53" s="167" t="n">
        <v>-75.09999999999999</v>
      </c>
      <c r="D53" s="167" t="n">
        <v>-129</v>
      </c>
      <c r="E53" s="167" t="n">
        <v>-96.90000000000001</v>
      </c>
      <c r="F53" s="168" t="n">
        <v>-44.76280094566748</v>
      </c>
      <c r="G53" s="168" t="n">
        <v>-64.48929969545246</v>
      </c>
      <c r="H53" s="168" t="n">
        <v>-85.78401617837896</v>
      </c>
      <c r="I53" s="168" t="n">
        <v>-108.5330612199783</v>
      </c>
      <c r="J53" s="168" t="n">
        <v>-135.0537043152971</v>
      </c>
    </row>
    <row r="54">
      <c r="B54" s="22" t="inlineStr">
        <is>
          <t>Net income</t>
        </is>
      </c>
      <c r="C54" s="166" t="n">
        <v>456.2000000000003</v>
      </c>
      <c r="D54" s="166" t="n">
        <v>400.9999999999999</v>
      </c>
      <c r="E54" s="166" t="n">
        <v>331.0000000000003</v>
      </c>
      <c r="F54" s="166" t="n">
        <v>75</v>
      </c>
      <c r="G54" s="166" t="n">
        <v>94.5</v>
      </c>
      <c r="H54" s="166" t="n">
        <v>115.9</v>
      </c>
      <c r="I54" s="166" t="n">
        <v>134.6</v>
      </c>
      <c r="J54" s="166" t="n">
        <v>154.9</v>
      </c>
    </row>
    <row r="55">
      <c r="C55" s="23" t="n"/>
      <c r="D55" s="23" t="n"/>
      <c r="E55" s="23" t="n"/>
      <c r="F55" s="107" t="n"/>
      <c r="G55" s="23" t="n"/>
      <c r="H55" s="23" t="n"/>
      <c r="I55" s="23" t="n"/>
      <c r="J55" s="23" t="n"/>
    </row>
    <row r="56">
      <c r="B56" s="25" t="inlineStr">
        <is>
          <t>EBITDA reconciliation</t>
        </is>
      </c>
      <c r="C56" s="23" t="n"/>
      <c r="D56" s="23" t="n"/>
      <c r="E56" s="23" t="n"/>
      <c r="L56" s="50" t="n"/>
      <c r="M56" s="50" t="n"/>
      <c r="N56" s="50" t="n"/>
      <c r="O56" s="50" t="n"/>
      <c r="P56" s="50" t="n"/>
    </row>
    <row r="57">
      <c r="B57" s="35" t="inlineStr">
        <is>
          <t>EBIT (GAAP)</t>
        </is>
      </c>
      <c r="C57" s="125" t="n">
        <v>532.8000000000003</v>
      </c>
      <c r="D57" s="125" t="n">
        <v>543.8999999999999</v>
      </c>
      <c r="E57" s="125" t="n">
        <v>465.4000000000003</v>
      </c>
      <c r="F57" s="125" t="n">
        <v>493.6803141804108</v>
      </c>
      <c r="G57" s="125" t="n">
        <v>559.8040395999167</v>
      </c>
      <c r="H57" s="125" t="n">
        <v>634.7919640514119</v>
      </c>
      <c r="I57" s="125" t="n">
        <v>709.3122632461741</v>
      </c>
      <c r="J57" s="125" t="n">
        <v>787.9602383046408</v>
      </c>
    </row>
    <row r="58">
      <c r="B58" s="26" t="inlineStr">
        <is>
          <t>Depreciation and amortization</t>
        </is>
      </c>
      <c r="C58" s="167" t="n">
        <v>190</v>
      </c>
      <c r="D58" s="167" t="n">
        <v>224.6</v>
      </c>
      <c r="E58" s="167" t="n">
        <v>229</v>
      </c>
      <c r="F58" s="107" t="n">
        <v>88.3</v>
      </c>
      <c r="G58" s="107" t="n">
        <v>91.8</v>
      </c>
      <c r="H58" s="107" t="n">
        <v>95.5</v>
      </c>
      <c r="I58" s="107" t="n">
        <v>98.3</v>
      </c>
      <c r="J58" s="107" t="n">
        <v>101.3</v>
      </c>
    </row>
    <row r="59">
      <c r="B59" s="26" t="inlineStr">
        <is>
          <t xml:space="preserve">Deal-related D&amp;A </t>
        </is>
      </c>
      <c r="C59" s="167" t="n"/>
      <c r="D59" s="167" t="n"/>
      <c r="E59" s="167" t="n"/>
      <c r="F59" s="168" t="n">
        <v>52.99732208333334</v>
      </c>
      <c r="G59" s="168" t="n">
        <v>52.99732208333334</v>
      </c>
      <c r="H59" s="168" t="n">
        <v>52.99732208333334</v>
      </c>
      <c r="I59" s="168" t="n">
        <v>52.99732208333334</v>
      </c>
      <c r="J59" s="168" t="n">
        <v>52.99732208333334</v>
      </c>
    </row>
    <row r="60">
      <c r="B60" s="26" t="inlineStr">
        <is>
          <t>Stock based compensation</t>
        </is>
      </c>
      <c r="C60" s="167" t="n">
        <v>106.5</v>
      </c>
      <c r="D60" s="167" t="n">
        <v>127.2</v>
      </c>
      <c r="E60" s="167" t="n">
        <v>147.4</v>
      </c>
      <c r="F60" s="107" t="n">
        <v>161.0547368274718</v>
      </c>
      <c r="G60" s="107" t="n">
        <v>162.0820911651659</v>
      </c>
      <c r="H60" s="107" t="n">
        <v>163.6976202897424</v>
      </c>
      <c r="I60" s="107" t="n">
        <v>163.5682893160696</v>
      </c>
      <c r="J60" s="107" t="n">
        <v>162.9165586144626</v>
      </c>
    </row>
    <row r="61">
      <c r="B61" s="26" t="inlineStr">
        <is>
          <t>Restructuring and other nonrecurring charges</t>
        </is>
      </c>
      <c r="C61" s="167" t="n">
        <v>14.3</v>
      </c>
      <c r="D61" s="167" t="n">
        <v>10.8</v>
      </c>
      <c r="E61" s="167" t="n">
        <v>40.9</v>
      </c>
      <c r="F61" s="167" t="n">
        <v>16</v>
      </c>
      <c r="G61" s="167" t="n">
        <v>5</v>
      </c>
      <c r="H61" s="167" t="n">
        <v>5</v>
      </c>
      <c r="I61" s="167" t="n">
        <v>0</v>
      </c>
      <c r="J61" s="167" t="n">
        <v>0</v>
      </c>
    </row>
    <row r="62">
      <c r="B62" s="35" t="inlineStr">
        <is>
          <t>EBITDA</t>
        </is>
      </c>
      <c r="C62" s="166" t="n">
        <v>843.6000000000003</v>
      </c>
      <c r="D62" s="166" t="n">
        <v>906.4999999999999</v>
      </c>
      <c r="E62" s="166" t="n">
        <v>882.7000000000003</v>
      </c>
      <c r="F62" s="166" t="n">
        <v>251.9</v>
      </c>
      <c r="G62" s="166" t="n">
        <v>269.8</v>
      </c>
      <c r="H62" s="166" t="n">
        <v>288.5</v>
      </c>
      <c r="I62" s="166" t="n">
        <v>301.4</v>
      </c>
      <c r="J62" s="166" t="n">
        <v>314.7</v>
      </c>
    </row>
    <row r="63">
      <c r="B63" s="27" t="n"/>
    </row>
    <row r="64">
      <c r="B64" s="25" t="inlineStr">
        <is>
          <t>Growth rates &amp; margins</t>
        </is>
      </c>
      <c r="F64" s="107" t="n"/>
      <c r="K64" s="102" t="inlineStr">
        <is>
          <t>Step</t>
        </is>
      </c>
    </row>
    <row r="65">
      <c r="B65" s="34" t="inlineStr">
        <is>
          <t>Revenue growth</t>
        </is>
      </c>
      <c r="C65" s="6" t="n"/>
      <c r="D65" s="6" t="n">
        <v>0.05166319663002938</v>
      </c>
      <c r="E65" s="6" t="n">
        <v>0.01353591160221002</v>
      </c>
      <c r="F65" s="33" t="n">
        <v>0.03</v>
      </c>
      <c r="G65" s="33" t="n">
        <v>0.04</v>
      </c>
      <c r="H65" s="33" t="n">
        <v>0.04</v>
      </c>
      <c r="I65" s="33" t="n">
        <v>0.03</v>
      </c>
      <c r="J65" s="33" t="n">
        <v>0.03</v>
      </c>
      <c r="K65" s="33" t="n"/>
    </row>
    <row r="66">
      <c r="B66" s="34" t="inlineStr">
        <is>
          <t>Gross profit as % of sales</t>
        </is>
      </c>
      <c r="C66" s="6" t="n">
        <v>0.7650704498135864</v>
      </c>
      <c r="D66" s="6" t="n">
        <v>0.7380755064456721</v>
      </c>
      <c r="E66" s="6" t="n">
        <v>0.7310802216771146</v>
      </c>
      <c r="F66" s="7" t="n">
        <v>0.7447420593121242</v>
      </c>
      <c r="G66" s="7" t="n">
        <v>0.7497420593121242</v>
      </c>
      <c r="H66" s="7" t="n">
        <v>0.7547420593121242</v>
      </c>
      <c r="I66" s="7" t="n">
        <v>0.7597420593121242</v>
      </c>
      <c r="J66" s="7" t="n">
        <v>0.7647420593121242</v>
      </c>
      <c r="K66" s="33" t="n">
        <v>0.005</v>
      </c>
    </row>
    <row r="67">
      <c r="B67" s="34" t="inlineStr">
        <is>
          <t>R&amp;D margin</t>
        </is>
      </c>
      <c r="C67" s="6" t="n">
        <v>0.08792911441437078</v>
      </c>
      <c r="D67" s="6" t="n">
        <v>0.07605893186003683</v>
      </c>
      <c r="E67" s="6" t="n">
        <v>0.07931316434995911</v>
      </c>
      <c r="F67" s="7" t="n">
        <v>0.08110040354145558</v>
      </c>
      <c r="G67" s="7" t="n">
        <v>0.08110040354145558</v>
      </c>
      <c r="H67" s="7" t="n">
        <v>0.08110040354145558</v>
      </c>
      <c r="I67" s="7" t="n">
        <v>0.08110040354145558</v>
      </c>
      <c r="J67" s="7" t="n">
        <v>0.08110040354145558</v>
      </c>
      <c r="K67" s="33" t="n">
        <v>0</v>
      </c>
    </row>
    <row r="68">
      <c r="B68" s="34" t="inlineStr">
        <is>
          <t>SG&amp;A margin</t>
        </is>
      </c>
      <c r="C68" s="6" t="n">
        <v>0.4191642860601364</v>
      </c>
      <c r="D68" s="6" t="n">
        <v>0.4116022099447514</v>
      </c>
      <c r="E68" s="6" t="n">
        <v>0.4403561370037248</v>
      </c>
      <c r="F68" s="7" t="n">
        <v>0.4808</v>
      </c>
      <c r="G68" s="7" t="n">
        <v>0.4748</v>
      </c>
      <c r="H68" s="7" t="n">
        <v>0.4689</v>
      </c>
      <c r="I68" s="7" t="n">
        <v>0.4659</v>
      </c>
      <c r="J68" s="7" t="n">
        <v>0.4629</v>
      </c>
      <c r="K68" s="33" t="n">
        <v>-0.01</v>
      </c>
    </row>
    <row r="69">
      <c r="B69" s="34" t="inlineStr">
        <is>
          <t>Tax rate</t>
        </is>
      </c>
      <c r="C69" s="6" t="n">
        <v>0.1413514022209673</v>
      </c>
      <c r="D69" s="6" t="n">
        <v>0.2433962264150944</v>
      </c>
      <c r="E69" s="6" t="n">
        <v>0.2264547791540078</v>
      </c>
      <c r="F69" s="33" t="n">
        <v>0.2264547791540078</v>
      </c>
      <c r="G69" s="7" t="n">
        <v>0.2264547791540078</v>
      </c>
      <c r="H69" s="7" t="n">
        <v>0.2264547791540078</v>
      </c>
      <c r="I69" s="7" t="n">
        <v>0.2264547791540078</v>
      </c>
      <c r="J69" s="7" t="n">
        <v>0.2264547791540078</v>
      </c>
      <c r="K69" s="33" t="n">
        <v>0</v>
      </c>
    </row>
    <row r="70">
      <c r="B70" s="34" t="inlineStr">
        <is>
          <t>SBC as % of all operating expenses</t>
        </is>
      </c>
      <c r="C70" s="6" t="n">
        <v>0.06949429037520391</v>
      </c>
      <c r="D70" s="6" t="n">
        <v>0.078127879122904</v>
      </c>
      <c r="E70" s="6" t="n">
        <v>0.08490783410138249</v>
      </c>
      <c r="F70" s="33" t="n">
        <v>0.093</v>
      </c>
      <c r="G70" s="7" t="n">
        <v>0.0905</v>
      </c>
      <c r="H70" s="7" t="n">
        <v>0.08799999999999999</v>
      </c>
      <c r="I70" s="7" t="n">
        <v>0.08549999999999999</v>
      </c>
      <c r="J70" s="7" t="n">
        <v>0.08299999999999999</v>
      </c>
      <c r="K70" s="33" t="n">
        <v>-0.0025</v>
      </c>
    </row>
    <row r="71">
      <c r="B71" s="27" t="n"/>
      <c r="C71" s="28" t="n"/>
      <c r="D71" s="28" t="n"/>
      <c r="E71" s="28" t="n"/>
      <c r="F71" s="28" t="n"/>
      <c r="G71" s="28" t="n"/>
      <c r="H71" s="28" t="n"/>
      <c r="I71" s="28" t="n"/>
      <c r="J71" s="28" t="n"/>
    </row>
    <row r="72">
      <c r="B72" s="116" t="inlineStr">
        <is>
          <t>WORKING CAPITAL</t>
        </is>
      </c>
      <c r="C72" s="229" t="n"/>
      <c r="D72" s="229" t="n"/>
      <c r="E72" s="229" t="n"/>
      <c r="F72" s="229" t="n"/>
      <c r="G72" s="229" t="n"/>
      <c r="H72" s="229" t="n"/>
      <c r="I72" s="229" t="n"/>
      <c r="J72" s="229" t="n"/>
    </row>
    <row r="73">
      <c r="B73" t="inlineStr">
        <is>
          <t xml:space="preserve">Fiscal year  </t>
        </is>
      </c>
      <c r="C73" s="28" t="n"/>
      <c r="D73" s="14" t="n">
        <v>2012</v>
      </c>
      <c r="E73" s="14" t="n">
        <v>2013</v>
      </c>
      <c r="F73" s="15" t="n">
        <v>2014</v>
      </c>
      <c r="G73" s="15" t="n">
        <v>2015</v>
      </c>
      <c r="H73" s="15" t="n">
        <v>2016</v>
      </c>
      <c r="I73" s="15" t="n">
        <v>2017</v>
      </c>
      <c r="J73" s="15" t="n">
        <v>2018</v>
      </c>
    </row>
    <row r="74">
      <c r="B74" s="16" t="inlineStr">
        <is>
          <t>Fiscal year end date</t>
        </is>
      </c>
      <c r="C74" s="229" t="n"/>
      <c r="D74" s="18" t="n">
        <v>40999</v>
      </c>
      <c r="E74" s="18" t="n">
        <v>41364</v>
      </c>
      <c r="F74" s="18" t="n">
        <v>41729</v>
      </c>
      <c r="G74" s="18" t="n">
        <v>42094</v>
      </c>
      <c r="H74" s="18" t="n">
        <v>42460</v>
      </c>
      <c r="I74" s="18" t="n">
        <v>42825</v>
      </c>
      <c r="J74" s="18" t="n">
        <v>43190</v>
      </c>
    </row>
    <row r="75">
      <c r="B75" s="19" t="n"/>
      <c r="C75" s="28" t="n"/>
      <c r="D75" s="28" t="n"/>
      <c r="E75" s="28" t="n"/>
      <c r="F75" s="28" t="n"/>
      <c r="G75" s="28" t="n"/>
      <c r="H75" s="28" t="n"/>
      <c r="I75" s="28" t="n"/>
      <c r="J75" s="28" t="n"/>
    </row>
    <row r="76">
      <c r="B76" s="27" t="inlineStr">
        <is>
          <t>Accounts receivable, EOP</t>
        </is>
      </c>
      <c r="C76" s="37" t="n"/>
      <c r="D76" s="165" t="n">
        <v>484.8</v>
      </c>
      <c r="E76" s="165" t="n">
        <v>443.7</v>
      </c>
      <c r="F76" s="125" t="n">
        <v>459.2295</v>
      </c>
      <c r="G76" s="125" t="n">
        <v>484.4871225</v>
      </c>
      <c r="H76" s="125" t="n">
        <v>513.5563498500001</v>
      </c>
      <c r="I76" s="125" t="n">
        <v>539.2341673425001</v>
      </c>
      <c r="J76" s="125" t="n">
        <v>565.1174073749401</v>
      </c>
    </row>
    <row r="77">
      <c r="B77" s="47" t="inlineStr">
        <is>
          <t>AR as % of sales</t>
        </is>
      </c>
      <c r="C77" s="6" t="n"/>
      <c r="D77" s="6" t="n">
        <v>0.2232044198895027</v>
      </c>
      <c r="E77" s="6" t="n">
        <v>0.2015535568274734</v>
      </c>
      <c r="F77" s="33" t="n">
        <v>0.2015535568274734</v>
      </c>
      <c r="G77" s="33" t="n">
        <v>0.2015535568274734</v>
      </c>
      <c r="H77" s="33" t="n">
        <v>0.2015535568274734</v>
      </c>
      <c r="I77" s="33" t="n">
        <v>0.2015535568274734</v>
      </c>
      <c r="J77" s="33" t="n">
        <v>0.2015535568274734</v>
      </c>
    </row>
    <row r="78">
      <c r="B78" s="27" t="inlineStr">
        <is>
          <t>Other current assets, EOP</t>
        </is>
      </c>
      <c r="C78" s="37" t="n"/>
      <c r="D78" s="165" t="n">
        <v>195.1</v>
      </c>
      <c r="E78" s="165" t="n">
        <v>213.1</v>
      </c>
      <c r="F78" s="125" t="n">
        <v>220.5585</v>
      </c>
      <c r="G78" s="125" t="n">
        <v>232.6892175</v>
      </c>
      <c r="H78" s="125" t="n">
        <v>246.65057055</v>
      </c>
      <c r="I78" s="125" t="n">
        <v>258.9830990775</v>
      </c>
      <c r="J78" s="125" t="n">
        <v>271.41428783322</v>
      </c>
    </row>
    <row r="79">
      <c r="B79" s="47" t="inlineStr">
        <is>
          <t>Other current assets as % of sales</t>
        </is>
      </c>
      <c r="C79" s="6" t="n"/>
      <c r="D79" s="6" t="n">
        <v>0.08982504604051565</v>
      </c>
      <c r="E79" s="6" t="n">
        <v>0.09680203506859271</v>
      </c>
      <c r="F79" s="33" t="n">
        <v>0.09680203506859271</v>
      </c>
      <c r="G79" s="33" t="n">
        <v>0.09680203506859271</v>
      </c>
      <c r="H79" s="33" t="n">
        <v>0.09680203506859271</v>
      </c>
      <c r="I79" s="33" t="n">
        <v>0.09680203506859271</v>
      </c>
      <c r="J79" s="33" t="n">
        <v>0.09680203506859271</v>
      </c>
    </row>
    <row r="80">
      <c r="B80" s="27" t="inlineStr">
        <is>
          <t>Accounts payable, EOP</t>
        </is>
      </c>
      <c r="C80" s="37" t="n"/>
      <c r="D80" s="165" t="n">
        <v>32.7</v>
      </c>
      <c r="E80" s="165" t="n">
        <v>42.1</v>
      </c>
      <c r="F80" s="125" t="n">
        <v>41.35985068829212</v>
      </c>
      <c r="G80" s="125" t="n">
        <v>42.77992582446322</v>
      </c>
      <c r="H80" s="125" t="n">
        <v>44.44072172314495</v>
      </c>
      <c r="I80" s="125" t="n">
        <v>45.71145817597682</v>
      </c>
      <c r="J80" s="125" t="n">
        <v>46.90864615269874</v>
      </c>
    </row>
    <row r="81">
      <c r="B81" s="47" t="inlineStr">
        <is>
          <t>AP as % of COGS</t>
        </is>
      </c>
      <c r="C81" s="6" t="n"/>
      <c r="D81" s="6" t="n">
        <v>0.05747934610652136</v>
      </c>
      <c r="E81" s="6" t="n">
        <v>0.07111486486486487</v>
      </c>
      <c r="F81" s="33" t="n">
        <v>0.07111486486486487</v>
      </c>
      <c r="G81" s="33" t="n">
        <v>0.07111486486486487</v>
      </c>
      <c r="H81" s="33" t="n">
        <v>0.07111486486486487</v>
      </c>
      <c r="I81" s="33" t="n">
        <v>0.07111486486486487</v>
      </c>
      <c r="J81" s="33" t="n">
        <v>0.07111486486486487</v>
      </c>
    </row>
    <row r="82">
      <c r="B82" s="27" t="inlineStr">
        <is>
          <t>Accrued expenses &amp; def revenues, EOP</t>
        </is>
      </c>
      <c r="C82" s="111" t="n"/>
      <c r="D82" s="165" t="n">
        <v>2313.3</v>
      </c>
      <c r="E82" s="165" t="n">
        <v>2301.7</v>
      </c>
      <c r="F82" s="125" t="n">
        <v>2382.2595</v>
      </c>
      <c r="G82" s="125" t="n">
        <v>2513.283772499999</v>
      </c>
      <c r="H82" s="125" t="n">
        <v>2664.08079885</v>
      </c>
      <c r="I82" s="125" t="n">
        <v>2797.2848387925</v>
      </c>
      <c r="J82" s="125" t="n">
        <v>2931.55451105454</v>
      </c>
    </row>
    <row r="83">
      <c r="B83" s="47" t="inlineStr">
        <is>
          <t>As % of sales</t>
        </is>
      </c>
      <c r="C83" s="6" t="n"/>
      <c r="D83" s="6" t="n">
        <v>1.065055248618785</v>
      </c>
      <c r="E83" s="7" t="n">
        <v>1.045561915144908</v>
      </c>
      <c r="F83" s="57" t="n">
        <v>1.045561915144908</v>
      </c>
      <c r="G83" s="57" t="n">
        <v>1.045561915144908</v>
      </c>
      <c r="H83" s="57" t="n">
        <v>1.045561915144908</v>
      </c>
      <c r="I83" s="57" t="n">
        <v>1.045561915144908</v>
      </c>
      <c r="J83" s="57" t="n">
        <v>1.045561915144908</v>
      </c>
    </row>
    <row r="84">
      <c r="B84" s="47" t="n"/>
      <c r="C84" s="6" t="n"/>
      <c r="D84" s="6" t="n"/>
      <c r="E84" s="7" t="n"/>
    </row>
    <row r="85">
      <c r="B85" s="61" t="inlineStr">
        <is>
          <t>Net Working Capital</t>
        </is>
      </c>
      <c r="C85" s="19" t="n"/>
      <c r="D85" s="186" t="n">
        <v>-1666.1</v>
      </c>
      <c r="E85" s="186" t="n">
        <v>-1687</v>
      </c>
      <c r="F85" s="107" t="n">
        <v>-1743.831350688292</v>
      </c>
      <c r="G85" s="107" t="n">
        <v>-1838.887358324463</v>
      </c>
      <c r="H85" s="107" t="n">
        <v>-1948.314600173145</v>
      </c>
      <c r="I85" s="107" t="n">
        <v>-2044.779030548477</v>
      </c>
      <c r="J85" s="107" t="n">
        <v>-2141.931461999079</v>
      </c>
    </row>
    <row r="86">
      <c r="D86" s="39" t="n"/>
      <c r="E86" s="39" t="n"/>
      <c r="F86" s="23" t="n"/>
      <c r="G86" s="23" t="n"/>
      <c r="H86" s="23" t="n"/>
      <c r="I86" s="23" t="n"/>
      <c r="J86" s="23" t="n"/>
    </row>
    <row r="87">
      <c r="B87" s="116" t="inlineStr">
        <is>
          <t>LONG LIVED ASSETS</t>
        </is>
      </c>
      <c r="C87" s="117" t="n"/>
      <c r="D87" s="117" t="n"/>
      <c r="E87" s="117" t="n"/>
      <c r="F87" s="109" t="n"/>
      <c r="G87" s="109" t="n"/>
      <c r="H87" s="109" t="n"/>
      <c r="I87" s="109" t="n"/>
      <c r="J87" s="109" t="n"/>
    </row>
    <row r="88">
      <c r="B88" t="inlineStr">
        <is>
          <t xml:space="preserve">Fiscal year  </t>
        </is>
      </c>
      <c r="C88" s="14" t="n">
        <v>2011</v>
      </c>
      <c r="D88" s="14" t="n">
        <v>2012</v>
      </c>
      <c r="E88" s="14" t="n">
        <v>2013</v>
      </c>
      <c r="F88" s="15" t="n">
        <v>2014</v>
      </c>
      <c r="G88" s="15" t="n">
        <v>2015</v>
      </c>
      <c r="H88" s="15" t="n">
        <v>2016</v>
      </c>
      <c r="I88" s="15" t="n">
        <v>2017</v>
      </c>
      <c r="J88" s="15" t="n">
        <v>2018</v>
      </c>
    </row>
    <row r="89">
      <c r="B89" s="16" t="inlineStr">
        <is>
          <t>Fiscal year end date</t>
        </is>
      </c>
      <c r="C89" s="18" t="n">
        <v>40633</v>
      </c>
      <c r="D89" s="18" t="n">
        <v>40999</v>
      </c>
      <c r="E89" s="18" t="n">
        <v>41364</v>
      </c>
      <c r="F89" s="18" t="n">
        <v>41729</v>
      </c>
      <c r="G89" s="18" t="n">
        <v>42094</v>
      </c>
      <c r="H89" s="18" t="n">
        <v>42460</v>
      </c>
      <c r="I89" s="18" t="n">
        <v>42825</v>
      </c>
      <c r="J89" s="18" t="n">
        <v>43190</v>
      </c>
    </row>
    <row r="90">
      <c r="B90" s="112" t="n"/>
    </row>
    <row r="91">
      <c r="B91" s="27" t="inlineStr">
        <is>
          <t>PP&amp;E</t>
        </is>
      </c>
      <c r="C91" s="22" t="n"/>
      <c r="D91" s="165" t="n">
        <v>87.8</v>
      </c>
      <c r="E91" s="165" t="n">
        <v>85.2</v>
      </c>
      <c r="F91" s="125" t="n">
        <v>73.14448979591836</v>
      </c>
      <c r="G91" s="125" t="n">
        <v>63.4073469387755</v>
      </c>
      <c r="H91" s="125" t="n">
        <v>56.45224489795918</v>
      </c>
      <c r="I91" s="125" t="n">
        <v>53.09061224489797</v>
      </c>
      <c r="J91" s="125" t="n">
        <v>53.09061224489798</v>
      </c>
      <c r="L91" s="125" t="n"/>
    </row>
    <row r="92">
      <c r="B92" s="110" t="inlineStr">
        <is>
          <t>Capital expenditures</t>
        </is>
      </c>
      <c r="C92" s="167" t="n">
        <v>22</v>
      </c>
      <c r="D92" s="167" t="n">
        <v>26.5</v>
      </c>
      <c r="E92" s="167" t="n">
        <v>24.5</v>
      </c>
      <c r="F92" s="167" t="n">
        <v>26</v>
      </c>
      <c r="G92" s="167" t="n">
        <v>28</v>
      </c>
      <c r="H92" s="167" t="n">
        <v>30</v>
      </c>
      <c r="I92" s="167" t="n">
        <v>29</v>
      </c>
      <c r="J92" s="167" t="n">
        <v>31</v>
      </c>
      <c r="L92" s="107" t="n"/>
    </row>
    <row r="93">
      <c r="B93" s="110" t="inlineStr">
        <is>
          <t>Depreciation</t>
        </is>
      </c>
      <c r="C93" s="167" t="n">
        <v>-39.1</v>
      </c>
      <c r="D93" s="167" t="n">
        <v>-37.8</v>
      </c>
      <c r="E93" s="167" t="n">
        <v>-38.7</v>
      </c>
      <c r="F93" s="168" t="n">
        <v>-38.05551020408164</v>
      </c>
      <c r="G93" s="168" t="n">
        <v>-37.73714285714286</v>
      </c>
      <c r="H93" s="168" t="n">
        <v>-36.95510204081632</v>
      </c>
      <c r="I93" s="168" t="n">
        <v>-32.36163265306122</v>
      </c>
      <c r="J93" s="168" t="n">
        <v>-30.99999999999999</v>
      </c>
      <c r="K93" s="102" t="inlineStr">
        <is>
          <t>Smoothing?</t>
        </is>
      </c>
      <c r="L93" s="107" t="n"/>
    </row>
    <row r="94">
      <c r="B94" s="112" t="inlineStr">
        <is>
          <t>Capex as a % of revenue</t>
        </is>
      </c>
      <c r="C94" s="7" t="n">
        <v>0.01065220549072774</v>
      </c>
      <c r="D94" s="7" t="n">
        <v>0.01220073664825046</v>
      </c>
      <c r="E94" s="7" t="n">
        <v>0.0111292813664032</v>
      </c>
      <c r="F94" s="7" t="n">
        <v>0.01141127143947484</v>
      </c>
      <c r="G94" s="7" t="n">
        <v>0.01164839957365277</v>
      </c>
      <c r="H94" s="7" t="n">
        <v>0.01177398878738487</v>
      </c>
      <c r="I94" s="7" t="n">
        <v>0.01083954523283052</v>
      </c>
      <c r="J94" s="7" t="n">
        <v>0.01105639320274237</v>
      </c>
      <c r="K94" s="173" t="inlineStr">
        <is>
          <t>Yes</t>
        </is>
      </c>
    </row>
    <row r="95">
      <c r="B95" s="112" t="inlineStr">
        <is>
          <t>Depreciation as a % of capex</t>
        </is>
      </c>
      <c r="C95" s="64" t="n">
        <v>1.777272727272727</v>
      </c>
      <c r="D95" s="64" t="n">
        <v>1.426415094339623</v>
      </c>
      <c r="E95" s="64" t="n">
        <v>1.579591836734694</v>
      </c>
      <c r="F95" s="64" t="n">
        <v>1.463673469387755</v>
      </c>
      <c r="G95" s="64" t="n">
        <v>1.347755102040816</v>
      </c>
      <c r="H95" s="64" t="n">
        <v>1.231836734693877</v>
      </c>
      <c r="I95" s="64" t="n">
        <v>1.115918367346939</v>
      </c>
      <c r="J95" s="64" t="n">
        <v>0.9999999999999998</v>
      </c>
      <c r="K95" s="155" t="n">
        <v>-0.1159183673469388</v>
      </c>
    </row>
    <row r="96">
      <c r="B96" s="112" t="n"/>
      <c r="C96" s="64" t="n"/>
      <c r="D96" s="64" t="n"/>
      <c r="E96" s="64" t="n"/>
    </row>
    <row r="97">
      <c r="B97" s="27" t="inlineStr">
        <is>
          <t>Software development costs</t>
        </is>
      </c>
      <c r="C97" s="42" t="n"/>
      <c r="D97" s="165" t="n">
        <v>244.7</v>
      </c>
      <c r="E97" s="165" t="n">
        <v>271.4</v>
      </c>
      <c r="F97" s="125" t="n">
        <v>286.5086419753086</v>
      </c>
      <c r="G97" s="125" t="n">
        <v>297.6447530864197</v>
      </c>
      <c r="H97" s="125" t="n">
        <v>305.199074074074</v>
      </c>
      <c r="I97" s="125" t="n">
        <v>309.3669753086419</v>
      </c>
      <c r="J97" s="125" t="n">
        <v>309.3669753086418</v>
      </c>
    </row>
    <row r="98">
      <c r="B98" s="110" t="inlineStr">
        <is>
          <t>Purchases</t>
        </is>
      </c>
      <c r="C98" s="167" t="n">
        <v>115.8</v>
      </c>
      <c r="D98" s="167" t="n">
        <v>132.5</v>
      </c>
      <c r="E98" s="167" t="n">
        <v>129.6</v>
      </c>
      <c r="F98" s="167" t="n">
        <v>116</v>
      </c>
      <c r="G98" s="167" t="n">
        <v>114</v>
      </c>
      <c r="H98" s="167" t="n">
        <v>116</v>
      </c>
      <c r="I98" s="167" t="n">
        <v>128</v>
      </c>
      <c r="J98" s="167" t="n">
        <v>135</v>
      </c>
    </row>
    <row r="99">
      <c r="B99" s="110" t="inlineStr">
        <is>
          <t>Amortization</t>
        </is>
      </c>
      <c r="C99" s="167" t="n">
        <v>-75.7</v>
      </c>
      <c r="D99" s="167" t="n">
        <v>-93.59999999999999</v>
      </c>
      <c r="E99" s="167" t="n">
        <v>-108.5</v>
      </c>
      <c r="F99" s="107" t="n">
        <v>-100.8913580246914</v>
      </c>
      <c r="G99" s="107" t="n">
        <v>-102.8638888888889</v>
      </c>
      <c r="H99" s="107" t="n">
        <v>-108.4456790123457</v>
      </c>
      <c r="I99" s="107" t="n">
        <v>-123.8320987654321</v>
      </c>
      <c r="J99" s="107" t="n">
        <v>-135</v>
      </c>
      <c r="K99" s="102" t="inlineStr">
        <is>
          <t>Smoothing?</t>
        </is>
      </c>
    </row>
    <row r="100">
      <c r="B100" s="112" t="inlineStr">
        <is>
          <t>Purchases as % of revenue</t>
        </is>
      </c>
      <c r="C100" s="7" t="n">
        <v>0.05606933617392146</v>
      </c>
      <c r="D100" s="7" t="n">
        <v>0.0610036832412523</v>
      </c>
      <c r="E100" s="7" t="n">
        <v>0.0588716271463614</v>
      </c>
      <c r="F100" s="6" t="n">
        <v>0.05091182642227234</v>
      </c>
      <c r="G100" s="6" t="n">
        <v>0.04742562683558627</v>
      </c>
      <c r="H100" s="6" t="n">
        <v>0.04552608997788817</v>
      </c>
      <c r="I100" s="6" t="n">
        <v>0.04784350999318297</v>
      </c>
      <c r="J100" s="6" t="n">
        <v>0.04814880910871675</v>
      </c>
      <c r="K100" s="173" t="inlineStr">
        <is>
          <t>Yes</t>
        </is>
      </c>
    </row>
    <row r="101">
      <c r="B101" s="112" t="inlineStr">
        <is>
          <t>Amortization as a % of purchases</t>
        </is>
      </c>
      <c r="C101" s="64" t="n">
        <v>0.653713298791019</v>
      </c>
      <c r="D101" s="64" t="n">
        <v>0.7064150943396226</v>
      </c>
      <c r="E101" s="64" t="n">
        <v>0.8371913580246914</v>
      </c>
      <c r="F101" s="64" t="n">
        <v>0.8697530864197531</v>
      </c>
      <c r="G101" s="64" t="n">
        <v>0.9023148148148149</v>
      </c>
      <c r="H101" s="64" t="n">
        <v>0.9348765432098767</v>
      </c>
      <c r="I101" s="64" t="n">
        <v>0.9674382716049384</v>
      </c>
      <c r="J101" s="64" t="n">
        <v>1</v>
      </c>
      <c r="K101" s="155" t="n">
        <v>0.03256172839506173</v>
      </c>
    </row>
    <row r="102">
      <c r="B102" s="112" t="n"/>
      <c r="C102" s="64" t="n"/>
      <c r="D102" s="64" t="n"/>
      <c r="E102" s="64" t="n"/>
    </row>
    <row r="103">
      <c r="B103" s="27" t="inlineStr">
        <is>
          <t>Intangible assets</t>
        </is>
      </c>
      <c r="D103" s="165" t="n">
        <v>257.5</v>
      </c>
      <c r="E103" s="165" t="n">
        <v>189.8</v>
      </c>
      <c r="F103" s="125" t="n">
        <v>189.8</v>
      </c>
      <c r="G103" s="125" t="n">
        <v>189.8</v>
      </c>
      <c r="H103" s="125" t="n">
        <v>189.8</v>
      </c>
      <c r="I103" s="125" t="n">
        <v>189.8</v>
      </c>
      <c r="J103" s="125" t="n">
        <v>189.8</v>
      </c>
    </row>
    <row r="104">
      <c r="B104" s="110" t="inlineStr">
        <is>
          <t>Purchases</t>
        </is>
      </c>
      <c r="C104" s="199" t="n">
        <v>0</v>
      </c>
      <c r="D104" s="167" t="n">
        <v>0</v>
      </c>
      <c r="E104" s="167" t="n">
        <v>0</v>
      </c>
      <c r="F104" s="167" t="n">
        <v>85</v>
      </c>
      <c r="G104" s="167" t="n">
        <v>80</v>
      </c>
      <c r="H104" s="167" t="n">
        <v>77</v>
      </c>
      <c r="I104" s="167" t="n">
        <v>68</v>
      </c>
      <c r="J104" s="167" t="n">
        <v>57</v>
      </c>
    </row>
    <row r="105">
      <c r="B105" s="110" t="inlineStr">
        <is>
          <t>Amortization</t>
        </is>
      </c>
      <c r="C105" s="167" t="n">
        <v>-79.09999999999999</v>
      </c>
      <c r="D105" s="167" t="n">
        <v>-97.7</v>
      </c>
      <c r="E105" s="167" t="n">
        <v>-86.90000000000001</v>
      </c>
      <c r="F105" s="167" t="n">
        <v>-85</v>
      </c>
      <c r="G105" s="167" t="n">
        <v>-80</v>
      </c>
      <c r="H105" s="167" t="n">
        <v>-77</v>
      </c>
      <c r="I105" s="167" t="n">
        <v>-68</v>
      </c>
      <c r="J105" s="167" t="n">
        <v>-57</v>
      </c>
    </row>
    <row r="106">
      <c r="B106" s="26" t="n"/>
      <c r="C106" s="107" t="n"/>
      <c r="D106" s="107" t="n"/>
      <c r="E106" s="107" t="n"/>
    </row>
    <row r="107">
      <c r="B107" s="27" t="inlineStr">
        <is>
          <t>Goodwill and other assets</t>
        </is>
      </c>
      <c r="D107" s="165" t="n">
        <v>1940.3</v>
      </c>
      <c r="E107" s="165" t="n">
        <v>1935.2</v>
      </c>
      <c r="F107" s="165" t="n">
        <v>1935.2</v>
      </c>
      <c r="G107" s="165" t="n">
        <v>1935.2</v>
      </c>
      <c r="H107" s="165" t="n">
        <v>1935.2</v>
      </c>
      <c r="I107" s="165" t="n">
        <v>1935.2</v>
      </c>
      <c r="J107" s="165" t="n">
        <v>1935.2</v>
      </c>
    </row>
    <row r="108">
      <c r="B108" s="27" t="n"/>
      <c r="D108" s="165" t="n"/>
      <c r="E108" s="165" t="n"/>
      <c r="F108" s="165" t="n"/>
      <c r="G108" s="165" t="n"/>
      <c r="H108" s="165" t="n"/>
      <c r="I108" s="165" t="n"/>
      <c r="J108" s="165" t="n"/>
    </row>
    <row r="109">
      <c r="B109" s="27" t="inlineStr">
        <is>
          <t>Other liabilities</t>
        </is>
      </c>
      <c r="D109" s="165" t="n">
        <v>232.4</v>
      </c>
      <c r="E109" s="165" t="n">
        <v>252</v>
      </c>
      <c r="F109" s="166" t="n">
        <v>252</v>
      </c>
      <c r="G109" s="166" t="n">
        <v>252</v>
      </c>
      <c r="H109" s="166" t="n">
        <v>252</v>
      </c>
      <c r="I109" s="166" t="n">
        <v>252</v>
      </c>
      <c r="J109" s="166" t="n">
        <v>252</v>
      </c>
    </row>
    <row r="110">
      <c r="B110" s="26" t="n"/>
      <c r="C110" s="39" t="n"/>
      <c r="D110" s="39" t="n"/>
      <c r="E110" s="39" t="n"/>
      <c r="F110" s="23" t="n"/>
      <c r="G110" s="23" t="n"/>
      <c r="H110" s="23" t="n"/>
      <c r="I110" s="23" t="n"/>
      <c r="J110" s="23" t="n"/>
    </row>
    <row r="111">
      <c r="B111" s="11" t="inlineStr">
        <is>
          <t>CASH FLOW STATEMENT</t>
        </is>
      </c>
      <c r="C111" s="18" t="n"/>
      <c r="D111" s="18" t="n"/>
      <c r="E111" s="18" t="n"/>
      <c r="F111" s="18" t="n"/>
      <c r="G111" s="18" t="n"/>
      <c r="H111" s="18" t="n"/>
      <c r="I111" s="18" t="n"/>
      <c r="J111" s="18" t="n"/>
    </row>
    <row r="112">
      <c r="B112" s="10" t="inlineStr">
        <is>
          <t xml:space="preserve">Fiscal year  </t>
        </is>
      </c>
      <c r="C112" s="29" t="n"/>
      <c r="D112" s="29" t="n"/>
      <c r="E112" s="29" t="n"/>
      <c r="F112" s="30" t="n">
        <v>2014</v>
      </c>
      <c r="G112" s="30" t="n">
        <v>2015</v>
      </c>
      <c r="H112" s="30" t="n">
        <v>2016</v>
      </c>
      <c r="I112" s="30" t="n">
        <v>2017</v>
      </c>
      <c r="J112" s="30" t="n">
        <v>2018</v>
      </c>
    </row>
    <row r="113">
      <c r="B113" s="13" t="inlineStr">
        <is>
          <t>Fiscal year end date</t>
        </is>
      </c>
      <c r="C113" s="31" t="n"/>
      <c r="D113" s="31" t="n"/>
      <c r="E113" s="31" t="n"/>
      <c r="F113" s="31" t="n">
        <v>41729</v>
      </c>
      <c r="G113" s="31" t="n">
        <v>42094</v>
      </c>
      <c r="H113" s="31" t="n">
        <v>42460</v>
      </c>
      <c r="I113" s="31" t="n">
        <v>42825</v>
      </c>
      <c r="J113" s="31" t="n">
        <v>43190</v>
      </c>
    </row>
    <row r="115">
      <c r="B115" t="inlineStr">
        <is>
          <t>Net income</t>
        </is>
      </c>
      <c r="C115" s="41" t="n"/>
      <c r="D115" s="41" t="n"/>
      <c r="E115" s="41" t="n"/>
      <c r="F115" s="107" t="n">
        <v>152.9049237669344</v>
      </c>
      <c r="G115" s="107" t="n">
        <v>220.2885263074797</v>
      </c>
      <c r="H115" s="107" t="n">
        <v>293.02899231211</v>
      </c>
      <c r="I115" s="107" t="n">
        <v>370.7372885842398</v>
      </c>
      <c r="J115" s="107" t="n">
        <v>461.3289590130379</v>
      </c>
    </row>
    <row r="116">
      <c r="B116" t="inlineStr">
        <is>
          <t>Depreciation and amortization</t>
        </is>
      </c>
      <c r="C116" s="41" t="n"/>
      <c r="D116" s="41" t="n"/>
      <c r="E116" s="41" t="n"/>
      <c r="F116" s="38" t="n">
        <v>223.946868228773</v>
      </c>
      <c r="G116" s="38" t="n">
        <v>220.6010317460318</v>
      </c>
      <c r="H116" s="38" t="n">
        <v>222.400781053162</v>
      </c>
      <c r="I116" s="38" t="n">
        <v>224.1937314184933</v>
      </c>
      <c r="J116" s="38" t="n">
        <v>223</v>
      </c>
    </row>
    <row r="117">
      <c r="B117" s="34" t="inlineStr">
        <is>
          <t xml:space="preserve">Deal-related D&amp;A </t>
        </is>
      </c>
      <c r="C117" s="41" t="n"/>
      <c r="D117" s="41" t="n"/>
      <c r="E117" s="41" t="n"/>
      <c r="F117" s="38" t="n">
        <v>52.99732208333334</v>
      </c>
      <c r="G117" s="38" t="n">
        <v>52.99732208333334</v>
      </c>
      <c r="H117" s="38" t="n">
        <v>52.99732208333334</v>
      </c>
      <c r="I117" s="38" t="n">
        <v>52.99732208333334</v>
      </c>
      <c r="J117" s="38" t="n">
        <v>52.99732208333334</v>
      </c>
    </row>
    <row r="118">
      <c r="B118" t="inlineStr">
        <is>
          <t>Stock based compensation</t>
        </is>
      </c>
      <c r="C118" s="41" t="n"/>
      <c r="D118" s="41" t="n"/>
      <c r="E118" s="41" t="n"/>
      <c r="F118" s="107" t="n">
        <v>161.0547368274718</v>
      </c>
      <c r="G118" s="107" t="n">
        <v>162.0820911651659</v>
      </c>
      <c r="H118" s="107" t="n">
        <v>163.6976202897424</v>
      </c>
      <c r="I118" s="107" t="n">
        <v>163.5682893160696</v>
      </c>
      <c r="J118" s="107" t="n">
        <v>162.9165586144626</v>
      </c>
    </row>
    <row r="119">
      <c r="B119" t="inlineStr">
        <is>
          <t>Changes in net working capital</t>
        </is>
      </c>
      <c r="C119" s="23" t="n"/>
      <c r="D119" s="23" t="n"/>
      <c r="E119" s="23" t="n"/>
      <c r="F119" s="107" t="n">
        <v>56.83135068829188</v>
      </c>
      <c r="G119" s="107" t="n">
        <v>95.05600763617076</v>
      </c>
      <c r="H119" s="107" t="n">
        <v>109.4272418486823</v>
      </c>
      <c r="I119" s="107" t="n">
        <v>96.46443037533186</v>
      </c>
      <c r="J119" s="107" t="n">
        <v>97.15243145060185</v>
      </c>
    </row>
    <row r="120">
      <c r="B120" t="inlineStr">
        <is>
          <t>Other assets &amp; liabilities</t>
        </is>
      </c>
      <c r="C120" s="23" t="n"/>
      <c r="D120" s="23" t="n"/>
      <c r="E120" s="23" t="n"/>
      <c r="F120" s="107" t="n">
        <v>0</v>
      </c>
      <c r="G120" s="107" t="n">
        <v>0</v>
      </c>
      <c r="H120" s="107" t="n">
        <v>0</v>
      </c>
      <c r="I120" s="107" t="n">
        <v>0</v>
      </c>
      <c r="J120" s="107" t="n">
        <v>0</v>
      </c>
    </row>
    <row r="121">
      <c r="B121" t="inlineStr">
        <is>
          <t>Changes in deferred tax liabilities</t>
        </is>
      </c>
      <c r="C121" s="23" t="n"/>
      <c r="D121" s="23" t="n"/>
      <c r="E121" s="23" t="n"/>
      <c r="F121" s="107" t="n">
        <v>-9.813040430007005</v>
      </c>
      <c r="G121" s="107" t="n">
        <v>-9.813040430007005</v>
      </c>
      <c r="H121" s="107" t="n">
        <v>-9.813040430007005</v>
      </c>
      <c r="I121" s="107" t="n">
        <v>-9.813040430007005</v>
      </c>
      <c r="J121" s="107" t="n">
        <v>-9.813040430007005</v>
      </c>
    </row>
    <row r="122">
      <c r="B122" t="inlineStr">
        <is>
          <t>Addback of PIK interest</t>
        </is>
      </c>
      <c r="C122" s="23" t="n"/>
      <c r="D122" s="23" t="n"/>
      <c r="E122" s="23" t="n"/>
      <c r="F122" s="107" t="n">
        <v>0</v>
      </c>
      <c r="G122" s="107" t="n">
        <v>0</v>
      </c>
      <c r="H122" s="107" t="n">
        <v>0</v>
      </c>
      <c r="I122" s="107" t="n">
        <v>0</v>
      </c>
      <c r="J122" s="107" t="n">
        <v>0</v>
      </c>
    </row>
    <row r="123">
      <c r="B123" s="22" t="inlineStr">
        <is>
          <t>Cash from operating activities</t>
        </is>
      </c>
      <c r="F123" s="125" t="n">
        <v>637.9221611647974</v>
      </c>
      <c r="G123" s="125" t="n">
        <v>741.2119385081744</v>
      </c>
      <c r="H123" s="125" t="n">
        <v>831.738917157023</v>
      </c>
      <c r="I123" s="125" t="n">
        <v>898.1480213474608</v>
      </c>
      <c r="J123" s="125" t="n">
        <v>987.5822307314286</v>
      </c>
    </row>
    <row r="125">
      <c r="B125" t="inlineStr">
        <is>
          <t>Capital expenditures</t>
        </is>
      </c>
      <c r="F125" s="107" t="n">
        <v>-26</v>
      </c>
      <c r="G125" s="107" t="n">
        <v>-28</v>
      </c>
      <c r="H125" s="107" t="n">
        <v>-30</v>
      </c>
      <c r="I125" s="107" t="n">
        <v>-29</v>
      </c>
      <c r="J125" s="107" t="n">
        <v>-31</v>
      </c>
    </row>
    <row r="126">
      <c r="B126" t="inlineStr">
        <is>
          <t xml:space="preserve">Purchases of intangible assets and capitalized software development costs </t>
        </is>
      </c>
      <c r="F126" s="107" t="n">
        <v>-201</v>
      </c>
      <c r="G126" s="107" t="n">
        <v>-194</v>
      </c>
      <c r="H126" s="107" t="n">
        <v>-193</v>
      </c>
      <c r="I126" s="107" t="n">
        <v>-196</v>
      </c>
      <c r="J126" s="107" t="n">
        <v>-192</v>
      </c>
    </row>
    <row r="127">
      <c r="B127" s="22" t="inlineStr">
        <is>
          <t>Cash from investing activities</t>
        </is>
      </c>
      <c r="F127" s="125" t="n">
        <v>-227</v>
      </c>
      <c r="G127" s="125" t="n">
        <v>-222</v>
      </c>
      <c r="H127" s="125" t="n">
        <v>-223</v>
      </c>
      <c r="I127" s="125" t="n">
        <v>-225</v>
      </c>
      <c r="J127" s="125" t="n">
        <v>-223</v>
      </c>
    </row>
    <row r="129">
      <c r="B129" t="inlineStr">
        <is>
          <t>Required debt principal payments</t>
        </is>
      </c>
      <c r="F129" s="107" t="n">
        <v>-322.1855000000001</v>
      </c>
      <c r="G129" s="107" t="n">
        <v>-177.8640500000001</v>
      </c>
      <c r="H129" s="107" t="n">
        <v>-177.8640500000001</v>
      </c>
      <c r="I129" s="107" t="n">
        <v>-177.8640500000001</v>
      </c>
      <c r="J129" s="107" t="n">
        <v>-177.8640500000001</v>
      </c>
    </row>
    <row r="130">
      <c r="B130" t="inlineStr">
        <is>
          <t>Preferred dividend (cash)</t>
        </is>
      </c>
      <c r="F130" s="107" t="n">
        <v>0</v>
      </c>
      <c r="G130" s="107" t="n">
        <v>0</v>
      </c>
      <c r="H130" s="107" t="n">
        <v>0</v>
      </c>
      <c r="I130" s="107" t="n">
        <v>0</v>
      </c>
      <c r="J130" s="107" t="n">
        <v>0</v>
      </c>
    </row>
    <row r="131">
      <c r="B131" s="153" t="inlineStr">
        <is>
          <t>Pre-revolver cash flows</t>
        </is>
      </c>
      <c r="C131" s="22" t="n"/>
      <c r="D131" s="22" t="n"/>
      <c r="E131" s="22" t="n"/>
      <c r="F131" s="125" t="n">
        <v>88.73666116479734</v>
      </c>
      <c r="G131" s="125" t="n">
        <v>341.3478885081743</v>
      </c>
      <c r="H131" s="125" t="n">
        <v>430.8748671570229</v>
      </c>
      <c r="I131" s="125" t="n">
        <v>495.2839713474607</v>
      </c>
      <c r="J131" s="125" t="n">
        <v>586.7181807314284</v>
      </c>
    </row>
    <row r="132">
      <c r="B132" t="inlineStr">
        <is>
          <t>Revolver</t>
        </is>
      </c>
      <c r="F132" s="107" t="n">
        <v>0</v>
      </c>
      <c r="G132" s="107" t="n">
        <v>0</v>
      </c>
      <c r="H132" s="107" t="n">
        <v>0</v>
      </c>
      <c r="I132" s="107" t="n">
        <v>0</v>
      </c>
      <c r="J132" s="107" t="n">
        <v>0</v>
      </c>
    </row>
    <row r="133">
      <c r="B133" s="153" t="inlineStr">
        <is>
          <t>Post-revolver cash flows</t>
        </is>
      </c>
      <c r="C133" s="22" t="n"/>
      <c r="D133" s="22" t="n"/>
      <c r="E133" s="22" t="n"/>
      <c r="F133" s="125" t="n">
        <v>88.73666116479734</v>
      </c>
      <c r="G133" s="125" t="n">
        <v>341.3478885081743</v>
      </c>
      <c r="H133" s="125" t="n">
        <v>430.8748671570229</v>
      </c>
      <c r="I133" s="125" t="n">
        <v>495.2839713474607</v>
      </c>
      <c r="J133" s="125" t="n">
        <v>586.7181807314284</v>
      </c>
    </row>
    <row r="134">
      <c r="B134" s="34" t="inlineStr">
        <is>
          <t>Discretionary Term A paydown</t>
        </is>
      </c>
      <c r="F134" s="107" t="n">
        <v>-88.73666116479734</v>
      </c>
      <c r="G134" s="107" t="n">
        <v>-341.3478885081743</v>
      </c>
      <c r="H134" s="107" t="n">
        <v>-430.8748671570229</v>
      </c>
      <c r="I134" s="107" t="n">
        <v>-495.2839713474607</v>
      </c>
      <c r="J134" s="107" t="n">
        <v>-586.7181807314284</v>
      </c>
    </row>
    <row r="135">
      <c r="B135" s="34" t="inlineStr">
        <is>
          <t>Discretionary Term B paydown</t>
        </is>
      </c>
      <c r="F135" s="107" t="n">
        <v>0</v>
      </c>
      <c r="G135" s="107" t="n">
        <v>0</v>
      </c>
      <c r="H135" s="107" t="n">
        <v>0</v>
      </c>
      <c r="I135" s="107" t="n">
        <v>0</v>
      </c>
      <c r="J135" s="107" t="n">
        <v>2.273736754432321e-13</v>
      </c>
    </row>
    <row r="136">
      <c r="B136" s="22" t="inlineStr">
        <is>
          <t>Net change in cash during period</t>
        </is>
      </c>
      <c r="F136" s="125" t="n">
        <v>0</v>
      </c>
      <c r="G136" s="125" t="n">
        <v>0</v>
      </c>
      <c r="H136" s="125" t="n">
        <v>0</v>
      </c>
      <c r="I136" s="125" t="n">
        <v>0</v>
      </c>
      <c r="J136" s="125" t="n">
        <v>2.273736754432321e-13</v>
      </c>
    </row>
    <row r="137">
      <c r="B137" s="22" t="n"/>
      <c r="F137" s="42" t="n"/>
      <c r="G137" s="42" t="n"/>
      <c r="H137" s="42" t="n"/>
      <c r="I137" s="42" t="n"/>
      <c r="J137" s="42" t="n"/>
    </row>
    <row r="138">
      <c r="B138" s="116" t="inlineStr">
        <is>
          <t>CASH &amp; DEBT</t>
        </is>
      </c>
      <c r="C138" s="13" t="n"/>
      <c r="D138" s="13" t="n"/>
      <c r="E138" s="13" t="n"/>
      <c r="F138" s="13" t="n"/>
      <c r="G138" s="13" t="n"/>
      <c r="H138" s="13" t="n"/>
      <c r="I138" s="13" t="n"/>
      <c r="J138" s="13" t="n"/>
    </row>
    <row r="139">
      <c r="B139" s="10" t="inlineStr">
        <is>
          <t xml:space="preserve">Fiscal year  </t>
        </is>
      </c>
      <c r="C139" s="29" t="n">
        <v>2011</v>
      </c>
      <c r="D139" s="29" t="n">
        <v>2012</v>
      </c>
      <c r="E139" s="29" t="n">
        <v>2013</v>
      </c>
      <c r="F139" s="30" t="n">
        <v>2014</v>
      </c>
      <c r="G139" s="30" t="n">
        <v>2015</v>
      </c>
      <c r="H139" s="30" t="n">
        <v>2016</v>
      </c>
      <c r="I139" s="30" t="n">
        <v>2017</v>
      </c>
      <c r="J139" s="30" t="n">
        <v>2018</v>
      </c>
    </row>
    <row r="140">
      <c r="B140" s="13" t="inlineStr">
        <is>
          <t>Fiscal year end date</t>
        </is>
      </c>
      <c r="C140" s="31" t="n">
        <v>40633</v>
      </c>
      <c r="D140" s="31" t="n">
        <v>40999</v>
      </c>
      <c r="E140" s="31" t="n">
        <v>41364</v>
      </c>
      <c r="F140" s="31" t="n">
        <v>41729</v>
      </c>
      <c r="G140" s="31" t="n">
        <v>42094</v>
      </c>
      <c r="H140" s="31" t="n">
        <v>42460</v>
      </c>
      <c r="I140" s="31" t="n">
        <v>42825</v>
      </c>
      <c r="J140" s="31" t="n">
        <v>43190</v>
      </c>
    </row>
    <row r="141">
      <c r="B141" s="35" t="n"/>
    </row>
    <row r="142">
      <c r="B142" s="26" t="inlineStr">
        <is>
          <t>Cash, BOP</t>
        </is>
      </c>
      <c r="F142" s="200" t="n">
        <v>180</v>
      </c>
      <c r="G142" s="107" t="n">
        <v>180</v>
      </c>
      <c r="H142" s="107" t="n">
        <v>180</v>
      </c>
      <c r="I142" s="107" t="n">
        <v>180</v>
      </c>
      <c r="J142" s="107" t="n">
        <v>180</v>
      </c>
    </row>
    <row r="143">
      <c r="B143" s="36" t="inlineStr">
        <is>
          <t>Increases / (decreases)</t>
        </is>
      </c>
      <c r="F143" s="107" t="n">
        <v>0</v>
      </c>
      <c r="G143" s="107" t="n">
        <v>0</v>
      </c>
      <c r="H143" s="107" t="n">
        <v>0</v>
      </c>
      <c r="I143" s="107" t="n">
        <v>0</v>
      </c>
      <c r="J143" s="107" t="n">
        <v>2.273736754432321e-13</v>
      </c>
    </row>
    <row r="144">
      <c r="B144" s="27" t="inlineStr">
        <is>
          <t>Cash, EOP</t>
        </is>
      </c>
      <c r="C144" s="22" t="n"/>
      <c r="D144" s="165" t="n">
        <v>1635.6</v>
      </c>
      <c r="E144" s="166" t="n">
        <v>1581.9</v>
      </c>
      <c r="F144" s="125" t="n">
        <v>180</v>
      </c>
      <c r="G144" s="125" t="n">
        <v>180</v>
      </c>
      <c r="H144" s="125" t="n">
        <v>180</v>
      </c>
      <c r="I144" s="125" t="n">
        <v>180</v>
      </c>
      <c r="J144" s="125" t="n">
        <v>180.0000000000002</v>
      </c>
    </row>
    <row r="145">
      <c r="B145" s="26" t="inlineStr">
        <is>
          <t>Interest rate on cash</t>
        </is>
      </c>
      <c r="D145" s="163" t="n">
        <v>0.006480802152115432</v>
      </c>
      <c r="E145" s="163" t="n">
        <v>0.00515928515928516</v>
      </c>
      <c r="F145" s="43" t="n">
        <v>0.00515928515928516</v>
      </c>
      <c r="G145" s="43" t="n">
        <v>0.00515928515928516</v>
      </c>
      <c r="H145" s="43" t="n">
        <v>0.00515928515928516</v>
      </c>
      <c r="I145" s="43" t="n">
        <v>0.00515928515928516</v>
      </c>
      <c r="J145" s="43" t="n">
        <v>0.00515928515928516</v>
      </c>
    </row>
    <row r="146">
      <c r="B146" s="26" t="inlineStr">
        <is>
          <t>Interest income</t>
        </is>
      </c>
      <c r="C146" s="23" t="n"/>
      <c r="D146" s="107" t="n">
        <v>10.6</v>
      </c>
      <c r="E146" s="107" t="n">
        <v>8.300000000000001</v>
      </c>
      <c r="F146" s="107" t="n">
        <v>0.9286713286713288</v>
      </c>
      <c r="G146" s="107" t="n">
        <v>0.9286713286713288</v>
      </c>
      <c r="H146" s="107" t="n">
        <v>0.9286713286713288</v>
      </c>
      <c r="I146" s="107" t="n">
        <v>0.9286713286713288</v>
      </c>
      <c r="J146" s="107" t="n">
        <v>0.9286713286713294</v>
      </c>
    </row>
    <row r="147">
      <c r="B147" s="26" t="n"/>
      <c r="C147" s="23" t="n"/>
      <c r="D147" s="23" t="n"/>
      <c r="E147" s="23" t="n"/>
      <c r="F147" s="23" t="n"/>
      <c r="G147" s="23" t="n"/>
      <c r="H147" s="23" t="n"/>
      <c r="I147" s="23" t="n"/>
      <c r="J147" s="23" t="n"/>
    </row>
    <row r="148">
      <c r="B148" s="25" t="inlineStr">
        <is>
          <t>Revolver</t>
        </is>
      </c>
      <c r="D148" s="102" t="n"/>
      <c r="E148" s="102" t="n"/>
      <c r="F148" s="23" t="n"/>
      <c r="G148" s="23" t="n"/>
      <c r="H148" s="23" t="n"/>
      <c r="I148" s="23" t="n"/>
      <c r="J148" s="23" t="n"/>
    </row>
    <row r="149">
      <c r="B149" s="47" t="inlineStr">
        <is>
          <t xml:space="preserve">Cash, BOP </t>
        </is>
      </c>
      <c r="F149" s="107" t="n">
        <v>180</v>
      </c>
      <c r="G149" s="107" t="n">
        <v>180</v>
      </c>
      <c r="H149" s="107" t="n">
        <v>180</v>
      </c>
      <c r="I149" s="107" t="n">
        <v>180</v>
      </c>
      <c r="J149" s="107" t="n">
        <v>180</v>
      </c>
    </row>
    <row r="150">
      <c r="B150" s="47" t="inlineStr">
        <is>
          <t>Less: Minimum cash desired</t>
        </is>
      </c>
      <c r="F150" s="168" t="n">
        <v>-180</v>
      </c>
      <c r="G150" s="168" t="n">
        <v>-180</v>
      </c>
      <c r="H150" s="168" t="n">
        <v>-180</v>
      </c>
      <c r="I150" s="168" t="n">
        <v>-180</v>
      </c>
      <c r="J150" s="168" t="n">
        <v>-180</v>
      </c>
    </row>
    <row r="151">
      <c r="B151" s="47" t="inlineStr">
        <is>
          <t>Equals: Excess cash at BOP</t>
        </is>
      </c>
      <c r="F151" s="107" t="n">
        <v>0</v>
      </c>
      <c r="G151" s="107" t="n">
        <v>0</v>
      </c>
      <c r="H151" s="107" t="n">
        <v>0</v>
      </c>
      <c r="I151" s="107" t="n">
        <v>0</v>
      </c>
      <c r="J151" s="107" t="n">
        <v>0</v>
      </c>
    </row>
    <row r="152">
      <c r="B152" s="150" t="inlineStr">
        <is>
          <t>Plus: Free cash flows generated during period</t>
        </is>
      </c>
      <c r="C152" s="25" t="n"/>
      <c r="D152" s="25" t="n"/>
      <c r="E152" s="25" t="n"/>
      <c r="F152" s="201" t="n">
        <v>88.73666116479734</v>
      </c>
      <c r="G152" s="201" t="n">
        <v>341.3478885081743</v>
      </c>
      <c r="H152" s="201" t="n">
        <v>430.8748671570229</v>
      </c>
      <c r="I152" s="201" t="n">
        <v>495.2839713474607</v>
      </c>
      <c r="J152" s="201" t="n">
        <v>586.7181807314284</v>
      </c>
    </row>
    <row r="153">
      <c r="B153" s="113" t="inlineStr">
        <is>
          <t>Cash available (needed) to paydown (draw from) revolver</t>
        </is>
      </c>
      <c r="C153" s="19" t="n"/>
      <c r="D153" s="19" t="n"/>
      <c r="E153" s="19" t="n"/>
      <c r="F153" s="186" t="n">
        <v>88.73666116479734</v>
      </c>
      <c r="G153" s="186" t="n">
        <v>341.3478885081743</v>
      </c>
      <c r="H153" s="186" t="n">
        <v>430.8748671570229</v>
      </c>
      <c r="I153" s="186" t="n">
        <v>495.2839713474607</v>
      </c>
      <c r="J153" s="186" t="n">
        <v>586.7181807314284</v>
      </c>
    </row>
    <row r="155">
      <c r="B155" s="26" t="inlineStr">
        <is>
          <t>Revolver, BOP</t>
        </is>
      </c>
      <c r="F155" s="200" t="n">
        <v>0</v>
      </c>
      <c r="G155" s="107" t="n">
        <v>0</v>
      </c>
      <c r="H155" s="107" t="n">
        <v>0</v>
      </c>
      <c r="I155" s="107" t="n">
        <v>0</v>
      </c>
      <c r="J155" s="107" t="n">
        <v>0</v>
      </c>
    </row>
    <row r="156">
      <c r="B156" s="36" t="inlineStr">
        <is>
          <t>Increases / (decreases)</t>
        </is>
      </c>
      <c r="F156" s="107" t="n">
        <v>0</v>
      </c>
      <c r="G156" s="107" t="n">
        <v>0</v>
      </c>
      <c r="H156" s="107" t="n">
        <v>0</v>
      </c>
      <c r="I156" s="107" t="n">
        <v>0</v>
      </c>
      <c r="J156" s="107" t="n">
        <v>0</v>
      </c>
    </row>
    <row r="157">
      <c r="B157" s="27" t="inlineStr">
        <is>
          <t>Revolver, EOP</t>
        </is>
      </c>
      <c r="D157" s="25" t="inlineStr">
        <is>
          <t>% AR</t>
        </is>
      </c>
      <c r="E157" s="25" t="inlineStr">
        <is>
          <t>% Other Assets</t>
        </is>
      </c>
      <c r="F157" s="125" t="n">
        <v>0</v>
      </c>
      <c r="G157" s="125" t="n">
        <v>0</v>
      </c>
      <c r="H157" s="125" t="n">
        <v>0</v>
      </c>
      <c r="I157" s="125" t="n">
        <v>0</v>
      </c>
      <c r="J157" s="125" t="n">
        <v>0</v>
      </c>
    </row>
    <row r="158">
      <c r="B158" s="113" t="inlineStr">
        <is>
          <t>Maximum availability</t>
        </is>
      </c>
      <c r="D158" s="282" t="n">
        <v>0.8</v>
      </c>
      <c r="E158" s="282" t="n">
        <v>0.65</v>
      </c>
      <c r="F158" s="186" t="n">
        <v>350</v>
      </c>
      <c r="G158" s="186" t="n">
        <v>350</v>
      </c>
      <c r="H158" s="186" t="n">
        <v>350</v>
      </c>
      <c r="I158" s="186" t="n">
        <v>350</v>
      </c>
      <c r="J158" s="186" t="n">
        <v>350</v>
      </c>
    </row>
    <row r="159">
      <c r="B159" s="113" t="inlineStr">
        <is>
          <t>Compliance check</t>
        </is>
      </c>
      <c r="D159" s="149" t="n"/>
      <c r="E159" s="149" t="n"/>
      <c r="F159" s="151" t="inlineStr">
        <is>
          <t>OK</t>
        </is>
      </c>
      <c r="G159" s="151" t="inlineStr">
        <is>
          <t>OK</t>
        </is>
      </c>
      <c r="H159" s="151" t="inlineStr">
        <is>
          <t>OK</t>
        </is>
      </c>
      <c r="I159" s="151" t="inlineStr">
        <is>
          <t>OK</t>
        </is>
      </c>
      <c r="J159" s="151" t="inlineStr">
        <is>
          <t>OK</t>
        </is>
      </c>
    </row>
    <row r="161">
      <c r="B161" s="25" t="inlineStr">
        <is>
          <t>Term Loan A</t>
        </is>
      </c>
    </row>
    <row r="162">
      <c r="B162" s="26" t="inlineStr">
        <is>
          <t>Term Loan A, BOP</t>
        </is>
      </c>
      <c r="F162" s="200" t="n">
        <v>2886.429000000001</v>
      </c>
      <c r="G162" s="107" t="n">
        <v>2509.049438835204</v>
      </c>
      <c r="H162" s="107" t="n">
        <v>2023.380100327029</v>
      </c>
      <c r="I162" s="107" t="n">
        <v>1448.183783170006</v>
      </c>
      <c r="J162" s="107" t="n">
        <v>808.5783618225455</v>
      </c>
    </row>
    <row r="163">
      <c r="B163" s="26" t="inlineStr">
        <is>
          <t>Mandatory paydown $</t>
        </is>
      </c>
      <c r="F163" s="168" t="n">
        <v>288.6429000000001</v>
      </c>
      <c r="G163" s="168" t="n">
        <v>144.3214500000001</v>
      </c>
      <c r="H163" s="168" t="n">
        <v>144.3214500000001</v>
      </c>
      <c r="I163" s="168" t="n">
        <v>144.3214500000001</v>
      </c>
      <c r="J163" s="168" t="n">
        <v>144.3214500000001</v>
      </c>
    </row>
    <row r="164">
      <c r="B164" s="26" t="inlineStr">
        <is>
          <t>Cash sweep (paydown from excess cash flows)</t>
        </is>
      </c>
      <c r="F164" s="168" t="n">
        <v>88.73666116479734</v>
      </c>
      <c r="G164" s="168" t="n">
        <v>341.3478885081743</v>
      </c>
      <c r="H164" s="168" t="n">
        <v>430.8748671570229</v>
      </c>
      <c r="I164" s="168" t="n">
        <v>495.2839713474607</v>
      </c>
      <c r="J164" s="168" t="n">
        <v>586.7181807314287</v>
      </c>
    </row>
    <row r="165">
      <c r="B165" s="27" t="inlineStr">
        <is>
          <t>Term Loan A, EOP</t>
        </is>
      </c>
      <c r="C165" s="22" t="n"/>
      <c r="D165" s="126" t="n"/>
      <c r="E165" s="22" t="n"/>
      <c r="F165" s="166" t="n">
        <v>2509.049438835204</v>
      </c>
      <c r="G165" s="166" t="n">
        <v>2023.380100327029</v>
      </c>
      <c r="H165" s="166" t="n">
        <v>1448.183783170006</v>
      </c>
      <c r="I165" s="166" t="n">
        <v>808.5783618225455</v>
      </c>
      <c r="J165" s="166" t="n">
        <v>77.5387310911168</v>
      </c>
    </row>
    <row r="166">
      <c r="B166" s="113" t="inlineStr">
        <is>
          <t>Mandatory paydown (% of original)</t>
        </is>
      </c>
      <c r="C166" s="19" t="n"/>
      <c r="E166" s="102" t="inlineStr">
        <is>
          <t>% of available cash used</t>
        </is>
      </c>
      <c r="F166" s="115" t="n">
        <v>0.1</v>
      </c>
      <c r="G166" s="115" t="n">
        <v>0.05</v>
      </c>
      <c r="H166" s="115" t="n">
        <v>0.05</v>
      </c>
      <c r="I166" s="115" t="n">
        <v>0.05</v>
      </c>
      <c r="J166" s="115" t="n">
        <v>0.05</v>
      </c>
    </row>
    <row r="167">
      <c r="B167" s="113" t="inlineStr">
        <is>
          <t>Cash sweep</t>
        </is>
      </c>
      <c r="C167" s="19" t="n"/>
      <c r="E167" s="152" t="n">
        <v>1</v>
      </c>
      <c r="F167" s="202" t="n">
        <v>88.73666116479734</v>
      </c>
      <c r="G167" s="202" t="n">
        <v>341.3478885081743</v>
      </c>
      <c r="H167" s="202" t="n">
        <v>430.8748671570229</v>
      </c>
      <c r="I167" s="202" t="n">
        <v>495.2839713474607</v>
      </c>
      <c r="J167" s="202" t="n">
        <v>586.7181807314284</v>
      </c>
    </row>
    <row r="168">
      <c r="B168" s="26" t="n"/>
      <c r="F168" s="32" t="n"/>
      <c r="G168" s="32" t="n"/>
      <c r="H168" s="32" t="n"/>
      <c r="I168" s="32" t="n"/>
      <c r="J168" s="32" t="n"/>
    </row>
    <row r="169">
      <c r="B169" s="25" t="inlineStr">
        <is>
          <t>Term Loan B</t>
        </is>
      </c>
      <c r="F169" s="23" t="n"/>
    </row>
    <row r="170">
      <c r="B170" s="26" t="inlineStr">
        <is>
          <t>Term Loan B, BOP</t>
        </is>
      </c>
      <c r="F170" s="200" t="n">
        <v>670.8520000000002</v>
      </c>
      <c r="G170" s="107" t="n">
        <v>637.3094000000002</v>
      </c>
      <c r="H170" s="107" t="n">
        <v>603.7668000000002</v>
      </c>
      <c r="I170" s="107" t="n">
        <v>570.2242000000002</v>
      </c>
      <c r="J170" s="107" t="n">
        <v>536.6816000000002</v>
      </c>
    </row>
    <row r="171">
      <c r="B171" s="26" t="inlineStr">
        <is>
          <t>Mandatory amortization $</t>
        </is>
      </c>
      <c r="F171" s="168" t="n">
        <v>33.54260000000001</v>
      </c>
      <c r="G171" s="168" t="n">
        <v>33.54260000000001</v>
      </c>
      <c r="H171" s="168" t="n">
        <v>33.54260000000001</v>
      </c>
      <c r="I171" s="168" t="n">
        <v>33.54260000000001</v>
      </c>
      <c r="J171" s="168" t="n">
        <v>33.54260000000001</v>
      </c>
    </row>
    <row r="172">
      <c r="B172" s="26" t="inlineStr">
        <is>
          <t>Cash sweep (paydown from excess cash flows)</t>
        </is>
      </c>
      <c r="F172" s="168" t="n">
        <v>0</v>
      </c>
      <c r="G172" s="168" t="n">
        <v>0</v>
      </c>
      <c r="H172" s="168" t="n">
        <v>0</v>
      </c>
      <c r="I172" s="168" t="n">
        <v>0</v>
      </c>
      <c r="J172" s="168" t="n">
        <v>2.273736754432321e-13</v>
      </c>
    </row>
    <row r="173">
      <c r="B173" s="27" t="inlineStr">
        <is>
          <t>Term Loan B, EOP</t>
        </is>
      </c>
      <c r="C173" s="22" t="n"/>
      <c r="F173" s="166" t="n">
        <v>637.3094000000002</v>
      </c>
      <c r="G173" s="166" t="n">
        <v>603.7668000000002</v>
      </c>
      <c r="H173" s="166" t="n">
        <v>570.2242000000002</v>
      </c>
      <c r="I173" s="166" t="n">
        <v>536.6816000000002</v>
      </c>
      <c r="J173" s="166" t="n">
        <v>503.139</v>
      </c>
    </row>
    <row r="174">
      <c r="B174" s="113" t="inlineStr">
        <is>
          <t>Mandatory paydown (% of original)</t>
        </is>
      </c>
      <c r="C174" s="19" t="n"/>
      <c r="E174" s="102" t="inlineStr">
        <is>
          <t>% of available cash used</t>
        </is>
      </c>
      <c r="F174" s="115" t="n">
        <v>0.05</v>
      </c>
      <c r="G174" s="115" t="n">
        <v>0.05</v>
      </c>
      <c r="H174" s="115" t="n">
        <v>0.05</v>
      </c>
      <c r="I174" s="115" t="n">
        <v>0.05</v>
      </c>
      <c r="J174" s="115" t="n">
        <v>0.05</v>
      </c>
    </row>
    <row r="175">
      <c r="B175" s="113" t="inlineStr">
        <is>
          <t>Cash available for cash sweep</t>
        </is>
      </c>
      <c r="C175" s="19" t="n"/>
      <c r="E175" s="152" t="n">
        <v>1</v>
      </c>
      <c r="F175" s="203" t="n">
        <v>0</v>
      </c>
      <c r="G175" s="203" t="n">
        <v>0</v>
      </c>
      <c r="H175" s="203" t="n">
        <v>0</v>
      </c>
      <c r="I175" s="203" t="n">
        <v>0</v>
      </c>
      <c r="J175" s="203" t="n">
        <v>-2.273736754432321e-13</v>
      </c>
    </row>
    <row r="176">
      <c r="B176" s="113" t="n"/>
      <c r="C176" s="19" t="n"/>
      <c r="D176" s="19" t="n"/>
      <c r="E176" s="19" t="n"/>
      <c r="F176" s="119" t="n"/>
      <c r="G176" s="119" t="n"/>
      <c r="H176" s="119" t="n"/>
      <c r="I176" s="119" t="n"/>
      <c r="J176" s="119" t="n"/>
    </row>
    <row r="177">
      <c r="B177" s="25" t="inlineStr">
        <is>
          <t>Senior Note</t>
        </is>
      </c>
      <c r="F177" s="23" t="n"/>
    </row>
    <row r="178">
      <c r="B178" s="26" t="inlineStr">
        <is>
          <t>Senior Note, BOP</t>
        </is>
      </c>
      <c r="F178" s="200" t="n">
        <v>1632.995000000001</v>
      </c>
      <c r="G178" s="107" t="n">
        <v>1632.995000000001</v>
      </c>
      <c r="H178" s="107" t="n">
        <v>1632.995000000001</v>
      </c>
      <c r="I178" s="107" t="n">
        <v>1632.995000000001</v>
      </c>
      <c r="J178" s="107" t="n">
        <v>1632.995000000001</v>
      </c>
    </row>
    <row r="179">
      <c r="B179" s="26" t="inlineStr">
        <is>
          <t>Mandatory amortization $</t>
        </is>
      </c>
      <c r="F179" s="168" t="n">
        <v>0</v>
      </c>
      <c r="G179" s="168" t="n">
        <v>0</v>
      </c>
      <c r="H179" s="168" t="n">
        <v>0</v>
      </c>
      <c r="I179" s="168" t="n">
        <v>0</v>
      </c>
      <c r="J179" s="168" t="n">
        <v>0</v>
      </c>
    </row>
    <row r="180">
      <c r="B180" s="27" t="inlineStr">
        <is>
          <t>Senior Note, EOP</t>
        </is>
      </c>
      <c r="C180" s="22" t="n"/>
      <c r="D180" s="22" t="n"/>
      <c r="E180" s="22" t="n"/>
      <c r="F180" s="166" t="n">
        <v>1632.995000000001</v>
      </c>
      <c r="G180" s="166" t="n">
        <v>1632.995000000001</v>
      </c>
      <c r="H180" s="166" t="n">
        <v>1632.995000000001</v>
      </c>
      <c r="I180" s="166" t="n">
        <v>1632.995000000001</v>
      </c>
      <c r="J180" s="166" t="n">
        <v>1632.995000000001</v>
      </c>
    </row>
    <row r="181">
      <c r="B181" s="113" t="inlineStr">
        <is>
          <t>Mandatory paydown (% of original)</t>
        </is>
      </c>
      <c r="F181" s="115" t="n">
        <v>0</v>
      </c>
      <c r="G181" s="115" t="n">
        <v>0</v>
      </c>
      <c r="H181" s="115" t="n">
        <v>0</v>
      </c>
      <c r="I181" s="115" t="n">
        <v>0</v>
      </c>
      <c r="J181" s="115" t="n">
        <v>0</v>
      </c>
    </row>
    <row r="182">
      <c r="B182" s="113" t="n"/>
      <c r="F182" s="115" t="n"/>
      <c r="G182" s="115" t="n"/>
      <c r="H182" s="115" t="n"/>
      <c r="I182" s="115" t="n"/>
      <c r="J182" s="115" t="n"/>
    </row>
    <row r="183">
      <c r="B183" s="25" t="inlineStr">
        <is>
          <t>Sub Note</t>
        </is>
      </c>
      <c r="F183" s="23" t="n"/>
    </row>
    <row r="184">
      <c r="B184" s="26" t="inlineStr">
        <is>
          <t>Sub Note, BOP</t>
        </is>
      </c>
      <c r="F184" s="200" t="n">
        <v>0</v>
      </c>
      <c r="G184" s="107" t="n">
        <v>0</v>
      </c>
      <c r="H184" s="107" t="n">
        <v>0</v>
      </c>
      <c r="I184" s="107" t="n">
        <v>0</v>
      </c>
      <c r="J184" s="107" t="n">
        <v>0</v>
      </c>
    </row>
    <row r="185">
      <c r="B185" s="26" t="inlineStr">
        <is>
          <t>Mandatory amortization $</t>
        </is>
      </c>
      <c r="C185" s="102" t="inlineStr">
        <is>
          <t>PIK rate</t>
        </is>
      </c>
      <c r="D185" s="102" t="inlineStr">
        <is>
          <t>Cash rate</t>
        </is>
      </c>
      <c r="F185" s="168" t="n">
        <v>0</v>
      </c>
      <c r="G185" s="168" t="n">
        <v>0</v>
      </c>
      <c r="H185" s="168" t="n">
        <v>0</v>
      </c>
      <c r="I185" s="168" t="n">
        <v>0</v>
      </c>
      <c r="J185" s="168" t="n">
        <v>0</v>
      </c>
    </row>
    <row r="186">
      <c r="B186" s="61" t="inlineStr">
        <is>
          <t>PIK interest</t>
        </is>
      </c>
      <c r="C186" s="114" t="n">
        <v>0.04</v>
      </c>
      <c r="D186" s="40" t="n">
        <v>0.08</v>
      </c>
      <c r="F186" s="168" t="n">
        <v>0</v>
      </c>
      <c r="G186" s="168" t="n">
        <v>0</v>
      </c>
      <c r="H186" s="168" t="n">
        <v>0</v>
      </c>
      <c r="I186" s="168" t="n">
        <v>0</v>
      </c>
      <c r="J186" s="168" t="n">
        <v>0</v>
      </c>
    </row>
    <row r="187">
      <c r="B187" s="27" t="inlineStr">
        <is>
          <t>Sub Note, EOP</t>
        </is>
      </c>
      <c r="C187" s="22" t="n"/>
      <c r="D187" s="40" t="n"/>
      <c r="E187" s="22" t="n"/>
      <c r="F187" s="166" t="n">
        <v>0</v>
      </c>
      <c r="G187" s="166" t="n">
        <v>0</v>
      </c>
      <c r="H187" s="166" t="n">
        <v>0</v>
      </c>
      <c r="I187" s="166" t="n">
        <v>0</v>
      </c>
      <c r="J187" s="166" t="n">
        <v>0</v>
      </c>
    </row>
    <row r="188">
      <c r="B188" s="113" t="inlineStr">
        <is>
          <t>Mandatory paydown (% of original)</t>
        </is>
      </c>
      <c r="F188" s="115" t="n">
        <v>0</v>
      </c>
      <c r="G188" s="115" t="n">
        <v>0</v>
      </c>
      <c r="H188" s="115" t="n">
        <v>0</v>
      </c>
      <c r="I188" s="115" t="n">
        <v>0</v>
      </c>
      <c r="J188" s="115" t="n">
        <v>0</v>
      </c>
    </row>
    <row r="189">
      <c r="B189" s="113" t="n"/>
      <c r="F189" s="115" t="n"/>
      <c r="G189" s="115" t="n"/>
      <c r="H189" s="115" t="n"/>
      <c r="I189" s="115" t="n"/>
      <c r="J189" s="115" t="n"/>
    </row>
    <row r="190">
      <c r="B190" s="25" t="inlineStr">
        <is>
          <t>Preferred stock</t>
        </is>
      </c>
      <c r="D190" s="124" t="n"/>
      <c r="E190" s="102" t="n"/>
      <c r="F190" s="115" t="n"/>
      <c r="G190" s="115" t="n"/>
      <c r="H190" s="115" t="n"/>
      <c r="I190" s="115" t="n"/>
      <c r="J190" s="115" t="n"/>
    </row>
    <row r="191">
      <c r="B191" s="26" t="inlineStr">
        <is>
          <t>Preferred stock, BOP</t>
        </is>
      </c>
      <c r="F191" s="204" t="n">
        <v>0</v>
      </c>
      <c r="G191" s="107" t="n">
        <v>0</v>
      </c>
      <c r="H191" s="107" t="n">
        <v>0</v>
      </c>
      <c r="I191" s="107" t="n">
        <v>0</v>
      </c>
      <c r="J191" s="107" t="n">
        <v>0</v>
      </c>
    </row>
    <row r="192">
      <c r="B192" s="61" t="inlineStr">
        <is>
          <t>PIK accrual</t>
        </is>
      </c>
      <c r="F192" s="168" t="n">
        <v>0</v>
      </c>
      <c r="G192" s="168" t="n">
        <v>0</v>
      </c>
      <c r="H192" s="168" t="n">
        <v>0</v>
      </c>
      <c r="I192" s="168" t="n">
        <v>0</v>
      </c>
      <c r="J192" s="168" t="n">
        <v>0</v>
      </c>
    </row>
    <row r="193">
      <c r="B193" s="22" t="inlineStr">
        <is>
          <t>Preferred stock, EOP</t>
        </is>
      </c>
      <c r="C193" s="102" t="inlineStr">
        <is>
          <t>PIK rate</t>
        </is>
      </c>
      <c r="D193" s="102" t="inlineStr">
        <is>
          <t>Cash rate</t>
        </is>
      </c>
      <c r="E193" s="22" t="n"/>
      <c r="F193" s="166" t="n">
        <v>0</v>
      </c>
      <c r="G193" s="166" t="n">
        <v>0</v>
      </c>
      <c r="H193" s="166" t="n">
        <v>0</v>
      </c>
      <c r="I193" s="166" t="n">
        <v>0</v>
      </c>
      <c r="J193" s="166" t="n">
        <v>0</v>
      </c>
    </row>
    <row r="194">
      <c r="B194" s="61" t="inlineStr">
        <is>
          <t>Cash dividend</t>
        </is>
      </c>
      <c r="C194" s="114" t="n">
        <v>0.04</v>
      </c>
      <c r="D194" s="40" t="n">
        <v>0.08</v>
      </c>
      <c r="F194" s="107" t="n">
        <v>0</v>
      </c>
      <c r="G194" s="107" t="n">
        <v>0</v>
      </c>
      <c r="H194" s="107" t="n">
        <v>0</v>
      </c>
      <c r="I194" s="107" t="n">
        <v>0</v>
      </c>
      <c r="J194" s="107" t="n">
        <v>0</v>
      </c>
    </row>
    <row r="195">
      <c r="B195" s="61" t="n"/>
      <c r="F195" s="23" t="n"/>
    </row>
    <row r="196">
      <c r="B196" s="176" t="inlineStr">
        <is>
          <t>Capitalized financing fees</t>
        </is>
      </c>
      <c r="F196" s="23" t="n"/>
    </row>
    <row r="197">
      <c r="B197" s="26" t="inlineStr">
        <is>
          <t>Capitalized financing fees, BOP</t>
        </is>
      </c>
      <c r="C197" s="107" t="n"/>
      <c r="D197" s="165" t="n"/>
      <c r="E197" s="165" t="n"/>
      <c r="F197" s="200" t="n">
        <v>69.68916500000003</v>
      </c>
      <c r="G197" s="107" t="n">
        <v>60.02517625000003</v>
      </c>
      <c r="H197" s="107" t="n">
        <v>50.36118750000003</v>
      </c>
      <c r="I197" s="107" t="n">
        <v>40.69719875000003</v>
      </c>
      <c r="J197" s="107" t="n">
        <v>31.03321000000003</v>
      </c>
    </row>
    <row r="198">
      <c r="B198" s="26" t="inlineStr">
        <is>
          <t>Amortization</t>
        </is>
      </c>
      <c r="C198" s="107" t="n"/>
      <c r="D198" s="107" t="n"/>
      <c r="E198" s="107" t="n"/>
      <c r="F198" s="107" t="n">
        <v>-9.663988750000003</v>
      </c>
      <c r="G198" s="107" t="n">
        <v>-9.663988750000003</v>
      </c>
      <c r="H198" s="107" t="n">
        <v>-9.663988750000003</v>
      </c>
      <c r="I198" s="107" t="n">
        <v>-9.663988750000003</v>
      </c>
      <c r="J198" s="107" t="n">
        <v>-9.663988750000003</v>
      </c>
    </row>
    <row r="199">
      <c r="B199" s="22" t="inlineStr">
        <is>
          <t>Capitalized financing fees, EOP</t>
        </is>
      </c>
      <c r="C199" s="107" t="n"/>
      <c r="D199" s="107" t="n"/>
      <c r="E199" s="107" t="n"/>
      <c r="F199" s="125" t="n">
        <v>60.02517625000003</v>
      </c>
      <c r="G199" s="125" t="n">
        <v>50.36118750000003</v>
      </c>
      <c r="H199" s="125" t="n">
        <v>40.69719875000003</v>
      </c>
      <c r="I199" s="125" t="n">
        <v>31.03321000000003</v>
      </c>
      <c r="J199" s="125" t="n">
        <v>21.36922125000002</v>
      </c>
    </row>
    <row r="200">
      <c r="B200" s="61" t="n"/>
      <c r="F200" s="23" t="n"/>
    </row>
    <row r="201">
      <c r="B201" s="11" t="inlineStr">
        <is>
          <t>INTEREST EXPENSE</t>
        </is>
      </c>
      <c r="C201" s="13" t="n"/>
      <c r="D201" s="13" t="n"/>
      <c r="E201" s="13" t="n"/>
      <c r="F201" s="13" t="n"/>
      <c r="G201" s="13" t="n"/>
      <c r="H201" s="13" t="n"/>
      <c r="I201" s="13" t="n"/>
      <c r="J201" s="13" t="n"/>
    </row>
    <row r="202">
      <c r="B202" t="inlineStr">
        <is>
          <t xml:space="preserve">Fiscal year  </t>
        </is>
      </c>
      <c r="C202" s="14" t="n">
        <v>2011</v>
      </c>
      <c r="D202" s="14" t="n">
        <v>2012</v>
      </c>
      <c r="E202" s="14" t="n">
        <v>2013</v>
      </c>
      <c r="F202" s="15" t="n">
        <v>2014</v>
      </c>
      <c r="G202" s="15" t="n">
        <v>2015</v>
      </c>
      <c r="H202" s="15" t="n">
        <v>2016</v>
      </c>
      <c r="I202" s="15" t="n">
        <v>2017</v>
      </c>
      <c r="J202" s="15" t="n">
        <v>2018</v>
      </c>
    </row>
    <row r="203">
      <c r="B203" s="16" t="inlineStr">
        <is>
          <t>Fiscal year end date</t>
        </is>
      </c>
      <c r="C203" s="18" t="n">
        <v>40633</v>
      </c>
      <c r="D203" s="18" t="n">
        <v>40999</v>
      </c>
      <c r="E203" s="18" t="n">
        <v>41364</v>
      </c>
      <c r="F203" s="18" t="n">
        <v>41729</v>
      </c>
      <c r="G203" s="18" t="n">
        <v>42094</v>
      </c>
      <c r="H203" s="18" t="n">
        <v>42460</v>
      </c>
      <c r="I203" s="18" t="n">
        <v>42825</v>
      </c>
      <c r="J203" s="18" t="n">
        <v>43190</v>
      </c>
    </row>
    <row r="204">
      <c r="B204" s="22" t="n"/>
    </row>
    <row r="205">
      <c r="B205" s="61" t="inlineStr">
        <is>
          <t>3-Month LIBOR Rate (bps)</t>
        </is>
      </c>
      <c r="C205" s="170" t="n"/>
      <c r="D205" s="19" t="n"/>
      <c r="F205" s="171" t="n">
        <v>49.08</v>
      </c>
      <c r="G205" s="171" t="n">
        <v>82.86</v>
      </c>
      <c r="H205" s="171" t="n">
        <v>134.82</v>
      </c>
      <c r="I205" s="171" t="n">
        <v>184.42</v>
      </c>
      <c r="J205" s="171" t="n">
        <v>221.26</v>
      </c>
    </row>
    <row r="206">
      <c r="B206" s="26" t="n"/>
      <c r="C206" s="102" t="inlineStr">
        <is>
          <t>LIBOR Spread</t>
        </is>
      </c>
      <c r="D206" s="102" t="inlineStr">
        <is>
          <t>LIBOR floor</t>
        </is>
      </c>
      <c r="E206" s="102" t="inlineStr">
        <is>
          <t>Coupon Rate</t>
        </is>
      </c>
      <c r="F206" s="169" t="n"/>
      <c r="G206" s="169" t="n"/>
      <c r="H206" s="169" t="n"/>
      <c r="I206" s="169" t="n"/>
      <c r="J206" s="169" t="n"/>
    </row>
    <row r="207">
      <c r="B207" s="26" t="inlineStr">
        <is>
          <t>Revolver</t>
        </is>
      </c>
      <c r="C207" s="172" t="n">
        <v>0.04</v>
      </c>
      <c r="D207" s="57" t="n">
        <v>0</v>
      </c>
      <c r="F207" s="38" t="n">
        <v>0</v>
      </c>
      <c r="G207" s="38" t="n">
        <v>0</v>
      </c>
      <c r="H207" s="38" t="n">
        <v>0</v>
      </c>
      <c r="I207" s="38" t="n">
        <v>0</v>
      </c>
      <c r="J207" s="38" t="n">
        <v>0</v>
      </c>
    </row>
    <row r="208">
      <c r="B208" s="26" t="inlineStr">
        <is>
          <t>Term Loan A</t>
        </is>
      </c>
      <c r="C208" s="172" t="n">
        <v>0.04</v>
      </c>
      <c r="D208" s="57" t="n">
        <v>0.01</v>
      </c>
      <c r="F208" s="38" t="n">
        <v>134.8869609708801</v>
      </c>
      <c r="G208" s="38" t="n">
        <v>113.3107384790558</v>
      </c>
      <c r="H208" s="38" t="n">
        <v>92.83308980859424</v>
      </c>
      <c r="I208" s="38" t="n">
        <v>65.94484663882736</v>
      </c>
      <c r="J208" s="38" t="n">
        <v>27.52545525717709</v>
      </c>
      <c r="M208" s="283" t="n"/>
    </row>
    <row r="209">
      <c r="B209" s="26" t="inlineStr">
        <is>
          <t>Term Loan B</t>
        </is>
      </c>
      <c r="C209" s="172" t="n">
        <v>0.04</v>
      </c>
      <c r="D209" s="57" t="n">
        <v>0</v>
      </c>
      <c r="F209" s="38" t="n">
        <v>29.37345607560001</v>
      </c>
      <c r="G209" s="38" t="n">
        <v>29.96330269660001</v>
      </c>
      <c r="H209" s="38" t="n">
        <v>31.39369333100001</v>
      </c>
      <c r="I209" s="38" t="n">
        <v>32.34489438180001</v>
      </c>
      <c r="J209" s="38" t="n">
        <v>32.29994729780001</v>
      </c>
    </row>
    <row r="210">
      <c r="B210" s="26" t="inlineStr">
        <is>
          <t>Senior Note</t>
        </is>
      </c>
      <c r="E210" s="175" t="n">
        <v>0.08125</v>
      </c>
      <c r="F210" s="107" t="n">
        <v>132.6808437500001</v>
      </c>
      <c r="G210" s="107" t="n">
        <v>132.6808437500001</v>
      </c>
      <c r="H210" s="107" t="n">
        <v>132.6808437500001</v>
      </c>
      <c r="I210" s="107" t="n">
        <v>132.6808437500001</v>
      </c>
      <c r="J210" s="107" t="n">
        <v>132.6808437500001</v>
      </c>
    </row>
    <row r="211">
      <c r="B211" s="26" t="inlineStr">
        <is>
          <t>Sub Note - Cash interest</t>
        </is>
      </c>
      <c r="E211" s="281" t="n">
        <v>0.08</v>
      </c>
      <c r="F211" s="107" t="n">
        <v>0</v>
      </c>
      <c r="G211" s="107" t="n">
        <v>0</v>
      </c>
      <c r="H211" s="107" t="n">
        <v>0</v>
      </c>
      <c r="I211" s="107" t="n">
        <v>0</v>
      </c>
      <c r="J211" s="107" t="n">
        <v>0</v>
      </c>
    </row>
    <row r="212">
      <c r="B212" s="26" t="inlineStr">
        <is>
          <t>Sub Note - PIK interest</t>
        </is>
      </c>
      <c r="C212" s="114" t="n"/>
      <c r="E212" s="281" t="n">
        <v>0.04</v>
      </c>
      <c r="F212" s="107" t="n">
        <v>0</v>
      </c>
      <c r="G212" s="107" t="n">
        <v>0</v>
      </c>
      <c r="H212" s="107" t="n">
        <v>0</v>
      </c>
      <c r="I212" s="107" t="n">
        <v>0</v>
      </c>
      <c r="J212" s="107" t="n">
        <v>0</v>
      </c>
    </row>
    <row r="213">
      <c r="B213" s="26" t="n"/>
      <c r="C213" s="22" t="n"/>
      <c r="D213" s="22" t="n"/>
      <c r="E213" s="22" t="n"/>
      <c r="F213" s="15" t="n"/>
      <c r="G213" s="15" t="n"/>
      <c r="H213" s="15" t="n"/>
      <c r="I213" s="15" t="n"/>
      <c r="J213" s="42" t="n"/>
    </row>
    <row r="214">
      <c r="B214" s="11" t="inlineStr">
        <is>
          <t>EXIT VALUATION</t>
        </is>
      </c>
      <c r="C214" s="13" t="n"/>
      <c r="D214" s="13" t="n"/>
      <c r="E214" s="13" t="n"/>
      <c r="F214" s="13" t="n"/>
      <c r="G214" s="13" t="n"/>
      <c r="H214" s="13" t="n"/>
      <c r="I214" s="13" t="n"/>
      <c r="J214" s="13" t="n"/>
    </row>
    <row r="216">
      <c r="F216" s="255" t="n">
        <v>43190</v>
      </c>
      <c r="G216" s="255" t="n"/>
      <c r="H216" s="255" t="n"/>
      <c r="I216" s="255" t="n"/>
      <c r="J216" s="255" t="n"/>
    </row>
    <row r="218">
      <c r="B218" s="3" t="inlineStr">
        <is>
          <t>EBITDA multiple at exit</t>
        </is>
      </c>
      <c r="C218" s="22" t="n"/>
      <c r="E218" s="102" t="inlineStr">
        <is>
          <t>Step</t>
        </is>
      </c>
      <c r="F218" s="147" t="n">
        <v>6.3</v>
      </c>
      <c r="G218" s="130" t="n">
        <v>6.8</v>
      </c>
      <c r="H218" s="130" t="n">
        <v>7.3</v>
      </c>
      <c r="I218" s="130" t="n">
        <v>7.8</v>
      </c>
      <c r="J218" s="130" t="n">
        <v>8.300000000000001</v>
      </c>
    </row>
    <row r="219">
      <c r="B219" s="4" t="inlineStr">
        <is>
          <t>EBITDA at exit</t>
        </is>
      </c>
      <c r="E219" s="174" t="n">
        <v>0.5</v>
      </c>
      <c r="F219" s="107" t="n">
        <v>1226.874119002437</v>
      </c>
      <c r="G219" s="107" t="n">
        <v>1226.874119002437</v>
      </c>
      <c r="H219" s="107" t="n">
        <v>1226.874119002437</v>
      </c>
      <c r="I219" s="107" t="n">
        <v>1226.874119002437</v>
      </c>
      <c r="J219" s="107" t="n">
        <v>1226.874119002437</v>
      </c>
    </row>
    <row r="220">
      <c r="B220" s="22" t="inlineStr">
        <is>
          <t>Enterprise value</t>
        </is>
      </c>
      <c r="F220" s="125" t="n">
        <v>7729.306949715352</v>
      </c>
      <c r="G220" s="125" t="n">
        <v>8342.744009216571</v>
      </c>
      <c r="H220" s="125" t="n">
        <v>8956.181068717789</v>
      </c>
      <c r="I220" s="125" t="n">
        <v>9569.618128219006</v>
      </c>
      <c r="J220" s="125" t="n">
        <v>10183.05518772023</v>
      </c>
    </row>
    <row r="221">
      <c r="B221" s="120" t="inlineStr">
        <is>
          <t>Net debt:</t>
        </is>
      </c>
      <c r="F221" s="23" t="n"/>
    </row>
    <row r="222">
      <c r="B222" s="121" t="inlineStr">
        <is>
          <t>Revolver</t>
        </is>
      </c>
      <c r="F222" s="107" t="n">
        <v>0</v>
      </c>
      <c r="G222" s="107" t="n">
        <v>0</v>
      </c>
      <c r="H222" s="107" t="n">
        <v>0</v>
      </c>
      <c r="I222" s="107" t="n">
        <v>0</v>
      </c>
      <c r="J222" s="107" t="n">
        <v>0</v>
      </c>
    </row>
    <row r="223">
      <c r="B223" s="47" t="inlineStr">
        <is>
          <t>Term Loan A</t>
        </is>
      </c>
      <c r="F223" s="107" t="n">
        <v>77.5387310911168</v>
      </c>
      <c r="G223" s="107" t="n">
        <v>77.5387310911168</v>
      </c>
      <c r="H223" s="107" t="n">
        <v>77.5387310911168</v>
      </c>
      <c r="I223" s="107" t="n">
        <v>77.5387310911168</v>
      </c>
      <c r="J223" s="107" t="n">
        <v>77.5387310911168</v>
      </c>
    </row>
    <row r="224">
      <c r="B224" s="47" t="inlineStr">
        <is>
          <t>Term Loan B</t>
        </is>
      </c>
      <c r="F224" s="107" t="n">
        <v>503.139</v>
      </c>
      <c r="G224" s="107" t="n">
        <v>503.139</v>
      </c>
      <c r="H224" s="107" t="n">
        <v>503.139</v>
      </c>
      <c r="I224" s="107" t="n">
        <v>503.139</v>
      </c>
      <c r="J224" s="107" t="n">
        <v>503.139</v>
      </c>
    </row>
    <row r="225">
      <c r="B225" s="47" t="inlineStr">
        <is>
          <t>Senior Note</t>
        </is>
      </c>
      <c r="E225" s="25" t="n"/>
      <c r="F225" s="107" t="n">
        <v>1632.995000000001</v>
      </c>
      <c r="G225" s="107" t="n">
        <v>1632.995000000001</v>
      </c>
      <c r="H225" s="107" t="n">
        <v>1632.995000000001</v>
      </c>
      <c r="I225" s="107" t="n">
        <v>1632.995000000001</v>
      </c>
      <c r="J225" s="107" t="n">
        <v>1632.995000000001</v>
      </c>
    </row>
    <row r="226">
      <c r="B226" s="47" t="inlineStr">
        <is>
          <t>Sub Note</t>
        </is>
      </c>
      <c r="E226" s="236" t="n"/>
      <c r="F226" s="107" t="n">
        <v>0</v>
      </c>
      <c r="G226" s="107" t="n">
        <v>0</v>
      </c>
      <c r="H226" s="107" t="n">
        <v>0</v>
      </c>
      <c r="I226" s="107" t="n">
        <v>0</v>
      </c>
      <c r="J226" s="107" t="n">
        <v>0</v>
      </c>
    </row>
    <row r="227">
      <c r="B227" s="47" t="inlineStr">
        <is>
          <t>Pref. stock</t>
        </is>
      </c>
      <c r="E227" s="236" t="n"/>
      <c r="F227" s="107" t="n">
        <v>0</v>
      </c>
      <c r="G227" s="107" t="n">
        <v>0</v>
      </c>
      <c r="H227" s="107" t="n">
        <v>0</v>
      </c>
      <c r="I227" s="107" t="n">
        <v>0</v>
      </c>
      <c r="J227" s="107" t="n">
        <v>0</v>
      </c>
    </row>
    <row r="228">
      <c r="B228" s="47" t="inlineStr">
        <is>
          <t>Cash</t>
        </is>
      </c>
      <c r="F228" s="107" t="n">
        <v>-180.0000000000002</v>
      </c>
      <c r="G228" s="107" t="n">
        <v>-180.0000000000002</v>
      </c>
      <c r="H228" s="107" t="n">
        <v>-180.0000000000002</v>
      </c>
      <c r="I228" s="107" t="n">
        <v>-180.0000000000002</v>
      </c>
      <c r="J228" s="107" t="n">
        <v>-180.0000000000002</v>
      </c>
    </row>
    <row r="229">
      <c r="B229" s="35" t="inlineStr">
        <is>
          <t>Equity value</t>
        </is>
      </c>
      <c r="C229" s="140" t="inlineStr">
        <is>
          <t>Initial equity inv.</t>
        </is>
      </c>
      <c r="D229" s="141" t="inlineStr">
        <is>
          <t>% ownership</t>
        </is>
      </c>
      <c r="E229" s="142" t="inlineStr">
        <is>
          <t>Fully diluted</t>
        </is>
      </c>
      <c r="F229" s="125" t="n">
        <v>5695.634218624235</v>
      </c>
      <c r="G229" s="125" t="n">
        <v>6309.071278125453</v>
      </c>
      <c r="H229" s="125" t="n">
        <v>6922.508337626672</v>
      </c>
      <c r="I229" s="125" t="n">
        <v>7535.945397127889</v>
      </c>
      <c r="J229" s="125" t="n">
        <v>8149.38245662911</v>
      </c>
    </row>
    <row r="230">
      <c r="B230" s="26" t="inlineStr">
        <is>
          <t>Sponsor equity</t>
        </is>
      </c>
      <c r="C230" s="284" t="n">
        <v>1660.277939999999</v>
      </c>
      <c r="D230" s="139" t="n">
        <v>1</v>
      </c>
      <c r="E230" s="143" t="n">
        <v>1</v>
      </c>
      <c r="F230" s="107" t="n">
        <v>5695.634218624235</v>
      </c>
      <c r="G230" s="107" t="n">
        <v>6309.071278125453</v>
      </c>
      <c r="H230" s="107" t="n">
        <v>6922.508337626672</v>
      </c>
      <c r="I230" s="107" t="n">
        <v>7535.945397127889</v>
      </c>
      <c r="J230" s="107" t="n">
        <v>8149.38245662911</v>
      </c>
    </row>
    <row r="231">
      <c r="B231" s="26" t="inlineStr">
        <is>
          <t>Mgmt equity</t>
        </is>
      </c>
      <c r="C231" s="284" t="n">
        <v>0</v>
      </c>
      <c r="D231" s="139" t="n">
        <v>0</v>
      </c>
      <c r="E231" s="143" t="n">
        <v>0</v>
      </c>
      <c r="F231" s="107" t="n">
        <v>0</v>
      </c>
      <c r="G231" s="107" t="n">
        <v>0</v>
      </c>
      <c r="H231" s="107" t="n">
        <v>0</v>
      </c>
      <c r="I231" s="107" t="n">
        <v>0</v>
      </c>
      <c r="J231" s="107" t="n">
        <v>0</v>
      </c>
    </row>
    <row r="232">
      <c r="B232" s="26" t="inlineStr">
        <is>
          <t>Pref. stock</t>
        </is>
      </c>
      <c r="C232" s="144" t="n"/>
      <c r="D232" s="139" t="n"/>
      <c r="E232" s="237" t="n">
        <v>0</v>
      </c>
      <c r="F232" s="107" t="n">
        <v>0</v>
      </c>
      <c r="G232" s="107" t="n">
        <v>0</v>
      </c>
      <c r="H232" s="107" t="n">
        <v>0</v>
      </c>
      <c r="I232" s="107" t="n">
        <v>0</v>
      </c>
      <c r="J232" s="107" t="n">
        <v>0</v>
      </c>
    </row>
    <row r="233">
      <c r="B233" s="26" t="inlineStr">
        <is>
          <t>Sub. Note</t>
        </is>
      </c>
      <c r="C233" s="145" t="n"/>
      <c r="D233" s="146" t="n"/>
      <c r="E233" s="238" t="n">
        <v>0</v>
      </c>
      <c r="F233" s="107" t="n">
        <v>0</v>
      </c>
      <c r="G233" s="107" t="n">
        <v>0</v>
      </c>
      <c r="H233" s="107" t="n">
        <v>0</v>
      </c>
      <c r="I233" s="107" t="n">
        <v>0</v>
      </c>
      <c r="J233" s="107" t="n">
        <v>0</v>
      </c>
    </row>
    <row r="234">
      <c r="B234" s="35" t="n"/>
      <c r="C234" s="35" t="n"/>
      <c r="D234" s="35" t="n"/>
      <c r="E234" s="35" t="n"/>
      <c r="F234" s="42" t="n"/>
      <c r="G234" s="42" t="n"/>
      <c r="H234" s="42" t="n"/>
      <c r="I234" s="42" t="n"/>
    </row>
    <row r="235">
      <c r="B235" s="116" t="inlineStr">
        <is>
          <t>RETURNS</t>
        </is>
      </c>
      <c r="C235" s="35" t="n"/>
      <c r="D235" s="35" t="n"/>
      <c r="E235" s="35" t="n"/>
      <c r="F235" s="42" t="n"/>
      <c r="G235" s="42" t="n"/>
      <c r="H235" s="42" t="n"/>
      <c r="I235" s="42" t="n"/>
    </row>
    <row r="236">
      <c r="C236" s="230" t="inlineStr">
        <is>
          <t>Cash-on-cash</t>
        </is>
      </c>
      <c r="D236" s="230" t="inlineStr">
        <is>
          <t>IRR</t>
        </is>
      </c>
      <c r="E236" s="231" t="inlineStr">
        <is>
          <t>Initial</t>
        </is>
      </c>
      <c r="F236" s="232" t="n">
        <v>2014</v>
      </c>
      <c r="G236" s="232" t="n">
        <v>2015</v>
      </c>
      <c r="H236" s="232" t="n">
        <v>2016</v>
      </c>
      <c r="I236" s="232" t="n">
        <v>2017</v>
      </c>
      <c r="J236" s="232" t="n">
        <v>2018</v>
      </c>
    </row>
    <row r="237">
      <c r="B237" s="4" t="inlineStr">
        <is>
          <t>Revolver</t>
        </is>
      </c>
      <c r="C237" s="137" t="inlineStr">
        <is>
          <t>NM</t>
        </is>
      </c>
      <c r="D237" s="127" t="n">
        <v>0</v>
      </c>
      <c r="E237" s="107" t="n">
        <v>0</v>
      </c>
      <c r="F237" s="107" t="n">
        <v>0</v>
      </c>
      <c r="G237" s="107" t="n">
        <v>0</v>
      </c>
      <c r="H237" s="107" t="n">
        <v>0</v>
      </c>
      <c r="I237" s="107" t="n">
        <v>0</v>
      </c>
      <c r="J237" s="179" t="n">
        <v>0</v>
      </c>
    </row>
    <row r="238">
      <c r="B238" t="inlineStr">
        <is>
          <t>Term Loan A</t>
        </is>
      </c>
      <c r="C238" s="137" t="n">
        <v>1.15053240220166</v>
      </c>
      <c r="D238" s="127" t="n">
        <v>0.04502924458774071</v>
      </c>
      <c r="E238" s="107" t="n">
        <v>-2886.429000000001</v>
      </c>
      <c r="F238" s="107" t="n">
        <v>512.2665221356776</v>
      </c>
      <c r="G238" s="107" t="n">
        <v>598.9800769872302</v>
      </c>
      <c r="H238" s="107" t="n">
        <v>668.0294069656172</v>
      </c>
      <c r="I238" s="107" t="n">
        <v>705.5502679862882</v>
      </c>
      <c r="J238" s="179" t="n">
        <v>836.1038170797226</v>
      </c>
    </row>
    <row r="239">
      <c r="B239" t="inlineStr">
        <is>
          <t>Term Loan B</t>
        </is>
      </c>
      <c r="C239" s="137" t="n">
        <v>1.2316089</v>
      </c>
      <c r="D239" s="127" t="n">
        <v>0.05105015805954571</v>
      </c>
      <c r="E239" s="107" t="n">
        <v>-670.8520000000002</v>
      </c>
      <c r="F239" s="107" t="n">
        <v>62.91605607560003</v>
      </c>
      <c r="G239" s="107" t="n">
        <v>63.50590269660002</v>
      </c>
      <c r="H239" s="107" t="n">
        <v>64.93629333100003</v>
      </c>
      <c r="I239" s="107" t="n">
        <v>65.88749438180002</v>
      </c>
      <c r="J239" s="179" t="n">
        <v>568.9815472978003</v>
      </c>
    </row>
    <row r="240">
      <c r="B240" t="inlineStr">
        <is>
          <t>Senior Note</t>
        </is>
      </c>
      <c r="C240" s="137" t="n">
        <v>1.40625</v>
      </c>
      <c r="D240" s="127" t="n">
        <v>0.08124999999913873</v>
      </c>
      <c r="E240" s="107" t="n">
        <v>-1632.995000000001</v>
      </c>
      <c r="F240" s="107" t="n">
        <v>132.6808437500001</v>
      </c>
      <c r="G240" s="107" t="n">
        <v>132.6808437500001</v>
      </c>
      <c r="H240" s="107" t="n">
        <v>132.6808437500001</v>
      </c>
      <c r="I240" s="107" t="n">
        <v>132.6808437500001</v>
      </c>
      <c r="J240" s="179" t="n">
        <v>1765.675843750001</v>
      </c>
    </row>
    <row r="241">
      <c r="B241" s="34" t="inlineStr">
        <is>
          <t>Sub Note at exit EBITDA multiple of:</t>
        </is>
      </c>
      <c r="C241" s="131" t="n"/>
      <c r="D241" s="127" t="n"/>
      <c r="E241" s="23" t="n"/>
      <c r="F241" s="23" t="n"/>
      <c r="G241" s="23" t="n"/>
      <c r="H241" s="23" t="n"/>
      <c r="I241" s="23" t="n"/>
      <c r="J241" s="50" t="n"/>
    </row>
    <row r="242">
      <c r="B242" s="138" t="n">
        <v>6.3</v>
      </c>
      <c r="C242" s="137" t="inlineStr">
        <is>
          <t>NM</t>
        </is>
      </c>
      <c r="D242" s="127" t="n">
        <v>0</v>
      </c>
      <c r="E242" s="107" t="n">
        <v>0</v>
      </c>
      <c r="F242" s="107" t="n">
        <v>0</v>
      </c>
      <c r="G242" s="107" t="n">
        <v>0</v>
      </c>
      <c r="H242" s="107" t="n">
        <v>0</v>
      </c>
      <c r="I242" s="107" t="n">
        <v>0</v>
      </c>
      <c r="J242" s="179" t="n">
        <v>0</v>
      </c>
    </row>
    <row r="243">
      <c r="B243" s="138" t="n">
        <v>6.8</v>
      </c>
      <c r="C243" s="137" t="inlineStr">
        <is>
          <t>NM</t>
        </is>
      </c>
      <c r="D243" s="127" t="n">
        <v>0</v>
      </c>
      <c r="E243" s="107" t="n">
        <v>0</v>
      </c>
      <c r="F243" s="107" t="n">
        <v>0</v>
      </c>
      <c r="G243" s="107" t="n">
        <v>0</v>
      </c>
      <c r="H243" s="107" t="n">
        <v>0</v>
      </c>
      <c r="I243" s="107" t="n">
        <v>0</v>
      </c>
      <c r="J243" s="179" t="n">
        <v>0</v>
      </c>
    </row>
    <row r="244">
      <c r="B244" s="138" t="n">
        <v>7.3</v>
      </c>
      <c r="C244" s="137" t="inlineStr">
        <is>
          <t>NM</t>
        </is>
      </c>
      <c r="D244" s="127" t="n">
        <v>0</v>
      </c>
      <c r="E244" s="107" t="n">
        <v>0</v>
      </c>
      <c r="F244" s="107" t="n">
        <v>0</v>
      </c>
      <c r="G244" s="107" t="n">
        <v>0</v>
      </c>
      <c r="H244" s="107" t="n">
        <v>0</v>
      </c>
      <c r="I244" s="107" t="n">
        <v>0</v>
      </c>
      <c r="J244" s="179" t="n">
        <v>0</v>
      </c>
    </row>
    <row r="245">
      <c r="B245" s="138" t="n">
        <v>7.8</v>
      </c>
      <c r="C245" s="137" t="inlineStr">
        <is>
          <t>NM</t>
        </is>
      </c>
      <c r="D245" s="127" t="n">
        <v>0</v>
      </c>
      <c r="E245" s="107" t="n">
        <v>0</v>
      </c>
      <c r="F245" s="107" t="n">
        <v>0</v>
      </c>
      <c r="G245" s="107" t="n">
        <v>0</v>
      </c>
      <c r="H245" s="107" t="n">
        <v>0</v>
      </c>
      <c r="I245" s="107" t="n">
        <v>0</v>
      </c>
      <c r="J245" s="179" t="n">
        <v>0</v>
      </c>
    </row>
    <row r="246">
      <c r="B246" s="138" t="n">
        <v>8.300000000000001</v>
      </c>
      <c r="C246" s="137" t="inlineStr">
        <is>
          <t>NM</t>
        </is>
      </c>
      <c r="D246" s="127" t="n">
        <v>0</v>
      </c>
      <c r="E246" s="107" t="n">
        <v>0</v>
      </c>
      <c r="F246" s="107" t="n">
        <v>0</v>
      </c>
      <c r="G246" s="107" t="n">
        <v>0</v>
      </c>
      <c r="H246" s="107" t="n">
        <v>0</v>
      </c>
      <c r="I246" s="107" t="n">
        <v>0</v>
      </c>
      <c r="J246" s="179" t="n">
        <v>0</v>
      </c>
    </row>
    <row r="247">
      <c r="B247" s="34" t="inlineStr">
        <is>
          <t>Preferred Stock at exit EBITDA multiple of:</t>
        </is>
      </c>
      <c r="C247" s="131" t="n"/>
      <c r="D247" s="127" t="n"/>
      <c r="E247" s="23" t="n"/>
      <c r="F247" s="23" t="n"/>
      <c r="G247" s="23" t="n"/>
      <c r="H247" s="23" t="n"/>
      <c r="I247" s="23" t="n"/>
      <c r="J247" s="50" t="n"/>
    </row>
    <row r="248">
      <c r="B248" s="138" t="n">
        <v>6.3</v>
      </c>
      <c r="C248" s="137" t="inlineStr">
        <is>
          <t>NM</t>
        </is>
      </c>
      <c r="D248" s="127" t="n">
        <v>0</v>
      </c>
      <c r="E248" s="107" t="n">
        <v>0</v>
      </c>
      <c r="F248" s="168" t="n">
        <v>0</v>
      </c>
      <c r="G248" s="168" t="n">
        <v>0</v>
      </c>
      <c r="H248" s="168" t="n">
        <v>0</v>
      </c>
      <c r="I248" s="168" t="n">
        <v>0</v>
      </c>
      <c r="J248" s="179" t="n">
        <v>0</v>
      </c>
    </row>
    <row r="249">
      <c r="B249" s="138" t="n">
        <v>6.8</v>
      </c>
      <c r="C249" s="137" t="inlineStr">
        <is>
          <t>NM</t>
        </is>
      </c>
      <c r="D249" s="127" t="n">
        <v>0</v>
      </c>
      <c r="E249" s="107" t="n">
        <v>0</v>
      </c>
      <c r="F249" s="107" t="n">
        <v>0</v>
      </c>
      <c r="G249" s="107" t="n">
        <v>0</v>
      </c>
      <c r="H249" s="107" t="n">
        <v>0</v>
      </c>
      <c r="I249" s="107" t="n">
        <v>0</v>
      </c>
      <c r="J249" s="179" t="n">
        <v>0</v>
      </c>
    </row>
    <row r="250">
      <c r="B250" s="138" t="n">
        <v>7.3</v>
      </c>
      <c r="C250" s="137" t="inlineStr">
        <is>
          <t>NM</t>
        </is>
      </c>
      <c r="D250" s="127" t="n">
        <v>0</v>
      </c>
      <c r="E250" s="107" t="n">
        <v>0</v>
      </c>
      <c r="F250" s="107" t="n">
        <v>0</v>
      </c>
      <c r="G250" s="107" t="n">
        <v>0</v>
      </c>
      <c r="H250" s="107" t="n">
        <v>0</v>
      </c>
      <c r="I250" s="107" t="n">
        <v>0</v>
      </c>
      <c r="J250" s="179" t="n">
        <v>0</v>
      </c>
    </row>
    <row r="251">
      <c r="B251" s="138" t="n">
        <v>7.8</v>
      </c>
      <c r="C251" s="137" t="inlineStr">
        <is>
          <t>NM</t>
        </is>
      </c>
      <c r="D251" s="127" t="n">
        <v>0</v>
      </c>
      <c r="E251" s="107" t="n">
        <v>0</v>
      </c>
      <c r="F251" s="107" t="n">
        <v>0</v>
      </c>
      <c r="G251" s="107" t="n">
        <v>0</v>
      </c>
      <c r="H251" s="107" t="n">
        <v>0</v>
      </c>
      <c r="I251" s="107" t="n">
        <v>0</v>
      </c>
      <c r="J251" s="179" t="n">
        <v>0</v>
      </c>
    </row>
    <row r="252">
      <c r="B252" s="138" t="n">
        <v>8.300000000000001</v>
      </c>
      <c r="C252" s="137" t="inlineStr">
        <is>
          <t>NM</t>
        </is>
      </c>
      <c r="D252" s="127" t="n">
        <v>0</v>
      </c>
      <c r="E252" s="107" t="n">
        <v>0</v>
      </c>
      <c r="F252" s="107" t="n">
        <v>0</v>
      </c>
      <c r="G252" s="107" t="n">
        <v>0</v>
      </c>
      <c r="H252" s="107" t="n">
        <v>0</v>
      </c>
      <c r="I252" s="107" t="n">
        <v>0</v>
      </c>
      <c r="J252" s="179" t="n">
        <v>0</v>
      </c>
    </row>
    <row r="253">
      <c r="B253" s="34" t="inlineStr">
        <is>
          <t>Management Equity at exit EBITDA multiple of:</t>
        </is>
      </c>
      <c r="C253" s="132" t="n"/>
      <c r="D253" s="127" t="n"/>
      <c r="E253" s="23" t="n"/>
      <c r="F253" s="23" t="n"/>
      <c r="G253" s="23" t="n"/>
      <c r="H253" s="23" t="n"/>
      <c r="I253" s="23" t="n"/>
      <c r="J253" s="50" t="n"/>
    </row>
    <row r="254">
      <c r="B254" s="138" t="n">
        <v>6.3</v>
      </c>
      <c r="C254" s="137" t="inlineStr">
        <is>
          <t>NM</t>
        </is>
      </c>
      <c r="D254" s="127" t="n">
        <v>0</v>
      </c>
      <c r="E254" s="107" t="n">
        <v>0</v>
      </c>
      <c r="F254" s="167" t="n">
        <v>0</v>
      </c>
      <c r="G254" s="167" t="n">
        <v>0</v>
      </c>
      <c r="H254" s="167" t="n">
        <v>0</v>
      </c>
      <c r="I254" s="167" t="n">
        <v>0</v>
      </c>
      <c r="J254" s="179" t="n">
        <v>0</v>
      </c>
    </row>
    <row r="255">
      <c r="B255" s="138" t="n">
        <v>6.8</v>
      </c>
      <c r="C255" s="137" t="inlineStr">
        <is>
          <t>NM</t>
        </is>
      </c>
      <c r="D255" s="127" t="n">
        <v>0</v>
      </c>
      <c r="E255" s="107" t="n">
        <v>0</v>
      </c>
      <c r="F255" s="107" t="n">
        <v>0</v>
      </c>
      <c r="G255" s="107" t="n">
        <v>0</v>
      </c>
      <c r="H255" s="107" t="n">
        <v>0</v>
      </c>
      <c r="I255" s="107" t="n">
        <v>0</v>
      </c>
      <c r="J255" s="179" t="n">
        <v>0</v>
      </c>
    </row>
    <row r="256">
      <c r="B256" s="138" t="n">
        <v>7.3</v>
      </c>
      <c r="C256" s="137" t="inlineStr">
        <is>
          <t>NM</t>
        </is>
      </c>
      <c r="D256" s="127" t="n">
        <v>0</v>
      </c>
      <c r="E256" s="107" t="n">
        <v>0</v>
      </c>
      <c r="F256" s="107" t="n">
        <v>0</v>
      </c>
      <c r="G256" s="107" t="n">
        <v>0</v>
      </c>
      <c r="H256" s="107" t="n">
        <v>0</v>
      </c>
      <c r="I256" s="107" t="n">
        <v>0</v>
      </c>
      <c r="J256" s="179" t="n">
        <v>0</v>
      </c>
    </row>
    <row r="257">
      <c r="B257" s="138" t="n">
        <v>7.8</v>
      </c>
      <c r="C257" s="137" t="inlineStr">
        <is>
          <t>NM</t>
        </is>
      </c>
      <c r="D257" s="127" t="n">
        <v>0</v>
      </c>
      <c r="E257" s="107" t="n">
        <v>0</v>
      </c>
      <c r="F257" s="107" t="n">
        <v>0</v>
      </c>
      <c r="G257" s="107" t="n">
        <v>0</v>
      </c>
      <c r="H257" s="107" t="n">
        <v>0</v>
      </c>
      <c r="I257" s="107" t="n">
        <v>0</v>
      </c>
      <c r="J257" s="179" t="n">
        <v>0</v>
      </c>
    </row>
    <row r="258">
      <c r="B258" s="138" t="n">
        <v>8.300000000000001</v>
      </c>
      <c r="C258" s="137" t="inlineStr">
        <is>
          <t>NM</t>
        </is>
      </c>
      <c r="D258" s="127" t="n">
        <v>0</v>
      </c>
      <c r="E258" s="107" t="n">
        <v>0</v>
      </c>
      <c r="F258" s="107" t="n">
        <v>0</v>
      </c>
      <c r="G258" s="107" t="n">
        <v>0</v>
      </c>
      <c r="H258" s="107" t="n">
        <v>0</v>
      </c>
      <c r="I258" s="107" t="n">
        <v>0</v>
      </c>
      <c r="J258" s="179" t="n">
        <v>0</v>
      </c>
    </row>
    <row r="259">
      <c r="B259" s="34" t="inlineStr">
        <is>
          <t>Sponsor's Equity at exit EBITDA multiple of:</t>
        </is>
      </c>
      <c r="C259" s="126" t="n"/>
      <c r="D259" s="128" t="n"/>
      <c r="E259" s="23" t="n"/>
      <c r="F259" s="24" t="n"/>
      <c r="G259" s="24" t="n"/>
      <c r="H259" s="24" t="n"/>
      <c r="I259" s="24" t="n"/>
      <c r="J259" s="129" t="n"/>
    </row>
    <row r="260">
      <c r="B260" s="138" t="n">
        <v>6.3</v>
      </c>
      <c r="C260" s="137" t="n">
        <v>3.430530564433228</v>
      </c>
      <c r="D260" s="127" t="n">
        <v>0.2795941873668486</v>
      </c>
      <c r="E260" s="107" t="n">
        <v>-1660.277939999999</v>
      </c>
      <c r="F260" s="167" t="n">
        <v>0</v>
      </c>
      <c r="G260" s="167" t="n">
        <v>0</v>
      </c>
      <c r="H260" s="167" t="n">
        <v>0</v>
      </c>
      <c r="I260" s="167" t="n">
        <v>0</v>
      </c>
      <c r="J260" s="179" t="n">
        <v>5695.634218624235</v>
      </c>
    </row>
    <row r="261">
      <c r="B261" s="138" t="n">
        <v>6.8</v>
      </c>
      <c r="C261" s="137" t="n">
        <v>3.800009098552172</v>
      </c>
      <c r="D261" s="127" t="n">
        <v>0.3060413503798853</v>
      </c>
      <c r="E261" s="107" t="n">
        <v>-1660.277939999999</v>
      </c>
      <c r="F261" s="107" t="n">
        <v>0</v>
      </c>
      <c r="G261" s="107" t="n">
        <v>0</v>
      </c>
      <c r="H261" s="107" t="n">
        <v>0</v>
      </c>
      <c r="I261" s="107" t="n">
        <v>0</v>
      </c>
      <c r="J261" s="179" t="n">
        <v>6309.071278125453</v>
      </c>
    </row>
    <row r="262">
      <c r="B262" s="138" t="n">
        <v>7.3</v>
      </c>
      <c r="C262" s="137" t="n">
        <v>4.169487632671115</v>
      </c>
      <c r="D262" s="127" t="n">
        <v>0.3305050828444873</v>
      </c>
      <c r="E262" s="107" t="n">
        <v>-1660.277939999999</v>
      </c>
      <c r="F262" s="107" t="n">
        <v>0</v>
      </c>
      <c r="G262" s="107" t="n">
        <v>0</v>
      </c>
      <c r="H262" s="107" t="n">
        <v>0</v>
      </c>
      <c r="I262" s="107" t="n">
        <v>0</v>
      </c>
      <c r="J262" s="179" t="n">
        <v>6922.508337626672</v>
      </c>
    </row>
    <row r="263">
      <c r="B263" s="138" t="n">
        <v>7.8</v>
      </c>
      <c r="C263" s="137" t="n">
        <v>4.538966166790057</v>
      </c>
      <c r="D263" s="127" t="n">
        <v>0.3532916093100265</v>
      </c>
      <c r="E263" s="107" t="n">
        <v>-1660.277939999999</v>
      </c>
      <c r="F263" s="107" t="n">
        <v>0</v>
      </c>
      <c r="G263" s="107" t="n">
        <v>0</v>
      </c>
      <c r="H263" s="107" t="n">
        <v>0</v>
      </c>
      <c r="I263" s="107" t="n">
        <v>0</v>
      </c>
      <c r="J263" s="179" t="n">
        <v>7535.945397127889</v>
      </c>
    </row>
    <row r="264">
      <c r="B264" s="138" t="n">
        <v>8.300000000000001</v>
      </c>
      <c r="C264" s="137" t="n">
        <v>4.908444700909001</v>
      </c>
      <c r="D264" s="127" t="n">
        <v>0.3746393777884374</v>
      </c>
      <c r="E264" s="107" t="n">
        <v>-1660.277939999999</v>
      </c>
      <c r="F264" s="107" t="n">
        <v>0</v>
      </c>
      <c r="G264" s="107" t="n">
        <v>0</v>
      </c>
      <c r="H264" s="107" t="n">
        <v>0</v>
      </c>
      <c r="I264" s="107" t="n">
        <v>0</v>
      </c>
      <c r="J264" s="179" t="n">
        <v>8149.38245662911</v>
      </c>
    </row>
    <row r="266">
      <c r="B266" s="11" t="inlineStr">
        <is>
          <t>SUMMARY @ 13.0x EXIT — AI vs Base (see Strategy_Summary)</t>
        </is>
      </c>
      <c r="C266" s="13" t="n"/>
      <c r="D266" s="13" t="n"/>
      <c r="E266" s="13" t="n"/>
    </row>
    <row r="267">
      <c r="B267" s="22" t="n"/>
      <c r="F267" s="230" t="inlineStr">
        <is>
          <t>Financing</t>
        </is>
      </c>
      <c r="G267" s="230" t="inlineStr">
        <is>
          <t>% of Total Capital</t>
        </is>
      </c>
      <c r="H267" s="230" t="inlineStr">
        <is>
          <t>% FD Ownership</t>
        </is>
      </c>
      <c r="I267" s="230" t="inlineStr">
        <is>
          <t>Cash-on-cash</t>
        </is>
      </c>
      <c r="J267" s="230" t="inlineStr">
        <is>
          <t>Expected IRR</t>
        </is>
      </c>
    </row>
    <row r="268">
      <c r="B268" t="inlineStr">
        <is>
          <t>Revolver</t>
        </is>
      </c>
      <c r="F268" s="192" t="n">
        <v>0</v>
      </c>
      <c r="G268" s="134" t="n">
        <v>0</v>
      </c>
      <c r="H268" s="131" t="n"/>
      <c r="I268" s="137" t="inlineStr">
        <is>
          <t>NM</t>
        </is>
      </c>
      <c r="J268" s="285" t="n">
        <v>0</v>
      </c>
    </row>
    <row r="269">
      <c r="B269" t="inlineStr">
        <is>
          <t>Term Loan A</t>
        </is>
      </c>
      <c r="F269" s="192" t="n">
        <v>2886.429000000001</v>
      </c>
      <c r="G269" s="134" t="n">
        <v>0.4213424235880114</v>
      </c>
      <c r="H269" s="131" t="n"/>
      <c r="I269" s="137" t="n">
        <v>1.15053240220166</v>
      </c>
      <c r="J269" s="285" t="n">
        <v>0.04502924458774071</v>
      </c>
    </row>
    <row r="270">
      <c r="B270" t="inlineStr">
        <is>
          <t>Term Loan B</t>
        </is>
      </c>
      <c r="F270" s="192" t="n">
        <v>670.8520000000002</v>
      </c>
      <c r="G270" s="134" t="n">
        <v>0.09792667948834516</v>
      </c>
      <c r="H270" s="131" t="n"/>
      <c r="I270" s="137" t="n">
        <v>1.2316089</v>
      </c>
      <c r="J270" s="285" t="n">
        <v>0.05105015805954571</v>
      </c>
    </row>
    <row r="271">
      <c r="B271" t="inlineStr">
        <is>
          <t>Senior Note</t>
        </is>
      </c>
      <c r="F271" s="192" t="n">
        <v>1632.995000000001</v>
      </c>
      <c r="G271" s="134" t="n">
        <v>0.2383741540176823</v>
      </c>
      <c r="H271" s="131" t="n"/>
      <c r="I271" s="137" t="n">
        <v>1.40625</v>
      </c>
      <c r="J271" s="285" t="n">
        <v>0.08124999999913873</v>
      </c>
    </row>
    <row r="272">
      <c r="B272" t="inlineStr">
        <is>
          <t>Sub Note</t>
        </is>
      </c>
      <c r="F272" s="192" t="n">
        <v>0</v>
      </c>
      <c r="G272" s="134" t="n">
        <v>0</v>
      </c>
      <c r="H272" s="134" t="n">
        <v>0</v>
      </c>
      <c r="I272" s="137" t="inlineStr">
        <is>
          <t>NM</t>
        </is>
      </c>
      <c r="J272" s="285" t="n">
        <v>0</v>
      </c>
      <c r="K272" s="23" t="n"/>
    </row>
    <row r="273">
      <c r="B273" t="inlineStr">
        <is>
          <t>Preferred stock</t>
        </is>
      </c>
      <c r="F273" s="192" t="n">
        <v>0</v>
      </c>
      <c r="G273" s="134" t="n">
        <v>0</v>
      </c>
      <c r="H273" s="134" t="n">
        <v>0</v>
      </c>
      <c r="I273" s="137" t="inlineStr">
        <is>
          <t>NM</t>
        </is>
      </c>
      <c r="J273" s="285" t="n">
        <v>0</v>
      </c>
    </row>
    <row r="274">
      <c r="B274" t="inlineStr">
        <is>
          <t>Mgmt rollover</t>
        </is>
      </c>
      <c r="F274" s="192" t="n">
        <v>0</v>
      </c>
      <c r="G274" s="134" t="n">
        <v>0</v>
      </c>
      <c r="H274" s="134" t="n">
        <v>0</v>
      </c>
      <c r="I274" s="137" t="inlineStr">
        <is>
          <t>NM</t>
        </is>
      </c>
      <c r="J274" s="285" t="n">
        <v>0</v>
      </c>
    </row>
    <row r="275">
      <c r="B275" t="inlineStr">
        <is>
          <t>Sponsor equity (AI case)</t>
        </is>
      </c>
      <c r="F275" s="192" t="n">
        <v>1871.3</v>
      </c>
      <c r="G275" s="134" t="n">
        <v>0.2423567429059611</v>
      </c>
      <c r="H275" s="134" t="n">
        <v>1</v>
      </c>
      <c r="I275" s="137" t="n">
        <v>3.317</v>
      </c>
      <c r="J275" s="285" t="n">
        <v>0.271</v>
      </c>
    </row>
    <row r="276">
      <c r="B276" s="27" t="inlineStr">
        <is>
          <t>Sponsor equity (Base case)</t>
        </is>
      </c>
      <c r="F276" s="205" t="n">
        <v>6850.553940000001</v>
      </c>
      <c r="G276" s="136" t="n">
        <v>1</v>
      </c>
      <c r="H276" s="136" t="n">
        <v>1</v>
      </c>
      <c r="I276" t="n">
        <v>1.177</v>
      </c>
      <c r="J276" t="n">
        <v>0.033</v>
      </c>
    </row>
    <row r="277">
      <c r="B277" s="27" t="inlineStr">
        <is>
          <t>IRR uplift from AI S&amp;M (percentage points)</t>
        </is>
      </c>
      <c r="E277" s="135" t="n"/>
      <c r="G277" s="136" t="n"/>
      <c r="H277" s="136" t="n"/>
      <c r="J277" t="n">
        <v>0.2379</v>
      </c>
    </row>
    <row r="278">
      <c r="B278" s="11" t="inlineStr">
        <is>
          <t>SENSITIVITY ANALYISIS</t>
        </is>
      </c>
      <c r="C278" s="13" t="n"/>
      <c r="D278" s="157" t="n"/>
      <c r="E278" s="235" t="n"/>
      <c r="F278" s="157" t="n"/>
      <c r="G278" s="157" t="n"/>
      <c r="H278" s="157" t="n"/>
      <c r="I278" s="13" t="n"/>
      <c r="J278" s="13" t="n"/>
    </row>
    <row r="279">
      <c r="B279" s="159" t="n"/>
      <c r="C279" s="158" t="n"/>
      <c r="D279" s="158" t="n"/>
      <c r="E279" s="233" t="n"/>
      <c r="F279" s="158" t="n"/>
      <c r="G279" s="158" t="n"/>
      <c r="H279" s="158" t="n"/>
    </row>
    <row r="280">
      <c r="B280" s="35" t="n"/>
      <c r="C280" s="262" t="inlineStr">
        <is>
          <t>Actual</t>
        </is>
      </c>
      <c r="E280" s="264" t="inlineStr">
        <is>
          <t>Offer Price / Share At Various Sponsor Hurdle Rates</t>
        </is>
      </c>
      <c r="F280" s="265" t="n"/>
      <c r="G280" s="265" t="n"/>
      <c r="H280" s="265" t="n"/>
      <c r="I280" s="265" t="n"/>
      <c r="J280" s="266" t="n"/>
    </row>
    <row r="281">
      <c r="B281" t="inlineStr">
        <is>
          <t>Sponsor Hurdle Rate (Minimum IRR)</t>
        </is>
      </c>
      <c r="C281" s="256" t="n">
        <v>0.3305050828444873</v>
      </c>
      <c r="E281" s="267" t="n">
        <v>0.15</v>
      </c>
      <c r="F281" s="268" t="n">
        <v>0.2</v>
      </c>
      <c r="G281" s="268" t="n">
        <v>0.25</v>
      </c>
      <c r="H281" s="268" t="n">
        <v>0.3</v>
      </c>
      <c r="I281" s="268" t="n">
        <v>0.35</v>
      </c>
      <c r="J281" s="269" t="n">
        <v>0.4</v>
      </c>
    </row>
    <row r="282">
      <c r="B282" t="inlineStr">
        <is>
          <t>Offer value</t>
        </is>
      </c>
      <c r="C282" s="254" t="n">
        <v>6741.92625</v>
      </c>
      <c r="E282" s="249" t="n">
        <v>8523.358405376423</v>
      </c>
      <c r="F282" s="42" t="n">
        <v>7863.649152989116</v>
      </c>
      <c r="G282" s="42" t="n">
        <v>7350.015842073511</v>
      </c>
      <c r="H282" s="42" t="n">
        <v>6946.081072704031</v>
      </c>
      <c r="I282" s="42" t="n">
        <v>6625.461137026155</v>
      </c>
      <c r="J282" s="270" t="n">
        <v>6368.780966338632</v>
      </c>
    </row>
    <row r="283">
      <c r="B283" t="inlineStr">
        <is>
          <t>Diluted shares outstanding</t>
        </is>
      </c>
      <c r="C283" s="257" t="n">
        <v>145.7713783783784</v>
      </c>
      <c r="E283" s="246" t="n">
        <v>145.7713783783784</v>
      </c>
      <c r="F283" s="23" t="n">
        <v>145.7713783783784</v>
      </c>
      <c r="G283" s="23" t="n">
        <v>145.7713783783784</v>
      </c>
      <c r="H283" s="23" t="n">
        <v>145.7713783783784</v>
      </c>
      <c r="I283" s="23" t="n">
        <v>145.7713783783784</v>
      </c>
      <c r="J283" s="271" t="n">
        <v>145.7713783783784</v>
      </c>
    </row>
    <row r="284">
      <c r="B284" t="inlineStr">
        <is>
          <t>Offer value / per share</t>
        </is>
      </c>
      <c r="C284" s="258" t="n">
        <v>46.25</v>
      </c>
      <c r="E284" s="247" t="n">
        <v>58.47072655958814</v>
      </c>
      <c r="F284" s="106" t="n">
        <v>53.9450833247763</v>
      </c>
      <c r="G284" s="106" t="n">
        <v>50.42152941021861</v>
      </c>
      <c r="H284" s="106" t="n">
        <v>47.65051377009077</v>
      </c>
      <c r="I284" s="106" t="n">
        <v>45.45104265824024</v>
      </c>
      <c r="J284" s="224" t="n">
        <v>43.69020199429825</v>
      </c>
    </row>
    <row r="285">
      <c r="B285" s="61" t="inlineStr">
        <is>
          <t>% Premium / discount</t>
        </is>
      </c>
      <c r="C285" s="259" t="n">
        <v>0.01827388815499775</v>
      </c>
      <c r="E285" s="248" t="n">
        <v>0.2873343584233408</v>
      </c>
      <c r="F285" s="251" t="n">
        <v>0.1876944809506009</v>
      </c>
      <c r="G285" s="251" t="n">
        <v>0.1101173362003216</v>
      </c>
      <c r="H285" s="251" t="n">
        <v>0.04910862549737494</v>
      </c>
      <c r="I285" s="251" t="n">
        <v>0.0006834579092962478</v>
      </c>
      <c r="J285" s="272" t="n">
        <v>-0.03808450034570132</v>
      </c>
    </row>
    <row r="286">
      <c r="B286" s="61" t="n"/>
      <c r="C286" s="260" t="n"/>
      <c r="E286" s="248" t="n"/>
      <c r="F286" s="251" t="n"/>
      <c r="G286" s="251" t="n"/>
      <c r="H286" s="251" t="n"/>
      <c r="I286" s="251" t="n"/>
      <c r="J286" s="272" t="n"/>
    </row>
    <row r="287">
      <c r="B287" s="35" t="inlineStr">
        <is>
          <t>Enterprise value</t>
        </is>
      </c>
      <c r="C287" s="261" t="n">
        <v>6466.026250000001</v>
      </c>
      <c r="E287" s="249" t="n">
        <v>8247.458405376423</v>
      </c>
      <c r="F287" s="42" t="n">
        <v>7587.749152989118</v>
      </c>
      <c r="G287" s="42" t="n">
        <v>7074.11584207351</v>
      </c>
      <c r="H287" s="42" t="n">
        <v>6670.18107270403</v>
      </c>
      <c r="I287" s="42" t="n">
        <v>6349.561137026154</v>
      </c>
      <c r="J287" s="270" t="n">
        <v>6092.880966338633</v>
      </c>
    </row>
    <row r="288">
      <c r="B288" s="61" t="inlineStr">
        <is>
          <t>EV / LTM EBITDA multiple</t>
        </is>
      </c>
      <c r="C288" s="263" t="n">
        <v>7.325281805823042</v>
      </c>
      <c r="E288" s="250" t="n">
        <v>9.343444437947683</v>
      </c>
      <c r="F288" s="273" t="n">
        <v>8.596067920005796</v>
      </c>
      <c r="G288" s="273" t="n">
        <v>8.014179043926031</v>
      </c>
      <c r="H288" s="273" t="n">
        <v>7.556566299653368</v>
      </c>
      <c r="I288" s="273" t="n">
        <v>7.193339908265721</v>
      </c>
      <c r="J288" s="274" t="n">
        <v>6.902550092147537</v>
      </c>
    </row>
    <row r="289">
      <c r="B289" s="34" t="n"/>
      <c r="E289" s="164" t="n"/>
    </row>
    <row r="290">
      <c r="D290" s="234" t="inlineStr">
        <is>
          <t>Sponsor IRR At Various Leverage And Initial EBITDA Multiple Sensitivity</t>
        </is>
      </c>
      <c r="E290" s="157" t="n"/>
      <c r="F290" s="157" t="n"/>
      <c r="G290" s="235" t="n"/>
      <c r="H290" s="157" t="n"/>
      <c r="I290" s="157" t="n"/>
      <c r="J290" s="157" t="n"/>
    </row>
    <row r="291">
      <c r="B291" s="275" t="inlineStr">
        <is>
          <t>Highlight IRR &gt;</t>
        </is>
      </c>
      <c r="D291" s="211" t="inlineStr">
        <is>
          <t>EXPLICIT EBITDA (APPROACH 1) MUST BE SELECTED FOR DATA TABLE TO APPEAR</t>
        </is>
      </c>
      <c r="E291" s="45" t="n"/>
      <c r="F291" s="45" t="n"/>
      <c r="G291" s="45" t="n"/>
      <c r="H291" s="45" t="n"/>
      <c r="I291" s="45" t="n"/>
      <c r="J291" s="45" t="n"/>
    </row>
    <row r="292">
      <c r="B292" s="276" t="n">
        <v>0.3</v>
      </c>
      <c r="F292" s="159" t="inlineStr">
        <is>
          <t>Term A / EBITDA ratio (other cumulative leverage of 2.6x)</t>
        </is>
      </c>
      <c r="G292" s="160" t="n"/>
      <c r="H292" s="160" t="n"/>
      <c r="I292" s="160" t="n"/>
      <c r="J292" s="160" t="n"/>
      <c r="M292" s="45" t="n"/>
      <c r="N292" s="45" t="n"/>
    </row>
    <row r="293">
      <c r="E293" s="161" t="n">
        <v>0.3305050828444873</v>
      </c>
      <c r="F293" s="212" t="n">
        <v>3</v>
      </c>
      <c r="G293" s="206" t="n">
        <v>3.25</v>
      </c>
      <c r="H293" s="206" t="n">
        <v>3.5</v>
      </c>
      <c r="I293" s="206" t="n">
        <v>3.75</v>
      </c>
      <c r="J293" s="206" t="n">
        <v>4</v>
      </c>
    </row>
    <row r="294" ht="15" customHeight="1" s="381">
      <c r="D294" s="208" t="n"/>
      <c r="E294" s="212" t="n">
        <v>7</v>
      </c>
      <c r="F294" s="7" t="n">
        <v>0.306597235533177</v>
      </c>
      <c r="G294" s="7" t="n">
        <v>0.3285696518248762</v>
      </c>
      <c r="H294" s="7" t="n">
        <v>0.3550765360456567</v>
      </c>
      <c r="I294" s="7" t="n">
        <v>0.3878570517986382</v>
      </c>
      <c r="J294" s="6" t="n">
        <v>0.4297704340734299</v>
      </c>
    </row>
    <row r="295">
      <c r="D295" s="208" t="inlineStr">
        <is>
          <t>Initial</t>
        </is>
      </c>
      <c r="E295" s="209" t="n">
        <v>7.25</v>
      </c>
      <c r="F295" s="7" t="n">
        <v>0.3065972788196272</v>
      </c>
      <c r="G295" s="7" t="n">
        <v>0.3285696518248762</v>
      </c>
      <c r="H295" s="7" t="n">
        <v>0.3550765360456567</v>
      </c>
      <c r="I295" s="7" t="n">
        <v>0.3878570517986382</v>
      </c>
      <c r="J295" s="6" t="n">
        <v>0.4297704340734299</v>
      </c>
    </row>
    <row r="296">
      <c r="D296" s="208" t="inlineStr">
        <is>
          <t>EBITDA</t>
        </is>
      </c>
      <c r="E296" s="209" t="n">
        <v>7.5</v>
      </c>
      <c r="F296" s="7" t="n">
        <v>0.3065972788196272</v>
      </c>
      <c r="G296" s="7" t="n">
        <v>0.3285696518248762</v>
      </c>
      <c r="H296" s="7" t="n">
        <v>0.3550765360456567</v>
      </c>
      <c r="I296" s="7" t="n">
        <v>0.3878570517986382</v>
      </c>
      <c r="J296" s="6" t="n">
        <v>0.4297704340734299</v>
      </c>
    </row>
    <row r="297">
      <c r="D297" s="208" t="inlineStr">
        <is>
          <t>Multiple:</t>
        </is>
      </c>
      <c r="E297" s="209" t="n">
        <v>7.75</v>
      </c>
      <c r="F297" s="7" t="n">
        <v>0.3065972788196272</v>
      </c>
      <c r="G297" s="7" t="n">
        <v>0.3285696518248762</v>
      </c>
      <c r="H297" s="7" t="n">
        <v>0.3550765360456567</v>
      </c>
      <c r="I297" s="7" t="n">
        <v>0.3878570517986382</v>
      </c>
      <c r="J297" s="6" t="n">
        <v>0.4297704340734299</v>
      </c>
    </row>
    <row r="298">
      <c r="D298" s="208" t="n"/>
      <c r="E298" s="209" t="n">
        <v>8</v>
      </c>
      <c r="F298" s="7" t="n">
        <v>0.3065972788196272</v>
      </c>
      <c r="G298" s="7" t="n">
        <v>0.3285696518248762</v>
      </c>
      <c r="H298" s="7" t="n">
        <v>0.3550765360456567</v>
      </c>
      <c r="I298" s="7" t="n">
        <v>0.3878570517986382</v>
      </c>
      <c r="J298" s="6" t="n">
        <v>0.4297704340734299</v>
      </c>
    </row>
    <row r="300">
      <c r="D300" s="234" t="inlineStr">
        <is>
          <t>Sponsor IRR At Various Leverage And Offer Price / Share Sensitivity</t>
        </is>
      </c>
      <c r="E300" s="157" t="n"/>
      <c r="F300" s="157" t="n"/>
      <c r="G300" s="235" t="n"/>
      <c r="H300" s="157" t="n"/>
      <c r="I300" s="157" t="n"/>
      <c r="J300" s="157" t="n"/>
    </row>
    <row r="301">
      <c r="D301" s="211" t="inlineStr">
        <is>
          <t>EXPLICIT OFFER PRICE / SHARE (APPROACH 2) MUST BE SELECTED FOR DATA TABLE TO APPEAR</t>
        </is>
      </c>
      <c r="E301" s="45" t="n"/>
      <c r="F301" s="45" t="n"/>
      <c r="G301" s="45" t="n"/>
      <c r="H301" s="45" t="n"/>
      <c r="I301" s="45" t="n"/>
      <c r="J301" s="45" t="n"/>
    </row>
    <row r="302">
      <c r="F302" s="159" t="inlineStr">
        <is>
          <t>Term A / EBITDA ratio (other cumulative leverage of 2.6x)</t>
        </is>
      </c>
      <c r="G302" s="160" t="n"/>
      <c r="H302" s="160" t="n"/>
      <c r="I302" s="160" t="n"/>
      <c r="J302" s="160" t="n"/>
    </row>
    <row r="303">
      <c r="E303" s="161" t="n">
        <v>0.3305050828444873</v>
      </c>
      <c r="F303" s="212" t="n">
        <v>3</v>
      </c>
      <c r="G303" s="206" t="n">
        <v>3.25</v>
      </c>
      <c r="H303" s="206" t="n">
        <v>3.5</v>
      </c>
      <c r="I303" s="206" t="n">
        <v>3.75</v>
      </c>
      <c r="J303" s="206" t="n">
        <v>4</v>
      </c>
    </row>
    <row r="304">
      <c r="D304" s="208" t="n"/>
      <c r="E304" s="178" t="n">
        <v>45</v>
      </c>
      <c r="F304" s="7" t="n">
        <v>0.333852523632834</v>
      </c>
      <c r="G304" s="7" t="n">
        <v>0.3601376555309279</v>
      </c>
      <c r="H304" s="7" t="n">
        <v>0.3924776788740911</v>
      </c>
      <c r="I304" s="7" t="n">
        <v>0.433550866893905</v>
      </c>
      <c r="J304" s="6" t="n">
        <v>0.488104080056188</v>
      </c>
    </row>
    <row r="305">
      <c r="D305" s="208" t="inlineStr">
        <is>
          <t>Initial</t>
        </is>
      </c>
      <c r="E305" s="207" t="n">
        <v>45.25</v>
      </c>
      <c r="F305" s="7" t="n">
        <v>0.3281252707882212</v>
      </c>
      <c r="G305" s="7" t="n">
        <v>0.3534590099865351</v>
      </c>
      <c r="H305" s="7" t="n">
        <v>0.3844939801886209</v>
      </c>
      <c r="I305" s="7" t="n">
        <v>0.4236762156017959</v>
      </c>
      <c r="J305" s="6" t="n">
        <v>0.4752682250597036</v>
      </c>
    </row>
    <row r="306">
      <c r="D306" s="208" t="inlineStr">
        <is>
          <t>Offer</t>
        </is>
      </c>
      <c r="E306" s="207" t="n">
        <v>45.5</v>
      </c>
      <c r="F306" s="7" t="n">
        <v>0.322542428040524</v>
      </c>
      <c r="G306" s="7" t="n">
        <v>0.3469724205248608</v>
      </c>
      <c r="H306" s="7" t="n">
        <v>0.3767772861737244</v>
      </c>
      <c r="I306" s="7" t="n">
        <v>0.4141961196694628</v>
      </c>
      <c r="J306" s="6" t="n">
        <v>0.4630692819485509</v>
      </c>
    </row>
    <row r="307">
      <c r="D307" s="208" t="inlineStr">
        <is>
          <t>Price:</t>
        </is>
      </c>
      <c r="E307" s="207" t="n">
        <v>45.75</v>
      </c>
      <c r="F307" s="7" t="n">
        <v>0.3170974972664742</v>
      </c>
      <c r="G307" s="7" t="n">
        <v>0.3406679984195311</v>
      </c>
      <c r="H307" s="7" t="n">
        <v>0.369311668941261</v>
      </c>
      <c r="I307" s="7" t="n">
        <v>0.4050826060064987</v>
      </c>
      <c r="J307" s="6" t="n">
        <v>0.4514516059303442</v>
      </c>
    </row>
    <row r="308">
      <c r="D308" s="208" t="n"/>
      <c r="E308" s="207" t="n">
        <v>46</v>
      </c>
      <c r="F308" s="7" t="n">
        <v>0.3117843584538174</v>
      </c>
      <c r="G308" s="7" t="n">
        <v>0.3345365786265331</v>
      </c>
      <c r="H308" s="7" t="n">
        <v>0.3620825462333435</v>
      </c>
      <c r="I308" s="7" t="n">
        <v>0.3963104963405388</v>
      </c>
      <c r="J308" s="6" t="n">
        <v>0.4403663540732419</v>
      </c>
    </row>
    <row r="310">
      <c r="D310" s="234" t="inlineStr">
        <is>
          <t>Sponsor IRR @ Preferred &amp; Sub Note Equity Kicker Sensitivity</t>
        </is>
      </c>
      <c r="E310" s="157" t="n"/>
      <c r="F310" s="157" t="n"/>
      <c r="G310" s="235" t="n"/>
      <c r="H310" s="157" t="n"/>
      <c r="I310" s="157" t="n"/>
      <c r="J310" s="157" t="n"/>
    </row>
    <row r="311">
      <c r="F311" s="159" t="inlineStr">
        <is>
          <t>Sub Note Equity Kicker</t>
        </is>
      </c>
      <c r="G311" s="160" t="n"/>
      <c r="H311" s="160" t="n"/>
      <c r="I311" s="160" t="n"/>
      <c r="J311" s="160" t="n"/>
    </row>
    <row r="312">
      <c r="E312" s="161" t="n">
        <v>0.3305050828444873</v>
      </c>
      <c r="F312" s="213" t="n">
        <v>0</v>
      </c>
      <c r="G312" s="162" t="n">
        <v>0.02</v>
      </c>
      <c r="H312" s="162" t="n">
        <v>0.04</v>
      </c>
      <c r="I312" s="162" t="n">
        <v>0.06</v>
      </c>
      <c r="J312" s="162" t="n">
        <v>0.08</v>
      </c>
    </row>
    <row r="313">
      <c r="D313" s="208" t="n"/>
      <c r="E313" s="213" t="n">
        <v>0</v>
      </c>
      <c r="F313" s="7" t="n">
        <v>0.3305050799786786</v>
      </c>
      <c r="G313" s="7" t="n">
        <v>0.3251399681067006</v>
      </c>
      <c r="H313" s="7" t="n">
        <v>0.3196865321790505</v>
      </c>
      <c r="I313" s="7" t="n">
        <v>0.3141414345792028</v>
      </c>
      <c r="J313" s="6" t="n">
        <v>0.3085011343441604</v>
      </c>
    </row>
    <row r="314">
      <c r="D314" s="208" t="inlineStr">
        <is>
          <t>Preferred</t>
        </is>
      </c>
      <c r="E314" s="210" t="n">
        <v>0.02</v>
      </c>
      <c r="F314" s="7" t="n">
        <v>0.3251399681732201</v>
      </c>
      <c r="G314" s="7" t="n">
        <v>0.3196865321805167</v>
      </c>
      <c r="H314" s="7" t="n">
        <v>0.3141414345792337</v>
      </c>
      <c r="I314" s="7" t="n">
        <v>0.308501134344161</v>
      </c>
      <c r="J314" s="6" t="n">
        <v>0.3027618729690769</v>
      </c>
    </row>
    <row r="315">
      <c r="D315" s="208" t="inlineStr">
        <is>
          <t>Equity</t>
        </is>
      </c>
      <c r="E315" s="210" t="n">
        <v>0.04</v>
      </c>
      <c r="F315" s="7" t="n">
        <v>0.3196865321805167</v>
      </c>
      <c r="G315" s="7" t="n">
        <v>0.3141414345792337</v>
      </c>
      <c r="H315" s="7" t="n">
        <v>0.308501134344161</v>
      </c>
      <c r="I315" s="7" t="n">
        <v>0.3027618729690769</v>
      </c>
      <c r="J315" s="6" t="n">
        <v>0.2969196559822402</v>
      </c>
    </row>
    <row r="316">
      <c r="D316" s="208" t="inlineStr">
        <is>
          <t>Kicker:</t>
        </is>
      </c>
      <c r="E316" s="210" t="n">
        <v>0.06</v>
      </c>
      <c r="F316" s="7" t="n">
        <v>0.3141414345792337</v>
      </c>
      <c r="G316" s="7" t="n">
        <v>0.308501134344161</v>
      </c>
      <c r="H316" s="7" t="n">
        <v>0.3027618729690769</v>
      </c>
      <c r="I316" s="7" t="n">
        <v>0.2969196559822402</v>
      </c>
      <c r="J316" s="6" t="n">
        <v>0.2909702322912278</v>
      </c>
    </row>
    <row r="317">
      <c r="D317" s="208" t="n"/>
      <c r="E317" s="210" t="n">
        <v>0.08</v>
      </c>
      <c r="F317" s="7" t="n">
        <v>0.308501134344161</v>
      </c>
      <c r="G317" s="7" t="n">
        <v>0.3027618729690769</v>
      </c>
      <c r="H317" s="7" t="n">
        <v>0.2969196559822402</v>
      </c>
      <c r="I317" s="7" t="n">
        <v>0.290970232291228</v>
      </c>
      <c r="J317" s="6" t="n">
        <v>0.2849090713511313</v>
      </c>
    </row>
    <row r="319">
      <c r="B319" s="11" t="inlineStr">
        <is>
          <t>PRO FORMA BALANCE SHEET ADJUSTMENTS</t>
        </is>
      </c>
      <c r="C319" s="13" t="n"/>
      <c r="D319" s="13" t="n"/>
      <c r="E319" s="13" t="n"/>
      <c r="F319" s="13" t="n"/>
      <c r="G319" s="13" t="n"/>
      <c r="H319" s="13" t="n"/>
      <c r="I319" s="13" t="n"/>
      <c r="J319" s="13" t="n"/>
    </row>
    <row r="320">
      <c r="H320" s="196" t="n"/>
      <c r="J320" s="197" t="inlineStr">
        <is>
          <t>Pro forma</t>
        </is>
      </c>
    </row>
    <row r="321">
      <c r="E321" s="14" t="n">
        <v>2012</v>
      </c>
      <c r="F321" s="14" t="n">
        <v>2013</v>
      </c>
      <c r="G321" s="45" t="inlineStr">
        <is>
          <t>Pro forma adjustments</t>
        </is>
      </c>
      <c r="H321" s="190" t="n"/>
      <c r="I321" s="45" t="n"/>
      <c r="J321" s="22" t="n">
        <v>2013</v>
      </c>
    </row>
    <row r="322">
      <c r="B322" s="13" t="n"/>
      <c r="C322" s="13" t="n"/>
      <c r="D322" s="13" t="n"/>
      <c r="E322" s="189" t="n">
        <v>40999</v>
      </c>
      <c r="F322" s="189" t="n">
        <v>41364</v>
      </c>
      <c r="G322" s="191" t="inlineStr">
        <is>
          <t>Uses of funds</t>
        </is>
      </c>
      <c r="H322" s="191" t="inlineStr">
        <is>
          <t>Sources of funds</t>
        </is>
      </c>
      <c r="I322" s="191" t="inlineStr">
        <is>
          <t>Accounting</t>
        </is>
      </c>
      <c r="J322" s="189" t="n">
        <v>41364</v>
      </c>
    </row>
    <row r="323">
      <c r="B323" s="26" t="inlineStr">
        <is>
          <t>Cash</t>
        </is>
      </c>
      <c r="E323" s="107" t="n">
        <v>1635.6</v>
      </c>
      <c r="F323" s="107" t="n">
        <v>1581.9</v>
      </c>
      <c r="G323" s="192" t="n">
        <v>-8252.453940000001</v>
      </c>
      <c r="H323" s="192" t="n">
        <v>6850.553940000001</v>
      </c>
      <c r="I323" s="192" t="n"/>
      <c r="J323" s="107" t="n">
        <v>179.9999999999991</v>
      </c>
    </row>
    <row r="324">
      <c r="B324" s="26" t="inlineStr">
        <is>
          <t>Accounts receivable, EOP</t>
        </is>
      </c>
      <c r="E324" s="107" t="n">
        <v>484.8</v>
      </c>
      <c r="F324" s="107" t="n">
        <v>443.7</v>
      </c>
      <c r="G324" s="131" t="n"/>
      <c r="H324" s="192" t="n"/>
      <c r="I324" s="192" t="n"/>
      <c r="J324" s="107" t="n">
        <v>443.7</v>
      </c>
    </row>
    <row r="325">
      <c r="B325" s="26" t="inlineStr">
        <is>
          <t>Other current assets, EOP</t>
        </is>
      </c>
      <c r="E325" s="107" t="n">
        <v>195.1</v>
      </c>
      <c r="F325" s="107" t="n">
        <v>213.1</v>
      </c>
      <c r="G325" s="131" t="n"/>
      <c r="H325" s="192" t="n"/>
      <c r="I325" s="192" t="n"/>
      <c r="J325" s="107" t="n">
        <v>213.1</v>
      </c>
    </row>
    <row r="326">
      <c r="B326" s="26" t="inlineStr">
        <is>
          <t>PP&amp;E</t>
        </is>
      </c>
      <c r="E326" s="107" t="n">
        <v>87.8</v>
      </c>
      <c r="F326" s="107" t="n">
        <v>85.2</v>
      </c>
      <c r="G326" s="131" t="n"/>
      <c r="H326" s="192" t="n"/>
      <c r="I326" s="192" t="n">
        <v>300</v>
      </c>
      <c r="J326" s="107" t="n">
        <v>385.2</v>
      </c>
    </row>
    <row r="327">
      <c r="B327" s="26" t="inlineStr">
        <is>
          <t>Software development costs</t>
        </is>
      </c>
      <c r="E327" s="107" t="n">
        <v>244.7</v>
      </c>
      <c r="F327" s="107" t="n">
        <v>271.4</v>
      </c>
      <c r="G327" s="131" t="n"/>
      <c r="H327" s="192" t="n"/>
      <c r="I327" s="192" t="n"/>
      <c r="J327" s="107" t="n">
        <v>271.4</v>
      </c>
    </row>
    <row r="328">
      <c r="B328" s="26" t="inlineStr">
        <is>
          <t>Intangible assets</t>
        </is>
      </c>
      <c r="E328" s="107" t="n">
        <v>257.5</v>
      </c>
      <c r="F328" s="107" t="n">
        <v>189.8</v>
      </c>
      <c r="G328" s="192" t="n">
        <v>69.68916500000003</v>
      </c>
      <c r="H328" s="192" t="n"/>
      <c r="I328" s="192" t="n">
        <v>200</v>
      </c>
      <c r="J328" s="107" t="n">
        <v>459.4891650000001</v>
      </c>
    </row>
    <row r="329">
      <c r="B329" s="26" t="inlineStr">
        <is>
          <t>Goodwill and other assets</t>
        </is>
      </c>
      <c r="E329" s="180" t="n">
        <v>1940.3</v>
      </c>
      <c r="F329" s="180" t="n">
        <v>1935.2</v>
      </c>
      <c r="G329" s="193" t="n"/>
      <c r="H329" s="194" t="n"/>
      <c r="I329" s="195" t="n">
        <v>5536.653639577004</v>
      </c>
      <c r="J329" s="180" t="n">
        <v>7471.853639577004</v>
      </c>
    </row>
    <row r="330">
      <c r="B330" s="22" t="inlineStr">
        <is>
          <t>Total Assets</t>
        </is>
      </c>
      <c r="E330" s="125" t="n">
        <v>4845.799999999999</v>
      </c>
      <c r="F330" s="125" t="n">
        <v>4720.3</v>
      </c>
      <c r="G330" s="131" t="n"/>
      <c r="H330" s="131" t="n"/>
      <c r="I330" s="131" t="n"/>
      <c r="J330" s="125" t="n">
        <v>9424.742804577003</v>
      </c>
    </row>
    <row r="331">
      <c r="E331" s="23" t="n"/>
      <c r="F331" s="23" t="n"/>
      <c r="G331" s="131" t="n"/>
      <c r="H331" s="131" t="n"/>
      <c r="I331" s="131" t="n"/>
    </row>
    <row r="332">
      <c r="B332" s="26" t="inlineStr">
        <is>
          <t>Accounts payable, EOP</t>
        </is>
      </c>
      <c r="E332" s="107" t="n">
        <v>32.7</v>
      </c>
      <c r="F332" s="107" t="n">
        <v>42.1</v>
      </c>
      <c r="G332" s="131" t="n"/>
      <c r="H332" s="192" t="n"/>
      <c r="I332" s="192" t="n"/>
      <c r="J332" s="107" t="n">
        <v>42.1</v>
      </c>
    </row>
    <row r="333">
      <c r="B333" s="26" t="inlineStr">
        <is>
          <t>Accrued expenses &amp; def revenues, EOP</t>
        </is>
      </c>
      <c r="E333" s="107" t="n">
        <v>2313.3</v>
      </c>
      <c r="F333" s="107" t="n">
        <v>2301.7</v>
      </c>
      <c r="G333" s="131" t="n"/>
      <c r="H333" s="192" t="n"/>
      <c r="I333" s="192" t="n"/>
      <c r="J333" s="107" t="n">
        <v>2301.7</v>
      </c>
    </row>
    <row r="334">
      <c r="B334" s="26" t="inlineStr">
        <is>
          <t>Other liabilities</t>
        </is>
      </c>
      <c r="E334" s="107" t="n">
        <v>232.4</v>
      </c>
      <c r="F334" s="107" t="n">
        <v>252</v>
      </c>
      <c r="G334" s="131" t="n"/>
      <c r="H334" s="192" t="n"/>
      <c r="I334" s="192" t="n">
        <v>113.2273895770039</v>
      </c>
      <c r="J334" s="107" t="n">
        <v>365.2273895770039</v>
      </c>
    </row>
    <row r="335">
      <c r="B335" s="26" t="inlineStr">
        <is>
          <t xml:space="preserve">Debt </t>
        </is>
      </c>
      <c r="E335" s="154" t="n">
        <v>821.6</v>
      </c>
      <c r="F335" s="167" t="n">
        <v>1306</v>
      </c>
      <c r="G335" s="192" t="n">
        <v>-1306</v>
      </c>
      <c r="H335" s="133" t="n">
        <v>5190.276000000002</v>
      </c>
      <c r="I335" s="131" t="n"/>
      <c r="J335" s="107" t="n">
        <v>5190.276000000002</v>
      </c>
    </row>
    <row r="336">
      <c r="B336" s="22" t="inlineStr">
        <is>
          <t>Total Liabilities</t>
        </is>
      </c>
      <c r="E336" s="125" t="n">
        <v>3400</v>
      </c>
      <c r="F336" s="125" t="n">
        <v>3901.8</v>
      </c>
      <c r="G336" s="131" t="n"/>
      <c r="H336" s="131" t="n"/>
      <c r="I336" s="131" t="n"/>
      <c r="J336" s="125" t="n">
        <v>7899.303389577006</v>
      </c>
    </row>
    <row r="337">
      <c r="E337" s="23" t="n"/>
      <c r="F337" s="23" t="n"/>
      <c r="G337" s="131" t="n"/>
      <c r="H337" s="131" t="n"/>
      <c r="I337" s="131" t="n"/>
    </row>
    <row r="338">
      <c r="B338" s="26" t="inlineStr">
        <is>
          <t>LBO Preferred stock</t>
        </is>
      </c>
      <c r="E338" s="187" t="inlineStr">
        <is>
          <t>NM</t>
        </is>
      </c>
      <c r="F338" s="187" t="inlineStr">
        <is>
          <t>NM</t>
        </is>
      </c>
      <c r="G338" s="131" t="n"/>
      <c r="H338" s="133" t="n">
        <v>0</v>
      </c>
      <c r="I338" s="131" t="n"/>
      <c r="J338" s="107" t="n">
        <v>0</v>
      </c>
    </row>
    <row r="339">
      <c r="B339" s="26" t="inlineStr">
        <is>
          <t>Equity</t>
        </is>
      </c>
      <c r="E339" s="167" t="n">
        <v>1445.8</v>
      </c>
      <c r="F339" s="167" t="n">
        <v>818.5</v>
      </c>
      <c r="G339" s="192" t="n">
        <v>-6876.764775000001</v>
      </c>
      <c r="H339" s="133" t="n">
        <v>1660.277939999999</v>
      </c>
      <c r="I339" s="192" t="n">
        <v>5923.42625</v>
      </c>
      <c r="J339" s="107" t="n">
        <v>1525.439414999999</v>
      </c>
    </row>
    <row r="340">
      <c r="B340" s="22" t="inlineStr">
        <is>
          <t>Total equity</t>
        </is>
      </c>
      <c r="E340" s="42" t="n">
        <v>1445.8</v>
      </c>
      <c r="F340" s="42" t="n">
        <v>818.5</v>
      </c>
      <c r="J340" s="125" t="n">
        <v>1525.439414999999</v>
      </c>
    </row>
    <row r="341">
      <c r="B341" s="61" t="inlineStr">
        <is>
          <t>Balance check</t>
        </is>
      </c>
      <c r="E341" s="186" t="n">
        <v>0</v>
      </c>
      <c r="F341" s="186" t="n">
        <v>0</v>
      </c>
      <c r="G341" s="107" t="n"/>
      <c r="H341" s="23" t="n"/>
      <c r="J341" s="186" t="n">
        <v>-1.818989403545856e-12</v>
      </c>
    </row>
    <row r="342">
      <c r="B342" s="19" t="n"/>
      <c r="D342" s="19" t="n"/>
      <c r="E342" s="186" t="n"/>
      <c r="F342" s="186" t="n"/>
      <c r="G342" s="107" t="n"/>
      <c r="H342" s="23" t="n"/>
      <c r="J342" s="186" t="n"/>
    </row>
    <row r="343">
      <c r="B343" s="11" t="inlineStr">
        <is>
          <t>PRO FORMA BALANCE SHEET</t>
        </is>
      </c>
      <c r="D343" s="16" t="n"/>
      <c r="E343" s="198" t="n"/>
      <c r="F343" s="198" t="n"/>
      <c r="G343" s="180" t="n"/>
      <c r="H343" s="109" t="n"/>
      <c r="I343" s="13" t="n"/>
      <c r="J343" s="198" t="n"/>
      <c r="K343" s="13" t="n"/>
    </row>
    <row r="344">
      <c r="B344" s="10" t="inlineStr">
        <is>
          <t xml:space="preserve">Fiscal year  </t>
        </is>
      </c>
      <c r="C344" s="148" t="n"/>
      <c r="D344" s="29" t="n">
        <v>2011</v>
      </c>
      <c r="E344" s="29" t="n">
        <v>2012</v>
      </c>
      <c r="F344" s="29" t="n">
        <v>2013</v>
      </c>
      <c r="G344" s="30" t="n">
        <v>2014</v>
      </c>
      <c r="H344" s="30" t="n">
        <v>2015</v>
      </c>
      <c r="I344" s="30" t="n">
        <v>2016</v>
      </c>
      <c r="J344" s="30" t="n">
        <v>2017</v>
      </c>
      <c r="K344" s="30" t="n">
        <v>2018</v>
      </c>
    </row>
    <row r="345">
      <c r="B345" s="13" t="inlineStr">
        <is>
          <t>Fiscal year end date</t>
        </is>
      </c>
      <c r="C345" s="13" t="n"/>
      <c r="D345" s="31" t="n">
        <v>40633</v>
      </c>
      <c r="E345" s="31" t="n">
        <v>40999</v>
      </c>
      <c r="F345" s="31" t="n">
        <v>41364</v>
      </c>
      <c r="G345" s="31" t="n">
        <v>41729</v>
      </c>
      <c r="H345" s="31" t="n">
        <v>42094</v>
      </c>
      <c r="I345" s="31" t="n">
        <v>42460</v>
      </c>
      <c r="J345" s="31" t="n">
        <v>42825</v>
      </c>
      <c r="K345" s="31" t="n">
        <v>43190</v>
      </c>
    </row>
    <row r="346">
      <c r="B346" s="26" t="inlineStr">
        <is>
          <t>Cash</t>
        </is>
      </c>
      <c r="D346" s="107" t="n">
        <v>1635.6</v>
      </c>
      <c r="E346" s="107" t="n">
        <v>1581.9</v>
      </c>
      <c r="F346" s="107" t="n">
        <v>179.9999999999991</v>
      </c>
      <c r="G346" s="38" t="n">
        <v>180</v>
      </c>
      <c r="H346" s="38" t="n">
        <v>180</v>
      </c>
      <c r="I346" s="38" t="n">
        <v>180</v>
      </c>
      <c r="J346" s="38" t="n">
        <v>180</v>
      </c>
      <c r="K346" s="38" t="n">
        <v>180.0000000000002</v>
      </c>
    </row>
    <row r="347">
      <c r="B347" s="26" t="inlineStr">
        <is>
          <t>Accounts receivable, EOP</t>
        </is>
      </c>
      <c r="D347" s="107" t="n">
        <v>484.8</v>
      </c>
      <c r="E347" s="107" t="n">
        <v>443.7</v>
      </c>
      <c r="F347" s="107" t="n">
        <v>443.7</v>
      </c>
      <c r="G347" s="38" t="n">
        <v>459.2295</v>
      </c>
      <c r="H347" s="38" t="n">
        <v>484.4871225</v>
      </c>
      <c r="I347" s="38" t="n">
        <v>513.5563498500001</v>
      </c>
      <c r="J347" s="38" t="n">
        <v>539.2341673425001</v>
      </c>
      <c r="K347" s="38" t="n">
        <v>565.1174073749401</v>
      </c>
    </row>
    <row r="348">
      <c r="B348" s="26" t="inlineStr">
        <is>
          <t>Other current assets, EOP</t>
        </is>
      </c>
      <c r="D348" s="107" t="n">
        <v>195.1</v>
      </c>
      <c r="E348" s="107" t="n">
        <v>213.1</v>
      </c>
      <c r="F348" s="107" t="n">
        <v>213.1</v>
      </c>
      <c r="G348" s="38" t="n">
        <v>220.5585</v>
      </c>
      <c r="H348" s="38" t="n">
        <v>232.6892175</v>
      </c>
      <c r="I348" s="38" t="n">
        <v>246.65057055</v>
      </c>
      <c r="J348" s="38" t="n">
        <v>258.9830990775</v>
      </c>
      <c r="K348" s="38" t="n">
        <v>271.41428783322</v>
      </c>
    </row>
    <row r="349">
      <c r="B349" s="26" t="inlineStr">
        <is>
          <t>PP&amp;E</t>
        </is>
      </c>
      <c r="D349" s="107" t="n">
        <v>87.8</v>
      </c>
      <c r="E349" s="107" t="n">
        <v>85.2</v>
      </c>
      <c r="F349" s="107" t="n">
        <v>385.2</v>
      </c>
      <c r="G349" s="38" t="n">
        <v>343.1444897959184</v>
      </c>
      <c r="H349" s="38" t="n">
        <v>303.4073469387755</v>
      </c>
      <c r="I349" s="38" t="n">
        <v>266.4522448979592</v>
      </c>
      <c r="J349" s="38" t="n">
        <v>233.090612244898</v>
      </c>
      <c r="K349" s="38" t="n">
        <v>203.090612244898</v>
      </c>
    </row>
    <row r="350">
      <c r="B350" s="26" t="inlineStr">
        <is>
          <t>Software development costs</t>
        </is>
      </c>
      <c r="D350" s="107" t="n">
        <v>244.7</v>
      </c>
      <c r="E350" s="107" t="n">
        <v>271.4</v>
      </c>
      <c r="F350" s="107" t="n">
        <v>271.4</v>
      </c>
      <c r="G350" s="38" t="n">
        <v>286.5086419753086</v>
      </c>
      <c r="H350" s="38" t="n">
        <v>297.6447530864197</v>
      </c>
      <c r="I350" s="38" t="n">
        <v>305.199074074074</v>
      </c>
      <c r="J350" s="38" t="n">
        <v>309.3669753086419</v>
      </c>
      <c r="K350" s="38" t="n">
        <v>309.3669753086418</v>
      </c>
    </row>
    <row r="351">
      <c r="B351" s="26" t="inlineStr">
        <is>
          <t>Intangible assets</t>
        </is>
      </c>
      <c r="D351" s="107" t="n">
        <v>257.5</v>
      </c>
      <c r="E351" s="107" t="n">
        <v>189.8</v>
      </c>
      <c r="F351" s="107" t="n">
        <v>459.4891650000001</v>
      </c>
      <c r="G351" s="38" t="n">
        <v>436.4918429166667</v>
      </c>
      <c r="H351" s="38" t="n">
        <v>413.4945208333334</v>
      </c>
      <c r="I351" s="38" t="n">
        <v>390.4971987500001</v>
      </c>
      <c r="J351" s="38" t="n">
        <v>367.4998766666666</v>
      </c>
      <c r="K351" s="38" t="n">
        <v>344.5025545833333</v>
      </c>
    </row>
    <row r="352">
      <c r="B352" s="26" t="inlineStr">
        <is>
          <t>Goodwill and other assets</t>
        </is>
      </c>
      <c r="D352" s="180" t="n">
        <v>1940.3</v>
      </c>
      <c r="E352" s="180" t="n">
        <v>1935.2</v>
      </c>
      <c r="F352" s="180" t="n">
        <v>7471.853639577004</v>
      </c>
      <c r="G352" s="78" t="n">
        <v>7471.853639577004</v>
      </c>
      <c r="H352" s="78" t="n">
        <v>7471.853639577004</v>
      </c>
      <c r="I352" s="78" t="n">
        <v>7471.853639577004</v>
      </c>
      <c r="J352" s="78" t="n">
        <v>7471.853639577004</v>
      </c>
      <c r="K352" s="78" t="n">
        <v>7471.853639577004</v>
      </c>
    </row>
    <row r="353">
      <c r="B353" s="27" t="inlineStr">
        <is>
          <t>Total Assets</t>
        </is>
      </c>
      <c r="D353" s="125" t="n">
        <v>4845.799999999999</v>
      </c>
      <c r="E353" s="125" t="n">
        <v>4720.3</v>
      </c>
      <c r="F353" s="125" t="n">
        <v>9424.742804577003</v>
      </c>
      <c r="G353" s="188" t="n">
        <v>9397.786614264898</v>
      </c>
      <c r="H353" s="188" t="n">
        <v>9383.576600435532</v>
      </c>
      <c r="I353" s="188" t="n">
        <v>9374.209077699037</v>
      </c>
      <c r="J353" s="188" t="n">
        <v>9360.028370217211</v>
      </c>
      <c r="K353" s="188" t="n">
        <v>9345.345476922037</v>
      </c>
    </row>
    <row r="354">
      <c r="B354" s="26" t="n"/>
      <c r="D354" s="107" t="n"/>
      <c r="E354" s="107" t="n"/>
      <c r="F354" s="107" t="n"/>
      <c r="G354" s="38" t="n"/>
      <c r="H354" s="38" t="n"/>
      <c r="I354" s="38" t="n"/>
      <c r="J354" s="38" t="n"/>
      <c r="K354" s="38" t="n"/>
    </row>
    <row r="355">
      <c r="B355" s="26" t="inlineStr">
        <is>
          <t>Accounts payable, EOP</t>
        </is>
      </c>
      <c r="D355" s="107" t="n">
        <v>32.7</v>
      </c>
      <c r="E355" s="107" t="n">
        <v>42.1</v>
      </c>
      <c r="F355" s="107" t="n">
        <v>42.1</v>
      </c>
      <c r="G355" s="38" t="n">
        <v>41.35985068829212</v>
      </c>
      <c r="H355" s="38" t="n">
        <v>42.77992582446322</v>
      </c>
      <c r="I355" s="38" t="n">
        <v>44.44072172314495</v>
      </c>
      <c r="J355" s="38" t="n">
        <v>45.71145817597682</v>
      </c>
      <c r="K355" s="38" t="n">
        <v>46.90864615269874</v>
      </c>
    </row>
    <row r="356">
      <c r="B356" s="26" t="inlineStr">
        <is>
          <t>Accrued expenses &amp; def revenues, EOP</t>
        </is>
      </c>
      <c r="D356" s="107" t="n">
        <v>2313.3</v>
      </c>
      <c r="E356" s="107" t="n">
        <v>2301.7</v>
      </c>
      <c r="F356" s="107" t="n">
        <v>2301.7</v>
      </c>
      <c r="G356" s="38" t="n">
        <v>2382.2595</v>
      </c>
      <c r="H356" s="38" t="n">
        <v>2513.283772499999</v>
      </c>
      <c r="I356" s="38" t="n">
        <v>2664.08079885</v>
      </c>
      <c r="J356" s="38" t="n">
        <v>2797.2848387925</v>
      </c>
      <c r="K356" s="38" t="n">
        <v>2931.55451105454</v>
      </c>
    </row>
    <row r="357">
      <c r="B357" s="26" t="inlineStr">
        <is>
          <t>Other liabilities</t>
        </is>
      </c>
      <c r="D357" s="107" t="n">
        <v>232.4</v>
      </c>
      <c r="E357" s="107" t="n">
        <v>252</v>
      </c>
      <c r="F357" s="107" t="n">
        <v>365.2273895770039</v>
      </c>
      <c r="G357" s="38" t="n">
        <v>355.4143491469969</v>
      </c>
      <c r="H357" s="38" t="n">
        <v>345.6013087169899</v>
      </c>
      <c r="I357" s="38" t="n">
        <v>335.7882682869829</v>
      </c>
      <c r="J357" s="38" t="n">
        <v>325.9752278569759</v>
      </c>
      <c r="K357" s="38" t="n">
        <v>316.1621874269689</v>
      </c>
    </row>
    <row r="358">
      <c r="B358" s="26" t="inlineStr">
        <is>
          <t xml:space="preserve">Debt </t>
        </is>
      </c>
      <c r="D358" s="107" t="n">
        <v>821.6</v>
      </c>
      <c r="E358" s="107" t="n">
        <v>1306</v>
      </c>
      <c r="F358" s="107" t="n">
        <v>5190.276000000002</v>
      </c>
      <c r="G358" s="38" t="n">
        <v>4779.353838835204</v>
      </c>
      <c r="H358" s="38" t="n">
        <v>4260.14190032703</v>
      </c>
      <c r="I358" s="38" t="n">
        <v>3651.402983170007</v>
      </c>
      <c r="J358" s="38" t="n">
        <v>2978.254961822547</v>
      </c>
      <c r="K358" s="38" t="n">
        <v>2213.672731091117</v>
      </c>
    </row>
    <row r="359">
      <c r="B359" s="26" t="inlineStr">
        <is>
          <t>Total Liabilities</t>
        </is>
      </c>
      <c r="D359" s="125" t="n">
        <v>3400</v>
      </c>
      <c r="E359" s="125" t="n">
        <v>3901.8</v>
      </c>
      <c r="F359" s="125" t="n">
        <v>7899.303389577006</v>
      </c>
      <c r="G359" s="188" t="n">
        <v>7558.387538670493</v>
      </c>
      <c r="H359" s="188" t="n">
        <v>7161.806907368483</v>
      </c>
      <c r="I359" s="188" t="n">
        <v>6695.712772030135</v>
      </c>
      <c r="J359" s="188" t="n">
        <v>6147.226486648</v>
      </c>
      <c r="K359" s="188" t="n">
        <v>5508.298075725324</v>
      </c>
    </row>
    <row r="360">
      <c r="B360" s="26" t="n"/>
      <c r="D360" s="107" t="n"/>
      <c r="E360" s="107" t="n"/>
      <c r="F360" s="107" t="n"/>
      <c r="G360" s="38" t="n"/>
      <c r="H360" s="38" t="n"/>
      <c r="I360" s="38" t="n"/>
      <c r="J360" s="38" t="n"/>
      <c r="K360" s="38" t="n"/>
    </row>
    <row r="361">
      <c r="B361" s="26" t="inlineStr">
        <is>
          <t>LBO Preferred stock</t>
        </is>
      </c>
      <c r="D361" s="181" t="inlineStr">
        <is>
          <t>NM</t>
        </is>
      </c>
      <c r="E361" s="181" t="inlineStr">
        <is>
          <t>NM</t>
        </is>
      </c>
      <c r="F361" s="107" t="n">
        <v>0</v>
      </c>
      <c r="G361" s="38" t="n">
        <v>0</v>
      </c>
      <c r="H361" s="38" t="n">
        <v>0</v>
      </c>
      <c r="I361" s="38" t="n">
        <v>0</v>
      </c>
      <c r="J361" s="38" t="n">
        <v>0</v>
      </c>
      <c r="K361" s="38" t="n">
        <v>0</v>
      </c>
    </row>
    <row r="362">
      <c r="B362" s="26" t="inlineStr">
        <is>
          <t>Equity</t>
        </is>
      </c>
      <c r="D362" s="181" t="n">
        <v>1445.8</v>
      </c>
      <c r="E362" s="181" t="n">
        <v>818.5</v>
      </c>
      <c r="F362" s="107" t="n">
        <v>1525.439414999999</v>
      </c>
      <c r="G362" s="38" t="n">
        <v>1839.399075594405</v>
      </c>
      <c r="H362" s="38" t="n">
        <v>2221.76969306705</v>
      </c>
      <c r="I362" s="38" t="n">
        <v>2678.496305668903</v>
      </c>
      <c r="J362" s="38" t="n">
        <v>3212.801883569212</v>
      </c>
      <c r="K362" s="38" t="n">
        <v>3837.047401196713</v>
      </c>
    </row>
    <row r="363">
      <c r="B363" s="26" t="inlineStr">
        <is>
          <t>Total equity</t>
        </is>
      </c>
      <c r="D363" s="125" t="n">
        <v>1445.8</v>
      </c>
      <c r="E363" s="125" t="n">
        <v>818.5</v>
      </c>
      <c r="F363" s="125" t="n">
        <v>1525.439414999999</v>
      </c>
      <c r="G363" s="125" t="n">
        <v>1839.399075594405</v>
      </c>
      <c r="H363" s="125" t="n">
        <v>2221.76969306705</v>
      </c>
      <c r="I363" s="125" t="n">
        <v>2678.496305668903</v>
      </c>
      <c r="J363" s="125" t="n">
        <v>3212.801883569212</v>
      </c>
      <c r="K363" s="125" t="n">
        <v>3837.047401196713</v>
      </c>
    </row>
    <row r="364">
      <c r="B364" s="26" t="inlineStr">
        <is>
          <t>Balance check</t>
        </is>
      </c>
      <c r="D364" s="107" t="n">
        <v>0</v>
      </c>
      <c r="E364" s="107" t="n">
        <v>0</v>
      </c>
      <c r="F364" s="107" t="n">
        <v>-1.818989403545856e-12</v>
      </c>
      <c r="G364" s="107" t="n">
        <v>0</v>
      </c>
      <c r="H364" s="107" t="n">
        <v>0</v>
      </c>
      <c r="I364" s="107" t="n">
        <v>0</v>
      </c>
      <c r="J364" s="107" t="n">
        <v>0</v>
      </c>
      <c r="K364" s="107" t="n">
        <v>0</v>
      </c>
    </row>
    <row r="365">
      <c r="G365" s="107" t="n"/>
      <c r="H365" s="107" t="n"/>
      <c r="I365" s="107" t="n"/>
      <c r="J365" s="107" t="n"/>
    </row>
    <row r="366">
      <c r="B366" s="22" t="inlineStr">
        <is>
          <t>Equity, BOP</t>
        </is>
      </c>
      <c r="C366" s="22" t="n"/>
      <c r="D366" s="22" t="n"/>
      <c r="E366" s="22" t="n"/>
      <c r="F366" s="22" t="n"/>
      <c r="G366" s="125" t="n">
        <v>1525.439414999999</v>
      </c>
      <c r="H366" s="125" t="n">
        <v>1839.399075594405</v>
      </c>
      <c r="I366" s="125" t="n">
        <v>2221.76969306705</v>
      </c>
      <c r="J366" s="125" t="n">
        <v>2678.496305668903</v>
      </c>
      <c r="K366" s="125" t="n">
        <v>3212.801883569212</v>
      </c>
    </row>
    <row r="367">
      <c r="B367" s="26" t="inlineStr">
        <is>
          <t>Plus: Net income</t>
        </is>
      </c>
      <c r="G367" s="107" t="n">
        <v>152.9049237669344</v>
      </c>
      <c r="H367" s="107" t="n">
        <v>220.2885263074797</v>
      </c>
      <c r="I367" s="107" t="n">
        <v>293.02899231211</v>
      </c>
      <c r="J367" s="107" t="n">
        <v>370.7372885842398</v>
      </c>
      <c r="K367" s="107" t="n">
        <v>461.3289590130379</v>
      </c>
    </row>
    <row r="368">
      <c r="B368" s="26" t="inlineStr">
        <is>
          <t>Less: Dividends</t>
        </is>
      </c>
      <c r="G368" s="107" t="n">
        <v>0</v>
      </c>
      <c r="H368" s="107" t="n">
        <v>0</v>
      </c>
      <c r="I368" s="107" t="n">
        <v>0</v>
      </c>
      <c r="J368" s="107" t="n">
        <v>0</v>
      </c>
      <c r="K368" s="107" t="n">
        <v>0</v>
      </c>
    </row>
    <row r="369">
      <c r="B369" s="26" t="inlineStr">
        <is>
          <t>Plus: SBC</t>
        </is>
      </c>
      <c r="G369" s="107" t="n">
        <v>161.0547368274718</v>
      </c>
      <c r="H369" s="107" t="n">
        <v>162.0820911651659</v>
      </c>
      <c r="I369" s="107" t="n">
        <v>163.6976202897424</v>
      </c>
      <c r="J369" s="107" t="n">
        <v>163.5682893160696</v>
      </c>
      <c r="K369" s="107" t="n">
        <v>162.9165586144626</v>
      </c>
    </row>
    <row r="370">
      <c r="B370" s="27" t="inlineStr">
        <is>
          <t>Equity, EOP</t>
        </is>
      </c>
      <c r="C370" s="22" t="n"/>
      <c r="D370" s="22" t="n"/>
      <c r="E370" s="22" t="n"/>
      <c r="F370" s="22" t="n"/>
      <c r="G370" s="125" t="n">
        <v>1839.399075594405</v>
      </c>
      <c r="H370" s="125" t="n">
        <v>2221.76969306705</v>
      </c>
      <c r="I370" s="125" t="n">
        <v>2678.496305668903</v>
      </c>
      <c r="J370" s="125" t="n">
        <v>3212.801883569212</v>
      </c>
      <c r="K370" s="125" t="n">
        <v>3837.047401196713</v>
      </c>
    </row>
    <row r="372">
      <c r="B372" s="116" t="inlineStr">
        <is>
          <t>Purchase price allocation</t>
        </is>
      </c>
      <c r="C372" s="13" t="n"/>
      <c r="D372" s="13" t="n"/>
      <c r="E372" s="13" t="n"/>
      <c r="F372" s="13" t="n"/>
      <c r="G372" s="13" t="n"/>
      <c r="H372" s="13" t="n"/>
      <c r="I372" s="13" t="n"/>
      <c r="J372" s="13" t="n"/>
      <c r="K372" s="13" t="n"/>
    </row>
    <row r="373">
      <c r="B373" s="34" t="n"/>
    </row>
    <row r="374">
      <c r="B374" s="34" t="inlineStr">
        <is>
          <t>Select a tax type:</t>
        </is>
      </c>
      <c r="C374" s="287" t="inlineStr">
        <is>
          <t>Stock sale</t>
        </is>
      </c>
    </row>
    <row r="375">
      <c r="B375" s="34" t="inlineStr">
        <is>
          <t>Select an accounting type:</t>
        </is>
      </c>
      <c r="C375" s="287" t="inlineStr">
        <is>
          <t>LBO</t>
        </is>
      </c>
    </row>
    <row r="377" ht="15.75" customHeight="1" s="381" thickBot="1">
      <c r="B377" s="293" t="inlineStr">
        <is>
          <t>Purchase price allocation</t>
        </is>
      </c>
      <c r="C377" s="294" t="n"/>
      <c r="E377" s="188" t="n"/>
    </row>
    <row r="378">
      <c r="B378" s="34" t="inlineStr">
        <is>
          <t>Book value of equity</t>
        </is>
      </c>
      <c r="C378" s="107" t="n">
        <v>818.5</v>
      </c>
      <c r="D378" s="286" t="inlineStr">
        <is>
          <t>Input write-up</t>
        </is>
      </c>
      <c r="E378" s="286" t="inlineStr">
        <is>
          <t>Useful life</t>
        </is>
      </c>
      <c r="G378" s="23" t="n"/>
    </row>
    <row r="379">
      <c r="B379" s="26" t="inlineStr">
        <is>
          <t>PP&amp;E write up</t>
        </is>
      </c>
      <c r="C379" s="156" t="n">
        <v>300</v>
      </c>
      <c r="D379" s="105" t="n">
        <v>300</v>
      </c>
      <c r="E379" s="288" t="n">
        <v>10</v>
      </c>
    </row>
    <row r="380">
      <c r="B380" s="26" t="inlineStr">
        <is>
          <t>Intangible asset write up</t>
        </is>
      </c>
      <c r="C380" s="292" t="n">
        <v>200</v>
      </c>
      <c r="D380" s="105" t="n">
        <v>200</v>
      </c>
      <c r="E380" s="288" t="n">
        <v>15</v>
      </c>
    </row>
    <row r="381">
      <c r="B381" s="26" t="inlineStr">
        <is>
          <t>Total write-ups</t>
        </is>
      </c>
      <c r="C381" s="38" t="n">
        <v>500</v>
      </c>
      <c r="E381" s="291" t="n"/>
    </row>
    <row r="382">
      <c r="B382" s="26" t="inlineStr">
        <is>
          <t xml:space="preserve">DTLs created </t>
        </is>
      </c>
      <c r="C382" s="201" t="n">
        <v>113.2273895770039</v>
      </c>
    </row>
    <row r="383">
      <c r="B383" t="inlineStr">
        <is>
          <t>Fari market value</t>
        </is>
      </c>
      <c r="C383" s="107" t="n">
        <v>1205.272610422996</v>
      </c>
    </row>
    <row r="385">
      <c r="B385" s="22" t="inlineStr">
        <is>
          <t>Purchase price</t>
        </is>
      </c>
      <c r="C385" s="42" t="n">
        <v>6741.92625</v>
      </c>
    </row>
    <row r="386">
      <c r="B386" t="inlineStr">
        <is>
          <t>Goodwill</t>
        </is>
      </c>
      <c r="C386" s="23" t="n">
        <v>5536.653639577004</v>
      </c>
    </row>
    <row r="388">
      <c r="B388" s="11" t="inlineStr">
        <is>
          <t xml:space="preserve">Deal related GAAP accounting adjustments </t>
        </is>
      </c>
      <c r="C388" s="13" t="n"/>
      <c r="D388" s="13" t="n"/>
      <c r="E388" s="13" t="n"/>
      <c r="F388" s="13" t="n"/>
      <c r="G388" s="13" t="n"/>
      <c r="H388" s="13" t="n"/>
      <c r="I388" s="13" t="n"/>
      <c r="J388" s="13" t="n"/>
      <c r="K388" s="13" t="n"/>
    </row>
    <row r="389">
      <c r="G389" s="22" t="n">
        <v>2014</v>
      </c>
      <c r="H389" s="22" t="n">
        <v>2015</v>
      </c>
      <c r="I389" s="22" t="n">
        <v>2016</v>
      </c>
      <c r="J389" s="22" t="n">
        <v>2017</v>
      </c>
      <c r="K389" s="22" t="n">
        <v>2018</v>
      </c>
    </row>
    <row r="390">
      <c r="B390" s="13" t="n"/>
      <c r="C390" s="13" t="n"/>
      <c r="D390" s="13" t="n"/>
      <c r="E390" s="13" t="n"/>
      <c r="F390" s="13" t="n"/>
      <c r="G390" s="189" t="n">
        <v>41729</v>
      </c>
      <c r="H390" s="189" t="n">
        <v>42094</v>
      </c>
      <c r="I390" s="189" t="n">
        <v>42460</v>
      </c>
      <c r="J390" s="189" t="n">
        <v>42825</v>
      </c>
      <c r="K390" s="189" t="n">
        <v>43190</v>
      </c>
    </row>
    <row r="391">
      <c r="B391" t="inlineStr">
        <is>
          <t>PP&amp;E</t>
        </is>
      </c>
      <c r="D391" s="289" t="inlineStr">
        <is>
          <t>Incremental dep:</t>
        </is>
      </c>
      <c r="E391" s="290" t="n">
        <v>30</v>
      </c>
      <c r="G391" s="107" t="n">
        <v>270</v>
      </c>
      <c r="H391" s="107" t="n">
        <v>240</v>
      </c>
      <c r="I391" s="107" t="n">
        <v>210</v>
      </c>
      <c r="J391" s="107" t="n">
        <v>180</v>
      </c>
      <c r="K391" s="107" t="n">
        <v>150</v>
      </c>
    </row>
    <row r="392">
      <c r="B392" t="inlineStr">
        <is>
          <t>Intangible assets</t>
        </is>
      </c>
      <c r="D392" s="289" t="inlineStr">
        <is>
          <t>Incremental amort:</t>
        </is>
      </c>
      <c r="E392" s="290" t="n">
        <v>13.33333333333333</v>
      </c>
      <c r="G392" s="107" t="n">
        <v>186.6666666666667</v>
      </c>
      <c r="H392" s="107" t="n">
        <v>173.3333333333333</v>
      </c>
      <c r="I392" s="107" t="n">
        <v>160</v>
      </c>
      <c r="J392" s="107" t="n">
        <v>146.6666666666666</v>
      </c>
      <c r="K392" s="107" t="n">
        <v>133.3333333333333</v>
      </c>
    </row>
    <row r="393">
      <c r="B393" t="inlineStr">
        <is>
          <t>Deferred tax liabilities</t>
        </is>
      </c>
      <c r="D393" s="289" t="inlineStr">
        <is>
          <t>Annual reduction:</t>
        </is>
      </c>
      <c r="E393" s="295" t="n">
        <v>9.813040430007005</v>
      </c>
      <c r="G393" s="107" t="n">
        <v>103.4143491469969</v>
      </c>
      <c r="H393" s="107" t="n">
        <v>93.60130871698989</v>
      </c>
      <c r="I393" s="107" t="n">
        <v>83.78826828698288</v>
      </c>
      <c r="J393" s="107" t="n">
        <v>73.97522785697588</v>
      </c>
      <c r="K393" s="107" t="n">
        <v>64.16218742696887</v>
      </c>
    </row>
  </sheetData>
  <conditionalFormatting sqref="D291:J291">
    <cfRule type="expression" priority="57" dxfId="5">
      <formula>$H$7=1</formula>
    </cfRule>
  </conditionalFormatting>
  <conditionalFormatting sqref="D292:J298">
    <cfRule type="expression" priority="56" dxfId="6" stopIfTrue="1">
      <formula>$H$7=2</formula>
    </cfRule>
  </conditionalFormatting>
  <conditionalFormatting sqref="D301:J301">
    <cfRule type="expression" priority="1" dxfId="5">
      <formula>$H$7=2</formula>
    </cfRule>
  </conditionalFormatting>
  <conditionalFormatting sqref="D302:J308">
    <cfRule type="expression" priority="2" dxfId="4">
      <formula>$H$7=1</formula>
    </cfRule>
    <cfRule type="expression" priority="3">
      <formula>$H$7=1</formula>
    </cfRule>
  </conditionalFormatting>
  <conditionalFormatting sqref="F294:J298 F313:J317">
    <cfRule type="cellIs" priority="68" operator="greaterThan" dxfId="3">
      <formula>$B$292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B2:L118"/>
  <sheetViews>
    <sheetView topLeftCell="A20" zoomScaleNormal="100" workbookViewId="0">
      <selection activeCell="A1" sqref="A1"/>
    </sheetView>
  </sheetViews>
  <sheetFormatPr baseColWidth="8" defaultColWidth="9.1796875" defaultRowHeight="14.5"/>
  <cols>
    <col width="1.7265625" customWidth="1" style="381" min="1" max="1"/>
    <col width="40.26953125" customWidth="1" style="381" min="2" max="2"/>
    <col width="12.1796875" bestFit="1" customWidth="1" style="381" min="3" max="3"/>
    <col width="11.1796875" bestFit="1" customWidth="1" style="381" min="4" max="4"/>
    <col width="10.1796875" bestFit="1" customWidth="1" style="381" min="5" max="7"/>
    <col width="11" customWidth="1" style="381" min="8" max="10"/>
    <col width="12.1796875" bestFit="1" customWidth="1" style="381" min="11" max="11"/>
    <col width="9.1796875" customWidth="1" style="381" min="12" max="14"/>
  </cols>
  <sheetData>
    <row r="1" ht="15.75" customHeight="1" s="381" thickBot="1"/>
    <row r="2" ht="27" customHeight="1" s="381" thickBot="1">
      <c r="B2" s="387" t="inlineStr">
        <is>
          <t>Discounted Cash Flow Model for ZoomInfo (GTM)</t>
        </is>
      </c>
      <c r="C2" s="8" t="n"/>
      <c r="D2" s="8" t="n"/>
      <c r="E2" s="8" t="n"/>
      <c r="F2" s="8" t="n"/>
      <c r="G2" s="8" t="n"/>
      <c r="H2" s="8" t="n"/>
      <c r="I2" s="8" t="n"/>
      <c r="J2" s="8" t="n"/>
    </row>
    <row r="3">
      <c r="B3" s="51" t="inlineStr">
        <is>
          <t>Point of this DCF: present-value check of GTM stand-alone worth vs the LBO offer. Discount AI_Operating unlevered FCF + terminal value at WACC → EV → equity → $/share; compare to LBO!H20.</t>
        </is>
      </c>
    </row>
    <row r="4">
      <c r="B4" s="51" t="inlineStr">
        <is>
          <t>Yes — rows PV of UFCF / PV of TV / Enterprise value are present values. Not a hold-to-exit LBO IRR; that lives on Strategy_Summary / Debt_Sweep_AI.</t>
        </is>
      </c>
    </row>
    <row r="5" ht="15.75" customHeight="1" s="381" thickBot="1">
      <c r="B5" s="388" t="inlineStr">
        <is>
          <t>General assumptions</t>
        </is>
      </c>
      <c r="C5" s="44" t="n"/>
    </row>
    <row r="6">
      <c r="B6" t="inlineStr">
        <is>
          <t>Share price as of last close</t>
        </is>
      </c>
      <c r="C6" s="389">
        <f>LBO!D8</f>
        <v/>
      </c>
      <c r="K6" s="390" t="n">
        <v>4.05</v>
      </c>
      <c r="L6" t="inlineStr">
        <is>
          <t>cached</t>
        </is>
      </c>
    </row>
    <row r="7">
      <c r="B7" s="51" t="inlineStr">
        <is>
          <t>Latest closing share price date</t>
        </is>
      </c>
      <c r="C7" s="433">
        <f>LBO!D9</f>
        <v/>
      </c>
    </row>
    <row r="8">
      <c r="B8" s="51" t="inlineStr">
        <is>
          <t>Diluted shares outstanding (mm)</t>
        </is>
      </c>
      <c r="C8" s="434">
        <f>Shares!E14</f>
        <v/>
      </c>
      <c r="K8" s="435" t="n">
        <v>307.294</v>
      </c>
    </row>
    <row r="9">
      <c r="B9" s="51" t="inlineStr">
        <is>
          <t>Weighted average cost of capital</t>
        </is>
      </c>
      <c r="C9" s="43">
        <f>C59</f>
        <v/>
      </c>
      <c r="K9" s="394" t="n">
        <v>0.09290152684082101</v>
      </c>
    </row>
    <row r="11" ht="15.75" customHeight="1" s="381" thickBot="1">
      <c r="B11" s="395" t="inlineStr">
        <is>
          <t>Free cash flow buildup</t>
        </is>
      </c>
      <c r="C11" s="44" t="n"/>
      <c r="D11" s="44" t="n"/>
      <c r="E11" s="44" t="n"/>
      <c r="F11" s="44" t="n"/>
      <c r="G11" s="44" t="n"/>
      <c r="H11" s="44" t="n"/>
      <c r="I11" s="44" t="n"/>
      <c r="J11" s="44" t="n"/>
    </row>
    <row r="12">
      <c r="B12" t="inlineStr">
        <is>
          <t>Fiscal year</t>
        </is>
      </c>
      <c r="C12" s="14" t="n">
        <v>2024</v>
      </c>
      <c r="D12" s="14" t="n">
        <v>2025</v>
      </c>
      <c r="E12" s="14" t="n">
        <v>2026</v>
      </c>
      <c r="F12" s="15" t="n">
        <v>2027</v>
      </c>
      <c r="G12" s="15" t="n">
        <v>2028</v>
      </c>
      <c r="H12" s="15" t="n">
        <v>2029</v>
      </c>
      <c r="I12" s="15" t="n"/>
      <c r="J12" s="15" t="n"/>
    </row>
    <row r="13">
      <c r="B13" s="16" t="inlineStr">
        <is>
          <t>Fiscal year end date</t>
        </is>
      </c>
      <c r="C13" s="436" t="n">
        <v>45657</v>
      </c>
      <c r="D13" s="436" t="n">
        <v>46022</v>
      </c>
      <c r="E13" s="436" t="n">
        <v>46387</v>
      </c>
      <c r="F13" s="436" t="n">
        <v>46752</v>
      </c>
      <c r="G13" s="436" t="n">
        <v>47118</v>
      </c>
      <c r="H13" s="436" t="n">
        <v>47483</v>
      </c>
      <c r="I13" s="31" t="n"/>
      <c r="J13" s="31" t="n"/>
    </row>
    <row r="14">
      <c r="B14" s="53" t="n"/>
      <c r="F14" s="6" t="n"/>
      <c r="G14" s="6" t="n"/>
      <c r="H14" s="6" t="n"/>
      <c r="I14" s="6" t="n"/>
      <c r="J14" s="6" t="n"/>
    </row>
    <row r="15">
      <c r="B15" t="inlineStr">
        <is>
          <t>EBITDA</t>
        </is>
      </c>
      <c r="C15" s="397">
        <f>AI_Operating!C13</f>
        <v/>
      </c>
      <c r="D15" s="397">
        <f>AI_Operating!D13</f>
        <v/>
      </c>
      <c r="E15" s="397">
        <f>AI_Operating!E13</f>
        <v/>
      </c>
      <c r="F15" s="397">
        <f>AI_Operating!F13</f>
        <v/>
      </c>
      <c r="G15" s="397">
        <f>AI_Operating!G13</f>
        <v/>
      </c>
      <c r="H15" s="397">
        <f>AI_Operating!H13</f>
        <v/>
      </c>
      <c r="I15" s="50" t="n"/>
      <c r="J15" s="50" t="n"/>
    </row>
    <row r="16">
      <c r="B16" t="inlineStr">
        <is>
          <t>EBIT</t>
        </is>
      </c>
      <c r="C16" s="397">
        <f>AI_Operating!C16</f>
        <v/>
      </c>
      <c r="D16" s="397">
        <f>AI_Operating!D16</f>
        <v/>
      </c>
      <c r="E16" s="397">
        <f>AI_Operating!E16</f>
        <v/>
      </c>
      <c r="F16" s="397">
        <f>AI_Operating!F16</f>
        <v/>
      </c>
      <c r="G16" s="397">
        <f>AI_Operating!G16</f>
        <v/>
      </c>
      <c r="H16" s="397">
        <f>AI_Operating!H16</f>
        <v/>
      </c>
      <c r="I16" s="50" t="n"/>
      <c r="J16" s="50" t="n"/>
    </row>
    <row r="17">
      <c r="B17" t="inlineStr">
        <is>
          <t>Tax rate</t>
        </is>
      </c>
      <c r="C17" s="398">
        <f>Assumptions_Drivers!$C$19</f>
        <v/>
      </c>
      <c r="D17" s="398">
        <f>Assumptions_Drivers!$C$19</f>
        <v/>
      </c>
      <c r="E17" s="398">
        <f>Assumptions_Drivers!$C$19</f>
        <v/>
      </c>
      <c r="F17" s="398">
        <f>Assumptions_Drivers!$C$19</f>
        <v/>
      </c>
      <c r="G17" s="398">
        <f>Assumptions_Drivers!$C$19</f>
        <v/>
      </c>
      <c r="H17" s="398">
        <f>Assumptions_Drivers!$C$19</f>
        <v/>
      </c>
      <c r="I17" s="62" t="n"/>
      <c r="J17" s="62" t="n"/>
    </row>
    <row r="18">
      <c r="B18" s="22" t="inlineStr">
        <is>
          <t>EBIAT (NOPAT)</t>
        </is>
      </c>
      <c r="C18" s="399">
        <f>C16*(1-C17)</f>
        <v/>
      </c>
      <c r="D18" s="399">
        <f>D16*(1-D17)</f>
        <v/>
      </c>
      <c r="E18" s="399">
        <f>E16*(1-E17)</f>
        <v/>
      </c>
      <c r="F18" s="399">
        <f>F16*(1-F17)</f>
        <v/>
      </c>
      <c r="G18" s="399">
        <f>G16*(1-G17)</f>
        <v/>
      </c>
      <c r="H18" s="399">
        <f>H16*(1-H17)</f>
        <v/>
      </c>
      <c r="I18" s="24" t="n"/>
      <c r="J18" s="24" t="n"/>
    </row>
    <row r="19">
      <c r="B19" s="22" t="n"/>
    </row>
    <row r="20">
      <c r="B20" s="34" t="inlineStr">
        <is>
          <t>Depreciation and amortization</t>
        </is>
      </c>
      <c r="D20" s="400">
        <f>AI_Operating!D15</f>
        <v/>
      </c>
      <c r="E20" s="400">
        <f>AI_Operating!E15</f>
        <v/>
      </c>
      <c r="F20" s="397">
        <f>AI_Operating!F15</f>
        <v/>
      </c>
      <c r="G20" s="397">
        <f>AI_Operating!G15</f>
        <v/>
      </c>
      <c r="H20" s="397">
        <f>AI_Operating!H15</f>
        <v/>
      </c>
      <c r="I20" s="50" t="n"/>
      <c r="J20" s="50" t="n"/>
    </row>
    <row r="21">
      <c r="B21" s="34" t="inlineStr">
        <is>
          <t>Stock based compensation</t>
        </is>
      </c>
      <c r="D21" s="400" t="n">
        <v>0</v>
      </c>
      <c r="E21" s="400" t="n">
        <v>0</v>
      </c>
      <c r="F21" s="397" t="n">
        <v>0</v>
      </c>
      <c r="G21" s="397" t="n">
        <v>0</v>
      </c>
      <c r="H21" s="397" t="n">
        <v>0</v>
      </c>
      <c r="I21" s="50" t="n"/>
      <c r="J21" s="50" t="n"/>
    </row>
    <row r="22">
      <c r="B22" t="inlineStr">
        <is>
          <t>Changes in net working capital</t>
        </is>
      </c>
      <c r="D22" s="400">
        <f>AI_Operating!D20</f>
        <v/>
      </c>
      <c r="E22" s="400">
        <f>AI_Operating!E20</f>
        <v/>
      </c>
      <c r="F22" s="397">
        <f>AI_Operating!F20</f>
        <v/>
      </c>
      <c r="G22" s="397">
        <f>AI_Operating!G20</f>
        <v/>
      </c>
      <c r="H22" s="397">
        <f>AI_Operating!H20</f>
        <v/>
      </c>
      <c r="I22" s="50" t="n"/>
      <c r="J22" s="50" t="n"/>
    </row>
    <row r="23">
      <c r="B23" t="inlineStr">
        <is>
          <t>Other assets &amp; liabilities</t>
        </is>
      </c>
      <c r="D23" s="400" t="n">
        <v>0</v>
      </c>
      <c r="E23" s="400" t="n">
        <v>0</v>
      </c>
      <c r="F23" s="397" t="n">
        <v>0</v>
      </c>
      <c r="G23" s="397" t="n">
        <v>0</v>
      </c>
      <c r="H23" s="397" t="n">
        <v>0</v>
      </c>
      <c r="I23" s="50" t="n"/>
      <c r="J23" s="50" t="n"/>
    </row>
    <row r="24">
      <c r="B24" s="22" t="inlineStr">
        <is>
          <t>Unlevered CFO</t>
        </is>
      </c>
      <c r="D24" s="400">
        <f>D18+D20+D21-D22+D23</f>
        <v/>
      </c>
      <c r="E24" s="400">
        <f>E18+E20+E21-E22+E23</f>
        <v/>
      </c>
      <c r="F24" s="401">
        <f>F18+F20+F21-F22+F23</f>
        <v/>
      </c>
      <c r="G24" s="401">
        <f>G18+G20+G21-G22+G23</f>
        <v/>
      </c>
      <c r="H24" s="401">
        <f>H18+H20+H21-H22+H23</f>
        <v/>
      </c>
      <c r="I24" s="42" t="n"/>
      <c r="J24" s="42" t="n"/>
    </row>
    <row r="25">
      <c r="B25" s="26" t="inlineStr">
        <is>
          <t>Less: Capital expenditures</t>
        </is>
      </c>
      <c r="D25" s="400">
        <f>-AI_Operating!D19</f>
        <v/>
      </c>
      <c r="E25" s="400">
        <f>-AI_Operating!E19</f>
        <v/>
      </c>
      <c r="F25" s="397">
        <f>-AI_Operating!F19</f>
        <v/>
      </c>
      <c r="G25" s="397">
        <f>-AI_Operating!G19</f>
        <v/>
      </c>
      <c r="H25" s="397">
        <f>-AI_Operating!H19</f>
        <v/>
      </c>
      <c r="I25" s="50" t="n"/>
      <c r="J25" s="50" t="n"/>
    </row>
    <row r="26">
      <c r="B26" s="26" t="inlineStr">
        <is>
          <t>Less: Purchases of intangible assets</t>
        </is>
      </c>
      <c r="D26" s="400" t="n">
        <v>0</v>
      </c>
      <c r="E26" s="400" t="n">
        <v>0</v>
      </c>
      <c r="F26" s="397" t="n">
        <v>0</v>
      </c>
      <c r="G26" s="397" t="n">
        <v>0</v>
      </c>
      <c r="H26" s="397" t="n">
        <v>0</v>
      </c>
      <c r="I26" s="50" t="n"/>
      <c r="J26" s="50" t="n"/>
    </row>
    <row r="27">
      <c r="B27" s="402" t="inlineStr">
        <is>
          <t>Unlevered FCF</t>
        </is>
      </c>
      <c r="D27" s="403">
        <f>D24+D25+D26</f>
        <v/>
      </c>
      <c r="E27" s="403">
        <f>E24+E25+E26</f>
        <v/>
      </c>
      <c r="F27" s="403">
        <f>F24+F25+F26</f>
        <v/>
      </c>
      <c r="G27" s="403">
        <f>G24+G25+G26</f>
        <v/>
      </c>
      <c r="H27" s="403">
        <f>H24+H25+H26</f>
        <v/>
      </c>
      <c r="I27" s="42" t="n"/>
      <c r="J27" s="42" t="n"/>
    </row>
    <row r="28">
      <c r="B28" s="61" t="inlineStr">
        <is>
          <t>% growth</t>
        </is>
      </c>
      <c r="E28" s="404">
        <f>IF(D27=0,0,E27/D27-1)</f>
        <v/>
      </c>
      <c r="F28" s="404">
        <f>IF(E27=0,0,F27/E27-1)</f>
        <v/>
      </c>
      <c r="G28" s="404">
        <f>IF(F27=0,0,G27/F27-1)</f>
        <v/>
      </c>
      <c r="H28" s="404">
        <f>IF(G27=0,0,H27/G27-1)</f>
        <v/>
      </c>
      <c r="I28" s="6" t="n"/>
      <c r="J28" s="6" t="n"/>
    </row>
    <row r="29">
      <c r="B29" s="61" t="n"/>
      <c r="G29" s="6" t="n"/>
      <c r="H29" s="6" t="n"/>
      <c r="I29" s="6" t="n"/>
      <c r="J29" s="6" t="n"/>
    </row>
    <row r="30">
      <c r="B30" s="34" t="inlineStr">
        <is>
          <t>Discount period (years, mid-year)</t>
        </is>
      </c>
      <c r="D30" s="405" t="n">
        <v>0.5</v>
      </c>
      <c r="E30" s="405" t="n">
        <v>1.5</v>
      </c>
      <c r="F30" s="405" t="n">
        <v>2.5</v>
      </c>
      <c r="G30" s="405" t="n">
        <v>3.5</v>
      </c>
      <c r="H30" s="405" t="n">
        <v>4.5</v>
      </c>
      <c r="I30" s="48" t="n"/>
      <c r="J30" s="48" t="n"/>
    </row>
    <row r="31">
      <c r="B31" t="inlineStr">
        <is>
          <t>Assume cash flows are generated at:</t>
        </is>
      </c>
      <c r="C31" s="70" t="inlineStr">
        <is>
          <t>Middle of period</t>
        </is>
      </c>
      <c r="G31" s="48" t="n"/>
      <c r="H31" s="48" t="n"/>
      <c r="I31" s="48" t="n"/>
      <c r="J31" s="48" t="n"/>
    </row>
    <row r="32">
      <c r="B32" t="inlineStr">
        <is>
          <t>Midperiod adjustment factor</t>
        </is>
      </c>
      <c r="C32" s="437">
        <f>(1+$C$9)^0.5</f>
        <v/>
      </c>
    </row>
    <row r="33">
      <c r="B33" s="34" t="inlineStr">
        <is>
          <t>Present value of Unlevered FCF</t>
        </is>
      </c>
      <c r="D33" s="400">
        <f>D27/(1+$C$9)^D30</f>
        <v/>
      </c>
      <c r="E33" s="400">
        <f>E27/(1+$C$9)^E30</f>
        <v/>
      </c>
      <c r="F33" s="407">
        <f>F27/(1+$C$9)^F30</f>
        <v/>
      </c>
      <c r="G33" s="407">
        <f>G27/(1+$C$9)^G30</f>
        <v/>
      </c>
      <c r="H33" s="407">
        <f>H27/(1+$C$9)^H30</f>
        <v/>
      </c>
      <c r="I33" s="68" t="n"/>
      <c r="J33" s="68" t="n"/>
    </row>
    <row r="34">
      <c r="B34" s="22" t="n"/>
      <c r="C34" s="6" t="n"/>
    </row>
    <row r="35" ht="15.75" customHeight="1" s="381" thickBot="1">
      <c r="B35" s="388" t="inlineStr">
        <is>
          <t>Perpetuity approach</t>
        </is>
      </c>
      <c r="C35" s="44" t="n"/>
      <c r="E35" s="388" t="inlineStr">
        <is>
          <t>Exit EBITDA multiple approach</t>
        </is>
      </c>
      <c r="F35" s="44" t="n"/>
      <c r="G35" s="44" t="n"/>
      <c r="H35" s="44" t="n"/>
      <c r="I35" s="44" t="n"/>
      <c r="J35" s="44" t="n"/>
    </row>
    <row r="36" ht="17.25" customHeight="1" s="381">
      <c r="B36" t="inlineStr">
        <is>
          <t>Normalized FCFt+1</t>
        </is>
      </c>
      <c r="C36" s="408">
        <f>H27*(1+C37)</f>
        <v/>
      </c>
      <c r="E36" t="inlineStr">
        <is>
          <t>Terminal year EBITDA</t>
        </is>
      </c>
      <c r="H36" s="400">
        <f>H15</f>
        <v/>
      </c>
      <c r="J36" s="23" t="n"/>
    </row>
    <row r="37">
      <c r="B37" t="inlineStr">
        <is>
          <t>Long term growth rate (g)</t>
        </is>
      </c>
      <c r="C37" s="409">
        <f>Assumptions_Drivers!C10</f>
        <v/>
      </c>
      <c r="E37" t="inlineStr">
        <is>
          <t>Terminal value EBITDA multiple</t>
        </is>
      </c>
      <c r="H37" s="410">
        <f>Assumptions_Drivers!C20</f>
        <v/>
      </c>
      <c r="J37" s="54" t="n"/>
      <c r="K37" s="66" t="n"/>
    </row>
    <row r="38">
      <c r="B38" t="inlineStr">
        <is>
          <t>Terminal value</t>
        </is>
      </c>
      <c r="C38" s="400">
        <f>IF(($C$9-C37)&lt;=0,"NM",C36/($C$9-C37))</f>
        <v/>
      </c>
      <c r="E38" t="inlineStr">
        <is>
          <t>Terminal value</t>
        </is>
      </c>
      <c r="H38" s="400">
        <f>H36*H37</f>
        <v/>
      </c>
      <c r="J38" s="23" t="n"/>
    </row>
    <row r="39">
      <c r="B39" t="inlineStr">
        <is>
          <t>Present value of terminal value</t>
        </is>
      </c>
      <c r="C39" s="400">
        <f>IF(ISNUMBER(C38),C38/(1+$C$9)^H30,0)</f>
        <v/>
      </c>
      <c r="E39" t="inlineStr">
        <is>
          <t>Present value of terminal value</t>
        </is>
      </c>
      <c r="H39" s="400">
        <f>H38/(1+$C$9)^H30</f>
        <v/>
      </c>
      <c r="J39" s="23" t="n"/>
    </row>
    <row r="40">
      <c r="B40" t="inlineStr">
        <is>
          <t>Present value of stage 1 cash flows</t>
        </is>
      </c>
      <c r="C40" s="400">
        <f>SUM(D33:H33)</f>
        <v/>
      </c>
      <c r="E40" t="inlineStr">
        <is>
          <t>Present value of stage 1 cash flows</t>
        </is>
      </c>
      <c r="H40" s="400">
        <f>C40</f>
        <v/>
      </c>
      <c r="J40" s="23" t="n"/>
    </row>
    <row r="41">
      <c r="B41" s="402" t="inlineStr">
        <is>
          <t>Enterprise value</t>
        </is>
      </c>
      <c r="C41" s="403">
        <f>C39+C40</f>
        <v/>
      </c>
      <c r="E41" s="402" t="inlineStr">
        <is>
          <t>Enterprise value</t>
        </is>
      </c>
      <c r="H41" s="403">
        <f>H39+H40</f>
        <v/>
      </c>
      <c r="J41" s="42" t="n"/>
      <c r="K41" s="400" t="n">
        <v>3641.734669903512</v>
      </c>
    </row>
    <row r="42">
      <c r="B42" s="19" t="inlineStr">
        <is>
          <t>Implied TV exit EBITDA multiple</t>
        </is>
      </c>
      <c r="C42" s="411">
        <f>IF(H15=0,0,C38/H15)</f>
        <v/>
      </c>
      <c r="E42" s="19" t="inlineStr">
        <is>
          <t>Implied TV perpetual growth rate</t>
        </is>
      </c>
      <c r="F42" s="19" t="n"/>
      <c r="G42" s="19" t="n"/>
      <c r="H42" s="412">
        <f>IF(H38=0,0,($C$9*H38-H27)/(H38+H27))</f>
        <v/>
      </c>
      <c r="I42" s="19" t="n"/>
      <c r="J42" s="64" t="n"/>
    </row>
    <row r="43">
      <c r="C43" s="42" t="n"/>
      <c r="J43" s="6" t="n"/>
    </row>
    <row r="44" ht="15.75" customHeight="1" s="381" thickBot="1">
      <c r="B44" s="388" t="inlineStr">
        <is>
          <t>Net Debt</t>
        </is>
      </c>
      <c r="C44" s="44" t="n"/>
      <c r="E44" s="388" t="inlineStr">
        <is>
          <t>Fair value per share</t>
        </is>
      </c>
      <c r="F44" s="44" t="n"/>
      <c r="G44" s="44" t="n"/>
      <c r="H44" s="44" t="n"/>
      <c r="I44" s="44" t="n"/>
      <c r="J44" s="44" t="n"/>
    </row>
    <row r="45" ht="17.25" customHeight="1" s="381">
      <c r="B45" t="inlineStr">
        <is>
          <t>Cash &amp; equivalents (LBO latest)</t>
        </is>
      </c>
      <c r="C45" s="413">
        <f>LBO!D15</f>
        <v/>
      </c>
      <c r="H45" s="67" t="inlineStr">
        <is>
          <t>LBO Offer</t>
        </is>
      </c>
      <c r="I45" s="67" t="inlineStr">
        <is>
          <t>Perpetuity</t>
        </is>
      </c>
      <c r="J45" s="67" t="inlineStr">
        <is>
          <t>EBITDA exit</t>
        </is>
      </c>
    </row>
    <row r="46">
      <c r="B46" t="inlineStr">
        <is>
          <t>Gross debt (LBO latest filing)</t>
        </is>
      </c>
      <c r="C46" s="413">
        <f>ABS(LBO!D14)</f>
        <v/>
      </c>
      <c r="E46" t="inlineStr">
        <is>
          <t>Enterprise value</t>
        </is>
      </c>
      <c r="H46" s="400">
        <f>H48+C47</f>
        <v/>
      </c>
      <c r="I46" s="400">
        <f>C41</f>
        <v/>
      </c>
      <c r="J46" s="400">
        <f>H41</f>
        <v/>
      </c>
    </row>
    <row r="47">
      <c r="B47" s="22" t="inlineStr">
        <is>
          <t>Net debt</t>
        </is>
      </c>
      <c r="C47" s="399">
        <f>C46-C45</f>
        <v/>
      </c>
      <c r="E47" t="inlineStr">
        <is>
          <t>Less: Net debt</t>
        </is>
      </c>
      <c r="H47" s="400">
        <f>-C47</f>
        <v/>
      </c>
      <c r="I47" s="400">
        <f>-C47</f>
        <v/>
      </c>
      <c r="J47" s="400">
        <f>-C47</f>
        <v/>
      </c>
    </row>
    <row r="48">
      <c r="C48" s="39" t="n"/>
      <c r="E48" s="22" t="inlineStr">
        <is>
          <t>Equity value</t>
        </is>
      </c>
      <c r="F48" s="22" t="n"/>
      <c r="G48" s="22" t="n"/>
      <c r="H48" s="414">
        <f>LBO!H20*$C$8</f>
        <v/>
      </c>
      <c r="I48" s="401">
        <f>I46+I47</f>
        <v/>
      </c>
      <c r="J48" s="401">
        <f>J46+J47</f>
        <v/>
      </c>
    </row>
    <row r="49" ht="15.75" customHeight="1" s="381" thickBot="1">
      <c r="B49" s="388" t="inlineStr">
        <is>
          <t>Cost of capital assumptions</t>
        </is>
      </c>
      <c r="C49" s="44" t="n"/>
      <c r="E49" t="inlineStr">
        <is>
          <t>Diluted shares</t>
        </is>
      </c>
      <c r="H49" s="438">
        <f>$C$8</f>
        <v/>
      </c>
      <c r="I49" s="439">
        <f>$C$8</f>
        <v/>
      </c>
      <c r="J49" s="439">
        <f>$C$8</f>
        <v/>
      </c>
    </row>
    <row r="50">
      <c r="B50" s="56" t="inlineStr">
        <is>
          <t>Cost of debt (wtd TLA/TLB/Notes)</t>
        </is>
      </c>
      <c r="C50" s="417">
        <f>(Debt_Sweep_AI!G12*Assumptions_Drivers!C27+Debt_Sweep_AI!G13*Assumptions_Drivers!C28+Debt_Sweep_AI!G14*(Assumptions_Drivers!C14+0.035))/Debt_Sweep_AI!G15</f>
        <v/>
      </c>
      <c r="E50" s="22" t="inlineStr">
        <is>
          <t>Equity value per share</t>
        </is>
      </c>
      <c r="H50" s="418">
        <f>LBO!H20</f>
        <v/>
      </c>
      <c r="I50" s="418">
        <f>IF(I49=0,0,I48/I49)</f>
        <v/>
      </c>
      <c r="J50" s="418">
        <f>IF(J49=0,0,J48/J49)</f>
        <v/>
      </c>
      <c r="K50" s="390" t="n">
        <v>8.10863430429332</v>
      </c>
      <c r="L50" t="inlineStr">
        <is>
          <t>cached exit $/sh</t>
        </is>
      </c>
    </row>
    <row r="51">
      <c r="B51" t="inlineStr">
        <is>
          <t>Tax rate</t>
        </is>
      </c>
      <c r="C51" s="404">
        <f>Assumptions_Drivers!C19</f>
        <v/>
      </c>
      <c r="E51" s="19" t="inlineStr">
        <is>
          <t>Premium (discount) to LBO offer</t>
        </is>
      </c>
      <c r="H51" s="299" t="inlineStr">
        <is>
          <t>NM</t>
        </is>
      </c>
      <c r="I51" s="404">
        <f>IF(H50=0,0,I50/H50-1)</f>
        <v/>
      </c>
      <c r="J51" s="404">
        <f>IF(H50=0,0,J50/H50-1)</f>
        <v/>
      </c>
    </row>
    <row r="52">
      <c r="B52" t="inlineStr">
        <is>
          <t>Debt (new LBO stack $m)</t>
        </is>
      </c>
      <c r="C52" s="400">
        <f>Debt_Sweep_AI!G15</f>
        <v/>
      </c>
    </row>
    <row r="53">
      <c r="B53" t="inlineStr">
        <is>
          <t>Debt as a % of total capital</t>
        </is>
      </c>
      <c r="C53" s="419">
        <f>C52/(C52+C54)</f>
        <v/>
      </c>
    </row>
    <row r="54">
      <c r="B54" t="inlineStr">
        <is>
          <t>Sponsor equity check ($m)</t>
        </is>
      </c>
      <c r="C54" s="400">
        <f>Strategy_Summary!C20</f>
        <v/>
      </c>
    </row>
    <row r="55">
      <c r="B55" t="inlineStr">
        <is>
          <t>Risk free rate (SOFR from Drivers)</t>
        </is>
      </c>
      <c r="C55" s="420">
        <f>Assumptions_Drivers!C14</f>
        <v/>
      </c>
    </row>
    <row r="56">
      <c r="B56" t="inlineStr">
        <is>
          <t>Beta (MODEL CONST — SaaS mid)</t>
        </is>
      </c>
      <c r="C56" s="421" t="n">
        <v>1.25</v>
      </c>
    </row>
    <row r="57">
      <c r="B57" t="inlineStr">
        <is>
          <t>Market risk premium</t>
        </is>
      </c>
      <c r="C57" s="409" t="n">
        <v>0.05</v>
      </c>
    </row>
    <row r="58">
      <c r="B58" t="inlineStr">
        <is>
          <t>Equity as % of total capital structure</t>
        </is>
      </c>
      <c r="C58" s="404">
        <f>1-C53</f>
        <v/>
      </c>
    </row>
    <row r="59">
      <c r="B59" s="402" t="inlineStr">
        <is>
          <t>Cost of capital (WACC)</t>
        </is>
      </c>
      <c r="C59" s="422">
        <f>C58*(C55+C56*C57)+C53*C50*(1-C51)</f>
        <v/>
      </c>
    </row>
    <row r="61" ht="15.75" customHeight="1" s="381" thickBot="1">
      <c r="B61" s="46" t="n"/>
      <c r="C61" s="44" t="n"/>
      <c r="D61" s="44" t="n"/>
      <c r="E61" s="44" t="n"/>
      <c r="F61" s="44" t="n"/>
      <c r="G61" s="44" t="n"/>
      <c r="H61" s="44" t="n"/>
    </row>
    <row r="62">
      <c r="B62" s="22" t="n"/>
    </row>
    <row r="63" ht="17.25" customHeight="1" s="381">
      <c r="B63" s="22" t="n"/>
      <c r="C63" s="83" t="n"/>
      <c r="D63" s="83" t="n"/>
      <c r="E63" s="83" t="n"/>
      <c r="F63" s="83" t="n"/>
      <c r="G63" s="83" t="n"/>
      <c r="H63" s="83" t="n"/>
    </row>
    <row r="64">
      <c r="C64" s="34" t="n"/>
      <c r="D64" s="45" t="n"/>
      <c r="E64" s="45" t="n"/>
      <c r="F64" s="45" t="n"/>
      <c r="G64" s="45" t="n"/>
      <c r="H64" s="45" t="n"/>
    </row>
    <row r="65">
      <c r="B65" s="75" t="n"/>
      <c r="C65" s="82" t="n"/>
      <c r="D65" s="84" t="n"/>
      <c r="E65" s="85" t="n"/>
      <c r="F65" s="86" t="n"/>
      <c r="G65" s="85" t="n"/>
      <c r="H65" s="87" t="n"/>
    </row>
    <row r="66">
      <c r="C66" s="88" t="n"/>
      <c r="D66" s="63" t="n"/>
      <c r="E66" s="63" t="n"/>
      <c r="F66" s="63" t="n"/>
      <c r="G66" s="63" t="n"/>
      <c r="H66" s="63" t="n"/>
    </row>
    <row r="67">
      <c r="C67" s="89" t="n"/>
      <c r="D67" s="63" t="n"/>
      <c r="E67" s="63" t="n"/>
      <c r="F67" s="63" t="n"/>
      <c r="G67" s="63" t="n"/>
      <c r="H67" s="63" t="n"/>
    </row>
    <row r="68">
      <c r="B68" s="75" t="n"/>
      <c r="C68" s="89" t="n"/>
      <c r="D68" s="63" t="n"/>
      <c r="E68" s="63" t="n"/>
      <c r="F68" s="63" t="n"/>
      <c r="G68" s="63" t="n"/>
      <c r="H68" s="63" t="n"/>
    </row>
    <row r="69">
      <c r="C69" s="89" t="n"/>
      <c r="D69" s="63" t="n"/>
      <c r="E69" s="63" t="n"/>
      <c r="F69" s="63" t="n"/>
      <c r="G69" s="63" t="n"/>
      <c r="H69" s="63" t="n"/>
    </row>
    <row r="70">
      <c r="C70" s="89" t="n"/>
      <c r="D70" s="63" t="n"/>
      <c r="E70" s="63" t="n"/>
      <c r="F70" s="63" t="n"/>
      <c r="G70" s="63" t="n"/>
      <c r="H70" s="63" t="n"/>
    </row>
    <row r="71">
      <c r="C71" s="90" t="n"/>
      <c r="D71" s="63" t="n"/>
      <c r="E71" s="63" t="n"/>
      <c r="F71" s="63" t="n"/>
      <c r="G71" s="63" t="n"/>
      <c r="H71" s="63" t="n"/>
    </row>
    <row r="72">
      <c r="D72" s="63" t="n"/>
      <c r="E72" s="63" t="n"/>
      <c r="F72" s="63" t="n"/>
      <c r="G72" s="63" t="n"/>
      <c r="H72" s="63" t="n"/>
    </row>
    <row r="73" ht="17.25" customHeight="1" s="381">
      <c r="C73" s="83" t="n"/>
      <c r="D73" s="83" t="n"/>
      <c r="E73" s="83" t="n"/>
      <c r="F73" s="83" t="n"/>
      <c r="G73" s="83" t="n"/>
      <c r="H73" s="83" t="n"/>
    </row>
    <row r="74">
      <c r="D74" s="45" t="n"/>
      <c r="E74" s="45" t="n"/>
      <c r="F74" s="45" t="n"/>
      <c r="G74" s="45" t="n"/>
      <c r="H74" s="45" t="n"/>
    </row>
    <row r="75">
      <c r="C75" s="69" t="n"/>
      <c r="D75" s="91" t="n"/>
      <c r="E75" s="91" t="n"/>
      <c r="F75" s="92" t="n"/>
      <c r="G75" s="91" t="n"/>
      <c r="H75" s="93" t="n"/>
    </row>
    <row r="76">
      <c r="C76" s="94" t="n"/>
      <c r="D76" s="63" t="n"/>
      <c r="E76" s="63" t="n"/>
      <c r="F76" s="63" t="n"/>
      <c r="G76" s="63" t="n"/>
      <c r="H76" s="63" t="n"/>
    </row>
    <row r="77">
      <c r="C77" s="95" t="n"/>
      <c r="D77" s="63" t="n"/>
      <c r="E77" s="63" t="n"/>
      <c r="F77" s="63" t="n"/>
      <c r="G77" s="63" t="n"/>
      <c r="H77" s="63" t="n"/>
    </row>
    <row r="78">
      <c r="B78" s="75" t="n"/>
      <c r="C78" s="95" t="n"/>
      <c r="D78" s="63" t="n"/>
      <c r="E78" s="63" t="n"/>
      <c r="F78" s="63" t="n"/>
      <c r="G78" s="63" t="n"/>
      <c r="H78" s="63" t="n"/>
    </row>
    <row r="79">
      <c r="C79" s="95" t="n"/>
      <c r="D79" s="63" t="n"/>
      <c r="E79" s="63" t="n"/>
      <c r="F79" s="63" t="n"/>
      <c r="G79" s="63" t="n"/>
      <c r="H79" s="63" t="n"/>
    </row>
    <row r="80">
      <c r="C80" s="95" t="n"/>
      <c r="D80" s="63" t="n"/>
      <c r="E80" s="63" t="n"/>
      <c r="F80" s="63" t="n"/>
      <c r="G80" s="63" t="n"/>
      <c r="H80" s="63" t="n"/>
    </row>
    <row r="81">
      <c r="C81" s="96" t="n"/>
      <c r="D81" s="63" t="n"/>
      <c r="E81" s="63" t="n"/>
      <c r="F81" s="63" t="n"/>
      <c r="G81" s="63" t="n"/>
      <c r="H81" s="63" t="n"/>
    </row>
    <row r="83" ht="17.25" customHeight="1" s="381">
      <c r="C83" s="83" t="n"/>
      <c r="D83" s="83" t="n"/>
      <c r="E83" s="83" t="n"/>
      <c r="F83" s="83" t="n"/>
      <c r="G83" s="83" t="n"/>
      <c r="H83" s="83" t="n"/>
    </row>
    <row r="84">
      <c r="D84" s="45" t="n"/>
      <c r="E84" s="45" t="n"/>
      <c r="F84" s="45" t="n"/>
      <c r="G84" s="45" t="n"/>
      <c r="H84" s="45" t="n"/>
    </row>
    <row r="85">
      <c r="C85" s="102" t="n"/>
      <c r="D85" s="72" t="n"/>
      <c r="E85" s="97" t="n"/>
      <c r="F85" s="91" t="n"/>
      <c r="G85" s="92" t="n"/>
      <c r="H85" s="93" t="n"/>
    </row>
    <row r="86">
      <c r="C86" s="103" t="n"/>
      <c r="D86" s="98" t="n"/>
      <c r="E86" s="63" t="n"/>
      <c r="F86" s="63" t="n"/>
      <c r="G86" s="63" t="n"/>
      <c r="H86" s="63" t="n"/>
    </row>
    <row r="87">
      <c r="C87" s="104" t="n"/>
      <c r="D87" s="99" t="n"/>
      <c r="E87" s="63" t="n"/>
      <c r="F87" s="63" t="n"/>
      <c r="G87" s="63" t="n"/>
      <c r="H87" s="63" t="n"/>
    </row>
    <row r="88">
      <c r="C88" s="104" t="n"/>
      <c r="D88" s="100" t="n"/>
      <c r="E88" s="63" t="n"/>
      <c r="F88" s="63" t="n"/>
      <c r="G88" s="63" t="n"/>
      <c r="H88" s="63" t="n"/>
    </row>
    <row r="89">
      <c r="C89" s="104" t="n"/>
      <c r="D89" s="99" t="n"/>
      <c r="E89" s="63" t="n"/>
      <c r="F89" s="63" t="n"/>
      <c r="G89" s="63" t="n"/>
      <c r="H89" s="63" t="n"/>
    </row>
    <row r="90">
      <c r="C90" s="104" t="n"/>
      <c r="D90" s="99" t="n"/>
      <c r="E90" s="63" t="n"/>
      <c r="F90" s="63" t="n"/>
      <c r="G90" s="63" t="n"/>
      <c r="H90" s="63" t="n"/>
    </row>
    <row r="91">
      <c r="C91" s="104" t="n"/>
      <c r="D91" s="101" t="n"/>
      <c r="E91" s="63" t="n"/>
      <c r="F91" s="63" t="n"/>
      <c r="G91" s="63" t="n"/>
      <c r="H91" s="63" t="n"/>
    </row>
    <row r="93" ht="15.75" customHeight="1" s="381" thickBot="1">
      <c r="B93" s="388" t="inlineStr">
        <is>
          <t>Football field (chart removed so Excel can open this file)</t>
        </is>
      </c>
      <c r="C93" s="44" t="n"/>
      <c r="D93" s="44" t="n"/>
      <c r="E93" s="44" t="n"/>
    </row>
    <row r="114">
      <c r="B114" s="79" t="n"/>
      <c r="C114" s="80" t="inlineStr">
        <is>
          <t>Low</t>
        </is>
      </c>
      <c r="D114" s="80" t="inlineStr">
        <is>
          <t>Diff.</t>
        </is>
      </c>
      <c r="E114" s="81" t="inlineStr">
        <is>
          <t>High</t>
        </is>
      </c>
    </row>
    <row r="115">
      <c r="B115" s="76" t="inlineStr">
        <is>
          <t>DCF exit-multiple value / share (cached)</t>
        </is>
      </c>
      <c r="C115" s="390" t="n">
        <v>8.10863430429332</v>
      </c>
      <c r="D115" s="390" t="n">
        <v>0</v>
      </c>
      <c r="E115" s="423" t="n">
        <v>8.10863430429332</v>
      </c>
    </row>
    <row r="116">
      <c r="B116" s="74" t="inlineStr">
        <is>
          <t>DCF perpetuity value / share (cached)</t>
        </is>
      </c>
      <c r="C116" s="390" t="n">
        <v>7.207102552146641</v>
      </c>
      <c r="D116" s="390" t="n">
        <v>0</v>
      </c>
      <c r="E116" s="423" t="n">
        <v>7.207102552146641</v>
      </c>
    </row>
    <row r="117">
      <c r="B117" s="74" t="inlineStr">
        <is>
          <t>LBO Offer price / share</t>
        </is>
      </c>
      <c r="C117" s="390">
        <f>LBO!H20</f>
        <v/>
      </c>
      <c r="D117" s="390" t="n">
        <v>0</v>
      </c>
      <c r="E117" s="423">
        <f>LBO!H20</f>
        <v/>
      </c>
    </row>
    <row r="118">
      <c r="B118" s="77" t="inlineStr">
        <is>
          <t>52 Week Market High/Low (GTM)</t>
        </is>
      </c>
      <c r="C118" s="424">
        <f>'52wkHL'!E5</f>
        <v/>
      </c>
      <c r="D118" s="424">
        <f>E118-C118</f>
        <v/>
      </c>
      <c r="E118" s="425">
        <f>'52wkHL'!E4</f>
        <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worksheet>
</file>

<file path=xl/worksheets/sheet10.xml><?xml version="1.0" encoding="utf-8"?>
<worksheet xmlns="http://schemas.openxmlformats.org/spreadsheetml/2006/main">
  <sheetPr>
    <outlinePr summaryBelow="1" summaryRight="1"/>
    <pageSetUpPr/>
  </sheetPr>
  <dimension ref="B2:G28"/>
  <sheetViews>
    <sheetView zoomScaleNormal="100" workbookViewId="0">
      <selection activeCell="A1" sqref="A1"/>
    </sheetView>
  </sheetViews>
  <sheetFormatPr baseColWidth="8" defaultRowHeight="14.5"/>
  <cols>
    <col width="1.7265625" customWidth="1" style="381" min="1" max="1"/>
    <col width="36.54296875" bestFit="1" customWidth="1" style="381" min="2" max="2"/>
    <col width="15.81640625" customWidth="1" style="381" min="3" max="5"/>
  </cols>
  <sheetData>
    <row r="1" ht="15.75" customHeight="1" s="381" thickBot="1"/>
    <row r="2" ht="27" customHeight="1" s="381" thickBot="1">
      <c r="B2" s="387" t="inlineStr">
        <is>
          <t>Diluted shares for ZoomInfo (GTM)</t>
        </is>
      </c>
      <c r="C2" s="8" t="n"/>
      <c r="D2" s="8" t="n"/>
      <c r="E2" s="8" t="n"/>
    </row>
    <row r="3">
      <c r="B3" s="221" t="inlineStr">
        <is>
          <t>$ mm except per share / share counts in millions</t>
        </is>
      </c>
    </row>
    <row r="4">
      <c r="B4" s="26" t="n"/>
    </row>
    <row r="5">
      <c r="B5" s="26" t="inlineStr">
        <is>
          <t>Offer price (LBO)</t>
        </is>
      </c>
      <c r="E5" s="440">
        <f>LBO!H20</f>
        <v/>
      </c>
      <c r="F5" s="441" t="n">
        <v>5.0625</v>
      </c>
      <c r="G5" t="inlineStr">
        <is>
          <t>cached (formulas in E)</t>
        </is>
      </c>
    </row>
    <row r="6">
      <c r="B6" s="223" t="inlineStr">
        <is>
          <t>Latest close (LBO)</t>
        </is>
      </c>
      <c r="E6" s="428">
        <f>LBO!D8</f>
        <v/>
      </c>
      <c r="F6" s="390" t="n">
        <v>4.05</v>
      </c>
    </row>
    <row r="7">
      <c r="B7" s="108" t="inlineStr">
        <is>
          <t>Diluted shares outstanding (mm)</t>
        </is>
      </c>
      <c r="E7" s="442">
        <f>LBO!H18</f>
        <v/>
      </c>
      <c r="F7" s="435" t="n">
        <v>307.294</v>
      </c>
    </row>
    <row r="8">
      <c r="B8" s="26" t="inlineStr">
        <is>
          <t>In-the-money exercisable options (mm)</t>
        </is>
      </c>
      <c r="E8" s="439" t="n">
        <v>0</v>
      </c>
    </row>
    <row r="9">
      <c r="B9" s="26" t="inlineStr">
        <is>
          <t>Total proceeds ($mm)</t>
        </is>
      </c>
      <c r="E9" s="405" t="n">
        <v>0</v>
      </c>
    </row>
    <row r="10">
      <c r="B10" s="26" t="inlineStr">
        <is>
          <t>Total shares repurchased (mm)</t>
        </is>
      </c>
      <c r="E10" s="435" t="n">
        <v>0</v>
      </c>
    </row>
    <row r="11">
      <c r="B11" s="26" t="inlineStr">
        <is>
          <t>Net dilutive options</t>
        </is>
      </c>
      <c r="E11" s="435" t="n">
        <v>0</v>
      </c>
    </row>
    <row r="12">
      <c r="B12" s="26" t="inlineStr">
        <is>
          <t>Dilutive impact of other securities</t>
        </is>
      </c>
      <c r="E12" s="442" t="n">
        <v>0</v>
      </c>
    </row>
    <row r="13">
      <c r="B13" s="26" t="n"/>
      <c r="E13" s="105" t="n"/>
    </row>
    <row r="14">
      <c r="B14" s="430" t="inlineStr">
        <is>
          <t>Net diluted shares outstanding (mm)</t>
        </is>
      </c>
      <c r="D14" s="107" t="n"/>
      <c r="E14" s="443">
        <f>E7+E11+E12</f>
        <v/>
      </c>
      <c r="F14" s="435" t="n">
        <v>307.294</v>
      </c>
    </row>
    <row r="15">
      <c r="B15" s="35" t="n"/>
      <c r="D15" s="107" t="n"/>
      <c r="E15" s="38" t="n"/>
    </row>
    <row r="16">
      <c r="B16" s="116" t="inlineStr">
        <is>
          <t>Options note</t>
        </is>
      </c>
      <c r="C16" s="13" t="n"/>
      <c r="D16" s="180" t="n"/>
      <c r="E16" s="78" t="n"/>
    </row>
    <row r="17">
      <c r="B17" t="inlineStr">
        <is>
          <t>LBO!H18 stores diluted shares for offer value/share. No GTM option lattice — options left at 0.</t>
        </is>
      </c>
      <c r="C17" s="120" t="n"/>
      <c r="D17" s="120" t="n"/>
      <c r="E17" s="120" t="n"/>
    </row>
    <row r="18">
      <c r="B18" s="216" t="n"/>
      <c r="C18" s="217" t="n"/>
      <c r="D18" s="217" t="n"/>
      <c r="E18" s="218" t="n"/>
    </row>
    <row r="19">
      <c r="B19" s="216" t="n"/>
      <c r="C19" s="217" t="n"/>
      <c r="D19" s="217" t="n"/>
      <c r="E19" s="218" t="n"/>
    </row>
    <row r="20">
      <c r="B20" s="216" t="n"/>
      <c r="C20" s="217" t="n"/>
      <c r="D20" s="217" t="n"/>
      <c r="E20" s="218" t="n"/>
    </row>
    <row r="21">
      <c r="B21" s="216" t="n"/>
      <c r="C21" s="217" t="n"/>
      <c r="D21" s="217" t="n"/>
      <c r="E21" s="218" t="n"/>
    </row>
    <row r="22">
      <c r="B22" s="216" t="n"/>
      <c r="C22" s="217" t="n"/>
      <c r="D22" s="217" t="n"/>
      <c r="E22" s="218" t="n"/>
    </row>
    <row r="23">
      <c r="B23" s="216" t="n"/>
      <c r="C23" s="217" t="n"/>
      <c r="D23" s="217" t="n"/>
      <c r="E23" s="218" t="n"/>
    </row>
    <row r="24">
      <c r="B24" s="216" t="n"/>
      <c r="C24" s="217" t="n"/>
      <c r="D24" s="217" t="n"/>
      <c r="E24" s="218" t="n"/>
    </row>
    <row r="25">
      <c r="B25" s="216" t="n"/>
      <c r="C25" s="217" t="n"/>
      <c r="D25" s="217" t="n"/>
      <c r="E25" s="218" t="n"/>
    </row>
    <row r="26">
      <c r="B26" s="216" t="n"/>
      <c r="C26" s="217" t="n"/>
      <c r="D26" s="217" t="n"/>
      <c r="E26" s="218" t="n"/>
    </row>
    <row r="27">
      <c r="B27" s="216" t="n"/>
      <c r="C27" s="217" t="n"/>
      <c r="D27" s="217" t="n"/>
      <c r="E27" s="219" t="n"/>
    </row>
    <row r="28">
      <c r="E28" s="22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7" sqref="A7:F7"/>
    </sheetView>
  </sheetViews>
  <sheetFormatPr baseColWidth="8" defaultRowHeight="14.5"/>
  <cols>
    <col width="19.453125" bestFit="1" customWidth="1" style="381" min="1" max="1"/>
    <col width="9.26953125" bestFit="1" customWidth="1" style="381" min="2" max="5"/>
    <col width="10" bestFit="1" customWidth="1" style="381" min="6" max="6"/>
    <col width="9.26953125" bestFit="1" customWidth="1" style="381" min="9" max="9"/>
  </cols>
  <sheetData>
    <row r="2" ht="18" customHeight="1" s="381" thickBot="1">
      <c r="A2" s="73" t="inlineStr">
        <is>
          <t>52 week high/low — ZoomInfo Technologies (ticker GTM)</t>
        </is>
      </c>
      <c r="B2" s="44" t="n"/>
      <c r="C2" s="44" t="n"/>
      <c r="D2" s="44" t="n"/>
      <c r="E2" s="44" t="n"/>
      <c r="F2" s="44" t="n"/>
    </row>
    <row r="4">
      <c r="A4" t="inlineStr">
        <is>
          <t>52 week high</t>
        </is>
      </c>
      <c r="E4" s="432" t="n">
        <v>12.51</v>
      </c>
    </row>
    <row r="5">
      <c r="A5" t="inlineStr">
        <is>
          <t>52 week low</t>
        </is>
      </c>
      <c r="E5" s="432" t="n">
        <v>2.54</v>
      </c>
    </row>
    <row r="6">
      <c r="A6" t="inlineStr">
        <is>
          <t>GTM daily OHLC (Yahoo 1y). Last close 4.05 matches LBO!D8. Not BMC.</t>
        </is>
      </c>
    </row>
    <row r="7">
      <c r="A7" s="402" t="inlineStr">
        <is>
          <t>Date</t>
        </is>
      </c>
      <c r="B7" s="402" t="inlineStr">
        <is>
          <t>Open</t>
        </is>
      </c>
      <c r="C7" s="402" t="inlineStr">
        <is>
          <t>High</t>
        </is>
      </c>
      <c r="D7" s="402" t="inlineStr">
        <is>
          <t>Low</t>
        </is>
      </c>
      <c r="E7" s="402" t="inlineStr">
        <is>
          <t>Close</t>
        </is>
      </c>
      <c r="F7" s="402" t="inlineStr">
        <is>
          <t>Volume</t>
        </is>
      </c>
    </row>
    <row r="8">
      <c r="A8" s="444" t="n">
        <v>46248.5625</v>
      </c>
      <c r="B8" s="390" t="n">
        <v>4.25</v>
      </c>
      <c r="C8" s="390" t="n">
        <v>4.311</v>
      </c>
      <c r="D8" s="390" t="n">
        <v>4.035</v>
      </c>
      <c r="E8" s="418" t="n">
        <v>4.05</v>
      </c>
      <c r="F8" t="n">
        <v>6927400</v>
      </c>
    </row>
    <row r="9">
      <c r="A9" s="444" t="n">
        <v>46247.5625</v>
      </c>
      <c r="B9" s="390" t="n">
        <v>3.86</v>
      </c>
      <c r="C9" s="390" t="n">
        <v>4.365</v>
      </c>
      <c r="D9" s="390" t="n">
        <v>3.811</v>
      </c>
      <c r="E9" s="418" t="n">
        <v>4.31</v>
      </c>
      <c r="F9" t="n">
        <v>9261000</v>
      </c>
    </row>
    <row r="10">
      <c r="A10" s="444" t="n">
        <v>46246.5625</v>
      </c>
      <c r="B10" s="390" t="n">
        <v>4.05</v>
      </c>
      <c r="C10" s="390" t="n">
        <v>4.05</v>
      </c>
      <c r="D10" s="390" t="n">
        <v>3.75</v>
      </c>
      <c r="E10" s="418" t="n">
        <v>3.86</v>
      </c>
      <c r="F10" t="n">
        <v>7183300</v>
      </c>
    </row>
    <row r="11">
      <c r="A11" s="444" t="n">
        <v>46245.5625</v>
      </c>
      <c r="B11" s="390" t="n">
        <v>4.21</v>
      </c>
      <c r="C11" s="390" t="n">
        <v>4.3</v>
      </c>
      <c r="D11" s="390" t="n">
        <v>4.055</v>
      </c>
      <c r="E11" s="418" t="n">
        <v>4.08</v>
      </c>
      <c r="F11" t="n">
        <v>6651100</v>
      </c>
    </row>
    <row r="12">
      <c r="A12" s="444" t="n">
        <v>46244.5625</v>
      </c>
      <c r="B12" s="390" t="n">
        <v>4.13</v>
      </c>
      <c r="C12" s="390" t="n">
        <v>4.326</v>
      </c>
      <c r="D12" s="390" t="n">
        <v>4.13</v>
      </c>
      <c r="E12" s="418" t="n">
        <v>4.23</v>
      </c>
      <c r="F12" t="n">
        <v>9212600</v>
      </c>
    </row>
    <row r="13">
      <c r="A13" s="444" t="n">
        <v>46241.5625</v>
      </c>
      <c r="B13" s="390" t="n">
        <v>4.33</v>
      </c>
      <c r="C13" s="390" t="n">
        <v>4.33</v>
      </c>
      <c r="D13" s="390" t="n">
        <v>4.05</v>
      </c>
      <c r="E13" s="418" t="n">
        <v>4.18</v>
      </c>
      <c r="F13" t="n">
        <v>11372700</v>
      </c>
    </row>
    <row r="14">
      <c r="A14" s="444" t="n">
        <v>46240.5625</v>
      </c>
      <c r="B14" s="390" t="n">
        <v>3.78</v>
      </c>
      <c r="C14" s="390" t="n">
        <v>4.24</v>
      </c>
      <c r="D14" s="390" t="n">
        <v>3.76</v>
      </c>
      <c r="E14" s="418" t="n">
        <v>4.14</v>
      </c>
      <c r="F14" t="n">
        <v>16764400</v>
      </c>
    </row>
    <row r="15">
      <c r="A15" s="444" t="n">
        <v>46239.5625</v>
      </c>
      <c r="B15" s="390" t="n">
        <v>3.67</v>
      </c>
      <c r="C15" s="390" t="n">
        <v>3.8</v>
      </c>
      <c r="D15" s="390" t="n">
        <v>3.595</v>
      </c>
      <c r="E15" s="418" t="n">
        <v>3.66</v>
      </c>
      <c r="F15" t="n">
        <v>11351500</v>
      </c>
    </row>
    <row r="16">
      <c r="A16" s="444" t="n">
        <v>46238.5625</v>
      </c>
      <c r="B16" s="390" t="n">
        <v>3.46</v>
      </c>
      <c r="C16" s="390" t="n">
        <v>3.655</v>
      </c>
      <c r="D16" s="390" t="n">
        <v>3.46</v>
      </c>
      <c r="E16" s="418" t="n">
        <v>3.62</v>
      </c>
      <c r="F16" t="n">
        <v>4514800</v>
      </c>
    </row>
    <row r="17">
      <c r="A17" s="444" t="n">
        <v>46237.5625</v>
      </c>
      <c r="B17" s="390" t="n">
        <v>3.41</v>
      </c>
      <c r="C17" s="390" t="n">
        <v>3.64</v>
      </c>
      <c r="D17" s="390" t="n">
        <v>3.4</v>
      </c>
      <c r="E17" s="418" t="n">
        <v>3.57</v>
      </c>
      <c r="F17" t="n">
        <v>7290300</v>
      </c>
    </row>
    <row r="18">
      <c r="A18" s="444" t="n">
        <v>46234.5625</v>
      </c>
      <c r="B18" s="390" t="n">
        <v>3.33</v>
      </c>
      <c r="C18" s="390" t="n">
        <v>3.4</v>
      </c>
      <c r="D18" s="390" t="n">
        <v>3.265</v>
      </c>
      <c r="E18" s="418" t="n">
        <v>3.3</v>
      </c>
      <c r="F18" t="n">
        <v>6511600</v>
      </c>
    </row>
    <row r="19">
      <c r="A19" s="444" t="n">
        <v>46233.5625</v>
      </c>
      <c r="B19" s="390" t="n">
        <v>3.45</v>
      </c>
      <c r="C19" s="390" t="n">
        <v>3.45</v>
      </c>
      <c r="D19" s="390" t="n">
        <v>3.18</v>
      </c>
      <c r="E19" s="418" t="n">
        <v>3.32</v>
      </c>
      <c r="F19" t="n">
        <v>6105500</v>
      </c>
    </row>
    <row r="20">
      <c r="A20" s="444" t="n">
        <v>46232.5625</v>
      </c>
      <c r="B20" s="390" t="n">
        <v>3.28</v>
      </c>
      <c r="C20" s="390" t="n">
        <v>3.515</v>
      </c>
      <c r="D20" s="390" t="n">
        <v>3.27</v>
      </c>
      <c r="E20" s="418" t="n">
        <v>3.5</v>
      </c>
      <c r="F20" t="n">
        <v>7551800</v>
      </c>
    </row>
    <row r="21">
      <c r="A21" s="444" t="n">
        <v>46231.5625</v>
      </c>
      <c r="B21" s="390" t="n">
        <v>3.09</v>
      </c>
      <c r="C21" s="390" t="n">
        <v>3.34</v>
      </c>
      <c r="D21" s="390" t="n">
        <v>3.09</v>
      </c>
      <c r="E21" s="418" t="n">
        <v>3.28</v>
      </c>
      <c r="F21" t="n">
        <v>7245500</v>
      </c>
    </row>
    <row r="22">
      <c r="A22" s="444" t="n">
        <v>46230.5625</v>
      </c>
      <c r="B22" s="390" t="n">
        <v>3</v>
      </c>
      <c r="C22" s="390" t="n">
        <v>3.16</v>
      </c>
      <c r="D22" s="390" t="n">
        <v>2.965</v>
      </c>
      <c r="E22" s="418" t="n">
        <v>3.08</v>
      </c>
      <c r="F22" t="n">
        <v>7204700</v>
      </c>
    </row>
    <row r="23">
      <c r="A23" s="444" t="n">
        <v>46227.5625</v>
      </c>
      <c r="B23" s="390" t="n">
        <v>2.88</v>
      </c>
      <c r="C23" s="390" t="n">
        <v>2.97</v>
      </c>
      <c r="D23" s="390" t="n">
        <v>2.865</v>
      </c>
      <c r="E23" s="418" t="n">
        <v>2.92</v>
      </c>
      <c r="F23" t="n">
        <v>5169300</v>
      </c>
    </row>
    <row r="24">
      <c r="A24" s="444" t="n">
        <v>46226.5625</v>
      </c>
      <c r="B24" s="390" t="n">
        <v>2.91</v>
      </c>
      <c r="C24" s="390" t="n">
        <v>2.98</v>
      </c>
      <c r="D24" s="390" t="n">
        <v>2.74</v>
      </c>
      <c r="E24" s="418" t="n">
        <v>2.88</v>
      </c>
      <c r="F24" t="n">
        <v>8710000</v>
      </c>
    </row>
    <row r="25">
      <c r="A25" s="444" t="n">
        <v>46225.5625</v>
      </c>
      <c r="B25" s="390" t="n">
        <v>3.04</v>
      </c>
      <c r="C25" s="390" t="n">
        <v>3.07</v>
      </c>
      <c r="D25" s="390" t="n">
        <v>2.88</v>
      </c>
      <c r="E25" s="418" t="n">
        <v>2.92</v>
      </c>
      <c r="F25" t="n">
        <v>6066100</v>
      </c>
    </row>
    <row r="26">
      <c r="A26" s="444" t="n">
        <v>46224.5625</v>
      </c>
      <c r="B26" s="390" t="n">
        <v>3.05</v>
      </c>
      <c r="C26" s="390" t="n">
        <v>3.17</v>
      </c>
      <c r="D26" s="390" t="n">
        <v>2.995</v>
      </c>
      <c r="E26" s="418" t="n">
        <v>3.02</v>
      </c>
      <c r="F26" t="n">
        <v>6486100</v>
      </c>
    </row>
    <row r="27">
      <c r="A27" s="444" t="n">
        <v>46223.5625</v>
      </c>
      <c r="B27" s="390" t="n">
        <v>3.11</v>
      </c>
      <c r="C27" s="390" t="n">
        <v>3.23</v>
      </c>
      <c r="D27" s="390" t="n">
        <v>3.04</v>
      </c>
      <c r="E27" s="418" t="n">
        <v>3.13</v>
      </c>
      <c r="F27" t="n">
        <v>8065900</v>
      </c>
    </row>
    <row r="28">
      <c r="A28" s="444" t="n">
        <v>46220.5625</v>
      </c>
      <c r="B28" s="390" t="n">
        <v>3.06</v>
      </c>
      <c r="C28" s="390" t="n">
        <v>3.19</v>
      </c>
      <c r="D28" s="390" t="n">
        <v>3.04</v>
      </c>
      <c r="E28" s="418" t="n">
        <v>3.07</v>
      </c>
      <c r="F28" t="n">
        <v>5383800</v>
      </c>
    </row>
    <row r="29">
      <c r="A29" s="444" t="n">
        <v>46219.5625</v>
      </c>
      <c r="B29" s="390" t="n">
        <v>3.125</v>
      </c>
      <c r="C29" s="390" t="n">
        <v>3.2</v>
      </c>
      <c r="D29" s="390" t="n">
        <v>3.04</v>
      </c>
      <c r="E29" s="418" t="n">
        <v>3.13</v>
      </c>
      <c r="F29" t="n">
        <v>7099000</v>
      </c>
    </row>
    <row r="30">
      <c r="A30" s="444" t="n">
        <v>46218.5625</v>
      </c>
      <c r="B30" s="390" t="n">
        <v>3.08</v>
      </c>
      <c r="C30" s="390" t="n">
        <v>3.195</v>
      </c>
      <c r="D30" s="390" t="n">
        <v>3.06</v>
      </c>
      <c r="E30" s="418" t="n">
        <v>3.08</v>
      </c>
      <c r="F30" t="n">
        <v>4693100</v>
      </c>
    </row>
    <row r="31">
      <c r="A31" s="444" t="n">
        <v>46217.5625</v>
      </c>
      <c r="B31" s="390" t="n">
        <v>2.99</v>
      </c>
      <c r="C31" s="390" t="n">
        <v>3.085</v>
      </c>
      <c r="D31" s="390" t="n">
        <v>2.93</v>
      </c>
      <c r="E31" s="418" t="n">
        <v>3.02</v>
      </c>
      <c r="F31" t="n">
        <v>6193100</v>
      </c>
    </row>
    <row r="32">
      <c r="A32" s="444" t="n">
        <v>46216.5625</v>
      </c>
      <c r="B32" s="390" t="n">
        <v>2.96</v>
      </c>
      <c r="C32" s="390" t="n">
        <v>3.22</v>
      </c>
      <c r="D32" s="390" t="n">
        <v>2.94</v>
      </c>
      <c r="E32" s="418" t="n">
        <v>3.08</v>
      </c>
      <c r="F32" t="n">
        <v>10942300</v>
      </c>
    </row>
    <row r="33">
      <c r="A33" s="444" t="n">
        <v>46213.5625</v>
      </c>
      <c r="B33" s="390" t="n">
        <v>3</v>
      </c>
      <c r="C33" s="390" t="n">
        <v>3.06</v>
      </c>
      <c r="D33" s="390" t="n">
        <v>2.805</v>
      </c>
      <c r="E33" s="418" t="n">
        <v>2.92</v>
      </c>
      <c r="F33" t="n">
        <v>9723500</v>
      </c>
    </row>
    <row r="34">
      <c r="A34" s="444" t="n">
        <v>46212.5625</v>
      </c>
      <c r="B34" s="390" t="n">
        <v>2.84</v>
      </c>
      <c r="C34" s="390" t="n">
        <v>2.99</v>
      </c>
      <c r="D34" s="390" t="n">
        <v>2.8</v>
      </c>
      <c r="E34" s="418" t="n">
        <v>2.94</v>
      </c>
      <c r="F34" t="n">
        <v>6500000</v>
      </c>
    </row>
    <row r="35">
      <c r="A35" s="444" t="n">
        <v>46211.5625</v>
      </c>
      <c r="B35" s="390" t="n">
        <v>2.95</v>
      </c>
      <c r="C35" s="390" t="n">
        <v>3.01</v>
      </c>
      <c r="D35" s="390" t="n">
        <v>2.87</v>
      </c>
      <c r="E35" s="418" t="n">
        <v>2.92</v>
      </c>
      <c r="F35" t="n">
        <v>10696800</v>
      </c>
    </row>
    <row r="36">
      <c r="A36" s="444" t="n">
        <v>46210.5625</v>
      </c>
      <c r="B36" s="390" t="n">
        <v>3.01</v>
      </c>
      <c r="C36" s="390" t="n">
        <v>3.11</v>
      </c>
      <c r="D36" s="390" t="n">
        <v>2.975</v>
      </c>
      <c r="E36" s="418" t="n">
        <v>2.99</v>
      </c>
      <c r="F36" t="n">
        <v>6327700</v>
      </c>
    </row>
    <row r="37">
      <c r="A37" s="444" t="n">
        <v>46209.5625</v>
      </c>
      <c r="B37" s="390" t="n">
        <v>2.95</v>
      </c>
      <c r="C37" s="390" t="n">
        <v>3.005</v>
      </c>
      <c r="D37" s="390" t="n">
        <v>2.83</v>
      </c>
      <c r="E37" s="418" t="n">
        <v>2.93</v>
      </c>
      <c r="F37" t="n">
        <v>15081500</v>
      </c>
    </row>
    <row r="38">
      <c r="A38" s="444" t="n">
        <v>46205.5625</v>
      </c>
      <c r="B38" s="390" t="n">
        <v>2.82</v>
      </c>
      <c r="C38" s="390" t="n">
        <v>3.04</v>
      </c>
      <c r="D38" s="390" t="n">
        <v>2.82</v>
      </c>
      <c r="E38" s="418" t="n">
        <v>2.99</v>
      </c>
      <c r="F38" t="n">
        <v>11699900</v>
      </c>
    </row>
    <row r="39">
      <c r="A39" s="444" t="n">
        <v>46204.5625</v>
      </c>
      <c r="B39" s="390" t="n">
        <v>2.99</v>
      </c>
      <c r="C39" s="390" t="n">
        <v>3.03</v>
      </c>
      <c r="D39" s="390" t="n">
        <v>2.83</v>
      </c>
      <c r="E39" s="418" t="n">
        <v>2.84</v>
      </c>
      <c r="F39" t="n">
        <v>12710600</v>
      </c>
    </row>
    <row r="40">
      <c r="A40" s="444" t="n">
        <v>46203.5625</v>
      </c>
      <c r="B40" s="390" t="n">
        <v>2.865</v>
      </c>
      <c r="C40" s="390" t="n">
        <v>2.94</v>
      </c>
      <c r="D40" s="390" t="n">
        <v>2.835</v>
      </c>
      <c r="E40" s="418" t="n">
        <v>2.93</v>
      </c>
      <c r="F40" t="n">
        <v>10126000</v>
      </c>
    </row>
    <row r="41">
      <c r="A41" s="444" t="n">
        <v>46202.5625</v>
      </c>
      <c r="B41" s="390" t="n">
        <v>2.94</v>
      </c>
      <c r="C41" s="390" t="n">
        <v>2.97</v>
      </c>
      <c r="D41" s="390" t="n">
        <v>2.81</v>
      </c>
      <c r="E41" s="418" t="n">
        <v>2.92</v>
      </c>
      <c r="F41" t="n">
        <v>14903400</v>
      </c>
    </row>
    <row r="42">
      <c r="A42" s="444" t="n">
        <v>46199.5625</v>
      </c>
      <c r="B42" s="390" t="n">
        <v>2.61</v>
      </c>
      <c r="C42" s="390" t="n">
        <v>2.935</v>
      </c>
      <c r="D42" s="390" t="n">
        <v>2.61</v>
      </c>
      <c r="E42" s="418" t="n">
        <v>2.89</v>
      </c>
      <c r="F42" t="n">
        <v>45330300</v>
      </c>
    </row>
    <row r="43">
      <c r="A43" s="444" t="n">
        <v>46198.5625</v>
      </c>
      <c r="B43" s="390" t="n">
        <v>2.775</v>
      </c>
      <c r="C43" s="390" t="n">
        <v>2.775</v>
      </c>
      <c r="D43" s="390" t="n">
        <v>2.605</v>
      </c>
      <c r="E43" s="418" t="n">
        <v>2.61</v>
      </c>
      <c r="F43" t="n">
        <v>9969300</v>
      </c>
    </row>
    <row r="44">
      <c r="A44" s="444" t="n">
        <v>46197.5625</v>
      </c>
      <c r="B44" s="390" t="n">
        <v>2.715</v>
      </c>
      <c r="C44" s="390" t="n">
        <v>2.855</v>
      </c>
      <c r="D44" s="390" t="n">
        <v>2.7</v>
      </c>
      <c r="E44" s="418" t="n">
        <v>2.83</v>
      </c>
      <c r="F44" t="n">
        <v>11400900</v>
      </c>
    </row>
    <row r="45">
      <c r="A45" s="444" t="n">
        <v>46196.5625</v>
      </c>
      <c r="B45" s="390" t="n">
        <v>2.6</v>
      </c>
      <c r="C45" s="390" t="n">
        <v>2.79</v>
      </c>
      <c r="D45" s="390" t="n">
        <v>2.6</v>
      </c>
      <c r="E45" s="418" t="n">
        <v>2.71</v>
      </c>
      <c r="F45" t="n">
        <v>11109800</v>
      </c>
    </row>
    <row r="46">
      <c r="A46" s="444" t="n">
        <v>46195.5625</v>
      </c>
      <c r="B46" s="390" t="n">
        <v>2.78</v>
      </c>
      <c r="C46" s="390" t="n">
        <v>2.79</v>
      </c>
      <c r="D46" s="390" t="n">
        <v>2.54</v>
      </c>
      <c r="E46" s="418" t="n">
        <v>2.65</v>
      </c>
      <c r="F46" t="n">
        <v>14099200</v>
      </c>
    </row>
    <row r="47">
      <c r="A47" s="444" t="n">
        <v>46191.5625</v>
      </c>
      <c r="B47" s="390" t="n">
        <v>2.62</v>
      </c>
      <c r="C47" s="390" t="n">
        <v>2.88</v>
      </c>
      <c r="D47" s="390" t="n">
        <v>2.6</v>
      </c>
      <c r="E47" s="418" t="n">
        <v>2.81</v>
      </c>
      <c r="F47" t="n">
        <v>19859700</v>
      </c>
    </row>
    <row r="48">
      <c r="A48" s="444" t="n">
        <v>46190.5625</v>
      </c>
      <c r="B48" s="390" t="n">
        <v>2.76</v>
      </c>
      <c r="C48" s="390" t="n">
        <v>2.84</v>
      </c>
      <c r="D48" s="390" t="n">
        <v>2.66</v>
      </c>
      <c r="E48" s="418" t="n">
        <v>2.68</v>
      </c>
      <c r="F48" t="n">
        <v>6809200</v>
      </c>
    </row>
    <row r="49">
      <c r="A49" s="444" t="n">
        <v>46189.5625</v>
      </c>
      <c r="B49" s="390" t="n">
        <v>2.85</v>
      </c>
      <c r="C49" s="390" t="n">
        <v>2.88</v>
      </c>
      <c r="D49" s="390" t="n">
        <v>2.73</v>
      </c>
      <c r="E49" s="418" t="n">
        <v>2.8</v>
      </c>
      <c r="F49" t="n">
        <v>6572600</v>
      </c>
    </row>
    <row r="50">
      <c r="A50" s="444" t="n">
        <v>46188.5625</v>
      </c>
      <c r="B50" s="390" t="n">
        <v>2.83</v>
      </c>
      <c r="C50" s="390" t="n">
        <v>2.866</v>
      </c>
      <c r="D50" s="390" t="n">
        <v>2.76</v>
      </c>
      <c r="E50" s="418" t="n">
        <v>2.84</v>
      </c>
      <c r="F50" t="n">
        <v>9967900</v>
      </c>
    </row>
    <row r="51">
      <c r="A51" s="444" t="n">
        <v>46185.5625</v>
      </c>
      <c r="B51" s="390" t="n">
        <v>2.69</v>
      </c>
      <c r="C51" s="390" t="n">
        <v>2.845</v>
      </c>
      <c r="D51" s="390" t="n">
        <v>2.59</v>
      </c>
      <c r="E51" s="418" t="n">
        <v>2.81</v>
      </c>
      <c r="F51" t="n">
        <v>14201600</v>
      </c>
    </row>
    <row r="52">
      <c r="A52" s="444" t="n">
        <v>46184.5625</v>
      </c>
      <c r="B52" s="390" t="n">
        <v>2.705</v>
      </c>
      <c r="C52" s="390" t="n">
        <v>2.73</v>
      </c>
      <c r="D52" s="390" t="n">
        <v>2.59</v>
      </c>
      <c r="E52" s="418" t="n">
        <v>2.68</v>
      </c>
      <c r="F52" t="n">
        <v>10494300</v>
      </c>
    </row>
    <row r="53">
      <c r="A53" s="444" t="n">
        <v>46183.5625</v>
      </c>
      <c r="B53" s="390" t="n">
        <v>2.715</v>
      </c>
      <c r="C53" s="390" t="n">
        <v>2.84</v>
      </c>
      <c r="D53" s="390" t="n">
        <v>2.685</v>
      </c>
      <c r="E53" s="418" t="n">
        <v>2.7</v>
      </c>
      <c r="F53" t="n">
        <v>9887500</v>
      </c>
    </row>
    <row r="54">
      <c r="A54" s="444" t="n">
        <v>46182.5625</v>
      </c>
      <c r="B54" s="390" t="n">
        <v>2.85</v>
      </c>
      <c r="C54" s="390" t="n">
        <v>2.91</v>
      </c>
      <c r="D54" s="390" t="n">
        <v>2.74</v>
      </c>
      <c r="E54" s="418" t="n">
        <v>2.77</v>
      </c>
      <c r="F54" t="n">
        <v>8831700</v>
      </c>
    </row>
    <row r="55">
      <c r="A55" s="444" t="n">
        <v>46181.5625</v>
      </c>
      <c r="B55" s="390" t="n">
        <v>2.95</v>
      </c>
      <c r="C55" s="390" t="n">
        <v>2.969</v>
      </c>
      <c r="D55" s="390" t="n">
        <v>2.84</v>
      </c>
      <c r="E55" s="418" t="n">
        <v>2.85</v>
      </c>
      <c r="F55" t="n">
        <v>7761800</v>
      </c>
    </row>
    <row r="56">
      <c r="A56" s="444" t="n">
        <v>46178.5625</v>
      </c>
      <c r="B56" s="390" t="n">
        <v>3.03</v>
      </c>
      <c r="C56" s="390" t="n">
        <v>3.07</v>
      </c>
      <c r="D56" s="390" t="n">
        <v>2.89</v>
      </c>
      <c r="E56" s="418" t="n">
        <v>2.98</v>
      </c>
      <c r="F56" t="n">
        <v>11539300</v>
      </c>
    </row>
    <row r="57">
      <c r="A57" s="444" t="n">
        <v>46177.5625</v>
      </c>
      <c r="B57" s="390" t="n">
        <v>3.21</v>
      </c>
      <c r="C57" s="390" t="n">
        <v>3.24</v>
      </c>
      <c r="D57" s="390" t="n">
        <v>2.99</v>
      </c>
      <c r="E57" s="418" t="n">
        <v>3.03</v>
      </c>
      <c r="F57" t="n">
        <v>8902000</v>
      </c>
    </row>
    <row r="58">
      <c r="A58" s="444" t="n">
        <v>46176.5625</v>
      </c>
      <c r="B58" s="390" t="n">
        <v>3.42</v>
      </c>
      <c r="C58" s="390" t="n">
        <v>3.42</v>
      </c>
      <c r="D58" s="390" t="n">
        <v>2.94</v>
      </c>
      <c r="E58" s="418" t="n">
        <v>3.12</v>
      </c>
      <c r="F58" t="n">
        <v>21632200</v>
      </c>
    </row>
    <row r="59">
      <c r="A59" s="444" t="n">
        <v>46175.5625</v>
      </c>
      <c r="B59" s="390" t="n">
        <v>3.64</v>
      </c>
      <c r="C59" s="390" t="n">
        <v>3.73</v>
      </c>
      <c r="D59" s="390" t="n">
        <v>3.29</v>
      </c>
      <c r="E59" s="418" t="n">
        <v>3.425</v>
      </c>
      <c r="F59" t="n">
        <v>25277500</v>
      </c>
    </row>
    <row r="60">
      <c r="A60" s="444" t="n">
        <v>46174.5625</v>
      </c>
      <c r="B60" s="390" t="n">
        <v>3.43</v>
      </c>
      <c r="C60" s="390" t="n">
        <v>3.88</v>
      </c>
      <c r="D60" s="390" t="n">
        <v>3.43</v>
      </c>
      <c r="E60" s="418" t="n">
        <v>3.82</v>
      </c>
      <c r="F60" t="n">
        <v>19968700</v>
      </c>
    </row>
    <row r="61">
      <c r="A61" s="444" t="n">
        <v>46171.5625</v>
      </c>
      <c r="B61" s="390" t="n">
        <v>3.365</v>
      </c>
      <c r="C61" s="390" t="n">
        <v>3.43</v>
      </c>
      <c r="D61" s="390" t="n">
        <v>3.28</v>
      </c>
      <c r="E61" s="418" t="n">
        <v>3.33</v>
      </c>
      <c r="F61" t="n">
        <v>18745900</v>
      </c>
    </row>
    <row r="62">
      <c r="A62" s="444" t="n">
        <v>46170.5625</v>
      </c>
      <c r="B62" s="390" t="n">
        <v>3.31</v>
      </c>
      <c r="C62" s="390" t="n">
        <v>3.345</v>
      </c>
      <c r="D62" s="390" t="n">
        <v>3.19</v>
      </c>
      <c r="E62" s="418" t="n">
        <v>3.21</v>
      </c>
      <c r="F62" t="n">
        <v>10994800</v>
      </c>
    </row>
    <row r="63">
      <c r="A63" s="444" t="n">
        <v>46169.5625</v>
      </c>
      <c r="B63" s="390" t="n">
        <v>3.46</v>
      </c>
      <c r="C63" s="390" t="n">
        <v>3.52</v>
      </c>
      <c r="D63" s="390" t="n">
        <v>3.24</v>
      </c>
      <c r="E63" s="418" t="n">
        <v>3.25</v>
      </c>
      <c r="F63" t="n">
        <v>12754400</v>
      </c>
    </row>
    <row r="64">
      <c r="A64" s="444" t="n">
        <v>46168.5625</v>
      </c>
      <c r="B64" s="390" t="n">
        <v>3.59</v>
      </c>
      <c r="C64" s="390" t="n">
        <v>3.665</v>
      </c>
      <c r="D64" s="390" t="n">
        <v>3.49</v>
      </c>
      <c r="E64" s="418" t="n">
        <v>3.5</v>
      </c>
      <c r="F64" t="n">
        <v>9402600</v>
      </c>
    </row>
    <row r="65">
      <c r="A65" s="444" t="n">
        <v>46164.5625</v>
      </c>
      <c r="B65" s="390" t="n">
        <v>3.6</v>
      </c>
      <c r="C65" s="390" t="n">
        <v>3.75</v>
      </c>
      <c r="D65" s="390" t="n">
        <v>3.55</v>
      </c>
      <c r="E65" s="418" t="n">
        <v>3.61</v>
      </c>
      <c r="F65" t="n">
        <v>8223100</v>
      </c>
    </row>
    <row r="66">
      <c r="A66" s="444" t="n">
        <v>46163.5625</v>
      </c>
      <c r="B66" s="390" t="n">
        <v>3.58</v>
      </c>
      <c r="C66" s="390" t="n">
        <v>3.635</v>
      </c>
      <c r="D66" s="390" t="n">
        <v>3.46</v>
      </c>
      <c r="E66" s="418" t="n">
        <v>3.57</v>
      </c>
      <c r="F66" t="n">
        <v>13774200</v>
      </c>
    </row>
    <row r="67">
      <c r="A67" s="444" t="n">
        <v>46162.5625</v>
      </c>
      <c r="B67" s="390" t="n">
        <v>3.75</v>
      </c>
      <c r="C67" s="390" t="n">
        <v>3.785</v>
      </c>
      <c r="D67" s="390" t="n">
        <v>3.645</v>
      </c>
      <c r="E67" s="418" t="n">
        <v>3.67</v>
      </c>
      <c r="F67" t="n">
        <v>12117200</v>
      </c>
    </row>
    <row r="68">
      <c r="A68" s="444" t="n">
        <v>46161.5625</v>
      </c>
      <c r="B68" s="390" t="n">
        <v>3.93</v>
      </c>
      <c r="C68" s="390" t="n">
        <v>3.99</v>
      </c>
      <c r="D68" s="390" t="n">
        <v>3.765</v>
      </c>
      <c r="E68" s="418" t="n">
        <v>3.81</v>
      </c>
      <c r="F68" t="n">
        <v>7118200</v>
      </c>
    </row>
    <row r="69">
      <c r="A69" s="444" t="n">
        <v>46160.5625</v>
      </c>
      <c r="B69" s="390" t="n">
        <v>3.86</v>
      </c>
      <c r="C69" s="390" t="n">
        <v>4.05</v>
      </c>
      <c r="D69" s="390" t="n">
        <v>3.85</v>
      </c>
      <c r="E69" s="418" t="n">
        <v>3.92</v>
      </c>
      <c r="F69" t="n">
        <v>8401800</v>
      </c>
    </row>
    <row r="70">
      <c r="A70" s="444" t="n">
        <v>46157.5625</v>
      </c>
      <c r="B70" s="390" t="n">
        <v>3.9</v>
      </c>
      <c r="C70" s="390" t="n">
        <v>3.985</v>
      </c>
      <c r="D70" s="390" t="n">
        <v>3.76</v>
      </c>
      <c r="E70" s="418" t="n">
        <v>3.86</v>
      </c>
      <c r="F70" t="n">
        <v>11959000</v>
      </c>
    </row>
    <row r="71">
      <c r="A71" s="444" t="n">
        <v>46156.5625</v>
      </c>
      <c r="B71" s="390" t="n">
        <v>3.99</v>
      </c>
      <c r="C71" s="390" t="n">
        <v>4.025</v>
      </c>
      <c r="D71" s="390" t="n">
        <v>3.76</v>
      </c>
      <c r="E71" s="418" t="n">
        <v>3.9</v>
      </c>
      <c r="F71" t="n">
        <v>16903200</v>
      </c>
    </row>
    <row r="72">
      <c r="A72" s="444" t="n">
        <v>46155.5625</v>
      </c>
      <c r="B72" s="390" t="n">
        <v>3.985</v>
      </c>
      <c r="C72" s="390" t="n">
        <v>4.115</v>
      </c>
      <c r="D72" s="390" t="n">
        <v>3.85</v>
      </c>
      <c r="E72" s="418" t="n">
        <v>3.96</v>
      </c>
      <c r="F72" t="n">
        <v>20553600</v>
      </c>
    </row>
    <row r="73">
      <c r="A73" s="444" t="n">
        <v>46154.5625</v>
      </c>
      <c r="B73" s="390" t="n">
        <v>4</v>
      </c>
      <c r="C73" s="390" t="n">
        <v>4.4</v>
      </c>
      <c r="D73" s="390" t="n">
        <v>3.87</v>
      </c>
      <c r="E73" s="418" t="n">
        <v>4.06</v>
      </c>
      <c r="F73" t="n">
        <v>42419100</v>
      </c>
    </row>
    <row r="74">
      <c r="A74" s="444" t="n">
        <v>46153.5625</v>
      </c>
      <c r="B74" s="390" t="n">
        <v>6.35</v>
      </c>
      <c r="C74" s="390" t="n">
        <v>6.66</v>
      </c>
      <c r="D74" s="390" t="n">
        <v>5.985</v>
      </c>
      <c r="E74" s="418" t="n">
        <v>6.04</v>
      </c>
      <c r="F74" t="n">
        <v>23425300</v>
      </c>
    </row>
    <row r="75">
      <c r="A75" s="444" t="n">
        <v>46150.5625</v>
      </c>
      <c r="B75" s="390" t="n">
        <v>6.54</v>
      </c>
      <c r="C75" s="390" t="n">
        <v>6.59</v>
      </c>
      <c r="D75" s="390" t="n">
        <v>6.2</v>
      </c>
      <c r="E75" s="418" t="n">
        <v>6.38</v>
      </c>
      <c r="F75" t="n">
        <v>19864100</v>
      </c>
    </row>
    <row r="76">
      <c r="A76" s="444" t="n">
        <v>46149.5625</v>
      </c>
      <c r="B76" s="390" t="n">
        <v>6.68</v>
      </c>
      <c r="C76" s="390" t="n">
        <v>6.868</v>
      </c>
      <c r="D76" s="390" t="n">
        <v>6.565</v>
      </c>
      <c r="E76" s="418" t="n">
        <v>6.63</v>
      </c>
      <c r="F76" t="n">
        <v>7560400</v>
      </c>
    </row>
    <row r="77">
      <c r="A77" s="444" t="n">
        <v>46148.5625</v>
      </c>
      <c r="B77" s="390" t="n">
        <v>6.46</v>
      </c>
      <c r="C77" s="390" t="n">
        <v>6.55</v>
      </c>
      <c r="D77" s="390" t="n">
        <v>6.35</v>
      </c>
      <c r="E77" s="418" t="n">
        <v>6.5</v>
      </c>
      <c r="F77" t="n">
        <v>7266900</v>
      </c>
    </row>
    <row r="78">
      <c r="A78" s="444" t="n">
        <v>46147.5625</v>
      </c>
      <c r="B78" s="390" t="n">
        <v>6.54</v>
      </c>
      <c r="C78" s="390" t="n">
        <v>6.6</v>
      </c>
      <c r="D78" s="390" t="n">
        <v>6.405</v>
      </c>
      <c r="E78" s="418" t="n">
        <v>6.56</v>
      </c>
      <c r="F78" t="n">
        <v>4426000</v>
      </c>
    </row>
    <row r="79">
      <c r="A79" s="444" t="n">
        <v>46146.5625</v>
      </c>
      <c r="B79" s="390" t="n">
        <v>6.64</v>
      </c>
      <c r="C79" s="390" t="n">
        <v>6.751</v>
      </c>
      <c r="D79" s="390" t="n">
        <v>6.485</v>
      </c>
      <c r="E79" s="418" t="n">
        <v>6.52</v>
      </c>
      <c r="F79" t="n">
        <v>6208900</v>
      </c>
    </row>
    <row r="80">
      <c r="A80" s="444" t="n">
        <v>46143.5625</v>
      </c>
      <c r="B80" s="390" t="n">
        <v>6.498</v>
      </c>
      <c r="C80" s="390" t="n">
        <v>6.715</v>
      </c>
      <c r="D80" s="390" t="n">
        <v>6.35</v>
      </c>
      <c r="E80" s="418" t="n">
        <v>6.65</v>
      </c>
      <c r="F80" t="n">
        <v>8659500</v>
      </c>
    </row>
    <row r="81">
      <c r="A81" s="444" t="n">
        <v>46142.5625</v>
      </c>
      <c r="B81" s="390" t="n">
        <v>6.1</v>
      </c>
      <c r="C81" s="390" t="n">
        <v>6.27</v>
      </c>
      <c r="D81" s="390" t="n">
        <v>6.03</v>
      </c>
      <c r="E81" s="418" t="n">
        <v>6.25</v>
      </c>
      <c r="F81" t="n">
        <v>5811100</v>
      </c>
    </row>
    <row r="82">
      <c r="A82" s="444" t="n">
        <v>46141.5625</v>
      </c>
      <c r="B82" s="390" t="n">
        <v>6.1</v>
      </c>
      <c r="C82" s="390" t="n">
        <v>6.235</v>
      </c>
      <c r="D82" s="390" t="n">
        <v>6.025</v>
      </c>
      <c r="E82" s="418" t="n">
        <v>6.13</v>
      </c>
      <c r="F82" t="n">
        <v>5277000</v>
      </c>
    </row>
    <row r="83">
      <c r="A83" s="444" t="n">
        <v>46140.5625</v>
      </c>
      <c r="B83" s="390" t="n">
        <v>6.09</v>
      </c>
      <c r="C83" s="390" t="n">
        <v>6.355</v>
      </c>
      <c r="D83" s="390" t="n">
        <v>6.08</v>
      </c>
      <c r="E83" s="418" t="n">
        <v>6.18</v>
      </c>
      <c r="F83" t="n">
        <v>7794600</v>
      </c>
    </row>
    <row r="84">
      <c r="A84" s="444" t="n">
        <v>46139.5625</v>
      </c>
      <c r="B84" s="390" t="n">
        <v>6.1</v>
      </c>
      <c r="C84" s="390" t="n">
        <v>6.285</v>
      </c>
      <c r="D84" s="390" t="n">
        <v>6.04</v>
      </c>
      <c r="E84" s="418" t="n">
        <v>6.06</v>
      </c>
      <c r="F84" t="n">
        <v>6132700</v>
      </c>
    </row>
    <row r="85">
      <c r="A85" s="444" t="n">
        <v>46136.5625</v>
      </c>
      <c r="B85" s="390" t="n">
        <v>5.9</v>
      </c>
      <c r="C85" s="390" t="n">
        <v>6.13</v>
      </c>
      <c r="D85" s="390" t="n">
        <v>5.73</v>
      </c>
      <c r="E85" s="418" t="n">
        <v>6.13</v>
      </c>
      <c r="F85" t="n">
        <v>7288500</v>
      </c>
    </row>
    <row r="86">
      <c r="A86" s="444" t="n">
        <v>46135.5625</v>
      </c>
      <c r="B86" s="390" t="n">
        <v>6.17</v>
      </c>
      <c r="C86" s="390" t="n">
        <v>6.25</v>
      </c>
      <c r="D86" s="390" t="n">
        <v>5.72</v>
      </c>
      <c r="E86" s="418" t="n">
        <v>5.87</v>
      </c>
      <c r="F86" t="n">
        <v>7186000</v>
      </c>
    </row>
    <row r="87">
      <c r="A87" s="444" t="n">
        <v>46134.5625</v>
      </c>
      <c r="B87" s="390" t="n">
        <v>6.29</v>
      </c>
      <c r="C87" s="390" t="n">
        <v>6.37</v>
      </c>
      <c r="D87" s="390" t="n">
        <v>6.195</v>
      </c>
      <c r="E87" s="418" t="n">
        <v>6.36</v>
      </c>
      <c r="F87" t="n">
        <v>4898500</v>
      </c>
    </row>
    <row r="88">
      <c r="A88" s="444" t="n">
        <v>46133.5625</v>
      </c>
      <c r="B88" s="390" t="n">
        <v>6.25</v>
      </c>
      <c r="C88" s="390" t="n">
        <v>6.42</v>
      </c>
      <c r="D88" s="390" t="n">
        <v>6.13</v>
      </c>
      <c r="E88" s="418" t="n">
        <v>6.21</v>
      </c>
      <c r="F88" t="n">
        <v>4304900</v>
      </c>
    </row>
    <row r="89">
      <c r="A89" s="444" t="n">
        <v>46132.5625</v>
      </c>
      <c r="B89" s="390" t="n">
        <v>6.14</v>
      </c>
      <c r="C89" s="390" t="n">
        <v>6.31</v>
      </c>
      <c r="D89" s="390" t="n">
        <v>6.025</v>
      </c>
      <c r="E89" s="418" t="n">
        <v>6.24</v>
      </c>
      <c r="F89" t="n">
        <v>5411400</v>
      </c>
    </row>
    <row r="90">
      <c r="A90" s="444" t="n">
        <v>46129.5625</v>
      </c>
      <c r="B90" s="390" t="n">
        <v>6.28</v>
      </c>
      <c r="C90" s="390" t="n">
        <v>6.4</v>
      </c>
      <c r="D90" s="390" t="n">
        <v>6.2</v>
      </c>
      <c r="E90" s="418" t="n">
        <v>6.21</v>
      </c>
      <c r="F90" t="n">
        <v>9273300</v>
      </c>
    </row>
    <row r="91">
      <c r="A91" s="444" t="n">
        <v>46128.5625</v>
      </c>
      <c r="B91" s="390" t="n">
        <v>6.27</v>
      </c>
      <c r="C91" s="390" t="n">
        <v>6.47</v>
      </c>
      <c r="D91" s="390" t="n">
        <v>6.08</v>
      </c>
      <c r="E91" s="418" t="n">
        <v>6.17</v>
      </c>
      <c r="F91" t="n">
        <v>8799100</v>
      </c>
    </row>
    <row r="92">
      <c r="A92" s="444" t="n">
        <v>46127.5625</v>
      </c>
      <c r="B92" s="390" t="n">
        <v>5.925</v>
      </c>
      <c r="C92" s="390" t="n">
        <v>6.3</v>
      </c>
      <c r="D92" s="390" t="n">
        <v>5.88</v>
      </c>
      <c r="E92" s="418" t="n">
        <v>6.15</v>
      </c>
      <c r="F92" t="n">
        <v>13834500</v>
      </c>
    </row>
    <row r="93">
      <c r="A93" s="444" t="n">
        <v>46126.5625</v>
      </c>
      <c r="B93" s="390" t="n">
        <v>5.59</v>
      </c>
      <c r="C93" s="390" t="n">
        <v>5.895</v>
      </c>
      <c r="D93" s="390" t="n">
        <v>5.545</v>
      </c>
      <c r="E93" s="418" t="n">
        <v>5.79</v>
      </c>
      <c r="F93" t="n">
        <v>11957700</v>
      </c>
    </row>
    <row r="94">
      <c r="A94" s="444" t="n">
        <v>46125.5625</v>
      </c>
      <c r="B94" s="390" t="n">
        <v>5.22</v>
      </c>
      <c r="C94" s="390" t="n">
        <v>5.52</v>
      </c>
      <c r="D94" s="390" t="n">
        <v>5.17</v>
      </c>
      <c r="E94" s="418" t="n">
        <v>5.52</v>
      </c>
      <c r="F94" t="n">
        <v>22082200</v>
      </c>
    </row>
    <row r="95">
      <c r="A95" s="444" t="n">
        <v>46122.5625</v>
      </c>
      <c r="B95" s="390" t="n">
        <v>5.37</v>
      </c>
      <c r="C95" s="390" t="n">
        <v>5.49</v>
      </c>
      <c r="D95" s="390" t="n">
        <v>5.15</v>
      </c>
      <c r="E95" s="418" t="n">
        <v>5.23</v>
      </c>
      <c r="F95" t="n">
        <v>18799600</v>
      </c>
    </row>
    <row r="96">
      <c r="A96" s="444" t="n">
        <v>46121.5625</v>
      </c>
      <c r="B96" s="390" t="n">
        <v>5.56</v>
      </c>
      <c r="C96" s="390" t="n">
        <v>5.66</v>
      </c>
      <c r="D96" s="390" t="n">
        <v>5.215</v>
      </c>
      <c r="E96" s="418" t="n">
        <v>5.4</v>
      </c>
      <c r="F96" t="n">
        <v>14444600</v>
      </c>
    </row>
    <row r="97">
      <c r="A97" s="444" t="n">
        <v>46120.5625</v>
      </c>
      <c r="B97" s="390" t="n">
        <v>6.05</v>
      </c>
      <c r="C97" s="390" t="n">
        <v>6.13</v>
      </c>
      <c r="D97" s="390" t="n">
        <v>5.595</v>
      </c>
      <c r="E97" s="418" t="n">
        <v>5.63</v>
      </c>
      <c r="F97" t="n">
        <v>10572200</v>
      </c>
    </row>
    <row r="98">
      <c r="A98" s="444" t="n">
        <v>46119.5625</v>
      </c>
      <c r="B98" s="390" t="n">
        <v>5.92</v>
      </c>
      <c r="C98" s="390" t="n">
        <v>6.05</v>
      </c>
      <c r="D98" s="390" t="n">
        <v>5.77</v>
      </c>
      <c r="E98" s="418" t="n">
        <v>5.8</v>
      </c>
      <c r="F98" t="n">
        <v>6785500</v>
      </c>
    </row>
    <row r="99">
      <c r="A99" s="444" t="n">
        <v>46118.5625</v>
      </c>
      <c r="B99" s="390" t="n">
        <v>5.82</v>
      </c>
      <c r="C99" s="390" t="n">
        <v>6.07</v>
      </c>
      <c r="D99" s="390" t="n">
        <v>5.82</v>
      </c>
      <c r="E99" s="418" t="n">
        <v>5.94</v>
      </c>
      <c r="F99" t="n">
        <v>12121700</v>
      </c>
    </row>
    <row r="100">
      <c r="A100" s="444" t="n">
        <v>46114.5625</v>
      </c>
      <c r="B100" s="390" t="n">
        <v>5.85</v>
      </c>
      <c r="C100" s="390" t="n">
        <v>6.165</v>
      </c>
      <c r="D100" s="390" t="n">
        <v>5.73</v>
      </c>
      <c r="E100" s="418" t="n">
        <v>5.81</v>
      </c>
      <c r="F100" t="n">
        <v>11560400</v>
      </c>
    </row>
    <row r="101">
      <c r="A101" s="444" t="n">
        <v>46113.5625</v>
      </c>
      <c r="B101" s="390" t="n">
        <v>6.01</v>
      </c>
      <c r="C101" s="390" t="n">
        <v>6.04</v>
      </c>
      <c r="D101" s="390" t="n">
        <v>5.79</v>
      </c>
      <c r="E101" s="418" t="n">
        <v>5.85</v>
      </c>
      <c r="F101" t="n">
        <v>9605700</v>
      </c>
    </row>
    <row r="102">
      <c r="A102" s="444" t="n">
        <v>46112.5625</v>
      </c>
      <c r="B102" s="390" t="n">
        <v>6.02</v>
      </c>
      <c r="C102" s="390" t="n">
        <v>6.2</v>
      </c>
      <c r="D102" s="390" t="n">
        <v>5.925</v>
      </c>
      <c r="E102" s="418" t="n">
        <v>5.98</v>
      </c>
      <c r="F102" t="n">
        <v>9181700</v>
      </c>
    </row>
    <row r="103">
      <c r="A103" s="444" t="n">
        <v>46111.5625</v>
      </c>
      <c r="B103" s="390" t="n">
        <v>5.77</v>
      </c>
      <c r="C103" s="390" t="n">
        <v>6.235</v>
      </c>
      <c r="D103" s="390" t="n">
        <v>5.76</v>
      </c>
      <c r="E103" s="418" t="n">
        <v>5.97</v>
      </c>
      <c r="F103" t="n">
        <v>12636000</v>
      </c>
    </row>
    <row r="104">
      <c r="A104" s="444" t="n">
        <v>46108.5625</v>
      </c>
      <c r="B104" s="390" t="n">
        <v>5.82</v>
      </c>
      <c r="C104" s="390" t="n">
        <v>5.86</v>
      </c>
      <c r="D104" s="390" t="n">
        <v>5.63</v>
      </c>
      <c r="E104" s="418" t="n">
        <v>5.72</v>
      </c>
      <c r="F104" t="n">
        <v>5968800</v>
      </c>
    </row>
    <row r="105">
      <c r="A105" s="444" t="n">
        <v>46107.5625</v>
      </c>
      <c r="B105" s="390" t="n">
        <v>5.73</v>
      </c>
      <c r="C105" s="390" t="n">
        <v>6.035</v>
      </c>
      <c r="D105" s="390" t="n">
        <v>5.73</v>
      </c>
      <c r="E105" s="418" t="n">
        <v>5.93</v>
      </c>
      <c r="F105" t="n">
        <v>6578600</v>
      </c>
    </row>
    <row r="106">
      <c r="A106" s="444" t="n">
        <v>46106.5625</v>
      </c>
      <c r="B106" s="390" t="n">
        <v>5.89</v>
      </c>
      <c r="C106" s="390" t="n">
        <v>5.98</v>
      </c>
      <c r="D106" s="390" t="n">
        <v>5.565</v>
      </c>
      <c r="E106" s="418" t="n">
        <v>5.81</v>
      </c>
      <c r="F106" t="n">
        <v>7847200</v>
      </c>
    </row>
    <row r="107">
      <c r="A107" s="444" t="n">
        <v>46105.5625</v>
      </c>
      <c r="B107" s="390" t="n">
        <v>6.06</v>
      </c>
      <c r="C107" s="390" t="n">
        <v>6.095</v>
      </c>
      <c r="D107" s="390" t="n">
        <v>5.715</v>
      </c>
      <c r="E107" s="418" t="n">
        <v>5.75</v>
      </c>
      <c r="F107" t="n">
        <v>7672600</v>
      </c>
    </row>
    <row r="108">
      <c r="A108" s="444" t="n">
        <v>46104.5625</v>
      </c>
      <c r="B108" s="390" t="n">
        <v>5.92</v>
      </c>
      <c r="C108" s="390" t="n">
        <v>6.28</v>
      </c>
      <c r="D108" s="390" t="n">
        <v>5.92</v>
      </c>
      <c r="E108" s="418" t="n">
        <v>6.18</v>
      </c>
      <c r="F108" t="n">
        <v>12098900</v>
      </c>
    </row>
    <row r="109">
      <c r="A109" s="444" t="n">
        <v>46101.5625</v>
      </c>
      <c r="B109" s="390" t="n">
        <v>5.88</v>
      </c>
      <c r="C109" s="390" t="n">
        <v>5.97</v>
      </c>
      <c r="D109" s="390" t="n">
        <v>5.715</v>
      </c>
      <c r="E109" s="418" t="n">
        <v>5.91</v>
      </c>
      <c r="F109" t="n">
        <v>56032800</v>
      </c>
    </row>
    <row r="110">
      <c r="A110" s="444" t="n">
        <v>46100.5625</v>
      </c>
      <c r="B110" s="390" t="n">
        <v>5.91</v>
      </c>
      <c r="C110" s="390" t="n">
        <v>6.13</v>
      </c>
      <c r="D110" s="390" t="n">
        <v>5.84</v>
      </c>
      <c r="E110" s="418" t="n">
        <v>5.95</v>
      </c>
      <c r="F110" t="n">
        <v>4554800</v>
      </c>
    </row>
    <row r="111">
      <c r="A111" s="444" t="n">
        <v>46099.5625</v>
      </c>
      <c r="B111" s="390" t="n">
        <v>5.77</v>
      </c>
      <c r="C111" s="390" t="n">
        <v>5.99</v>
      </c>
      <c r="D111" s="390" t="n">
        <v>5.74</v>
      </c>
      <c r="E111" s="418" t="n">
        <v>5.89</v>
      </c>
      <c r="F111" t="n">
        <v>4515100</v>
      </c>
    </row>
    <row r="112">
      <c r="A112" s="444" t="n">
        <v>46098.5625</v>
      </c>
      <c r="B112" s="390" t="n">
        <v>5.8</v>
      </c>
      <c r="C112" s="390" t="n">
        <v>6.06</v>
      </c>
      <c r="D112" s="390" t="n">
        <v>5.79</v>
      </c>
      <c r="E112" s="418" t="n">
        <v>5.86</v>
      </c>
      <c r="F112" t="n">
        <v>6197100</v>
      </c>
    </row>
    <row r="113">
      <c r="A113" s="444" t="n">
        <v>46097.5625</v>
      </c>
      <c r="B113" s="390" t="n">
        <v>5.9</v>
      </c>
      <c r="C113" s="390" t="n">
        <v>5.95</v>
      </c>
      <c r="D113" s="390" t="n">
        <v>5.78</v>
      </c>
      <c r="E113" s="418" t="n">
        <v>5.78</v>
      </c>
      <c r="F113" t="n">
        <v>6823200</v>
      </c>
    </row>
    <row r="114">
      <c r="A114" s="444" t="n">
        <v>46094.5625</v>
      </c>
      <c r="B114" s="390" t="n">
        <v>6.01</v>
      </c>
      <c r="C114" s="390" t="n">
        <v>6.075</v>
      </c>
      <c r="D114" s="390" t="n">
        <v>5.74</v>
      </c>
      <c r="E114" s="418" t="n">
        <v>5.83</v>
      </c>
      <c r="F114" t="n">
        <v>9377700</v>
      </c>
    </row>
    <row r="115">
      <c r="A115" s="444" t="n">
        <v>46093.5625</v>
      </c>
      <c r="B115" s="390" t="n">
        <v>6.23</v>
      </c>
      <c r="C115" s="390" t="n">
        <v>6.36</v>
      </c>
      <c r="D115" s="390" t="n">
        <v>5.98</v>
      </c>
      <c r="E115" s="418" t="n">
        <v>6</v>
      </c>
      <c r="F115" t="n">
        <v>7495100</v>
      </c>
    </row>
    <row r="116">
      <c r="A116" s="444" t="n">
        <v>46092.5625</v>
      </c>
      <c r="B116" s="390" t="n">
        <v>6.4</v>
      </c>
      <c r="C116" s="390" t="n">
        <v>6.55</v>
      </c>
      <c r="D116" s="390" t="n">
        <v>6.205</v>
      </c>
      <c r="E116" s="418" t="n">
        <v>6.29</v>
      </c>
      <c r="F116" t="n">
        <v>6838300</v>
      </c>
    </row>
    <row r="117">
      <c r="A117" s="444" t="n">
        <v>46091.5625</v>
      </c>
      <c r="B117" s="390" t="n">
        <v>6.51</v>
      </c>
      <c r="C117" s="390" t="n">
        <v>6.55</v>
      </c>
      <c r="D117" s="390" t="n">
        <v>6.23</v>
      </c>
      <c r="E117" s="418" t="n">
        <v>6.31</v>
      </c>
      <c r="F117" t="n">
        <v>5928900</v>
      </c>
    </row>
    <row r="118">
      <c r="A118" s="444" t="n">
        <v>46090.5625</v>
      </c>
      <c r="B118" s="390" t="n">
        <v>6.46</v>
      </c>
      <c r="C118" s="390" t="n">
        <v>6.575</v>
      </c>
      <c r="D118" s="390" t="n">
        <v>6.225</v>
      </c>
      <c r="E118" s="418" t="n">
        <v>6.5</v>
      </c>
      <c r="F118" t="n">
        <v>6563700</v>
      </c>
    </row>
    <row r="119">
      <c r="A119" s="444" t="n">
        <v>46087.60416666666</v>
      </c>
      <c r="B119" s="390" t="n">
        <v>6.45</v>
      </c>
      <c r="C119" s="390" t="n">
        <v>6.64</v>
      </c>
      <c r="D119" s="390" t="n">
        <v>6.37</v>
      </c>
      <c r="E119" s="418" t="n">
        <v>6.56</v>
      </c>
      <c r="F119" t="n">
        <v>5661900</v>
      </c>
    </row>
    <row r="120">
      <c r="A120" s="444" t="n">
        <v>46086.60416666666</v>
      </c>
      <c r="B120" s="390" t="n">
        <v>6.26</v>
      </c>
      <c r="C120" s="390" t="n">
        <v>6.62</v>
      </c>
      <c r="D120" s="390" t="n">
        <v>6.24</v>
      </c>
      <c r="E120" s="418" t="n">
        <v>6.59</v>
      </c>
      <c r="F120" t="n">
        <v>6292300</v>
      </c>
    </row>
    <row r="121">
      <c r="A121" s="444" t="n">
        <v>46085.60416666666</v>
      </c>
      <c r="B121" s="390" t="n">
        <v>6.23</v>
      </c>
      <c r="C121" s="390" t="n">
        <v>6.29</v>
      </c>
      <c r="D121" s="390" t="n">
        <v>6.09</v>
      </c>
      <c r="E121" s="418" t="n">
        <v>6.24</v>
      </c>
      <c r="F121" t="n">
        <v>5433100</v>
      </c>
    </row>
    <row r="122">
      <c r="A122" s="444" t="n">
        <v>46084.60416666666</v>
      </c>
      <c r="B122" s="390" t="n">
        <v>6.07</v>
      </c>
      <c r="C122" s="390" t="n">
        <v>6.285</v>
      </c>
      <c r="D122" s="390" t="n">
        <v>5.93</v>
      </c>
      <c r="E122" s="418" t="n">
        <v>6.23</v>
      </c>
      <c r="F122" t="n">
        <v>6630800</v>
      </c>
    </row>
    <row r="123">
      <c r="A123" s="444" t="n">
        <v>46083.60416666666</v>
      </c>
      <c r="B123" s="390" t="n">
        <v>6.03</v>
      </c>
      <c r="C123" s="390" t="n">
        <v>6.195</v>
      </c>
      <c r="D123" s="390" t="n">
        <v>5.91</v>
      </c>
      <c r="E123" s="418" t="n">
        <v>6.18</v>
      </c>
      <c r="F123" t="n">
        <v>8246800</v>
      </c>
    </row>
    <row r="124">
      <c r="A124" s="444" t="n">
        <v>46080.60416666666</v>
      </c>
      <c r="B124" s="390" t="n">
        <v>6.23</v>
      </c>
      <c r="C124" s="390" t="n">
        <v>6.24</v>
      </c>
      <c r="D124" s="390" t="n">
        <v>5.995</v>
      </c>
      <c r="E124" s="418" t="n">
        <v>6.21</v>
      </c>
      <c r="F124" t="n">
        <v>11187600</v>
      </c>
    </row>
    <row r="125">
      <c r="A125" s="444" t="n">
        <v>46079.60416666666</v>
      </c>
      <c r="B125" s="390" t="n">
        <v>6.17</v>
      </c>
      <c r="C125" s="390" t="n">
        <v>6.445</v>
      </c>
      <c r="D125" s="390" t="n">
        <v>6.12</v>
      </c>
      <c r="E125" s="418" t="n">
        <v>6.4</v>
      </c>
      <c r="F125" t="n">
        <v>9409100</v>
      </c>
    </row>
    <row r="126">
      <c r="A126" s="444" t="n">
        <v>46078.60416666666</v>
      </c>
      <c r="B126" s="390" t="n">
        <v>5.99</v>
      </c>
      <c r="C126" s="390" t="n">
        <v>6.16</v>
      </c>
      <c r="D126" s="390" t="n">
        <v>5.88</v>
      </c>
      <c r="E126" s="418" t="n">
        <v>6.13</v>
      </c>
      <c r="F126" t="n">
        <v>6983100</v>
      </c>
    </row>
    <row r="127">
      <c r="A127" s="444" t="n">
        <v>46077.60416666666</v>
      </c>
      <c r="B127" s="390" t="n">
        <v>6.04</v>
      </c>
      <c r="C127" s="390" t="n">
        <v>6.05</v>
      </c>
      <c r="D127" s="390" t="n">
        <v>5.77</v>
      </c>
      <c r="E127" s="418" t="n">
        <v>5.99</v>
      </c>
      <c r="F127" t="n">
        <v>17184100</v>
      </c>
    </row>
    <row r="128">
      <c r="A128" s="444" t="n">
        <v>46076.60416666666</v>
      </c>
      <c r="B128" s="390" t="n">
        <v>6.33</v>
      </c>
      <c r="C128" s="390" t="n">
        <v>6.35</v>
      </c>
      <c r="D128" s="390" t="n">
        <v>5.97</v>
      </c>
      <c r="E128" s="418" t="n">
        <v>6.03</v>
      </c>
      <c r="F128" t="n">
        <v>11530300</v>
      </c>
    </row>
    <row r="129">
      <c r="A129" s="444" t="n">
        <v>46073.60416666666</v>
      </c>
      <c r="B129" s="390" t="n">
        <v>6.38</v>
      </c>
      <c r="C129" s="390" t="n">
        <v>6.755</v>
      </c>
      <c r="D129" s="390" t="n">
        <v>6.38</v>
      </c>
      <c r="E129" s="418" t="n">
        <v>6.45</v>
      </c>
      <c r="F129" t="n">
        <v>8693100</v>
      </c>
    </row>
    <row r="130">
      <c r="A130" s="444" t="n">
        <v>46072.60416666666</v>
      </c>
      <c r="B130" s="390" t="n">
        <v>6.48</v>
      </c>
      <c r="C130" s="390" t="n">
        <v>6.56</v>
      </c>
      <c r="D130" s="390" t="n">
        <v>6.34</v>
      </c>
      <c r="E130" s="418" t="n">
        <v>6.43</v>
      </c>
      <c r="F130" t="n">
        <v>9435900</v>
      </c>
    </row>
    <row r="131">
      <c r="A131" s="444" t="n">
        <v>46071.60416666666</v>
      </c>
      <c r="B131" s="390" t="n">
        <v>6.54</v>
      </c>
      <c r="C131" s="390" t="n">
        <v>6.78</v>
      </c>
      <c r="D131" s="390" t="n">
        <v>6.4</v>
      </c>
      <c r="E131" s="418" t="n">
        <v>6.6</v>
      </c>
      <c r="F131" t="n">
        <v>10382900</v>
      </c>
    </row>
    <row r="132">
      <c r="A132" s="444" t="n">
        <v>46070.60416666666</v>
      </c>
      <c r="B132" s="390" t="n">
        <v>6.36</v>
      </c>
      <c r="C132" s="390" t="n">
        <v>6.5</v>
      </c>
      <c r="D132" s="390" t="n">
        <v>6.245</v>
      </c>
      <c r="E132" s="418" t="n">
        <v>6.49</v>
      </c>
      <c r="F132" t="n">
        <v>14937300</v>
      </c>
    </row>
    <row r="133">
      <c r="A133" s="444" t="n">
        <v>46066.60416666666</v>
      </c>
      <c r="B133" s="390" t="n">
        <v>6.36</v>
      </c>
      <c r="C133" s="390" t="n">
        <v>6.59</v>
      </c>
      <c r="D133" s="390" t="n">
        <v>6.285</v>
      </c>
      <c r="E133" s="418" t="n">
        <v>6.36</v>
      </c>
      <c r="F133" t="n">
        <v>18536500</v>
      </c>
    </row>
    <row r="134">
      <c r="A134" s="444" t="n">
        <v>46065.60416666666</v>
      </c>
      <c r="B134" s="390" t="n">
        <v>6.57</v>
      </c>
      <c r="C134" s="390" t="n">
        <v>6.6</v>
      </c>
      <c r="D134" s="390" t="n">
        <v>6.2</v>
      </c>
      <c r="E134" s="418" t="n">
        <v>6.3</v>
      </c>
      <c r="F134" t="n">
        <v>11135200</v>
      </c>
    </row>
    <row r="135">
      <c r="A135" s="444" t="n">
        <v>46064.60416666666</v>
      </c>
      <c r="B135" s="390" t="n">
        <v>6.66</v>
      </c>
      <c r="C135" s="390" t="n">
        <v>7</v>
      </c>
      <c r="D135" s="390" t="n">
        <v>6.355</v>
      </c>
      <c r="E135" s="418" t="n">
        <v>6.56</v>
      </c>
      <c r="F135" t="n">
        <v>25475600</v>
      </c>
    </row>
    <row r="136">
      <c r="A136" s="444" t="n">
        <v>46063.60416666666</v>
      </c>
      <c r="B136" s="390" t="n">
        <v>6.045</v>
      </c>
      <c r="C136" s="390" t="n">
        <v>6.96</v>
      </c>
      <c r="D136" s="390" t="n">
        <v>5.84</v>
      </c>
      <c r="E136" s="418" t="n">
        <v>6.63</v>
      </c>
      <c r="F136" t="n">
        <v>37311900</v>
      </c>
    </row>
    <row r="137">
      <c r="A137" s="444" t="n">
        <v>46062.60416666666</v>
      </c>
      <c r="B137" s="390" t="n">
        <v>7.14</v>
      </c>
      <c r="C137" s="390" t="n">
        <v>7.68</v>
      </c>
      <c r="D137" s="390" t="n">
        <v>7.01</v>
      </c>
      <c r="E137" s="418" t="n">
        <v>7.32</v>
      </c>
      <c r="F137" t="n">
        <v>17482300</v>
      </c>
    </row>
    <row r="138">
      <c r="A138" s="444" t="n">
        <v>46059.60416666666</v>
      </c>
      <c r="B138" s="390" t="n">
        <v>6.81</v>
      </c>
      <c r="C138" s="390" t="n">
        <v>7.35</v>
      </c>
      <c r="D138" s="390" t="n">
        <v>6.63</v>
      </c>
      <c r="E138" s="418" t="n">
        <v>7.31</v>
      </c>
      <c r="F138" t="n">
        <v>11669000</v>
      </c>
    </row>
    <row r="139">
      <c r="A139" s="444" t="n">
        <v>46058.60416666666</v>
      </c>
      <c r="B139" s="390" t="n">
        <v>6.75</v>
      </c>
      <c r="C139" s="390" t="n">
        <v>7.11</v>
      </c>
      <c r="D139" s="390" t="n">
        <v>6.7</v>
      </c>
      <c r="E139" s="418" t="n">
        <v>6.78</v>
      </c>
      <c r="F139" t="n">
        <v>7805300</v>
      </c>
    </row>
    <row r="140">
      <c r="A140" s="444" t="n">
        <v>46057.60416666666</v>
      </c>
      <c r="B140" s="390" t="n">
        <v>6.83</v>
      </c>
      <c r="C140" s="390" t="n">
        <v>7.18</v>
      </c>
      <c r="D140" s="390" t="n">
        <v>6.67</v>
      </c>
      <c r="E140" s="418" t="n">
        <v>6.87</v>
      </c>
      <c r="F140" t="n">
        <v>11355000</v>
      </c>
    </row>
    <row r="141">
      <c r="A141" s="444" t="n">
        <v>46056.60416666666</v>
      </c>
      <c r="B141" s="390" t="n">
        <v>7.65</v>
      </c>
      <c r="C141" s="390" t="n">
        <v>7.81</v>
      </c>
      <c r="D141" s="390" t="n">
        <v>6.845</v>
      </c>
      <c r="E141" s="418" t="n">
        <v>6.92</v>
      </c>
      <c r="F141" t="n">
        <v>11030800</v>
      </c>
    </row>
    <row r="142">
      <c r="A142" s="444" t="n">
        <v>46055.60416666666</v>
      </c>
      <c r="B142" s="390" t="n">
        <v>8.01</v>
      </c>
      <c r="C142" s="390" t="n">
        <v>8.154999999999999</v>
      </c>
      <c r="D142" s="390" t="n">
        <v>7.78</v>
      </c>
      <c r="E142" s="418" t="n">
        <v>7.81</v>
      </c>
      <c r="F142" t="n">
        <v>9005700</v>
      </c>
    </row>
    <row r="143">
      <c r="A143" s="444" t="n">
        <v>46052.60416666666</v>
      </c>
      <c r="B143" s="390" t="n">
        <v>8.119999999999999</v>
      </c>
      <c r="C143" s="390" t="n">
        <v>8.279999999999999</v>
      </c>
      <c r="D143" s="390" t="n">
        <v>7.945</v>
      </c>
      <c r="E143" s="418" t="n">
        <v>8.050000000000001</v>
      </c>
      <c r="F143" t="n">
        <v>8975300</v>
      </c>
    </row>
    <row r="144">
      <c r="A144" s="444" t="n">
        <v>46051.60416666666</v>
      </c>
      <c r="B144" s="390" t="n">
        <v>8.619999999999999</v>
      </c>
      <c r="C144" s="390" t="n">
        <v>8.630000000000001</v>
      </c>
      <c r="D144" s="390" t="n">
        <v>7.952</v>
      </c>
      <c r="E144" s="418" t="n">
        <v>8.19</v>
      </c>
      <c r="F144" t="n">
        <v>7733500</v>
      </c>
    </row>
    <row r="145">
      <c r="A145" s="444" t="n">
        <v>46050.60416666666</v>
      </c>
      <c r="B145" s="390" t="n">
        <v>8.77</v>
      </c>
      <c r="C145" s="390" t="n">
        <v>8.9</v>
      </c>
      <c r="D145" s="390" t="n">
        <v>8.640000000000001</v>
      </c>
      <c r="E145" s="418" t="n">
        <v>8.715</v>
      </c>
      <c r="F145" t="n">
        <v>6224700</v>
      </c>
    </row>
    <row r="146">
      <c r="A146" s="444" t="n">
        <v>46049.60416666666</v>
      </c>
      <c r="B146" s="390" t="n">
        <v>8.93</v>
      </c>
      <c r="C146" s="390" t="n">
        <v>9.025</v>
      </c>
      <c r="D146" s="390" t="n">
        <v>8.685</v>
      </c>
      <c r="E146" s="418" t="n">
        <v>8.720000000000001</v>
      </c>
      <c r="F146" t="n">
        <v>4503000</v>
      </c>
    </row>
    <row r="147">
      <c r="A147" s="444" t="n">
        <v>46048.60416666666</v>
      </c>
      <c r="B147" s="390" t="n">
        <v>8.83</v>
      </c>
      <c r="C147" s="390" t="n">
        <v>9.074999999999999</v>
      </c>
      <c r="D147" s="390" t="n">
        <v>8.83</v>
      </c>
      <c r="E147" s="418" t="n">
        <v>8.91</v>
      </c>
      <c r="F147" t="n">
        <v>6531400</v>
      </c>
    </row>
    <row r="148">
      <c r="A148" s="444" t="n">
        <v>46045.60416666666</v>
      </c>
      <c r="B148" s="390" t="n">
        <v>9.1</v>
      </c>
      <c r="C148" s="390" t="n">
        <v>9.19</v>
      </c>
      <c r="D148" s="390" t="n">
        <v>8.805</v>
      </c>
      <c r="E148" s="418" t="n">
        <v>8.82</v>
      </c>
      <c r="F148" t="n">
        <v>6715000</v>
      </c>
    </row>
    <row r="149">
      <c r="A149" s="444" t="n">
        <v>46044.60416666666</v>
      </c>
      <c r="B149" s="390" t="n">
        <v>8.880000000000001</v>
      </c>
      <c r="C149" s="390" t="n">
        <v>9.18</v>
      </c>
      <c r="D149" s="390" t="n">
        <v>8.880000000000001</v>
      </c>
      <c r="E149" s="418" t="n">
        <v>9.119999999999999</v>
      </c>
      <c r="F149" t="n">
        <v>3875200</v>
      </c>
    </row>
    <row r="150">
      <c r="A150" s="444" t="n">
        <v>46043.60416666666</v>
      </c>
      <c r="B150" s="390" t="n">
        <v>8.81</v>
      </c>
      <c r="C150" s="390" t="n">
        <v>8.91</v>
      </c>
      <c r="D150" s="390" t="n">
        <v>8.705</v>
      </c>
      <c r="E150" s="418" t="n">
        <v>8.76</v>
      </c>
      <c r="F150" t="n">
        <v>3834100</v>
      </c>
    </row>
    <row r="151">
      <c r="A151" s="444" t="n">
        <v>46042.60416666666</v>
      </c>
      <c r="B151" s="390" t="n">
        <v>8.93</v>
      </c>
      <c r="C151" s="390" t="n">
        <v>9.18</v>
      </c>
      <c r="D151" s="390" t="n">
        <v>8.779999999999999</v>
      </c>
      <c r="E151" s="418" t="n">
        <v>8.785</v>
      </c>
      <c r="F151" t="n">
        <v>4783200</v>
      </c>
    </row>
    <row r="152">
      <c r="A152" s="444" t="n">
        <v>46038.60416666666</v>
      </c>
      <c r="B152" s="390" t="n">
        <v>10.03</v>
      </c>
      <c r="C152" s="390" t="n">
        <v>10.045</v>
      </c>
      <c r="D152" s="390" t="n">
        <v>9</v>
      </c>
      <c r="E152" s="418" t="n">
        <v>9.035</v>
      </c>
      <c r="F152" t="n">
        <v>8127400</v>
      </c>
    </row>
    <row r="153">
      <c r="A153" s="444" t="n">
        <v>46037.60416666666</v>
      </c>
      <c r="B153" s="390" t="n">
        <v>10.11</v>
      </c>
      <c r="C153" s="390" t="n">
        <v>10.14</v>
      </c>
      <c r="D153" s="390" t="n">
        <v>9.99</v>
      </c>
      <c r="E153" s="418" t="n">
        <v>10</v>
      </c>
      <c r="F153" t="n">
        <v>2779300</v>
      </c>
    </row>
    <row r="154">
      <c r="A154" s="444" t="n">
        <v>46036.60416666666</v>
      </c>
      <c r="B154" s="390" t="n">
        <v>10.035</v>
      </c>
      <c r="C154" s="390" t="n">
        <v>10.245</v>
      </c>
      <c r="D154" s="390" t="n">
        <v>9.965</v>
      </c>
      <c r="E154" s="418" t="n">
        <v>10.08</v>
      </c>
      <c r="F154" t="n">
        <v>3684300</v>
      </c>
    </row>
    <row r="155">
      <c r="A155" s="444" t="n">
        <v>46035.60416666666</v>
      </c>
      <c r="B155" s="390" t="n">
        <v>10.48</v>
      </c>
      <c r="C155" s="390" t="n">
        <v>10.54</v>
      </c>
      <c r="D155" s="390" t="n">
        <v>10.05</v>
      </c>
      <c r="E155" s="418" t="n">
        <v>10.06</v>
      </c>
      <c r="F155" t="n">
        <v>4020200</v>
      </c>
    </row>
    <row r="156">
      <c r="A156" s="444" t="n">
        <v>46034.60416666666</v>
      </c>
      <c r="B156" s="390" t="n">
        <v>10.29</v>
      </c>
      <c r="C156" s="390" t="n">
        <v>10.58</v>
      </c>
      <c r="D156" s="390" t="n">
        <v>10.145</v>
      </c>
      <c r="E156" s="418" t="n">
        <v>10.47</v>
      </c>
      <c r="F156" t="n">
        <v>3168100</v>
      </c>
    </row>
    <row r="157">
      <c r="A157" s="444" t="n">
        <v>46031.60416666666</v>
      </c>
      <c r="B157" s="390" t="n">
        <v>10.6</v>
      </c>
      <c r="C157" s="390" t="n">
        <v>10.76</v>
      </c>
      <c r="D157" s="390" t="n">
        <v>10.355</v>
      </c>
      <c r="E157" s="418" t="n">
        <v>10.4</v>
      </c>
      <c r="F157" t="n">
        <v>3754400</v>
      </c>
    </row>
    <row r="158">
      <c r="A158" s="444" t="n">
        <v>46030.60416666666</v>
      </c>
      <c r="B158" s="390" t="n">
        <v>10.37</v>
      </c>
      <c r="C158" s="390" t="n">
        <v>10.69</v>
      </c>
      <c r="D158" s="390" t="n">
        <v>10.25</v>
      </c>
      <c r="E158" s="418" t="n">
        <v>10.58</v>
      </c>
      <c r="F158" t="n">
        <v>3500900</v>
      </c>
    </row>
    <row r="159">
      <c r="A159" s="444" t="n">
        <v>46029.60416666666</v>
      </c>
      <c r="B159" s="390" t="n">
        <v>10.49</v>
      </c>
      <c r="C159" s="390" t="n">
        <v>10.6</v>
      </c>
      <c r="D159" s="390" t="n">
        <v>10.35</v>
      </c>
      <c r="E159" s="418" t="n">
        <v>10.48</v>
      </c>
      <c r="F159" t="n">
        <v>3527400</v>
      </c>
    </row>
    <row r="160">
      <c r="A160" s="444" t="n">
        <v>46028.60416666666</v>
      </c>
      <c r="B160" s="390" t="n">
        <v>10.14</v>
      </c>
      <c r="C160" s="390" t="n">
        <v>10.53</v>
      </c>
      <c r="D160" s="390" t="n">
        <v>10.09</v>
      </c>
      <c r="E160" s="418" t="n">
        <v>10.49</v>
      </c>
      <c r="F160" t="n">
        <v>4651700</v>
      </c>
    </row>
    <row r="161">
      <c r="A161" s="444" t="n">
        <v>46027.60416666666</v>
      </c>
      <c r="B161" s="390" t="n">
        <v>9.630000000000001</v>
      </c>
      <c r="C161" s="390" t="n">
        <v>10.36</v>
      </c>
      <c r="D161" s="390" t="n">
        <v>9.6</v>
      </c>
      <c r="E161" s="418" t="n">
        <v>10.24</v>
      </c>
      <c r="F161" t="n">
        <v>5467900</v>
      </c>
    </row>
    <row r="162">
      <c r="A162" s="444" t="n">
        <v>46024.60416666666</v>
      </c>
      <c r="B162" s="390" t="n">
        <v>10.24</v>
      </c>
      <c r="C162" s="390" t="n">
        <v>10.28</v>
      </c>
      <c r="D162" s="390" t="n">
        <v>9.56</v>
      </c>
      <c r="E162" s="418" t="n">
        <v>9.609999999999999</v>
      </c>
      <c r="F162" t="n">
        <v>5829900</v>
      </c>
    </row>
    <row r="163">
      <c r="A163" s="444" t="n">
        <v>46022.60416666666</v>
      </c>
      <c r="B163" s="390" t="n">
        <v>10.055</v>
      </c>
      <c r="C163" s="390" t="n">
        <v>10.215</v>
      </c>
      <c r="D163" s="390" t="n">
        <v>9.984999999999999</v>
      </c>
      <c r="E163" s="418" t="n">
        <v>10.17</v>
      </c>
      <c r="F163" t="n">
        <v>4241200</v>
      </c>
    </row>
    <row r="164">
      <c r="A164" s="444" t="n">
        <v>46021.60416666666</v>
      </c>
      <c r="B164" s="390" t="n">
        <v>9.949999999999999</v>
      </c>
      <c r="C164" s="390" t="n">
        <v>10.055</v>
      </c>
      <c r="D164" s="390" t="n">
        <v>9.93</v>
      </c>
      <c r="E164" s="418" t="n">
        <v>10.03</v>
      </c>
      <c r="F164" t="n">
        <v>3499400</v>
      </c>
    </row>
    <row r="165">
      <c r="A165" s="444" t="n">
        <v>46020.60416666666</v>
      </c>
      <c r="B165" s="390" t="n">
        <v>10.06</v>
      </c>
      <c r="C165" s="390" t="n">
        <v>10.16</v>
      </c>
      <c r="D165" s="390" t="n">
        <v>9.94</v>
      </c>
      <c r="E165" s="418" t="n">
        <v>9.949999999999999</v>
      </c>
      <c r="F165" t="n">
        <v>2905200</v>
      </c>
    </row>
    <row r="166">
      <c r="A166" s="444" t="n">
        <v>46017.60416666666</v>
      </c>
      <c r="B166" s="390" t="n">
        <v>10.07</v>
      </c>
      <c r="C166" s="390" t="n">
        <v>10.175</v>
      </c>
      <c r="D166" s="390" t="n">
        <v>10.06</v>
      </c>
      <c r="E166" s="418" t="n">
        <v>10.12</v>
      </c>
      <c r="F166" t="n">
        <v>1941200</v>
      </c>
    </row>
    <row r="167">
      <c r="A167" s="444" t="n">
        <v>46015.60416666666</v>
      </c>
      <c r="B167" s="390" t="n">
        <v>10.04</v>
      </c>
      <c r="C167" s="390" t="n">
        <v>10.14</v>
      </c>
      <c r="D167" s="390" t="n">
        <v>10.025</v>
      </c>
      <c r="E167" s="418" t="n">
        <v>10.12</v>
      </c>
      <c r="F167" t="n">
        <v>1938500</v>
      </c>
    </row>
    <row r="168">
      <c r="A168" s="444" t="n">
        <v>46014.60416666666</v>
      </c>
      <c r="B168" s="390" t="n">
        <v>10.2</v>
      </c>
      <c r="C168" s="390" t="n">
        <v>10.24</v>
      </c>
      <c r="D168" s="390" t="n">
        <v>9.99</v>
      </c>
      <c r="E168" s="418" t="n">
        <v>10.07</v>
      </c>
      <c r="F168" t="n">
        <v>3631100</v>
      </c>
    </row>
    <row r="169">
      <c r="A169" s="444" t="n">
        <v>46013.60416666666</v>
      </c>
      <c r="B169" s="390" t="n">
        <v>10.3</v>
      </c>
      <c r="C169" s="390" t="n">
        <v>10.49</v>
      </c>
      <c r="D169" s="390" t="n">
        <v>10.175</v>
      </c>
      <c r="E169" s="418" t="n">
        <v>10.21</v>
      </c>
      <c r="F169" t="n">
        <v>4193300</v>
      </c>
    </row>
    <row r="170">
      <c r="A170" s="444" t="n">
        <v>46010.60416666666</v>
      </c>
      <c r="B170" s="390" t="n">
        <v>10.17</v>
      </c>
      <c r="C170" s="390" t="n">
        <v>10.29</v>
      </c>
      <c r="D170" s="390" t="n">
        <v>10.06</v>
      </c>
      <c r="E170" s="418" t="n">
        <v>10.27</v>
      </c>
      <c r="F170" t="n">
        <v>14351100</v>
      </c>
    </row>
    <row r="171">
      <c r="A171" s="444" t="n">
        <v>46009.60416666666</v>
      </c>
      <c r="B171" s="390" t="n">
        <v>10.09</v>
      </c>
      <c r="C171" s="390" t="n">
        <v>10.21</v>
      </c>
      <c r="D171" s="390" t="n">
        <v>9.92</v>
      </c>
      <c r="E171" s="418" t="n">
        <v>10.17</v>
      </c>
      <c r="F171" t="n">
        <v>4011400</v>
      </c>
    </row>
    <row r="172">
      <c r="A172" s="444" t="n">
        <v>46008.60416666666</v>
      </c>
      <c r="B172" s="390" t="n">
        <v>10.01</v>
      </c>
      <c r="C172" s="390" t="n">
        <v>10.58</v>
      </c>
      <c r="D172" s="390" t="n">
        <v>10.008</v>
      </c>
      <c r="E172" s="418" t="n">
        <v>10.07</v>
      </c>
      <c r="F172" t="n">
        <v>7193400</v>
      </c>
    </row>
    <row r="173">
      <c r="A173" s="444" t="n">
        <v>46007.60416666666</v>
      </c>
      <c r="B173" s="390" t="n">
        <v>9.76</v>
      </c>
      <c r="C173" s="390" t="n">
        <v>10.005</v>
      </c>
      <c r="D173" s="390" t="n">
        <v>9.744999999999999</v>
      </c>
      <c r="E173" s="418" t="n">
        <v>9.949999999999999</v>
      </c>
      <c r="F173" t="n">
        <v>5312100</v>
      </c>
    </row>
    <row r="174">
      <c r="A174" s="444" t="n">
        <v>46006.60416666666</v>
      </c>
      <c r="B174" s="390" t="n">
        <v>10.11</v>
      </c>
      <c r="C174" s="390" t="n">
        <v>10.235</v>
      </c>
      <c r="D174" s="390" t="n">
        <v>9.75</v>
      </c>
      <c r="E174" s="418" t="n">
        <v>9.789999999999999</v>
      </c>
      <c r="F174" t="n">
        <v>4853000</v>
      </c>
    </row>
    <row r="175">
      <c r="A175" s="444" t="n">
        <v>46003.60416666666</v>
      </c>
      <c r="B175" s="390" t="n">
        <v>9.970000000000001</v>
      </c>
      <c r="C175" s="390" t="n">
        <v>10.02</v>
      </c>
      <c r="D175" s="390" t="n">
        <v>9.68</v>
      </c>
      <c r="E175" s="418" t="n">
        <v>9.960000000000001</v>
      </c>
      <c r="F175" t="n">
        <v>4427200</v>
      </c>
    </row>
    <row r="176">
      <c r="A176" s="444" t="n">
        <v>46002.60416666666</v>
      </c>
      <c r="B176" s="390" t="n">
        <v>10.02</v>
      </c>
      <c r="C176" s="390" t="n">
        <v>10.09</v>
      </c>
      <c r="D176" s="390" t="n">
        <v>9.76</v>
      </c>
      <c r="E176" s="418" t="n">
        <v>9.960000000000001</v>
      </c>
      <c r="F176" t="n">
        <v>5902100</v>
      </c>
    </row>
    <row r="177">
      <c r="A177" s="444" t="n">
        <v>46001.60416666666</v>
      </c>
      <c r="B177" s="390" t="n">
        <v>9.970000000000001</v>
      </c>
      <c r="C177" s="390" t="n">
        <v>10.22</v>
      </c>
      <c r="D177" s="390" t="n">
        <v>9.9</v>
      </c>
      <c r="E177" s="418" t="n">
        <v>10.13</v>
      </c>
      <c r="F177" t="n">
        <v>6018800</v>
      </c>
    </row>
    <row r="178">
      <c r="A178" s="444" t="n">
        <v>46000.60416666666</v>
      </c>
      <c r="B178" s="390" t="n">
        <v>9.91</v>
      </c>
      <c r="C178" s="390" t="n">
        <v>10.255</v>
      </c>
      <c r="D178" s="390" t="n">
        <v>9.895</v>
      </c>
      <c r="E178" s="418" t="n">
        <v>10</v>
      </c>
      <c r="F178" t="n">
        <v>4132000</v>
      </c>
    </row>
    <row r="179">
      <c r="A179" s="444" t="n">
        <v>45999.60416666666</v>
      </c>
      <c r="B179" s="390" t="n">
        <v>9.94</v>
      </c>
      <c r="C179" s="390" t="n">
        <v>10.125</v>
      </c>
      <c r="D179" s="390" t="n">
        <v>9.895</v>
      </c>
      <c r="E179" s="418" t="n">
        <v>9.949999999999999</v>
      </c>
      <c r="F179" t="n">
        <v>4959700</v>
      </c>
    </row>
    <row r="180">
      <c r="A180" s="444" t="n">
        <v>45996.60416666666</v>
      </c>
      <c r="B180" s="390" t="n">
        <v>9.9</v>
      </c>
      <c r="C180" s="390" t="n">
        <v>10.095</v>
      </c>
      <c r="D180" s="390" t="n">
        <v>9.69</v>
      </c>
      <c r="E180" s="418" t="n">
        <v>9.94</v>
      </c>
      <c r="F180" t="n">
        <v>9085600</v>
      </c>
    </row>
    <row r="181">
      <c r="A181" s="444" t="n">
        <v>45995.60416666666</v>
      </c>
      <c r="B181" s="390" t="n">
        <v>10.07</v>
      </c>
      <c r="C181" s="390" t="n">
        <v>10.105</v>
      </c>
      <c r="D181" s="390" t="n">
        <v>9.82</v>
      </c>
      <c r="E181" s="418" t="n">
        <v>9.91</v>
      </c>
      <c r="F181" t="n">
        <v>6793600</v>
      </c>
    </row>
    <row r="182">
      <c r="A182" s="444" t="n">
        <v>45994.60416666666</v>
      </c>
      <c r="B182" s="390" t="n">
        <v>10.07</v>
      </c>
      <c r="C182" s="390" t="n">
        <v>10.285</v>
      </c>
      <c r="D182" s="390" t="n">
        <v>9.949999999999999</v>
      </c>
      <c r="E182" s="418" t="n">
        <v>10.07</v>
      </c>
      <c r="F182" t="n">
        <v>4390400</v>
      </c>
    </row>
    <row r="183">
      <c r="A183" s="444" t="n">
        <v>45993.60416666666</v>
      </c>
      <c r="B183" s="390" t="n">
        <v>10.16</v>
      </c>
      <c r="C183" s="390" t="n">
        <v>10.28</v>
      </c>
      <c r="D183" s="390" t="n">
        <v>10.09</v>
      </c>
      <c r="E183" s="418" t="n">
        <v>10.11</v>
      </c>
      <c r="F183" t="n">
        <v>4879400</v>
      </c>
    </row>
    <row r="184">
      <c r="A184" s="444" t="n">
        <v>45992.60416666666</v>
      </c>
      <c r="B184" s="390" t="n">
        <v>9.800000000000001</v>
      </c>
      <c r="C184" s="390" t="n">
        <v>10.22</v>
      </c>
      <c r="D184" s="390" t="n">
        <v>9.73</v>
      </c>
      <c r="E184" s="418" t="n">
        <v>10.12</v>
      </c>
      <c r="F184" t="n">
        <v>5706400</v>
      </c>
    </row>
    <row r="185">
      <c r="A185" s="444" t="n">
        <v>45989.60416666666</v>
      </c>
      <c r="B185" s="390" t="n">
        <v>9.789999999999999</v>
      </c>
      <c r="C185" s="390" t="n">
        <v>10.02</v>
      </c>
      <c r="D185" s="390" t="n">
        <v>9.630000000000001</v>
      </c>
      <c r="E185" s="418" t="n">
        <v>9.92</v>
      </c>
      <c r="F185" t="n">
        <v>5004200</v>
      </c>
    </row>
    <row r="186">
      <c r="A186" s="444" t="n">
        <v>45987.60416666666</v>
      </c>
      <c r="B186" s="390" t="n">
        <v>9.619999999999999</v>
      </c>
      <c r="C186" s="390" t="n">
        <v>9.869999999999999</v>
      </c>
      <c r="D186" s="390" t="n">
        <v>9.529999999999999</v>
      </c>
      <c r="E186" s="418" t="n">
        <v>9.67</v>
      </c>
      <c r="F186" t="n">
        <v>5662500</v>
      </c>
    </row>
    <row r="187">
      <c r="A187" s="444" t="n">
        <v>45986.60416666666</v>
      </c>
      <c r="B187" s="390" t="n">
        <v>9.51</v>
      </c>
      <c r="C187" s="390" t="n">
        <v>9.869999999999999</v>
      </c>
      <c r="D187" s="390" t="n">
        <v>9.359999999999999</v>
      </c>
      <c r="E187" s="418" t="n">
        <v>9.619999999999999</v>
      </c>
      <c r="F187" t="n">
        <v>4099900</v>
      </c>
    </row>
    <row r="188">
      <c r="A188" s="444" t="n">
        <v>45985.60416666666</v>
      </c>
      <c r="B188" s="390" t="n">
        <v>9.48</v>
      </c>
      <c r="C188" s="390" t="n">
        <v>9.59</v>
      </c>
      <c r="D188" s="390" t="n">
        <v>9.35</v>
      </c>
      <c r="E188" s="418" t="n">
        <v>9.49</v>
      </c>
      <c r="F188" t="n">
        <v>2978500</v>
      </c>
    </row>
    <row r="189">
      <c r="A189" s="444" t="n">
        <v>45982.60416666666</v>
      </c>
      <c r="B189" s="390" t="n">
        <v>9.109999999999999</v>
      </c>
      <c r="C189" s="390" t="n">
        <v>9.615</v>
      </c>
      <c r="D189" s="390" t="n">
        <v>8.935</v>
      </c>
      <c r="E189" s="418" t="n">
        <v>9.470000000000001</v>
      </c>
      <c r="F189" t="n">
        <v>5827300</v>
      </c>
    </row>
    <row r="190">
      <c r="A190" s="444" t="n">
        <v>45981.60416666666</v>
      </c>
      <c r="B190" s="390" t="n">
        <v>9.5</v>
      </c>
      <c r="C190" s="390" t="n">
        <v>9.5</v>
      </c>
      <c r="D190" s="390" t="n">
        <v>9.039999999999999</v>
      </c>
      <c r="E190" s="418" t="n">
        <v>9.07</v>
      </c>
      <c r="F190" t="n">
        <v>4663000</v>
      </c>
    </row>
    <row r="191">
      <c r="A191" s="444" t="n">
        <v>45980.60416666666</v>
      </c>
      <c r="B191" s="390" t="n">
        <v>9.4</v>
      </c>
      <c r="C191" s="390" t="n">
        <v>9.404999999999999</v>
      </c>
      <c r="D191" s="390" t="n">
        <v>9.154999999999999</v>
      </c>
      <c r="E191" s="418" t="n">
        <v>9.300000000000001</v>
      </c>
      <c r="F191" t="n">
        <v>3721000</v>
      </c>
    </row>
    <row r="192">
      <c r="A192" s="444" t="n">
        <v>45979.60416666666</v>
      </c>
      <c r="B192" s="390" t="n">
        <v>9.52</v>
      </c>
      <c r="C192" s="390" t="n">
        <v>9.6</v>
      </c>
      <c r="D192" s="390" t="n">
        <v>9.324999999999999</v>
      </c>
      <c r="E192" s="418" t="n">
        <v>9.390000000000001</v>
      </c>
      <c r="F192" t="n">
        <v>3259800</v>
      </c>
    </row>
    <row r="193">
      <c r="A193" s="444" t="n">
        <v>45978.60416666666</v>
      </c>
      <c r="B193" s="390" t="n">
        <v>10.22</v>
      </c>
      <c r="C193" s="390" t="n">
        <v>10.305</v>
      </c>
      <c r="D193" s="390" t="n">
        <v>9.529999999999999</v>
      </c>
      <c r="E193" s="418" t="n">
        <v>9.619999999999999</v>
      </c>
      <c r="F193" t="n">
        <v>4037100</v>
      </c>
    </row>
    <row r="194">
      <c r="A194" s="444" t="n">
        <v>45975.60416666666</v>
      </c>
      <c r="B194" s="390" t="n">
        <v>10.05</v>
      </c>
      <c r="C194" s="390" t="n">
        <v>10.35</v>
      </c>
      <c r="D194" s="390" t="n">
        <v>10</v>
      </c>
      <c r="E194" s="418" t="n">
        <v>10.2</v>
      </c>
      <c r="F194" t="n">
        <v>3701200</v>
      </c>
    </row>
    <row r="195">
      <c r="A195" s="444" t="n">
        <v>45974.60416666666</v>
      </c>
      <c r="B195" s="390" t="n">
        <v>10.34</v>
      </c>
      <c r="C195" s="390" t="n">
        <v>10.47</v>
      </c>
      <c r="D195" s="390" t="n">
        <v>10.2</v>
      </c>
      <c r="E195" s="418" t="n">
        <v>10.22</v>
      </c>
      <c r="F195" t="n">
        <v>2498800</v>
      </c>
    </row>
    <row r="196">
      <c r="A196" s="444" t="n">
        <v>45973.60416666666</v>
      </c>
      <c r="B196" s="390" t="n">
        <v>10.63</v>
      </c>
      <c r="C196" s="390" t="n">
        <v>10.75</v>
      </c>
      <c r="D196" s="390" t="n">
        <v>10.36</v>
      </c>
      <c r="E196" s="418" t="n">
        <v>10.44</v>
      </c>
      <c r="F196" t="n">
        <v>2668200</v>
      </c>
    </row>
    <row r="197">
      <c r="A197" s="444" t="n">
        <v>45972.60416666666</v>
      </c>
      <c r="B197" s="390" t="n">
        <v>10.61</v>
      </c>
      <c r="C197" s="390" t="n">
        <v>10.785</v>
      </c>
      <c r="D197" s="390" t="n">
        <v>10.53</v>
      </c>
      <c r="E197" s="418" t="n">
        <v>10.57</v>
      </c>
      <c r="F197" t="n">
        <v>2492700</v>
      </c>
    </row>
    <row r="198">
      <c r="A198" s="444" t="n">
        <v>45971.60416666666</v>
      </c>
      <c r="B198" s="390" t="n">
        <v>10.74</v>
      </c>
      <c r="C198" s="390" t="n">
        <v>10.78</v>
      </c>
      <c r="D198" s="390" t="n">
        <v>10.51</v>
      </c>
      <c r="E198" s="418" t="n">
        <v>10.57</v>
      </c>
      <c r="F198" t="n">
        <v>3789000</v>
      </c>
    </row>
    <row r="199">
      <c r="A199" s="444" t="n">
        <v>45968.60416666666</v>
      </c>
      <c r="B199" s="390" t="n">
        <v>10.58</v>
      </c>
      <c r="C199" s="390" t="n">
        <v>10.731</v>
      </c>
      <c r="D199" s="390" t="n">
        <v>10.435</v>
      </c>
      <c r="E199" s="418" t="n">
        <v>10.575</v>
      </c>
      <c r="F199" t="n">
        <v>3761400</v>
      </c>
    </row>
    <row r="200">
      <c r="A200" s="444" t="n">
        <v>45967.60416666666</v>
      </c>
      <c r="B200" s="390" t="n">
        <v>11.21</v>
      </c>
      <c r="C200" s="390" t="n">
        <v>11.226</v>
      </c>
      <c r="D200" s="390" t="n">
        <v>10.475</v>
      </c>
      <c r="E200" s="418" t="n">
        <v>10.7</v>
      </c>
      <c r="F200" t="n">
        <v>7662300</v>
      </c>
    </row>
    <row r="201">
      <c r="A201" s="444" t="n">
        <v>45966.60416666666</v>
      </c>
      <c r="B201" s="390" t="n">
        <v>11.83</v>
      </c>
      <c r="C201" s="390" t="n">
        <v>11.98</v>
      </c>
      <c r="D201" s="390" t="n">
        <v>11.135</v>
      </c>
      <c r="E201" s="418" t="n">
        <v>11.22</v>
      </c>
      <c r="F201" t="n">
        <v>7895300</v>
      </c>
    </row>
    <row r="202">
      <c r="A202" s="444" t="n">
        <v>45965.60416666666</v>
      </c>
      <c r="B202" s="390" t="n">
        <v>11.91</v>
      </c>
      <c r="C202" s="390" t="n">
        <v>12.31</v>
      </c>
      <c r="D202" s="390" t="n">
        <v>11.43</v>
      </c>
      <c r="E202" s="418" t="n">
        <v>11.69</v>
      </c>
      <c r="F202" t="n">
        <v>9882200</v>
      </c>
    </row>
    <row r="203">
      <c r="A203" s="444" t="n">
        <v>45964.60416666666</v>
      </c>
      <c r="B203" s="390" t="n">
        <v>11.19</v>
      </c>
      <c r="C203" s="390" t="n">
        <v>11.84</v>
      </c>
      <c r="D203" s="390" t="n">
        <v>11.03</v>
      </c>
      <c r="E203" s="418" t="n">
        <v>11.8</v>
      </c>
      <c r="F203" t="n">
        <v>12517600</v>
      </c>
    </row>
    <row r="204">
      <c r="A204" s="444" t="n">
        <v>45961.5625</v>
      </c>
      <c r="B204" s="390" t="n">
        <v>10.95</v>
      </c>
      <c r="C204" s="390" t="n">
        <v>11.275</v>
      </c>
      <c r="D204" s="390" t="n">
        <v>10.945</v>
      </c>
      <c r="E204" s="418" t="n">
        <v>11.22</v>
      </c>
      <c r="F204" t="n">
        <v>5162900</v>
      </c>
    </row>
    <row r="205">
      <c r="A205" s="444" t="n">
        <v>45960.5625</v>
      </c>
      <c r="B205" s="390" t="n">
        <v>10.81</v>
      </c>
      <c r="C205" s="390" t="n">
        <v>11.05</v>
      </c>
      <c r="D205" s="390" t="n">
        <v>10.745</v>
      </c>
      <c r="E205" s="418" t="n">
        <v>10.9</v>
      </c>
      <c r="F205" t="n">
        <v>3542500</v>
      </c>
    </row>
    <row r="206">
      <c r="A206" s="444" t="n">
        <v>45959.5625</v>
      </c>
      <c r="B206" s="390" t="n">
        <v>11.24</v>
      </c>
      <c r="C206" s="390" t="n">
        <v>11.425</v>
      </c>
      <c r="D206" s="390" t="n">
        <v>10.89</v>
      </c>
      <c r="E206" s="418" t="n">
        <v>10.92</v>
      </c>
      <c r="F206" t="n">
        <v>4027500</v>
      </c>
    </row>
    <row r="207">
      <c r="A207" s="444" t="n">
        <v>45958.5625</v>
      </c>
      <c r="B207" s="390" t="n">
        <v>11.46</v>
      </c>
      <c r="C207" s="390" t="n">
        <v>11.6</v>
      </c>
      <c r="D207" s="390" t="n">
        <v>11.245</v>
      </c>
      <c r="E207" s="418" t="n">
        <v>11.26</v>
      </c>
      <c r="F207" t="n">
        <v>2749800</v>
      </c>
    </row>
    <row r="208">
      <c r="A208" s="444" t="n">
        <v>45957.5625</v>
      </c>
      <c r="B208" s="390" t="n">
        <v>11.26</v>
      </c>
      <c r="C208" s="390" t="n">
        <v>11.6</v>
      </c>
      <c r="D208" s="390" t="n">
        <v>11.21</v>
      </c>
      <c r="E208" s="418" t="n">
        <v>11.42</v>
      </c>
      <c r="F208" t="n">
        <v>4179100</v>
      </c>
    </row>
    <row r="209">
      <c r="A209" s="444" t="n">
        <v>45954.5625</v>
      </c>
      <c r="B209" s="390" t="n">
        <v>11.25</v>
      </c>
      <c r="C209" s="390" t="n">
        <v>11.38</v>
      </c>
      <c r="D209" s="390" t="n">
        <v>11.13</v>
      </c>
      <c r="E209" s="418" t="n">
        <v>11.135</v>
      </c>
      <c r="F209" t="n">
        <v>2699300</v>
      </c>
    </row>
    <row r="210">
      <c r="A210" s="444" t="n">
        <v>45953.5625</v>
      </c>
      <c r="B210" s="390" t="n">
        <v>10.94</v>
      </c>
      <c r="C210" s="390" t="n">
        <v>11.08</v>
      </c>
      <c r="D210" s="390" t="n">
        <v>10.86</v>
      </c>
      <c r="E210" s="418" t="n">
        <v>11.05</v>
      </c>
      <c r="F210" t="n">
        <v>3309700</v>
      </c>
    </row>
    <row r="211">
      <c r="A211" s="444" t="n">
        <v>45952.5625</v>
      </c>
      <c r="B211" s="390" t="n">
        <v>10.835</v>
      </c>
      <c r="C211" s="390" t="n">
        <v>11.02</v>
      </c>
      <c r="D211" s="390" t="n">
        <v>10.71</v>
      </c>
      <c r="E211" s="418" t="n">
        <v>10.94</v>
      </c>
      <c r="F211" t="n">
        <v>3821700</v>
      </c>
    </row>
    <row r="212">
      <c r="A212" s="444" t="n">
        <v>45951.5625</v>
      </c>
      <c r="B212" s="390" t="n">
        <v>10.47</v>
      </c>
      <c r="C212" s="390" t="n">
        <v>10.96</v>
      </c>
      <c r="D212" s="390" t="n">
        <v>10.425</v>
      </c>
      <c r="E212" s="418" t="n">
        <v>10.855</v>
      </c>
      <c r="F212" t="n">
        <v>2908000</v>
      </c>
    </row>
    <row r="213">
      <c r="A213" s="444" t="n">
        <v>45950.5625</v>
      </c>
      <c r="B213" s="390" t="n">
        <v>10.2</v>
      </c>
      <c r="C213" s="390" t="n">
        <v>10.49</v>
      </c>
      <c r="D213" s="390" t="n">
        <v>10.19</v>
      </c>
      <c r="E213" s="418" t="n">
        <v>10.47</v>
      </c>
      <c r="F213" t="n">
        <v>2172800</v>
      </c>
    </row>
    <row r="214">
      <c r="A214" s="444" t="n">
        <v>45947.5625</v>
      </c>
      <c r="B214" s="390" t="n">
        <v>10.1</v>
      </c>
      <c r="C214" s="390" t="n">
        <v>10.195</v>
      </c>
      <c r="D214" s="390" t="n">
        <v>10.01</v>
      </c>
      <c r="E214" s="418" t="n">
        <v>10.08</v>
      </c>
      <c r="F214" t="n">
        <v>3034600</v>
      </c>
    </row>
    <row r="215">
      <c r="A215" s="444" t="n">
        <v>45946.5625</v>
      </c>
      <c r="B215" s="390" t="n">
        <v>10.27</v>
      </c>
      <c r="C215" s="390" t="n">
        <v>10.51</v>
      </c>
      <c r="D215" s="390" t="n">
        <v>10.08</v>
      </c>
      <c r="E215" s="418" t="n">
        <v>10.165</v>
      </c>
      <c r="F215" t="n">
        <v>5597700</v>
      </c>
    </row>
    <row r="216">
      <c r="A216" s="444" t="n">
        <v>45945.5625</v>
      </c>
      <c r="B216" s="390" t="n">
        <v>10.44</v>
      </c>
      <c r="C216" s="390" t="n">
        <v>10.46</v>
      </c>
      <c r="D216" s="390" t="n">
        <v>10.14</v>
      </c>
      <c r="E216" s="418" t="n">
        <v>10.26</v>
      </c>
      <c r="F216" t="n">
        <v>2447700</v>
      </c>
    </row>
    <row r="217">
      <c r="A217" s="444" t="n">
        <v>45944.5625</v>
      </c>
      <c r="B217" s="390" t="n">
        <v>10.06</v>
      </c>
      <c r="C217" s="390" t="n">
        <v>10.319</v>
      </c>
      <c r="D217" s="390" t="n">
        <v>10.015</v>
      </c>
      <c r="E217" s="418" t="n">
        <v>10.26</v>
      </c>
      <c r="F217" t="n">
        <v>2410200</v>
      </c>
    </row>
    <row r="218">
      <c r="A218" s="444" t="n">
        <v>45943.5625</v>
      </c>
      <c r="B218" s="390" t="n">
        <v>10.13</v>
      </c>
      <c r="C218" s="390" t="n">
        <v>10.31</v>
      </c>
      <c r="D218" s="390" t="n">
        <v>9.99</v>
      </c>
      <c r="E218" s="418" t="n">
        <v>10.28</v>
      </c>
      <c r="F218" t="n">
        <v>3112400</v>
      </c>
    </row>
    <row r="219">
      <c r="A219" s="444" t="n">
        <v>45940.5625</v>
      </c>
      <c r="B219" s="390" t="n">
        <v>10.43</v>
      </c>
      <c r="C219" s="390" t="n">
        <v>10.47</v>
      </c>
      <c r="D219" s="390" t="n">
        <v>9.960000000000001</v>
      </c>
      <c r="E219" s="418" t="n">
        <v>9.970000000000001</v>
      </c>
      <c r="F219" t="n">
        <v>4285400</v>
      </c>
    </row>
    <row r="220">
      <c r="A220" s="444" t="n">
        <v>45939.5625</v>
      </c>
      <c r="B220" s="390" t="n">
        <v>10.42</v>
      </c>
      <c r="C220" s="390" t="n">
        <v>10.49</v>
      </c>
      <c r="D220" s="390" t="n">
        <v>10.27</v>
      </c>
      <c r="E220" s="418" t="n">
        <v>10.44</v>
      </c>
      <c r="F220" t="n">
        <v>2302700</v>
      </c>
    </row>
    <row r="221">
      <c r="A221" s="444" t="n">
        <v>45938.5625</v>
      </c>
      <c r="B221" s="390" t="n">
        <v>10.58</v>
      </c>
      <c r="C221" s="390" t="n">
        <v>10.61</v>
      </c>
      <c r="D221" s="390" t="n">
        <v>10.38</v>
      </c>
      <c r="E221" s="418" t="n">
        <v>10.41</v>
      </c>
      <c r="F221" t="n">
        <v>2569000</v>
      </c>
    </row>
    <row r="222">
      <c r="A222" s="444" t="n">
        <v>45937.5625</v>
      </c>
      <c r="B222" s="390" t="n">
        <v>10.725</v>
      </c>
      <c r="C222" s="390" t="n">
        <v>10.791</v>
      </c>
      <c r="D222" s="390" t="n">
        <v>10.285</v>
      </c>
      <c r="E222" s="418" t="n">
        <v>10.5</v>
      </c>
      <c r="F222" t="n">
        <v>3777000</v>
      </c>
    </row>
    <row r="223">
      <c r="A223" s="444" t="n">
        <v>45936.5625</v>
      </c>
      <c r="B223" s="390" t="n">
        <v>10.53</v>
      </c>
      <c r="C223" s="390" t="n">
        <v>10.7</v>
      </c>
      <c r="D223" s="390" t="n">
        <v>10.22</v>
      </c>
      <c r="E223" s="418" t="n">
        <v>10.67</v>
      </c>
      <c r="F223" t="n">
        <v>4233200</v>
      </c>
    </row>
    <row r="224">
      <c r="A224" s="444" t="n">
        <v>45933.5625</v>
      </c>
      <c r="B224" s="390" t="n">
        <v>10.47</v>
      </c>
      <c r="C224" s="390" t="n">
        <v>10.71</v>
      </c>
      <c r="D224" s="390" t="n">
        <v>10.405</v>
      </c>
      <c r="E224" s="418" t="n">
        <v>10.425</v>
      </c>
      <c r="F224" t="n">
        <v>3742000</v>
      </c>
    </row>
    <row r="225">
      <c r="A225" s="444" t="n">
        <v>45932.5625</v>
      </c>
      <c r="B225" s="390" t="n">
        <v>10.27</v>
      </c>
      <c r="C225" s="390" t="n">
        <v>10.48</v>
      </c>
      <c r="D225" s="390" t="n">
        <v>10.23</v>
      </c>
      <c r="E225" s="418" t="n">
        <v>10.45</v>
      </c>
      <c r="F225" t="n">
        <v>4358200</v>
      </c>
    </row>
    <row r="226">
      <c r="A226" s="444" t="n">
        <v>45931.5625</v>
      </c>
      <c r="B226" s="390" t="n">
        <v>10.65</v>
      </c>
      <c r="C226" s="390" t="n">
        <v>10.86</v>
      </c>
      <c r="D226" s="390" t="n">
        <v>10.26</v>
      </c>
      <c r="E226" s="418" t="n">
        <v>10.27</v>
      </c>
      <c r="F226" t="n">
        <v>5997800</v>
      </c>
    </row>
    <row r="227">
      <c r="A227" s="444" t="n">
        <v>45930.5625</v>
      </c>
      <c r="B227" s="390" t="n">
        <v>11.58</v>
      </c>
      <c r="C227" s="390" t="n">
        <v>11.65</v>
      </c>
      <c r="D227" s="390" t="n">
        <v>10.8</v>
      </c>
      <c r="E227" s="418" t="n">
        <v>10.91</v>
      </c>
      <c r="F227" t="n">
        <v>5728900</v>
      </c>
    </row>
    <row r="228">
      <c r="A228" s="444" t="n">
        <v>45929.5625</v>
      </c>
      <c r="B228" s="390" t="n">
        <v>11.68</v>
      </c>
      <c r="C228" s="390" t="n">
        <v>11.74</v>
      </c>
      <c r="D228" s="390" t="n">
        <v>11.42</v>
      </c>
      <c r="E228" s="418" t="n">
        <v>11.61</v>
      </c>
      <c r="F228" t="n">
        <v>3138700</v>
      </c>
    </row>
    <row r="229">
      <c r="A229" s="444" t="n">
        <v>45926.5625</v>
      </c>
      <c r="B229" s="390" t="n">
        <v>11.38</v>
      </c>
      <c r="C229" s="390" t="n">
        <v>11.58</v>
      </c>
      <c r="D229" s="390" t="n">
        <v>11.18</v>
      </c>
      <c r="E229" s="418" t="n">
        <v>11.56</v>
      </c>
      <c r="F229" t="n">
        <v>2707300</v>
      </c>
    </row>
    <row r="230">
      <c r="A230" s="444" t="n">
        <v>45925.5625</v>
      </c>
      <c r="B230" s="390" t="n">
        <v>11.28</v>
      </c>
      <c r="C230" s="390" t="n">
        <v>11.5</v>
      </c>
      <c r="D230" s="390" t="n">
        <v>11.14</v>
      </c>
      <c r="E230" s="418" t="n">
        <v>11.35</v>
      </c>
      <c r="F230" t="n">
        <v>2376000</v>
      </c>
    </row>
    <row r="231">
      <c r="A231" s="444" t="n">
        <v>45924.5625</v>
      </c>
      <c r="B231" s="390" t="n">
        <v>12.04</v>
      </c>
      <c r="C231" s="390" t="n">
        <v>12.105</v>
      </c>
      <c r="D231" s="390" t="n">
        <v>11.355</v>
      </c>
      <c r="E231" s="418" t="n">
        <v>11.51</v>
      </c>
      <c r="F231" t="n">
        <v>3017000</v>
      </c>
    </row>
    <row r="232">
      <c r="A232" s="444" t="n">
        <v>45923.5625</v>
      </c>
      <c r="B232" s="390" t="n">
        <v>12</v>
      </c>
      <c r="C232" s="390" t="n">
        <v>12.19</v>
      </c>
      <c r="D232" s="390" t="n">
        <v>11.815</v>
      </c>
      <c r="E232" s="418" t="n">
        <v>11.91</v>
      </c>
      <c r="F232" t="n">
        <v>3419800</v>
      </c>
    </row>
    <row r="233">
      <c r="A233" s="444" t="n">
        <v>45922.5625</v>
      </c>
      <c r="B233" s="390" t="n">
        <v>11.84</v>
      </c>
      <c r="C233" s="390" t="n">
        <v>12</v>
      </c>
      <c r="D233" s="390" t="n">
        <v>11.69</v>
      </c>
      <c r="E233" s="418" t="n">
        <v>11.97</v>
      </c>
      <c r="F233" t="n">
        <v>2698900</v>
      </c>
    </row>
    <row r="234">
      <c r="A234" s="444" t="n">
        <v>45919.5625</v>
      </c>
      <c r="B234" s="390" t="n">
        <v>12.14</v>
      </c>
      <c r="C234" s="390" t="n">
        <v>12.25</v>
      </c>
      <c r="D234" s="390" t="n">
        <v>11.8</v>
      </c>
      <c r="E234" s="418" t="n">
        <v>11.83</v>
      </c>
      <c r="F234" t="n">
        <v>10717500</v>
      </c>
    </row>
    <row r="235">
      <c r="A235" s="444" t="n">
        <v>45918.5625</v>
      </c>
      <c r="B235" s="390" t="n">
        <v>12.01</v>
      </c>
      <c r="C235" s="390" t="n">
        <v>12.225</v>
      </c>
      <c r="D235" s="390" t="n">
        <v>12</v>
      </c>
      <c r="E235" s="418" t="n">
        <v>12.14</v>
      </c>
      <c r="F235" t="n">
        <v>4618300</v>
      </c>
    </row>
    <row r="236">
      <c r="A236" s="444" t="n">
        <v>45917.5625</v>
      </c>
      <c r="B236" s="390" t="n">
        <v>11.9</v>
      </c>
      <c r="C236" s="390" t="n">
        <v>12.39</v>
      </c>
      <c r="D236" s="390" t="n">
        <v>11.78</v>
      </c>
      <c r="E236" s="418" t="n">
        <v>12.01</v>
      </c>
      <c r="F236" t="n">
        <v>3320100</v>
      </c>
    </row>
    <row r="237">
      <c r="A237" s="444" t="n">
        <v>45916.5625</v>
      </c>
      <c r="B237" s="390" t="n">
        <v>12.19</v>
      </c>
      <c r="C237" s="390" t="n">
        <v>12.19</v>
      </c>
      <c r="D237" s="390" t="n">
        <v>11.61</v>
      </c>
      <c r="E237" s="418" t="n">
        <v>11.84</v>
      </c>
      <c r="F237" t="n">
        <v>3434600</v>
      </c>
    </row>
    <row r="238">
      <c r="A238" s="444" t="n">
        <v>45915.5625</v>
      </c>
      <c r="B238" s="390" t="n">
        <v>11.77</v>
      </c>
      <c r="C238" s="390" t="n">
        <v>12.51</v>
      </c>
      <c r="D238" s="390" t="n">
        <v>11.74</v>
      </c>
      <c r="E238" s="418" t="n">
        <v>12.2</v>
      </c>
      <c r="F238" t="n">
        <v>7180400</v>
      </c>
    </row>
    <row r="239">
      <c r="A239" s="444" t="n">
        <v>45912.5625</v>
      </c>
      <c r="B239" s="390" t="n">
        <v>11.85</v>
      </c>
      <c r="C239" s="390" t="n">
        <v>11.87</v>
      </c>
      <c r="D239" s="390" t="n">
        <v>11.34</v>
      </c>
      <c r="E239" s="418" t="n">
        <v>11.66</v>
      </c>
      <c r="F239" t="n">
        <v>4508300</v>
      </c>
    </row>
    <row r="240">
      <c r="A240" s="444" t="n">
        <v>45911.5625</v>
      </c>
      <c r="B240" s="390" t="n">
        <v>11.43</v>
      </c>
      <c r="C240" s="390" t="n">
        <v>11.79</v>
      </c>
      <c r="D240" s="390" t="n">
        <v>11.22</v>
      </c>
      <c r="E240" s="418" t="n">
        <v>11.75</v>
      </c>
      <c r="F240" t="n">
        <v>5500800</v>
      </c>
    </row>
    <row r="241">
      <c r="A241" s="444" t="n">
        <v>45910.5625</v>
      </c>
      <c r="B241" s="390" t="n">
        <v>10.59</v>
      </c>
      <c r="C241" s="390" t="n">
        <v>11.6</v>
      </c>
      <c r="D241" s="390" t="n">
        <v>10.53</v>
      </c>
      <c r="E241" s="418" t="n">
        <v>11.4</v>
      </c>
      <c r="F241" t="n">
        <v>13413100</v>
      </c>
    </row>
    <row r="242">
      <c r="A242" s="444" t="n">
        <v>45909.5625</v>
      </c>
      <c r="B242" s="390" t="n">
        <v>10.64</v>
      </c>
      <c r="C242" s="390" t="n">
        <v>10.755</v>
      </c>
      <c r="D242" s="390" t="n">
        <v>10.45</v>
      </c>
      <c r="E242" s="418" t="n">
        <v>10.55</v>
      </c>
      <c r="F242" t="n">
        <v>3943400</v>
      </c>
    </row>
    <row r="243">
      <c r="A243" s="444" t="n">
        <v>45908.5625</v>
      </c>
      <c r="B243" s="390" t="n">
        <v>10.35</v>
      </c>
      <c r="C243" s="390" t="n">
        <v>10.66</v>
      </c>
      <c r="D243" s="390" t="n">
        <v>10.35</v>
      </c>
      <c r="E243" s="418" t="n">
        <v>10.65</v>
      </c>
      <c r="F243" t="n">
        <v>4247600</v>
      </c>
    </row>
    <row r="244">
      <c r="A244" s="444" t="n">
        <v>45905.5625</v>
      </c>
      <c r="B244" s="390" t="n">
        <v>10.23</v>
      </c>
      <c r="C244" s="390" t="n">
        <v>10.563</v>
      </c>
      <c r="D244" s="390" t="n">
        <v>10.095</v>
      </c>
      <c r="E244" s="418" t="n">
        <v>10.23</v>
      </c>
      <c r="F244" t="n">
        <v>2661200</v>
      </c>
    </row>
    <row r="245">
      <c r="A245" s="444" t="n">
        <v>45904.5625</v>
      </c>
      <c r="B245" s="390" t="n">
        <v>10.26</v>
      </c>
      <c r="C245" s="390" t="n">
        <v>10.26</v>
      </c>
      <c r="D245" s="390" t="n">
        <v>10.031</v>
      </c>
      <c r="E245" s="418" t="n">
        <v>10.12</v>
      </c>
      <c r="F245" t="n">
        <v>2945000</v>
      </c>
    </row>
    <row r="246">
      <c r="A246" s="444" t="n">
        <v>45903.5625</v>
      </c>
      <c r="B246" s="390" t="n">
        <v>10.26</v>
      </c>
      <c r="C246" s="390" t="n">
        <v>10.4</v>
      </c>
      <c r="D246" s="390" t="n">
        <v>10.14</v>
      </c>
      <c r="E246" s="418" t="n">
        <v>10.38</v>
      </c>
      <c r="F246" t="n">
        <v>2737400</v>
      </c>
    </row>
    <row r="247">
      <c r="A247" s="444" t="n">
        <v>45902.5625</v>
      </c>
      <c r="B247" s="390" t="n">
        <v>10.55</v>
      </c>
      <c r="C247" s="390" t="n">
        <v>10.66</v>
      </c>
      <c r="D247" s="390" t="n">
        <v>10.13</v>
      </c>
      <c r="E247" s="418" t="n">
        <v>10.29</v>
      </c>
      <c r="F247" t="n">
        <v>3413200</v>
      </c>
    </row>
    <row r="248">
      <c r="A248" s="444" t="n">
        <v>45898.5625</v>
      </c>
      <c r="B248" s="390" t="n">
        <v>10.87</v>
      </c>
      <c r="C248" s="390" t="n">
        <v>10.93</v>
      </c>
      <c r="D248" s="390" t="n">
        <v>10.75</v>
      </c>
      <c r="E248" s="418" t="n">
        <v>10.9</v>
      </c>
      <c r="F248" t="n">
        <v>3652700</v>
      </c>
    </row>
    <row r="249">
      <c r="A249" s="444" t="n">
        <v>45897.5625</v>
      </c>
      <c r="B249" s="390" t="n">
        <v>10.8</v>
      </c>
      <c r="C249" s="390" t="n">
        <v>11.005</v>
      </c>
      <c r="D249" s="390" t="n">
        <v>10.75</v>
      </c>
      <c r="E249" s="418" t="n">
        <v>10.895</v>
      </c>
      <c r="F249" t="n">
        <v>2671500</v>
      </c>
    </row>
    <row r="250">
      <c r="A250" s="444" t="n">
        <v>45896.5625</v>
      </c>
      <c r="B250" s="390" t="n">
        <v>10.3</v>
      </c>
      <c r="C250" s="390" t="n">
        <v>10.77</v>
      </c>
      <c r="D250" s="390" t="n">
        <v>10.275</v>
      </c>
      <c r="E250" s="418" t="n">
        <v>10.75</v>
      </c>
      <c r="F250" t="n">
        <v>2864300</v>
      </c>
    </row>
    <row r="251">
      <c r="A251" s="444" t="n">
        <v>45895.5625</v>
      </c>
      <c r="B251" s="390" t="n">
        <v>10.52</v>
      </c>
      <c r="C251" s="390" t="n">
        <v>10.546</v>
      </c>
      <c r="D251" s="390" t="n">
        <v>10.225</v>
      </c>
      <c r="E251" s="418" t="n">
        <v>10.23</v>
      </c>
      <c r="F251" t="n">
        <v>4048200</v>
      </c>
    </row>
    <row r="252">
      <c r="A252" s="444" t="n">
        <v>45894.5625</v>
      </c>
      <c r="B252" s="390" t="n">
        <v>10.72</v>
      </c>
      <c r="C252" s="390" t="n">
        <v>10.8</v>
      </c>
      <c r="D252" s="390" t="n">
        <v>10.44</v>
      </c>
      <c r="E252" s="418" t="n">
        <v>10.46</v>
      </c>
      <c r="F252" t="n">
        <v>3263500</v>
      </c>
    </row>
    <row r="253">
      <c r="A253" s="444" t="n">
        <v>45891.5625</v>
      </c>
      <c r="B253" s="390" t="n">
        <v>10.1</v>
      </c>
      <c r="C253" s="390" t="n">
        <v>10.78</v>
      </c>
      <c r="D253" s="390" t="n">
        <v>10.08</v>
      </c>
      <c r="E253" s="418" t="n">
        <v>10.75</v>
      </c>
      <c r="F253" t="n">
        <v>3426400</v>
      </c>
    </row>
    <row r="254">
      <c r="A254" s="444" t="n">
        <v>45890.5625</v>
      </c>
      <c r="B254" s="390" t="n">
        <v>10</v>
      </c>
      <c r="C254" s="390" t="n">
        <v>10.15</v>
      </c>
      <c r="D254" s="390" t="n">
        <v>9.85</v>
      </c>
      <c r="E254" s="418" t="n">
        <v>10.1</v>
      </c>
      <c r="F254" t="n">
        <v>3890700</v>
      </c>
    </row>
    <row r="255">
      <c r="A255" s="444" t="n">
        <v>45889.5625</v>
      </c>
      <c r="B255" s="390" t="n">
        <v>10.21</v>
      </c>
      <c r="C255" s="390" t="n">
        <v>10.28</v>
      </c>
      <c r="D255" s="390" t="n">
        <v>9.98</v>
      </c>
      <c r="E255" s="418" t="n">
        <v>10.1</v>
      </c>
      <c r="F255" t="n">
        <v>3604000</v>
      </c>
    </row>
    <row r="256">
      <c r="A256" s="444" t="n">
        <v>45888.5625</v>
      </c>
      <c r="B256" s="390" t="n">
        <v>10.57</v>
      </c>
      <c r="C256" s="390" t="n">
        <v>10.64</v>
      </c>
      <c r="D256" s="390" t="n">
        <v>10.26</v>
      </c>
      <c r="E256" s="418" t="n">
        <v>10.31</v>
      </c>
      <c r="F256" t="n">
        <v>3739400</v>
      </c>
    </row>
    <row r="257">
      <c r="A257" s="444" t="n">
        <v>45887.5625</v>
      </c>
      <c r="B257" s="390" t="n">
        <v>10.41</v>
      </c>
      <c r="C257" s="390" t="n">
        <v>10.585</v>
      </c>
      <c r="D257" s="390" t="n">
        <v>10.27</v>
      </c>
      <c r="E257" s="418" t="n">
        <v>10.55</v>
      </c>
      <c r="F257" t="n">
        <v>4958400</v>
      </c>
    </row>
    <row r="258">
      <c r="A258" s="444" t="n">
        <v>45884.5625</v>
      </c>
      <c r="B258" s="390" t="n">
        <v>10.075</v>
      </c>
      <c r="C258" s="390" t="n">
        <v>10.62</v>
      </c>
      <c r="D258" s="390" t="n">
        <v>10.075</v>
      </c>
      <c r="E258" s="418" t="n">
        <v>10.43</v>
      </c>
      <c r="F258" t="n">
        <v>4757500</v>
      </c>
    </row>
    <row r="259">
      <c r="A259" s="51" t="n"/>
      <c r="E259" s="22" t="n"/>
    </row>
    <row r="260">
      <c r="A260" s="51" t="n"/>
      <c r="E260" s="22" t="n"/>
    </row>
    <row r="261">
      <c r="A261" s="51" t="n"/>
      <c r="E261" s="22" t="n"/>
    </row>
    <row r="262">
      <c r="A262" s="51" t="n"/>
      <c r="E262" s="22" t="n"/>
    </row>
    <row r="263">
      <c r="A263" s="51" t="n"/>
      <c r="E263" s="22" t="n"/>
    </row>
    <row r="264">
      <c r="A264" s="51" t="n"/>
      <c r="E264" s="22" t="n"/>
    </row>
    <row r="265">
      <c r="A265" s="51" t="n"/>
      <c r="E265" s="22" t="n"/>
    </row>
    <row r="266">
      <c r="A266" s="51" t="n"/>
      <c r="E266" s="22" t="n"/>
    </row>
    <row r="267">
      <c r="A267" s="51" t="n"/>
      <c r="E267" s="22" t="n"/>
    </row>
    <row r="268">
      <c r="A268" s="51" t="n"/>
      <c r="E268" s="22"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2026-08-16T14:24:41Z</dcterms:modified>
  <cp:lastModifiedBy>Christian Gardner</cp:lastModifiedBy>
  <cp:lastPrinted>2014-05-30T16:55:05Z</cp:lastPrinted>
</cp:coreProperties>
</file>