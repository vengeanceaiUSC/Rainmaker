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96">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xf numFmtId="0" fontId="93" fillId="0" borderId="0" applyAlignment="1" pivotButton="0" quotePrefix="0" xfId="0">
      <alignment horizontal="right"/>
    </xf>
    <xf numFmtId="0" fontId="92" fillId="0" borderId="0" applyAlignment="1" pivotButton="0" quotePrefix="0" xfId="0">
      <alignment horizontal="left" vertical="bottom" indent="1"/>
    </xf>
    <xf numFmtId="0" fontId="79" fillId="0" borderId="16"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48" customHeight="1" s="409">
      <c r="B279" s="882" t="inlineStr">
        <is>
          <t>FIXED: B281:J288 was partly GTM Actual ($5.0625/307.294/14.78x) but E:J offer-at-hurdle grid was stale BMC (implied you could pay ~$5.22 at 30% IRR). Live AI IRR at GTM offer is ~17% (J275) — does NOT clear 33%. E:J now = max offer such that MOIC^(1/5)-1 equals hurdle, using exit equity H262 and D35=1.02×Offer+D21+H33−SUM(D27:D34).</t>
        </is>
      </c>
      <c r="C279" s="648" t="n"/>
      <c r="D279" s="648" t="n"/>
      <c r="E279" s="649" t="n"/>
      <c r="F279" s="648" t="n"/>
      <c r="G279" s="648" t="n"/>
      <c r="H279" s="648" t="n"/>
    </row>
    <row r="280" ht="30" customHeight="1" s="409">
      <c r="B280" s="541" t="n"/>
      <c r="C280" s="883" t="inlineStr">
        <is>
          <t>Actual (GTM)</t>
        </is>
      </c>
      <c r="E280" s="884" t="inlineStr">
        <is>
          <t>Max offer/share at hurdle IRR (GTM math — was stale BMC). Holds AI exit equity H262 @12.9x fixed.</t>
        </is>
      </c>
      <c r="F280" s="652" t="n"/>
      <c r="G280" s="652" t="n"/>
      <c r="H280" s="652" t="n"/>
      <c r="I280" s="652" t="n"/>
      <c r="J280" s="653" t="n"/>
    </row>
    <row r="281" ht="36" customHeight="1" s="409">
      <c r="B281" s="895" t="inlineStr">
        <is>
          <t>Realized IRR (AI @ current offer)</t>
        </is>
      </c>
      <c r="C281" s="885">
        <f>J275</f>
        <v/>
      </c>
      <c r="D281" s="897" t="inlineStr">
        <is>
          <t>Hurdle rates →</t>
        </is>
      </c>
      <c r="E281" s="886" t="n">
        <v>0.15</v>
      </c>
      <c r="F281" s="887" t="n">
        <v>0.2</v>
      </c>
      <c r="G281" s="887" t="n">
        <v>0.25</v>
      </c>
      <c r="H281" s="887" t="n">
        <v>0.3</v>
      </c>
      <c r="I281" s="887" t="n">
        <v>0.35</v>
      </c>
      <c r="J281" s="888" t="n">
        <v>0.4</v>
      </c>
      <c r="K281" s="896" t="inlineStr">
        <is>
          <t>C281 17% = realized IRR at the current GTM offer (not a hurdle). Columns 15–40% = max offer to still hit those required hurdle IRRs.</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42" customHeight="1" s="409">
      <c r="B286" s="898" t="inlineStr">
        <is>
          <t>HOW TO READ</t>
        </is>
      </c>
      <c r="C286" s="899">
        <f>"If your required hurdle rate is 30%, the maximum offer you can make is "&amp;TEXT(H282,"$#,##0.0")&amp;" million (or "&amp;TEXT(H284,"$0.0000")&amp;" per share). "&amp;"If your required hurdle rate drops to 20%, you can afford to pay a higher price: "&amp;TEXT(F282,"$#,##0.0")&amp;" million (or "&amp;TEXT(F284,"$0.0000")&amp;" per share)."</f>
        <v/>
      </c>
      <c r="E286" s="673" t="n"/>
      <c r="F286" s="674" t="n"/>
      <c r="G286" s="674" t="n"/>
      <c r="H286" s="674" t="n"/>
      <c r="I286" s="674" t="n"/>
      <c r="J286" s="675" t="n"/>
      <c r="K286" s="882" t="inlineStr">
        <is>
          <t>How to read: pick a hurdle column → that column’s offer/$/share is the most you can pay and still clear that IRR.</t>
        </is>
      </c>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2026-08-17T17:41:42Z</dcterms:modified>
  <cp:revision>0</cp:revision>
</cp:coreProperties>
</file>