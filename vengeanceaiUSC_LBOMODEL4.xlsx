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8">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s>
  <fills count="22">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408" t="inlineStr">
        <is>
          <t>IRR (%)</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t="n">
        <v>25.5003</v>
      </c>
      <c r="E19" s="456" t="n">
        <v>26.775315</v>
      </c>
      <c r="F19" s="456" t="n">
        <v>28.11408075</v>
      </c>
      <c r="G19" s="456" t="n">
        <v>29.5197847875</v>
      </c>
      <c r="H19" s="456" t="n">
        <v>30.995774026875</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t="n">
        <v>23.460276</v>
      </c>
      <c r="E19" s="456" t="n">
        <v>24.6332898</v>
      </c>
      <c r="F19" s="456" t="n">
        <v>25.86495429</v>
      </c>
      <c r="G19" s="456" t="n">
        <v>27.1582020045</v>
      </c>
      <c r="H19" s="456" t="n">
        <v>28.516112104725</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38"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515" t="n">
        <v>88.3</v>
      </c>
      <c r="G58" s="515" t="n">
        <v>91.8</v>
      </c>
      <c r="H58" s="515" t="n">
        <v>95.5</v>
      </c>
      <c r="I58" s="515" t="n">
        <v>98.3</v>
      </c>
      <c r="J58" s="515" t="n">
        <v>101.3</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SOURCE (click) — Assess + how number enters</t>
        </is>
      </c>
      <c r="M63" s="558" t="inlineStr">
        <is>
          <t>VERBATIM Ctrl+F + EQ derivation (how the % was calculated)</t>
        </is>
      </c>
      <c r="N63" s="558" t="inlineStr">
        <is>
          <t>WHY REASONABLE (≤30 words) — where the number came from</t>
        </is>
      </c>
    </row>
    <row r="64" ht="15" customHeight="1" s="409">
      <c r="B64" s="555" t="inlineStr">
        <is>
          <t>Growth rates &amp; margins</t>
        </is>
      </c>
      <c r="F64" s="515" t="n"/>
      <c r="K64" s="559" t="inlineStr">
        <is>
          <t>Step</t>
        </is>
      </c>
      <c r="L64" s="560" t="inlineStr">
        <is>
          <t>Growth rates &amp; margins — each forecast % must show source quote + arithmetic (EQ)</t>
        </is>
      </c>
    </row>
    <row r="65" ht="75"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563">
        <f>HYPERLINK("https://www.sec.gov/Archives/edgar/data/1794515/000179451526000012/zi-20251231.htm","REASONABLE: ZI FY25 10-K — Drivers C5=+5% (rounded CAGR, not raw +3%)")</f>
        <v/>
      </c>
      <c r="M65" s="564" t="inlineStr">
        <is>
          <t>Ctrl+F: Revenue was $1,249.5 million for the year ended December 31, 2025, an increase of $35.2 million, or 3%
EQ: FY22 rev $1,098.0 → FY25 $1,249.5; CAGR=(1249.5/1098)^(1/3)−1≈4.4% → Drivers C5 rounds to +5%. LBO F65:J65 = Assumptions_Drivers!$C$5.</t>
        </is>
      </c>
      <c r="N65" s="564" t="inlineStr">
        <is>
          <t>10-K shows FY25 +3% ($35.2m). Model uses +5% = rounded 2022–25 CAGR (~4.4%), via Drivers C5 linked here.</t>
        </is>
      </c>
    </row>
    <row r="66" ht="75"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563">
        <f>HYPERLINK("https://www.getaleph.com/answers/saas-gross-margin-2026","REASONABLE: Aleph × Benchmarkit — median GM 80% → Drivers C6")</f>
        <v/>
      </c>
      <c r="M66" s="564" t="inlineStr">
        <is>
          <t>Ctrl+F: The 2025 median software gross margin is 80%
EQ: Drivers C6 = 80% exactly from that median sentence. LBO F66:J66 = Assumptions_Drivers!$C$6. (ZI GAAP GM ~84% is NOT the driver.)</t>
        </is>
      </c>
      <c r="N66" s="564" t="inlineStr">
        <is>
          <t>Aleph’s verbatim median is 80%. That 80% is Drivers C6 and feeds every forecast GM cell here.</t>
        </is>
      </c>
    </row>
    <row r="67" ht="75"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563">
        <f>HYPERLINK("https://www.sec.gov/Archives/edgar/data/1794515/000179451525000045/zi-20241231.htm","REASONABLE: ZI FY24 10-K — R&amp;D $196.1m / Rev $1,214.3m ≈16.15%")</f>
        <v/>
      </c>
      <c r="M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N67" s="564" t="inlineStr">
        <is>
          <t>Ratio from FY24 R&amp;D $196.1m ÷ sales $1,214.3m. Forecast keeps that % by scaling R&amp;D with +5% revenue in AI_Operating.</t>
        </is>
      </c>
    </row>
    <row r="68" ht="75"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563">
        <f>HYPERLINK("https://www.digitalapplied.com/blog/ai-sdr-statistics-2026-outbound-sales-data-points","REASONABLE: Built %, not one page — 18% SDR cut (Digital Applied) + G&amp;A 18% (Blossom) + $24.5m AI")</f>
        <v/>
      </c>
      <c r="M68" s="564" t="inlineStr">
        <is>
          <t>Ctrl+F (Digital Applied): Net SDR headcount in US B2B SaaS companies is down 18% YoY
Ctrl+F (Blossom, Drivers E11): G&amp;A was 18%
EQ: SG&amp;A% = (S&amp;M_human + AI_infra $24.5m + G&amp;A)/Revenue from AI_Operating. S&amp;M_human = FY24 $414.1m×(1−18%); G&amp;A = 18%×Revenue.</t>
        </is>
      </c>
      <c r="N68" s="564" t="inlineStr">
        <is>
          <t>No single “SG&amp;A%” quote. % = AI_Operating (cut S&amp;M 18%, +$24.5m AI, G&amp;A 18% of sales) ÷ revenue.</t>
        </is>
      </c>
    </row>
    <row r="69" ht="75"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563">
        <f>HYPERLINK("https://taxsummaries.pwc.com/united-states/corporate/taxes-on-corporate-income","REASONABLE: PwC — flat 21% → Drivers C19")</f>
        <v/>
      </c>
      <c r="M69" s="564" t="inlineStr">
        <is>
          <t>Ctrl+F: The United States taxes resident corporations at a flat rate of 21%
EQ: Drivers C19 = 21% from that sentence. LBO F69:J69 = Assumptions_Drivers!$C$19.</t>
        </is>
      </c>
      <c r="N69" s="564" t="inlineStr">
        <is>
          <t>PwC’s flat 21% is copied into Drivers C19; this tax row is a direct link to that cell.</t>
        </is>
      </c>
    </row>
    <row r="70" ht="75"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567">
        <f>HYPERLINK("https://www.sec.gov/Archives/edgar/data/1794515/000179451526000012/zi-20251231.htm","CAUTION — Drivers C29: FY25 SBC $116.2m ÷ opex $824.2m = 14.1%; LBO $ = %×opex")</f>
        <v/>
      </c>
      <c r="M70" s="568" t="inlineStr">
        <is>
          <t>Ctrl+F: Total equity-based compensation expense $ 116.2
Ctrl+F: Total operating expenses $ 824.2
EQ: Drivers C29=116.2÷824.2=14.1%. LBO F70:J70=Assumptions_Drivers!$C$29. SBC $=F70×(|F43|+|F45|+|F46|); CF F118=F60.</t>
        </is>
      </c>
      <c r="N70" s="568" t="inlineStr">
        <is>
          <t>Single source: Drivers C29. 14.1% from FY25 10-K; LBO $ and CF rows now formula-linked.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t>
        </is>
      </c>
      <c r="M75" s="558" t="inlineStr">
        <is>
          <t>SOURCE (click) — Assess + how number enters</t>
        </is>
      </c>
      <c r="N75" s="558" t="inlineStr">
        <is>
          <t>VERBATIM Ctrl+F + EQ derivation</t>
        </is>
      </c>
      <c r="O75" s="558" t="inlineStr">
        <is>
          <t>WHY REASONABLE (≤30 words)</t>
        </is>
      </c>
      <c r="P75" s="558" t="inlineStr">
        <is>
          <t>Major Variable</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Grows with revenue at +5%/yr (Drivers C5). EOP AR = 16.2% × Sales each year → $AR rises ~5% as sales rise; ratio flat.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BMC AR.</t>
        </is>
      </c>
      <c r="P76" s="810" t="inlineStr">
        <is>
          <t>YES — AR drives ΔAR cash use in FCF →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Ratio FLAT at 16.2% every forecast year (no step-up). Does not grow as a %. Dollar AR grows only because sales grow +5%. AI case: effective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0" t="inlineStr">
        <is>
          <t>YES — primary AR/% assumption; pairs with C13 DSO cut</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Grows with revenue at +5%/yr. EOP = flat 9.7% × Sales → dollars track sales; % does not trend.</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No yellow Driver for other CA. Held flat vs last hist %. Excluded from core AI ΔNWC used in FCF.</t>
        </is>
      </c>
      <c r="P78" s="811" t="inlineStr">
        <is>
          <t>NO —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FLAT — held at last hist ~9.7% of sales for all F–J. No growth in the ratio; no Drivers path.</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Placeholder ratio only. Changing it does not move AI_Operating FCF or debt sweep.</t>
        </is>
      </c>
      <c r="P79" s="811" t="inlineStr">
        <is>
          <t>NO —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Grows with COGS (COGS = (1−80% GM)×Sales → COGS also +5%/yr). EOP AP = flat 7.1% × |COGS|;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FLAT — AP/COGS held at last hist ~7.1% every year. No DPO improvement assumed.</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Grows with revenue at +5%/yr. EOP deferred/accrued = 39.0% × Sales → $ balance rises ~5% with sales; ratio flat.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10" t="inlineStr">
        <is>
          <t>YES — deferred revenue is the largest SaaS NWC cash source</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Ratio FLAT at ~39%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10" t="inlineStr">
        <is>
          <t>YES — sets ΔDeferred in ΔNWC ≈ ΔAR − ΔDeferred</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More negative ~in line with +5% sales: deferred (39%) &gt; AR (16.2%), so NWC stays a cash source. ΔNWC ≈ ΔRev×[16.2%×(1−10%)−39%] ≈ −24.45% of ΔRev each year (AI).</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10" t="inlineStr">
        <is>
          <t>YES — ΔNWC hits FCF, debt sweep, MOIC/IRR</t>
        </is>
      </c>
    </row>
    <row r="86" ht="78" customHeight="1" s="409">
      <c r="B86" s="408" t="inlineStr">
        <is>
          <t>AI AR improvement (Drivers C13) — applies in AI_Operating ΔNWC</t>
        </is>
      </c>
      <c r="D86" s="516" t="n"/>
      <c r="E86" s="516" t="n"/>
      <c r="F86" s="510" t="n"/>
      <c r="G86" s="510" t="n"/>
      <c r="H86" s="510" t="n"/>
      <c r="I86" s="510" t="n"/>
      <c r="J86" s="510" t="n"/>
      <c r="L86" s="814" t="inlineStr">
        <is>
          <t>ONE-TIME structural cut: AI ΔAR intensity permanently 10% lower than Base from Y1 on (not a further −10% each year). Base ΔAR=16.2%×ΔRev; AI=14.55%×ΔRev.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10" t="inlineStr">
        <is>
          <t>YES — AI case lever vs Base; lifts FCF/debt paydown</t>
        </is>
      </c>
    </row>
    <row r="87" ht="15" customHeight="1" s="409">
      <c r="B87" s="570" t="inlineStr">
        <is>
          <t>LONG LIVED ASSETS</t>
        </is>
      </c>
      <c r="C87" s="577" t="n"/>
      <c r="D87" s="577" t="n"/>
      <c r="E87" s="577" t="n"/>
      <c r="F87" s="578" t="n"/>
      <c r="G87" s="578" t="n"/>
      <c r="H87" s="578" t="n"/>
      <c r="I87" s="578" t="n"/>
      <c r="J87" s="578" t="n"/>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row>
    <row r="91" ht="15" customHeight="1" s="409">
      <c r="B91" s="557" t="inlineStr">
        <is>
          <t>PP&amp;E</t>
        </is>
      </c>
      <c r="C91" s="513" t="n"/>
      <c r="D91" s="573" t="n">
        <v>87.8</v>
      </c>
      <c r="E91" s="573" t="n">
        <v>85.2</v>
      </c>
      <c r="F91" s="537" t="n">
        <v>73.1444897959184</v>
      </c>
      <c r="G91" s="537" t="n">
        <v>63.4073469387755</v>
      </c>
      <c r="H91" s="537" t="n">
        <v>56.4522448979592</v>
      </c>
      <c r="I91" s="537" t="n">
        <v>53.090612244898</v>
      </c>
      <c r="J91" s="537" t="n">
        <v>53.090612244898</v>
      </c>
      <c r="L91" s="537" t="n"/>
    </row>
    <row r="92" ht="15" customHeight="1" s="409">
      <c r="B92" s="574" t="inlineStr">
        <is>
          <t>Capital expenditures</t>
        </is>
      </c>
      <c r="C92" s="553" t="n">
        <v>22</v>
      </c>
      <c r="D92" s="553" t="n">
        <v>26.5</v>
      </c>
      <c r="E92" s="553" t="n">
        <v>24.5</v>
      </c>
      <c r="F92" s="553" t="n">
        <v>26</v>
      </c>
      <c r="G92" s="553" t="n">
        <v>28</v>
      </c>
      <c r="H92" s="553" t="n">
        <v>30</v>
      </c>
      <c r="I92" s="553" t="n">
        <v>29</v>
      </c>
      <c r="J92" s="553" t="n">
        <v>31</v>
      </c>
      <c r="L92" s="515" t="n"/>
    </row>
    <row r="93" ht="15" customHeight="1" s="409">
      <c r="B93" s="574" t="inlineStr">
        <is>
          <t>Depreciation</t>
        </is>
      </c>
      <c r="C93" s="553" t="n">
        <v>-39.1</v>
      </c>
      <c r="D93" s="553" t="n">
        <v>-37.8</v>
      </c>
      <c r="E93" s="553" t="n">
        <v>-38.7</v>
      </c>
      <c r="F93" s="515" t="n">
        <v>-38.0555102040816</v>
      </c>
      <c r="G93" s="515" t="n">
        <v>-37.7371428571429</v>
      </c>
      <c r="H93" s="515" t="n">
        <v>-36.9551020408163</v>
      </c>
      <c r="I93" s="515" t="n">
        <v>-32.3616326530612</v>
      </c>
      <c r="J93" s="515" t="n">
        <v>-31</v>
      </c>
      <c r="K93" s="559" t="inlineStr">
        <is>
          <t>Smoothing?</t>
        </is>
      </c>
      <c r="L93" s="515" t="n"/>
    </row>
    <row r="94" ht="15" customHeight="1" s="409">
      <c r="B94" s="579" t="inlineStr">
        <is>
          <t>Capex as a % of revenue</t>
        </is>
      </c>
      <c r="C94" s="522" t="n">
        <v>0.0106522054907277</v>
      </c>
      <c r="D94" s="522" t="n">
        <v>0.0122007366482505</v>
      </c>
      <c r="E94" s="522" t="n">
        <v>0.0111292813664032</v>
      </c>
      <c r="F94" s="522" t="n">
        <v>0.0114112714394748</v>
      </c>
      <c r="G94" s="522" t="n">
        <v>0.0116483995736528</v>
      </c>
      <c r="H94" s="522" t="n">
        <v>0.0117739887873849</v>
      </c>
      <c r="I94" s="522" t="n">
        <v>0.0108395452328305</v>
      </c>
      <c r="J94" s="522" t="n">
        <v>0.0110563932027424</v>
      </c>
      <c r="K94" s="580" t="inlineStr">
        <is>
          <t>Yes</t>
        </is>
      </c>
    </row>
    <row r="95" ht="15" customHeight="1" s="409">
      <c r="B95" s="579" t="inlineStr">
        <is>
          <t>Depreciation as a % of capex</t>
        </is>
      </c>
      <c r="C95" s="581" t="n">
        <v>1.77727272727273</v>
      </c>
      <c r="D95" s="581" t="n">
        <v>1.42641509433962</v>
      </c>
      <c r="E95" s="581" t="n">
        <v>1.57959183673469</v>
      </c>
      <c r="F95" s="581" t="n">
        <v>1.46367346938776</v>
      </c>
      <c r="G95" s="581" t="n">
        <v>1.34775510204082</v>
      </c>
      <c r="H95" s="581" t="n">
        <v>1.23183673469388</v>
      </c>
      <c r="I95" s="581" t="n">
        <v>1.11591836734694</v>
      </c>
      <c r="J95" s="581" t="n">
        <v>1</v>
      </c>
      <c r="K95" s="528" t="n">
        <v>-0.115918367346939</v>
      </c>
    </row>
    <row r="96" ht="15" customHeight="1" s="409">
      <c r="B96" s="579" t="n"/>
      <c r="C96" s="581" t="n"/>
      <c r="D96" s="581" t="n"/>
      <c r="E96" s="581" t="n"/>
    </row>
    <row r="97" ht="15" customHeight="1" s="409">
      <c r="B97" s="557" t="inlineStr">
        <is>
          <t>Software development costs</t>
        </is>
      </c>
      <c r="C97" s="582" t="n"/>
      <c r="D97" s="573" t="n">
        <v>244.7</v>
      </c>
      <c r="E97" s="573" t="n">
        <v>271.4</v>
      </c>
      <c r="F97" s="537" t="n">
        <v>286.508641975309</v>
      </c>
      <c r="G97" s="537" t="n">
        <v>297.64475308642</v>
      </c>
      <c r="H97" s="537" t="n">
        <v>305.199074074074</v>
      </c>
      <c r="I97" s="537" t="n">
        <v>309.366975308642</v>
      </c>
      <c r="J97" s="537" t="n">
        <v>309.366975308642</v>
      </c>
    </row>
    <row r="98" ht="15" customHeight="1" s="409">
      <c r="B98" s="574" t="inlineStr">
        <is>
          <t>Purchases</t>
        </is>
      </c>
      <c r="C98" s="553" t="n">
        <v>115.8</v>
      </c>
      <c r="D98" s="553" t="n">
        <v>132.5</v>
      </c>
      <c r="E98" s="553" t="n">
        <v>129.6</v>
      </c>
      <c r="F98" s="553" t="n">
        <v>116</v>
      </c>
      <c r="G98" s="553" t="n">
        <v>114</v>
      </c>
      <c r="H98" s="553" t="n">
        <v>116</v>
      </c>
      <c r="I98" s="553" t="n">
        <v>128</v>
      </c>
      <c r="J98" s="553" t="n">
        <v>135</v>
      </c>
    </row>
    <row r="99" ht="15" customHeight="1" s="409">
      <c r="B99" s="574" t="inlineStr">
        <is>
          <t>Amortization</t>
        </is>
      </c>
      <c r="C99" s="553" t="n">
        <v>-75.7</v>
      </c>
      <c r="D99" s="553" t="n">
        <v>-93.59999999999999</v>
      </c>
      <c r="E99" s="553" t="n">
        <v>-108.5</v>
      </c>
      <c r="F99" s="515" t="n">
        <v>-100.891358024691</v>
      </c>
      <c r="G99" s="515" t="n">
        <v>-102.863888888889</v>
      </c>
      <c r="H99" s="515" t="n">
        <v>-108.445679012346</v>
      </c>
      <c r="I99" s="515" t="n">
        <v>-123.832098765432</v>
      </c>
      <c r="J99" s="515" t="n">
        <v>-135</v>
      </c>
      <c r="K99" s="559" t="inlineStr">
        <is>
          <t>Smoothing?</t>
        </is>
      </c>
    </row>
    <row r="100" ht="15" customHeight="1" s="409">
      <c r="B100" s="579" t="inlineStr">
        <is>
          <t>Purchases as % of revenue</t>
        </is>
      </c>
      <c r="C100" s="522" t="n">
        <v>0.0560693361739215</v>
      </c>
      <c r="D100" s="522" t="n">
        <v>0.0610036832412523</v>
      </c>
      <c r="E100" s="522" t="n">
        <v>0.0588716271463614</v>
      </c>
      <c r="F100" s="522" t="n">
        <v>0.0509118264222723</v>
      </c>
      <c r="G100" s="522" t="n">
        <v>0.0474256268355863</v>
      </c>
      <c r="H100" s="522" t="n">
        <v>0.0455260899778882</v>
      </c>
      <c r="I100" s="522" t="n">
        <v>0.047843509993183</v>
      </c>
      <c r="J100" s="522" t="n">
        <v>0.0481488091087168</v>
      </c>
      <c r="K100" s="580" t="inlineStr">
        <is>
          <t>Yes</t>
        </is>
      </c>
    </row>
    <row r="101" ht="15" customHeight="1" s="409">
      <c r="B101" s="579" t="inlineStr">
        <is>
          <t>Amortization as a % of purchases</t>
        </is>
      </c>
      <c r="C101" s="581" t="n">
        <v>0.653713298791019</v>
      </c>
      <c r="D101" s="581" t="n">
        <v>0.706415094339623</v>
      </c>
      <c r="E101" s="581" t="n">
        <v>0.837191358024691</v>
      </c>
      <c r="F101" s="581" t="n">
        <v>0.869753086419753</v>
      </c>
      <c r="G101" s="581" t="n">
        <v>0.902314814814815</v>
      </c>
      <c r="H101" s="581" t="n">
        <v>0.934876543209877</v>
      </c>
      <c r="I101" s="581" t="n">
        <v>0.967438271604938</v>
      </c>
      <c r="J101" s="581" t="n">
        <v>1</v>
      </c>
      <c r="K101" s="528" t="n">
        <v>0.0325617283950617</v>
      </c>
    </row>
    <row r="102" ht="15" customHeight="1" s="409">
      <c r="B102" s="579" t="n"/>
      <c r="C102" s="581" t="n"/>
      <c r="D102" s="581" t="n"/>
      <c r="E102" s="581" t="n"/>
    </row>
    <row r="103" ht="15" customHeight="1" s="409">
      <c r="B103" s="557" t="inlineStr">
        <is>
          <t>Intangible assets</t>
        </is>
      </c>
      <c r="D103" s="573" t="n">
        <v>257.5</v>
      </c>
      <c r="E103" s="573" t="n">
        <v>189.8</v>
      </c>
      <c r="F103" s="537" t="n">
        <v>189.8</v>
      </c>
      <c r="G103" s="537" t="n">
        <v>189.8</v>
      </c>
      <c r="H103" s="537" t="n">
        <v>189.8</v>
      </c>
      <c r="I103" s="537" t="n">
        <v>189.8</v>
      </c>
      <c r="J103" s="537" t="n">
        <v>189.8</v>
      </c>
    </row>
    <row r="104" ht="15" customHeight="1" s="409">
      <c r="B104" s="574" t="inlineStr">
        <is>
          <t>Purchases</t>
        </is>
      </c>
      <c r="C104" s="583" t="n">
        <v>0</v>
      </c>
      <c r="D104" s="553" t="n">
        <v>0</v>
      </c>
      <c r="E104" s="553" t="n">
        <v>0</v>
      </c>
      <c r="F104" s="553" t="n">
        <v>85</v>
      </c>
      <c r="G104" s="553" t="n">
        <v>80</v>
      </c>
      <c r="H104" s="553" t="n">
        <v>77</v>
      </c>
      <c r="I104" s="553" t="n">
        <v>68</v>
      </c>
      <c r="J104" s="553" t="n">
        <v>57</v>
      </c>
    </row>
    <row r="105" ht="15" customHeight="1" s="409">
      <c r="B105" s="574" t="inlineStr">
        <is>
          <t>Amortization</t>
        </is>
      </c>
      <c r="C105" s="553" t="n">
        <v>-79.09999999999999</v>
      </c>
      <c r="D105" s="553" t="n">
        <v>-97.7</v>
      </c>
      <c r="E105" s="553" t="n">
        <v>-86.90000000000001</v>
      </c>
      <c r="F105" s="553" t="n">
        <v>-85</v>
      </c>
      <c r="G105" s="553" t="n">
        <v>-80</v>
      </c>
      <c r="H105" s="553" t="n">
        <v>-77</v>
      </c>
      <c r="I105" s="553" t="n">
        <v>-68</v>
      </c>
      <c r="J105" s="553" t="n">
        <v>-57</v>
      </c>
    </row>
    <row r="106" ht="15" customHeight="1" s="409">
      <c r="B106" s="498" t="n"/>
      <c r="C106" s="515" t="n"/>
      <c r="D106" s="515" t="n"/>
      <c r="E106" s="515" t="n"/>
    </row>
    <row r="107" ht="15" customHeight="1" s="409">
      <c r="B107" s="557" t="inlineStr">
        <is>
          <t>Goodwill and other assets</t>
        </is>
      </c>
      <c r="D107" s="573" t="n">
        <v>1940.3</v>
      </c>
      <c r="E107" s="573" t="n">
        <v>1935.2</v>
      </c>
      <c r="F107" s="573" t="n">
        <v>1935.2</v>
      </c>
      <c r="G107" s="573" t="n">
        <v>1935.2</v>
      </c>
      <c r="H107" s="573" t="n">
        <v>1935.2</v>
      </c>
      <c r="I107" s="573" t="n">
        <v>1935.2</v>
      </c>
      <c r="J107" s="573" t="n">
        <v>1935.2</v>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586" t="n">
        <v>223.946868228773</v>
      </c>
      <c r="G116" s="586" t="n">
        <v>220.601031746032</v>
      </c>
      <c r="H116" s="586" t="n">
        <v>222.400781053162</v>
      </c>
      <c r="I116" s="586" t="n">
        <v>224.193731418493</v>
      </c>
      <c r="J116" s="586" t="n">
        <v>223</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15"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Each year ΔNWC ≈ ΔRev × (14.55% − 39.0%) ≈ −24.5% of ΔRev (AI). Grows in $ with +5% revenue (larger ΔRev → larger cash release). Not a flat $.</t>
        </is>
      </c>
      <c r="M119" s="805" t="inlineStr">
        <is>
          <t>ΔNWC in CF = AI_Operating (Drivers C13/C25/C26). Cash line that feeds debt sweep — not the old BMC WC delta.</t>
        </is>
      </c>
      <c r="O119" s="813" t="n"/>
      <c r="P119" s="810" t="inlineStr">
        <is>
          <t>YES — CF ΔNWC is a core LBO cash variable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15" customHeight="1" s="409">
      <c r="B125" s="408" t="inlineStr">
        <is>
          <t>Capital expenditures</t>
        </is>
      </c>
      <c r="F125" s="515" t="n">
        <v>-26</v>
      </c>
      <c r="G125" s="515" t="n">
        <v>-28</v>
      </c>
      <c r="H125" s="515" t="n">
        <v>-30</v>
      </c>
      <c r="I125" s="515" t="n">
        <v>-29</v>
      </c>
      <c r="J125" s="515" t="n">
        <v>-31</v>
      </c>
    </row>
    <row r="126" ht="15" customHeight="1" s="409">
      <c r="B126" s="408" t="inlineStr">
        <is>
          <t xml:space="preserve">Purchases of intangible assets and capitalized software development costs </t>
        </is>
      </c>
      <c r="F126" s="515" t="n">
        <v>-201</v>
      </c>
      <c r="G126" s="515" t="n">
        <v>-194</v>
      </c>
      <c r="H126" s="515" t="n">
        <v>-193</v>
      </c>
      <c r="I126" s="515" t="n">
        <v>-196</v>
      </c>
      <c r="J126" s="515" t="n">
        <v>-192</v>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2">
    <mergeCell ref="F302:J302"/>
    <mergeCell ref="G321:I321"/>
    <mergeCell ref="D291:J291"/>
    <mergeCell ref="D290:J290"/>
    <mergeCell ref="D300:J300"/>
    <mergeCell ref="D310:J310"/>
    <mergeCell ref="F292:J292"/>
    <mergeCell ref="F311:J311"/>
    <mergeCell ref="F216:J216"/>
    <mergeCell ref="L64:N64"/>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2026-08-16T16:18:53Z</dcterms:modified>
  <cp:revision>0</cp:revision>
</cp:coreProperties>
</file>