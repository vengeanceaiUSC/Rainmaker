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s>
  <fills count="22">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SOURCE (click) — Assess + how number enters</t>
        </is>
      </c>
      <c r="M63" s="558" t="inlineStr">
        <is>
          <t>VERBATIM Ctrl+F + EQ derivation (how the % was calculated)</t>
        </is>
      </c>
      <c r="N63" s="558" t="inlineStr">
        <is>
          <t>WHY REASONABLE (≤30 words) — where the number came from</t>
        </is>
      </c>
    </row>
    <row r="64" ht="15" customHeight="1" s="409">
      <c r="B64" s="555" t="inlineStr">
        <is>
          <t>Growth rates &amp; margins</t>
        </is>
      </c>
      <c r="F64" s="515" t="n"/>
      <c r="K64" s="559" t="inlineStr">
        <is>
          <t>Step</t>
        </is>
      </c>
      <c r="L64" s="560" t="inlineStr">
        <is>
          <t>Growth rates &amp; margins — each forecast % must show source quote + arithmetic (EQ)</t>
        </is>
      </c>
    </row>
    <row r="65" ht="75"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563">
        <f>HYPERLINK("https://www.sec.gov/Archives/edgar/data/1794515/000179451526000012/zi-20251231.htm","REASONABLE: ZI FY25 10-K — Drivers C5=+5% (rounded CAGR, not raw +3%)")</f>
        <v/>
      </c>
      <c r="M65" s="564" t="inlineStr">
        <is>
          <t>Ctrl+F: Revenue was $1,249.5 million for the year ended December 31, 2025, an increase of $35.2 million, or 3%
EQ: FY22 rev $1,098.0 → FY25 $1,249.5; CAGR=(1249.5/1098)^(1/3)−1≈4.4% → Drivers C5 rounds to +5%. LBO F65:J65 = Assumptions_Drivers!$C$5.</t>
        </is>
      </c>
      <c r="N65" s="564" t="inlineStr">
        <is>
          <t>10-K shows FY25 +3% ($35.2m). Model uses +5% = rounded 2022–25 CAGR (~4.4%), via Drivers C5 linked here.</t>
        </is>
      </c>
    </row>
    <row r="66" ht="75"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563">
        <f>HYPERLINK("https://www.getaleph.com/answers/saas-gross-margin-2026","REASONABLE: Aleph × Benchmarkit — median GM 80% → Drivers C6")</f>
        <v/>
      </c>
      <c r="M66" s="564" t="inlineStr">
        <is>
          <t>Ctrl+F: The 2025 median software gross margin is 80%
EQ: Drivers C6 = 80% exactly from that median sentence. LBO F66:J66 = Assumptions_Drivers!$C$6. (ZI GAAP GM ~84% is NOT the driver.)</t>
        </is>
      </c>
      <c r="N66" s="564" t="inlineStr">
        <is>
          <t>Aleph’s verbatim median is 80%. That 80% is Drivers C6 and feeds every forecast GM cell here.</t>
        </is>
      </c>
    </row>
    <row r="67" ht="75"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563">
        <f>HYPERLINK("https://www.sec.gov/Archives/edgar/data/1794515/000179451525000045/zi-20241231.htm","REASONABLE: ZI FY24 10-K — R&amp;D $196.1m / Rev $1,214.3m ≈16.15%")</f>
        <v/>
      </c>
      <c r="M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N67" s="564" t="inlineStr">
        <is>
          <t>Ratio from FY24 R&amp;D $196.1m ÷ sales $1,214.3m. Forecast keeps that % by scaling R&amp;D with +5% revenue in AI_Operating.</t>
        </is>
      </c>
    </row>
    <row r="68" ht="75"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563">
        <f>HYPERLINK("https://www.digitalapplied.com/blog/ai-sdr-statistics-2026-outbound-sales-data-points","REASONABLE: Built %, not one page — 18% SDR cut (Digital Applied) + G&amp;A 18% (Blossom) + $24.5m AI")</f>
        <v/>
      </c>
      <c r="M68" s="564" t="inlineStr">
        <is>
          <t>Ctrl+F (Digital Applied): Net SDR headcount in US B2B SaaS companies is down 18% YoY
Ctrl+F (Blossom, Drivers E11): G&amp;A was 18%
EQ: SG&amp;A% = (S&amp;M_human + AI_infra $24.5m + G&amp;A)/Revenue from AI_Operating. S&amp;M_human = FY24 $414.1m×(1−18%); G&amp;A = 18%×Revenue.</t>
        </is>
      </c>
      <c r="N68" s="564" t="inlineStr">
        <is>
          <t>No single “SG&amp;A%” quote. % = AI_Operating (cut S&amp;M 18%, +$24.5m AI, G&amp;A 18% of sales) ÷ revenue.</t>
        </is>
      </c>
    </row>
    <row r="69" ht="75"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563">
        <f>HYPERLINK("https://taxsummaries.pwc.com/united-states/corporate/taxes-on-corporate-income","REASONABLE: PwC — flat 21% → Drivers C19")</f>
        <v/>
      </c>
      <c r="M69" s="564" t="inlineStr">
        <is>
          <t>Ctrl+F: The United States taxes resident corporations at a flat rate of 21%
EQ: Drivers C19 = 21% from that sentence. LBO F69:J69 = Assumptions_Drivers!$C$19.</t>
        </is>
      </c>
      <c r="N69" s="564" t="inlineStr">
        <is>
          <t>PwC’s flat 21% is copied into Drivers C19; this tax row is a direct link to that cell.</t>
        </is>
      </c>
    </row>
    <row r="70" ht="75"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567">
        <f>HYPERLINK("https://www.sec.gov/Archives/edgar/data/1794515/000179451526000012/zi-20251231.htm","CAUTION — Drivers C29: FY25 SBC $116.2m ÷ opex $824.2m = 14.1%; LBO $ = %×opex")</f>
        <v/>
      </c>
      <c r="M70" s="568" t="inlineStr">
        <is>
          <t>Ctrl+F: Total equity-based compensation expense $ 116.2
Ctrl+F: Total operating expenses $ 824.2
EQ: Drivers C29=116.2÷824.2=14.1%. LBO F70:J70=Assumptions_Drivers!$C$29. SBC $=F70×(|F43|+|F45|+|F46|); CF F118=F60.</t>
        </is>
      </c>
      <c r="N70" s="568" t="inlineStr">
        <is>
          <t>Single source: Drivers C29. 14.1% from FY25 10-K; LBO $ and CF rows now formula-linked.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BMC AR.</t>
        </is>
      </c>
      <c r="P76" s="810" t="inlineStr">
        <is>
          <t>YES — AR drives ΔAR cash use in FCF →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0" t="inlineStr">
        <is>
          <t>YES — primary AR/% assumption; pairs with C13 DSO cut</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10" t="inlineStr">
        <is>
          <t>YES — deferred revenue is the largest SaaS NWC cash source</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10" t="inlineStr">
        <is>
          <t>YES — sets ΔDeferred in ΔNWC ≈ ΔAR − ΔDeferred</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10" t="inlineStr">
        <is>
          <t>YES — ΔNWC hits FCF, debt sweep, MOIC/IRR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10" t="inlineStr">
        <is>
          <t>YES — AI case lever vs Base; lifts FCF/debt paydown</t>
        </is>
      </c>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15"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05" t="inlineStr">
        <is>
          <t>ΔNWC in CF = AI_Operating (Drivers C13/C25/C26). Cash line that feeds debt sweep — not the old BMC WC delta.</t>
        </is>
      </c>
      <c r="O119" s="813" t="n"/>
      <c r="P119" s="810" t="inlineStr">
        <is>
          <t>YES — CF ΔNWC is a core LBO cash variable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2026-08-16T16:23:00Z</dcterms:modified>
  <cp:revision>0</cp:revision>
</cp:coreProperties>
</file>