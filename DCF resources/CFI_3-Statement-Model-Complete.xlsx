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</sheets>
  <definedNames>
    <definedName name="asd">#REF!</definedName>
    <definedName name="CIQWBGuid" hidden="1">"2cd8126d-26c3-430c-b7fa-a069e3a1fc62"</definedName>
    <definedName name="Forecast">#REF!</definedName>
    <definedName name="IQ_CH" hidden="1">110000</definedName>
    <definedName name="IQ_CQ" hidden="1">5000</definedName>
    <definedName name="IQ_CY" hidden="1">10000</definedName>
    <definedName name="IQ_DAILY" hidden="1">500000</definedName>
    <definedName name="IQ_DNTM" hidden="1">700000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LTMMONTH" hidden="1">120000</definedName>
    <definedName name="IQ_MONTH" hidden="1">15000</definedName>
    <definedName name="IQ_MTD" hidden="1">800000</definedName>
    <definedName name="IQ_NAMES_REVISION_DATE_" hidden="1">41666.7099189815</definedName>
    <definedName name="IQ_NTM" hidden="1">6000</definedName>
    <definedName name="IQ_QTD" hidden="1">750000</definedName>
    <definedName name="IQ_TODAY" hidden="1">0</definedName>
    <definedName name="IQ_WEEK" hidden="1">50000</definedName>
    <definedName name="IQ_YTD" hidden="1">3000</definedName>
    <definedName name="IQ_YTDMONTH" hidden="1">130000</definedName>
    <definedName name="Step_1">#REF!</definedName>
    <definedName name="Step_2">#REF!</definedName>
    <definedName name="Step_3">#REF!</definedName>
    <definedName name="Step_4">#REF!</definedName>
    <definedName name="Step_5">#REF!</definedName>
    <definedName name="Step_6">#REF!</definedName>
    <definedName name="Step1">#REF!</definedName>
    <definedName name="Step2">#REF!</definedName>
    <definedName name="Step3">#REF!</definedName>
    <definedName name="Step4">#REF!</definedName>
    <definedName name="Step5">#REF!</definedName>
    <definedName name="Step6">#REF!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</numFmts>
  <fonts count="2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Calibri"/>
      <color rgb="000000FF"/>
    </font>
    <font>
      <name val="Calibri"/>
      <i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96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6" fontId="26" fillId="6" borderId="0" pivotButton="0" quotePrefix="0" xfId="2"/>
    <xf numFmtId="164" fontId="26" fillId="6" borderId="0" pivotButton="0" quotePrefix="0" xfId="1"/>
    <xf numFmtId="164" fontId="26" fillId="6" borderId="1" pivotButton="0" quotePrefix="0" xfId="1"/>
    <xf numFmtId="0" fontId="27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3 Statement Model (CFI template, populated)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Simplified FICO mapping into CFI 3-statement structure (no goodwill/other assets). Educational use only.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Historical FY2021-FY2025 from SEC 10-K/XBRL; forecast FY2026-FY2030 base case. Units: $ thousands.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15.5546875" customWidth="1" style="19" min="2" max="3"/>
    <col width="15.5546875" customWidth="1" style="47" min="4" max="4"/>
    <col width="11.5546875" customWidth="1" style="19" min="5" max="9"/>
    <col width="12.5546875" customWidth="1" style="19" min="10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FICO FINANCIAL STATEMENTS</t>
        </is>
      </c>
      <c r="C2" s="62" t="n"/>
      <c r="D2" s="63" t="n"/>
      <c r="E2" s="83" t="n">
        <v>2021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92" t="n">
        <v>0.14</v>
      </c>
      <c r="K7" s="92" t="n">
        <v>0.12</v>
      </c>
      <c r="L7" s="92" t="n">
        <v>0.1</v>
      </c>
      <c r="M7" s="92" t="n">
        <v>0.09</v>
      </c>
      <c r="N7" s="92" t="n">
        <v>0.08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92" t="n">
        <v>0.178</v>
      </c>
      <c r="K8" s="92" t="n">
        <v>0.178</v>
      </c>
      <c r="L8" s="92" t="n">
        <v>0.175</v>
      </c>
      <c r="M8" s="92" t="n">
        <v>0.175</v>
      </c>
      <c r="N8" s="92" t="n">
        <v>0.17</v>
      </c>
    </row>
    <row r="9" hidden="1" outlineLevel="1">
      <c r="B9" s="19" t="inlineStr">
        <is>
          <t>SG&amp;A + R&amp;D + other opex, ex-D&amp;A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93" t="n">
        <v>794973.3</v>
      </c>
      <c r="K9" s="93" t="n">
        <v>781026.4</v>
      </c>
      <c r="L9" s="93" t="n">
        <v>767079.5</v>
      </c>
      <c r="M9" s="93" t="n">
        <v>760106.1</v>
      </c>
      <c r="N9" s="93" t="n">
        <v>753132.6</v>
      </c>
    </row>
    <row r="10" hidden="1" outlineLevel="1">
      <c r="B10" s="19" t="inlineStr">
        <is>
          <t>Other income (as negative overhead)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93" t="n">
        <v>0</v>
      </c>
      <c r="K10" s="93" t="n">
        <v>0</v>
      </c>
      <c r="L10" s="93" t="n">
        <v>0</v>
      </c>
      <c r="M10" s="93" t="n">
        <v>0</v>
      </c>
      <c r="N10" s="93" t="n">
        <v>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92" t="n">
        <v>0.3</v>
      </c>
      <c r="K11" s="92" t="n">
        <v>0.3</v>
      </c>
      <c r="L11" s="92" t="n">
        <v>0.3</v>
      </c>
      <c r="M11" s="92" t="n">
        <v>0.3</v>
      </c>
      <c r="N11" s="92" t="n">
        <v>0.3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92" t="n">
        <v>0.055</v>
      </c>
      <c r="K12" s="92" t="n">
        <v>0.055</v>
      </c>
      <c r="L12" s="92" t="n">
        <v>0.055</v>
      </c>
      <c r="M12" s="92" t="n">
        <v>0.055</v>
      </c>
      <c r="N12" s="92" t="n">
        <v>0.055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92" t="n">
        <v>0.188</v>
      </c>
      <c r="K13" s="92" t="n">
        <v>0.188</v>
      </c>
      <c r="L13" s="92" t="n">
        <v>0.188</v>
      </c>
      <c r="M13" s="92" t="n">
        <v>0.188</v>
      </c>
      <c r="N13" s="92" t="n">
        <v>0.188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93" t="n">
        <v>97</v>
      </c>
      <c r="K15" s="93" t="n">
        <v>97</v>
      </c>
      <c r="L15" s="93" t="n">
        <v>97</v>
      </c>
      <c r="M15" s="93" t="n">
        <v>97</v>
      </c>
      <c r="N15" s="93" t="n">
        <v>97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93" t="n">
        <v>0</v>
      </c>
      <c r="K16" s="93" t="n">
        <v>0</v>
      </c>
      <c r="L16" s="93" t="n">
        <v>0</v>
      </c>
      <c r="M16" s="93" t="n">
        <v>0</v>
      </c>
      <c r="N16" s="93" t="n">
        <v>0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93" t="n">
        <v>33</v>
      </c>
      <c r="K17" s="93" t="n">
        <v>33</v>
      </c>
      <c r="L17" s="93" t="n">
        <v>33</v>
      </c>
      <c r="M17" s="93" t="n">
        <v>33</v>
      </c>
      <c r="N17" s="93" t="n">
        <v>33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93" t="n">
        <v>45391.8</v>
      </c>
      <c r="K18" s="93" t="n">
        <v>50838.8</v>
      </c>
      <c r="L18" s="93" t="n">
        <v>55922.7</v>
      </c>
      <c r="M18" s="93" t="n">
        <v>60955.8</v>
      </c>
      <c r="N18" s="93" t="n">
        <v>65832.2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93" t="n">
        <v>0</v>
      </c>
      <c r="K19" s="93" t="n">
        <v>0</v>
      </c>
      <c r="L19" s="93" t="n">
        <v>0</v>
      </c>
      <c r="M19" s="93" t="n">
        <v>0</v>
      </c>
      <c r="N19" s="9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93" t="n">
        <v>0</v>
      </c>
      <c r="K20" s="93" t="n">
        <v>0</v>
      </c>
      <c r="L20" s="93" t="n">
        <v>0</v>
      </c>
      <c r="M20" s="93" t="n">
        <v>0</v>
      </c>
      <c r="N20" s="9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Revenue</t>
        </is>
      </c>
      <c r="C24" s="18" t="n"/>
      <c r="D24" s="46" t="n"/>
      <c r="E24" s="93" t="n">
        <v>1316536</v>
      </c>
      <c r="F24" s="93" t="n">
        <v>1377270</v>
      </c>
      <c r="G24" s="93" t="n">
        <v>1513557</v>
      </c>
      <c r="H24" s="93" t="n">
        <v>1717526</v>
      </c>
      <c r="I24" s="93" t="n">
        <v>1990869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93" t="n">
        <v>332462</v>
      </c>
      <c r="F25" s="93" t="n">
        <v>302174</v>
      </c>
      <c r="G25" s="93" t="n">
        <v>311053</v>
      </c>
      <c r="H25" s="93" t="n">
        <v>348206</v>
      </c>
      <c r="I25" s="93" t="n">
        <v>353722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+ R&amp;D + other opex (ex-D&amp;A)</t>
        </is>
      </c>
      <c r="E28" s="93" t="n">
        <v>452993</v>
      </c>
      <c r="F28" s="93" t="n">
        <v>512217</v>
      </c>
      <c r="G28" s="93" t="n">
        <v>545036</v>
      </c>
      <c r="H28" s="93" t="n">
        <v>621864</v>
      </c>
      <c r="I28" s="93" t="n">
        <v>697345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Other income, net (negative = income)</t>
        </is>
      </c>
      <c r="E29" s="93" t="n">
        <v>0</v>
      </c>
      <c r="F29" s="93" t="n">
        <v>0</v>
      </c>
      <c r="G29" s="93" t="n">
        <v>-6340</v>
      </c>
      <c r="H29" s="93" t="n">
        <v>-14034</v>
      </c>
      <c r="I29" s="93" t="n">
        <v>-11392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93" t="n">
        <v>25592</v>
      </c>
      <c r="F30" s="93" t="n">
        <v>20465</v>
      </c>
      <c r="G30" s="93" t="n">
        <v>14638</v>
      </c>
      <c r="H30" s="93" t="n">
        <v>13827</v>
      </c>
      <c r="I30" s="93" t="n">
        <v>14952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94" t="n">
        <v>40092</v>
      </c>
      <c r="F31" s="94" t="n">
        <v>68967</v>
      </c>
      <c r="G31" s="94" t="n">
        <v>95546</v>
      </c>
      <c r="H31" s="94" t="n">
        <v>105638</v>
      </c>
      <c r="I31" s="94" t="n">
        <v>133647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93" t="n">
        <v>81058</v>
      </c>
      <c r="F35" s="93" t="n">
        <v>97768</v>
      </c>
      <c r="G35" s="93" t="n">
        <v>124249</v>
      </c>
      <c r="H35" s="93" t="n">
        <v>129214</v>
      </c>
      <c r="I35" s="93" t="n">
        <v>150649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93" t="n">
        <v>195354</v>
      </c>
      <c r="F41" s="93" t="n">
        <v>133202</v>
      </c>
      <c r="G41" s="93" t="n">
        <v>136778</v>
      </c>
      <c r="H41" s="93" t="n">
        <v>150667</v>
      </c>
      <c r="I41" s="93" t="n">
        <v>134136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93" t="n">
        <v>312107</v>
      </c>
      <c r="F42" s="93" t="n">
        <v>322410</v>
      </c>
      <c r="G42" s="93" t="n">
        <v>387947</v>
      </c>
      <c r="H42" s="93" t="n">
        <v>426642</v>
      </c>
      <c r="I42" s="93" t="n">
        <v>529148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93" t="n">
        <v>0</v>
      </c>
      <c r="F43" s="93" t="n">
        <v>0</v>
      </c>
      <c r="G43" s="93" t="n">
        <v>0</v>
      </c>
      <c r="H43" s="93" t="n">
        <v>0</v>
      </c>
      <c r="I43" s="93" t="n">
        <v>0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93" t="n">
        <v>27913</v>
      </c>
      <c r="F44" s="93" t="n">
        <v>17580</v>
      </c>
      <c r="G44" s="93" t="n">
        <v>10966</v>
      </c>
      <c r="H44" s="93" t="n">
        <v>38465</v>
      </c>
      <c r="I44" s="93" t="n">
        <v>67713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93" t="n">
        <v>20749</v>
      </c>
      <c r="F48" s="93" t="n">
        <v>17273</v>
      </c>
      <c r="G48" s="93" t="n">
        <v>19009</v>
      </c>
      <c r="H48" s="93" t="n">
        <v>22473</v>
      </c>
      <c r="I48" s="93" t="n">
        <v>32315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93" t="n">
        <v>1009018</v>
      </c>
      <c r="F49" s="93" t="n">
        <v>1823669</v>
      </c>
      <c r="G49" s="93" t="n">
        <v>1811658</v>
      </c>
      <c r="H49" s="93" t="n">
        <v>2209021</v>
      </c>
      <c r="I49" s="93" t="n">
        <v>3055691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93" t="n">
        <v>-494393</v>
      </c>
      <c r="F52" s="93" t="n">
        <v>-1367750</v>
      </c>
      <c r="G52" s="93" t="n">
        <v>-1294976</v>
      </c>
      <c r="H52" s="93" t="n">
        <v>-1615720</v>
      </c>
      <c r="I52" s="93" t="n">
        <v>-2357009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93" t="n">
        <v>0</v>
      </c>
      <c r="F53" s="93" t="n">
        <v>0</v>
      </c>
      <c r="G53" s="93" t="n">
        <v>0</v>
      </c>
      <c r="H53" s="93" t="n">
        <v>0</v>
      </c>
      <c r="I53" s="93" t="n">
        <v>0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93" t="n">
        <v>-19789</v>
      </c>
      <c r="F64" s="93" t="n">
        <v>13779</v>
      </c>
      <c r="G64" s="93" t="n">
        <v>63801</v>
      </c>
      <c r="H64" s="93" t="n">
        <v>35231</v>
      </c>
      <c r="I64" s="93" t="n">
        <v>92664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93" t="n">
        <v>7569</v>
      </c>
      <c r="F68" s="93" t="n">
        <v>6029</v>
      </c>
      <c r="G68" s="93" t="n">
        <v>4237</v>
      </c>
      <c r="H68" s="93" t="n">
        <v>25551</v>
      </c>
      <c r="I68" s="93" t="n">
        <v>39407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93" t="n">
        <v>269583</v>
      </c>
      <c r="F72" s="93" t="n">
        <v>814651</v>
      </c>
      <c r="G72" s="93" t="n">
        <v>-12011</v>
      </c>
      <c r="H72" s="93" t="n">
        <v>397363</v>
      </c>
      <c r="I72" s="93" t="n">
        <v>846670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93" t="n">
        <v>0</v>
      </c>
      <c r="F73" s="93" t="n">
        <v>0</v>
      </c>
      <c r="G73" s="93" t="n">
        <v>0</v>
      </c>
      <c r="H73" s="93" t="n">
        <v>0</v>
      </c>
      <c r="I73" s="9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93" t="n">
        <v>157394</v>
      </c>
      <c r="F77" s="33">
        <f>E78</f>
        <v/>
      </c>
      <c r="G77" s="33">
        <f>F78</f>
        <v/>
      </c>
      <c r="H77" s="33">
        <f>G78</f>
        <v/>
      </c>
      <c r="I77" s="33">
        <f>H78</f>
        <v/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93" t="n">
        <v>312107</v>
      </c>
      <c r="F85" s="93" t="n">
        <v>322410</v>
      </c>
      <c r="G85" s="93" t="n">
        <v>387947</v>
      </c>
      <c r="H85" s="93" t="n">
        <v>426642</v>
      </c>
      <c r="I85" s="93" t="n">
        <v>529148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93" t="n">
        <v>0</v>
      </c>
      <c r="F86" s="93" t="n">
        <v>0</v>
      </c>
      <c r="G86" s="93" t="n">
        <v>0</v>
      </c>
      <c r="H86" s="93" t="n">
        <v>0</v>
      </c>
      <c r="I86" s="93" t="n">
        <v>0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93" t="n">
        <v>20749</v>
      </c>
      <c r="F87" s="93" t="n">
        <v>17273</v>
      </c>
      <c r="G87" s="93" t="n">
        <v>19009</v>
      </c>
      <c r="H87" s="93" t="n">
        <v>22473</v>
      </c>
      <c r="I87" s="93" t="n">
        <v>32315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93" t="n">
        <v>46419</v>
      </c>
      <c r="F92" s="93" t="n">
        <v>27913</v>
      </c>
      <c r="G92" s="93" t="n">
        <v>17580</v>
      </c>
      <c r="H92" s="93" t="n">
        <v>10966</v>
      </c>
      <c r="I92" s="93" t="n">
        <v>38465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93" t="n">
        <v>7086</v>
      </c>
      <c r="F93" s="93" t="n">
        <v>10132</v>
      </c>
      <c r="G93" s="93" t="n">
        <v>8024</v>
      </c>
      <c r="H93" s="93" t="n">
        <v>41326</v>
      </c>
      <c r="I93" s="93" t="n">
        <v>44200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93" t="n">
        <v>25592</v>
      </c>
      <c r="F94" s="93" t="n">
        <v>20465</v>
      </c>
      <c r="G94" s="93" t="n">
        <v>14638</v>
      </c>
      <c r="H94" s="93" t="n">
        <v>13827</v>
      </c>
      <c r="I94" s="93" t="n">
        <v>14952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93" t="n">
        <v>739435</v>
      </c>
      <c r="F98" s="93" t="n">
        <v>1009018</v>
      </c>
      <c r="G98" s="93" t="n">
        <v>1823669</v>
      </c>
      <c r="H98" s="93" t="n">
        <v>1811658</v>
      </c>
      <c r="I98" s="93" t="n">
        <v>2209021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93" t="n">
        <v>269583</v>
      </c>
      <c r="F99" s="93" t="n">
        <v>814651</v>
      </c>
      <c r="G99" s="93" t="n">
        <v>-12011</v>
      </c>
      <c r="H99" s="93" t="n">
        <v>397363</v>
      </c>
      <c r="I99" s="93" t="n">
        <v>846670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93" t="n">
        <v>40092</v>
      </c>
      <c r="F101" s="93" t="n">
        <v>68967</v>
      </c>
      <c r="G101" s="93" t="n">
        <v>95546</v>
      </c>
      <c r="H101" s="93" t="n">
        <v>105638</v>
      </c>
      <c r="I101" s="93" t="n">
        <v>133647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95" t="inlineStr">
        <is>
          <t>FICO simplified 3-statement mapping — educational only. Goodwill, deferred revenue, leases, SBC and buybacks not fully modeled.</t>
        </is>
      </c>
    </row>
    <row r="132">
      <c r="B132" s="95" t="inlineStr">
        <is>
          <t>Yellow/blue cells = FICO inputs. Forecast J-N: growth 14%→8%, EBIT-like opex via SG&amp;A+R&amp;D, tax 18.8%, kd 5.5%, AR days ~97.</t>
        </is>
      </c>
      <c r="C132" s="69" t="n"/>
      <c r="D132" s="69" t="n"/>
    </row>
    <row r="133">
      <c r="B133" s="95" t="inlineStr">
        <is>
          <t>Sources: SEC EDGAR FY2025 10-K / companyfacts; market bridge uses 10-Q 2026-06-30 in the DCF file.</t>
        </is>
      </c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2026-08-03T20:43:13Z</dcterms:modified>
  <cp:lastModifiedBy>Katie Au Yeung</cp:lastModifiedBy>
  <cp:lastPrinted>2014-12-13T23:43:21Z</cp:lastPrinted>
</cp:coreProperties>
</file>