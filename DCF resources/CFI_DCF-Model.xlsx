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840" tabRatio="685" firstSheet="0" activeTab="0" autoFilterDateGrouping="1"/>
  </bookViews>
  <sheets>
    <sheet name="Cover Page" sheetId="1" state="visible" r:id="rId1"/>
    <sheet name="DCF Model" sheetId="2" state="visible" r:id="rId2"/>
  </sheets>
  <definedNames>
    <definedName name="_xlchart.v1.0" hidden="1">'DCF Model'!$L$36:$L$38</definedName>
    <definedName name="_xlchart.v1.1" hidden="1">'DCF Model'!$N$36:$N$38</definedName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Page'!$A$1:$P$25</definedName>
  </definedNames>
  <calcPr calcId="191029" fullCalcOnLoad="1" iterate="1" iterateCount="10000"/>
</workbook>
</file>

<file path=xl/styles.xml><?xml version="1.0" encoding="utf-8"?>
<styleSheet xmlns="http://schemas.openxmlformats.org/spreadsheetml/2006/main">
  <numFmts count="6">
    <numFmt numFmtId="164" formatCode="_-* #,##0_-;\(#,##0\)_-;_-* &quot;-&quot;_-;_-@_-"/>
    <numFmt numFmtId="165" formatCode="0.0\x"/>
    <numFmt numFmtId="166" formatCode="_-* #,##0.00_-;\-* #,##0.00_-;_-* &quot;-&quot;??_-;_-@_-"/>
    <numFmt numFmtId="167" formatCode="_-* #,##0_-;\-* #,##0_-;_-* &quot;-&quot;??_-;_-@_-"/>
    <numFmt numFmtId="168" formatCode="_(* #,##0_);_(* \(#,##0\);_(* &quot;-&quot;??_);_(@_)"/>
    <numFmt numFmtId="169" formatCode="_-* #,##0.00_-;\(#,##0.00\)_-;_-* &quot;-&quot;_-;_-@_-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 Narrow"/>
      <family val="2"/>
      <color theme="1"/>
      <sz val="12"/>
    </font>
    <font>
      <name val="Open Sans"/>
      <family val="2"/>
      <color theme="0"/>
      <sz val="8"/>
    </font>
    <font>
      <name val="Open Sans"/>
      <family val="2"/>
      <color theme="1"/>
      <sz val="12"/>
    </font>
    <font>
      <name val="Open Sans"/>
      <family val="2"/>
      <b val="1"/>
      <color theme="0"/>
      <sz val="10"/>
    </font>
    <font>
      <name val="Open Sans"/>
      <family val="2"/>
      <b val="1"/>
      <color theme="0"/>
      <sz val="11"/>
    </font>
    <font>
      <name val="Open Sans"/>
      <family val="2"/>
      <color theme="1"/>
      <sz val="10"/>
    </font>
    <font>
      <name val="Open Sans"/>
      <family val="2"/>
      <b val="1"/>
      <color theme="1"/>
      <sz val="10"/>
    </font>
    <font>
      <name val="Open Sans"/>
      <family val="2"/>
      <color rgb="FF0000FF"/>
      <sz val="10"/>
    </font>
    <font>
      <name val="Open Sans"/>
      <family val="2"/>
      <b val="1"/>
      <sz val="10"/>
    </font>
    <font>
      <name val="Open Sans"/>
      <family val="2"/>
      <sz val="10"/>
    </font>
    <font>
      <name val="Open Sans"/>
      <family val="2"/>
      <i val="1"/>
      <color theme="1"/>
      <sz val="10"/>
    </font>
    <font>
      <name val="Calibri"/>
      <family val="2"/>
      <color theme="10"/>
      <sz val="11"/>
      <u val="single"/>
      <scheme val="minor"/>
    </font>
    <font>
      <name val="Arial Narrow"/>
      <family val="2"/>
      <i val="1"/>
      <color theme="1"/>
      <sz val="12"/>
    </font>
    <font>
      <name val="Calibri"/>
      <family val="2"/>
      <color theme="1"/>
      <sz val="12"/>
      <scheme val="minor"/>
    </font>
    <font>
      <name val="Open Sans"/>
      <family val="2"/>
      <i val="1"/>
      <color rgb="FF0000FF"/>
      <sz val="10"/>
    </font>
    <font>
      <name val="Open Sans"/>
      <family val="2"/>
      <i val="1"/>
      <sz val="10"/>
    </font>
    <font>
      <name val="Arial Narrow"/>
      <family val="2"/>
      <color theme="1"/>
      <sz val="11"/>
    </font>
    <font>
      <name val="Arial Narrow"/>
      <family val="2"/>
      <b val="1"/>
      <color theme="1"/>
      <sz val="22"/>
    </font>
    <font>
      <name val="Arial Narrow"/>
      <family val="2"/>
      <b val="1"/>
      <color theme="1"/>
      <sz val="11"/>
    </font>
    <font>
      <name val="Arial"/>
      <family val="2"/>
      <color theme="10"/>
      <sz val="10"/>
      <u val="single"/>
    </font>
    <font>
      <name val="Arial"/>
      <family val="2"/>
      <color rgb="FF132E57"/>
      <sz val="10"/>
      <u val="single"/>
    </font>
    <font>
      <name val="Arial Narrow"/>
      <family val="2"/>
      <color rgb="FF0000FF"/>
      <sz val="11"/>
      <u val="single"/>
    </font>
    <font>
      <name val="Arial Narrow"/>
      <family val="2"/>
      <color theme="0"/>
      <sz val="11"/>
    </font>
    <font>
      <name val="Calibri"/>
      <color rgb="000000FF"/>
    </font>
    <font>
      <name val="Calibri"/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43" fontId="1" fillId="0" borderId="0"/>
    <xf numFmtId="9" fontId="1" fillId="0" borderId="0"/>
    <xf numFmtId="0" fontId="13" fillId="0" borderId="0"/>
    <xf numFmtId="0" fontId="13" fillId="0" borderId="0"/>
    <xf numFmtId="0" fontId="1" fillId="0" borderId="0"/>
    <xf numFmtId="0" fontId="21" fillId="0" borderId="0"/>
    <xf numFmtId="0" fontId="1" fillId="0" borderId="0"/>
  </cellStyleXfs>
  <cellXfs count="79">
    <xf numFmtId="0" fontId="0" fillId="0" borderId="0" pivotButton="0" quotePrefix="0" xfId="0"/>
    <xf numFmtId="164" fontId="2" fillId="0" borderId="0" pivotButton="0" quotePrefix="0" xfId="1"/>
    <xf numFmtId="164" fontId="2" fillId="0" borderId="0" applyAlignment="1" pivotButton="0" quotePrefix="0" xfId="1">
      <alignment horizontal="center"/>
    </xf>
    <xf numFmtId="164" fontId="3" fillId="2" borderId="0" pivotButton="0" quotePrefix="0" xfId="1"/>
    <xf numFmtId="164" fontId="4" fillId="2" borderId="0" pivotButton="0" quotePrefix="0" xfId="1"/>
    <xf numFmtId="164" fontId="4" fillId="2" borderId="0" applyAlignment="1" pivotButton="0" quotePrefix="0" xfId="1">
      <alignment horizontal="center"/>
    </xf>
    <xf numFmtId="0" fontId="5" fillId="2" borderId="0" applyAlignment="1" pivotButton="0" quotePrefix="0" xfId="0">
      <alignment vertical="center"/>
    </xf>
    <xf numFmtId="0" fontId="6" fillId="2" borderId="0" pivotButton="0" quotePrefix="0" xfId="0"/>
    <xf numFmtId="164" fontId="7" fillId="0" borderId="0" pivotButton="0" quotePrefix="0" xfId="1"/>
    <xf numFmtId="164" fontId="8" fillId="0" borderId="0" pivotButton="0" quotePrefix="0" xfId="1"/>
    <xf numFmtId="164" fontId="7" fillId="0" borderId="0" applyAlignment="1" pivotButton="0" quotePrefix="0" xfId="1">
      <alignment horizontal="center"/>
    </xf>
    <xf numFmtId="164" fontId="9" fillId="0" borderId="0" pivotButton="0" quotePrefix="0" xfId="1"/>
    <xf numFmtId="164" fontId="11" fillId="0" borderId="0" pivotButton="0" quotePrefix="0" xfId="1"/>
    <xf numFmtId="9" fontId="9" fillId="0" borderId="0" applyAlignment="1" pivotButton="0" quotePrefix="0" xfId="2">
      <alignment horizontal="right"/>
    </xf>
    <xf numFmtId="165" fontId="9" fillId="0" borderId="0" applyAlignment="1" pivotButton="0" quotePrefix="0" xfId="1">
      <alignment horizontal="right"/>
    </xf>
    <xf numFmtId="14" fontId="9" fillId="0" borderId="0" pivotButton="0" quotePrefix="0" xfId="1"/>
    <xf numFmtId="166" fontId="9" fillId="0" borderId="0" applyAlignment="1" pivotButton="0" quotePrefix="0" xfId="1">
      <alignment horizontal="right"/>
    </xf>
    <xf numFmtId="167" fontId="9" fillId="0" borderId="0" applyAlignment="1" pivotButton="0" quotePrefix="0" xfId="1">
      <alignment horizontal="right"/>
    </xf>
    <xf numFmtId="164" fontId="7" fillId="0" borderId="1" pivotButton="0" quotePrefix="0" xfId="1"/>
    <xf numFmtId="164" fontId="7" fillId="0" borderId="0" pivotButton="0" quotePrefix="0" xfId="1"/>
    <xf numFmtId="168" fontId="7" fillId="0" borderId="0" pivotButton="0" quotePrefix="0" xfId="1"/>
    <xf numFmtId="164" fontId="9" fillId="0" borderId="0" pivotButton="0" quotePrefix="0" xfId="1"/>
    <xf numFmtId="168" fontId="9" fillId="0" borderId="0" pivotButton="0" quotePrefix="0" xfId="1"/>
    <xf numFmtId="164" fontId="7" fillId="0" borderId="0" pivotButton="0" quotePrefix="0" xfId="1"/>
    <xf numFmtId="9" fontId="7" fillId="0" borderId="0" pivotButton="0" quotePrefix="0" xfId="2"/>
    <xf numFmtId="169" fontId="7" fillId="0" borderId="0" pivotButton="0" quotePrefix="0" xfId="1"/>
    <xf numFmtId="0" fontId="15" fillId="0" borderId="0" pivotButton="0" quotePrefix="0" xfId="0"/>
    <xf numFmtId="166" fontId="12" fillId="0" borderId="0" pivotButton="0" quotePrefix="0" xfId="1"/>
    <xf numFmtId="164" fontId="12" fillId="0" borderId="0" pivotButton="0" quotePrefix="0" xfId="1"/>
    <xf numFmtId="164" fontId="11" fillId="0" borderId="0" pivotButton="0" quotePrefix="0" xfId="1"/>
    <xf numFmtId="9" fontId="9" fillId="0" borderId="0" applyAlignment="1" pivotButton="0" quotePrefix="0" xfId="2">
      <alignment horizontal="right"/>
    </xf>
    <xf numFmtId="14" fontId="9" fillId="0" borderId="0" pivotButton="0" quotePrefix="0" xfId="1"/>
    <xf numFmtId="164" fontId="10" fillId="3" borderId="0" pivotButton="0" quotePrefix="0" xfId="1"/>
    <xf numFmtId="164" fontId="9" fillId="3" borderId="0" pivotButton="0" quotePrefix="0" xfId="1"/>
    <xf numFmtId="164" fontId="8" fillId="3" borderId="0" pivotButton="0" quotePrefix="0" xfId="1"/>
    <xf numFmtId="164" fontId="7" fillId="3" borderId="0" pivotButton="0" quotePrefix="0" xfId="1"/>
    <xf numFmtId="14" fontId="12" fillId="0" borderId="0" pivotButton="0" quotePrefix="0" xfId="1"/>
    <xf numFmtId="14" fontId="12" fillId="0" borderId="0" pivotButton="0" quotePrefix="0" xfId="1"/>
    <xf numFmtId="164" fontId="12" fillId="0" borderId="0" pivotButton="0" quotePrefix="0" xfId="1"/>
    <xf numFmtId="1" fontId="12" fillId="0" borderId="0" pivotButton="0" quotePrefix="0" xfId="1"/>
    <xf numFmtId="1" fontId="16" fillId="0" borderId="0" pivotButton="0" quotePrefix="0" xfId="1"/>
    <xf numFmtId="14" fontId="17" fillId="0" borderId="0" pivotButton="0" quotePrefix="0" xfId="1"/>
    <xf numFmtId="164" fontId="8" fillId="3" borderId="0" pivotButton="0" quotePrefix="0" xfId="1"/>
    <xf numFmtId="164" fontId="7" fillId="3" borderId="0" pivotButton="0" quotePrefix="0" xfId="1"/>
    <xf numFmtId="164" fontId="8" fillId="3" borderId="0" applyAlignment="1" pivotButton="0" quotePrefix="0" xfId="1">
      <alignment horizontal="right"/>
    </xf>
    <xf numFmtId="0" fontId="8" fillId="3" borderId="0" pivotButton="0" quotePrefix="0" xfId="1"/>
    <xf numFmtId="9" fontId="7" fillId="0" borderId="0" pivotButton="0" quotePrefix="0" xfId="2"/>
    <xf numFmtId="164" fontId="7" fillId="3" borderId="0" applyAlignment="1" pivotButton="0" quotePrefix="0" xfId="1">
      <alignment horizontal="center"/>
    </xf>
    <xf numFmtId="164" fontId="7" fillId="0" borderId="0" applyAlignment="1" pivotButton="0" quotePrefix="0" xfId="1">
      <alignment horizontal="left" indent="5"/>
    </xf>
    <xf numFmtId="0" fontId="18" fillId="4" borderId="0" pivotButton="0" quotePrefix="0" xfId="5"/>
    <xf numFmtId="0" fontId="18" fillId="0" borderId="0" pivotButton="0" quotePrefix="0" xfId="5"/>
    <xf numFmtId="0" fontId="19" fillId="0" borderId="0" applyProtection="1" pivotButton="0" quotePrefix="0" xfId="5">
      <protection locked="0" hidden="0"/>
    </xf>
    <xf numFmtId="0" fontId="20" fillId="0" borderId="0" applyAlignment="1" pivotButton="0" quotePrefix="0" xfId="5">
      <alignment horizontal="right"/>
    </xf>
    <xf numFmtId="0" fontId="18" fillId="0" borderId="0" applyProtection="1" pivotButton="0" quotePrefix="0" xfId="5">
      <protection locked="0" hidden="0"/>
    </xf>
    <xf numFmtId="0" fontId="20" fillId="0" borderId="0" applyProtection="1" pivotButton="0" quotePrefix="0" xfId="5">
      <protection locked="0" hidden="0"/>
    </xf>
    <xf numFmtId="0" fontId="22" fillId="0" borderId="0" applyProtection="1" pivotButton="0" quotePrefix="0" xfId="6">
      <protection locked="0" hidden="0"/>
    </xf>
    <xf numFmtId="0" fontId="18" fillId="0" borderId="1" pivotButton="0" quotePrefix="0" xfId="5"/>
    <xf numFmtId="0" fontId="23" fillId="0" borderId="1" applyProtection="1" pivotButton="0" quotePrefix="0" xfId="4">
      <protection locked="0" hidden="0"/>
    </xf>
    <xf numFmtId="0" fontId="14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18" fillId="4" borderId="0" pivotButton="0" quotePrefix="0" xfId="7"/>
    <xf numFmtId="0" fontId="18" fillId="0" borderId="0" pivotButton="0" quotePrefix="0" xfId="7"/>
    <xf numFmtId="0" fontId="24" fillId="2" borderId="0" pivotButton="0" quotePrefix="0" xfId="7"/>
    <xf numFmtId="0" fontId="18" fillId="2" borderId="0" pivotButton="0" quotePrefix="0" xfId="7"/>
    <xf numFmtId="0" fontId="18" fillId="5" borderId="0" pivotButton="0" quotePrefix="0" xfId="7"/>
    <xf numFmtId="0" fontId="24" fillId="2" borderId="0" pivotButton="0" quotePrefix="0" xfId="7"/>
    <xf numFmtId="0" fontId="13" fillId="0" borderId="0" applyAlignment="1" pivotButton="0" quotePrefix="0" xfId="4">
      <alignment horizontal="right"/>
    </xf>
    <xf numFmtId="0" fontId="13" fillId="0" borderId="0" pivotButton="0" quotePrefix="0" xfId="4"/>
    <xf numFmtId="9" fontId="25" fillId="6" borderId="0" applyAlignment="1" pivotButton="0" quotePrefix="0" xfId="2">
      <alignment horizontal="right"/>
    </xf>
    <xf numFmtId="165" fontId="25" fillId="6" borderId="0" applyAlignment="1" pivotButton="0" quotePrefix="0" xfId="1">
      <alignment horizontal="right"/>
    </xf>
    <xf numFmtId="14" fontId="25" fillId="6" borderId="0" pivotButton="0" quotePrefix="0" xfId="1"/>
    <xf numFmtId="166" fontId="25" fillId="6" borderId="0" applyAlignment="1" pivotButton="0" quotePrefix="0" xfId="1">
      <alignment horizontal="right"/>
    </xf>
    <xf numFmtId="167" fontId="25" fillId="6" borderId="0" applyAlignment="1" pivotButton="0" quotePrefix="0" xfId="1">
      <alignment horizontal="right"/>
    </xf>
    <xf numFmtId="164" fontId="25" fillId="6" borderId="0" pivotButton="0" quotePrefix="0" xfId="1"/>
    <xf numFmtId="168" fontId="7" fillId="0" borderId="0" pivotButton="0" quotePrefix="0" xfId="1"/>
    <xf numFmtId="166" fontId="12" fillId="0" borderId="0" pivotButton="0" quotePrefix="0" xfId="1"/>
    <xf numFmtId="168" fontId="25" fillId="6" borderId="0" pivotButton="0" quotePrefix="0" xfId="1"/>
    <xf numFmtId="169" fontId="7" fillId="0" borderId="0" pivotButton="0" quotePrefix="0" xfId="1"/>
    <xf numFmtId="164" fontId="26" fillId="0" borderId="0" pivotButton="0" quotePrefix="0" xfId="1"/>
  </cellXfs>
  <cellStyles count="8">
    <cellStyle name="Normal" xfId="0" builtinId="0"/>
    <cellStyle name="Comma" xfId="1" builtinId="3"/>
    <cellStyle name="Percent" xfId="2" builtinId="5"/>
    <cellStyle name="Hyperlink 3" xfId="3"/>
    <cellStyle name="Hyperlink" xfId="4" builtinId="8"/>
    <cellStyle name="Normal 2" xfId="5"/>
    <cellStyle name="Hyperlink 2" xfId="6"/>
    <cellStyle name="Normal 2 2 2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0"/>
              <a:t>Cash Flow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>
              <a:schemeClr val="bg2"/>
            </a:solidFill>
            <a:ln>
              <a:noFill/>
              <a:prstDash val="solid"/>
            </a:ln>
          </spPr>
          <invertIfNegative val="0"/>
          <dLbls>
            <numFmt formatCode="&quot;$&quot;#,##0"/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800" b="0" i="0" strike="noStrike" kern="1200" baseline="0">
                    <a:solidFill>
                      <a:schemeClr val="bg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'DCF Model'!$E$18:$I$18</f>
              <numCache>
                <formatCode>m/d/yyyy</formatCode>
                <ptCount val="5"/>
                <pt idx="0">
                  <v>43281</v>
                </pt>
                <pt idx="1">
                  <v>43646</v>
                </pt>
                <pt idx="2">
                  <v>44012</v>
                </pt>
                <pt idx="3">
                  <v>44377</v>
                </pt>
                <pt idx="4">
                  <v>44742</v>
                </pt>
              </numCache>
            </numRef>
          </cat>
          <val>
            <numRef>
              <f>'DCF Model'!$E$28:$I$28</f>
              <numCache>
                <formatCode>_-* #,##0_-;\(#,##0\)_-;_-* "-"_-;_-@_-</formatCode>
                <ptCount val="5"/>
                <pt idx="0">
                  <v>17747.131</v>
                </pt>
                <pt idx="1">
                  <v>37715.192065</v>
                </pt>
                <pt idx="2">
                  <v>41501.07372819999</v>
                </pt>
                <pt idx="3">
                  <v>43510.46166568699</v>
                </pt>
                <pt idx="4">
                  <v>47008.02994358224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542849320"/>
        <axId val="542849648"/>
      </barChart>
      <dateAx>
        <axId val="54284932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542849648"/>
        <crosses val="autoZero"/>
        <lblOffset val="100"/>
        <baseTimeUnit val="years"/>
        <majorUnit val="1"/>
        <majorTimeUnit val="years"/>
        <minorUnit val="1"/>
        <minorTimeUnit val="years"/>
      </dateAx>
      <valAx>
        <axId val="542849648"/>
        <scaling>
          <orientation val="minMax"/>
        </scaling>
        <delete val="0"/>
        <axPos val="l"/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t/>
            </a:r>
            <a:endParaRPr lang="en-US"/>
          </a:p>
        </txPr>
        <crossAx val="542849320"/>
        <crosses val="autoZero"/>
        <crossBetween val="between"/>
      </valAx>
    </plotArea>
    <plotVisOnly val="1"/>
    <dispBlanksAs val="gap"/>
  </chart>
  <spPr>
    <a:noFill/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714374</colOff>
      <row>3</row>
      <rowOff>19050</rowOff>
    </from>
    <to>
      <col>4</col>
      <colOff>655477</colOff>
      <row>9</row>
      <rowOff>114300</rowOff>
    </to>
    <pic>
      <nvPicPr>
        <cNvPr id="2" name="Picture 1">
          <a:hlinkClick r:id="rId1"/>
        </cNvPr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47799" y="762000"/>
          <a:ext cx="3359943" cy="15811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714376</colOff>
      <row>3</row>
      <rowOff>28575</rowOff>
    </from>
    <to>
      <col>9</col>
      <colOff>771525</colOff>
      <row>14</row>
      <rowOff>51063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107951</colOff>
      <row>42</row>
      <rowOff>129314</rowOff>
    </from>
    <to>
      <col>13</col>
      <colOff>848361</colOff>
      <row>46</row>
      <rowOff>104773</rowOff>
    </to>
    <pic>
      <nvPicPr>
        <cNvPr id="2" name="Picture 1">
          <a:hlinkClick r:id="rId1"/>
        </cNvPr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0439401" y="8714514"/>
          <a:ext cx="742950" cy="78825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orporatefinanceinstitute.com/?utm_source=excel&amp;utm_medium=template&amp;utm_campaign=excel_template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rporatefinanceinstitute.com/?utm_source=excel&amp;utm_medium=template&amp;utm_campaign=excel_template" TargetMode="External" Id="rId1" /><Relationship Type="http://schemas.openxmlformats.org/officeDocument/2006/relationships/drawing" Target="/xl/drawings/drawing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O29"/>
  <sheetViews>
    <sheetView showGridLines="0" tabSelected="1" zoomScaleNormal="100" workbookViewId="0">
      <selection activeCell="A1" sqref="A1"/>
    </sheetView>
  </sheetViews>
  <sheetFormatPr baseColWidth="8" defaultColWidth="9.08984375" defaultRowHeight="14"/>
  <cols>
    <col width="11" customWidth="1" style="49" min="1" max="2"/>
    <col width="29.08984375" customWidth="1" style="49" min="3" max="3"/>
    <col width="11" customWidth="1" style="49" min="4" max="13"/>
    <col width="14.90625" customWidth="1" style="49" min="14" max="14"/>
    <col width="11" customWidth="1" style="49" min="15" max="22"/>
    <col width="9.08984375" customWidth="1" style="49" min="23" max="25"/>
    <col width="9.08984375" customWidth="1" style="49" min="26" max="26"/>
    <col width="9.08984375" customWidth="1" style="49" min="27" max="16384"/>
  </cols>
  <sheetData>
    <row r="1" ht="19.5" customHeight="1"/>
    <row r="2" ht="19.5" customHeight="1"/>
    <row r="3" ht="19.5" customHeight="1"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</row>
    <row r="4" ht="19.5" customHeight="1"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</row>
    <row r="5" ht="19.5" customHeight="1"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</row>
    <row r="6" ht="19.5" customHeight="1"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</row>
    <row r="7" ht="19.5" customHeight="1"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</row>
    <row r="8" ht="19.5" customHeight="1"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</row>
    <row r="9" ht="19.5" customHeight="1">
      <c r="B9" s="50" t="n"/>
      <c r="C9" s="50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</row>
    <row r="10" ht="19.5" customHeight="1"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</row>
    <row r="11" ht="19.5" customHeight="1"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</row>
    <row r="12" ht="27" customHeight="1">
      <c r="B12" s="50" t="n"/>
      <c r="C12" s="51" t="inlineStr">
        <is>
          <t>FICO — DCF Model (CFI template)</t>
        </is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2" t="inlineStr">
        <is>
          <t>Strictly Confidential</t>
        </is>
      </c>
      <c r="O12" s="50" t="n"/>
    </row>
    <row r="13" ht="19.5" customHeight="1">
      <c r="B13" s="50" t="n"/>
      <c r="C13" s="53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</row>
    <row r="14" ht="19.5" customHeight="1">
      <c r="B14" s="50" t="n"/>
      <c r="C14" s="54" t="inlineStr">
        <is>
          <t>Table of Contents</t>
        </is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</row>
    <row r="15" ht="19.5" customHeight="1">
      <c r="B15" s="50" t="n"/>
      <c r="C15" s="57" t="inlineStr">
        <is>
          <t>DCF Model</t>
        </is>
      </c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</row>
    <row r="16" ht="19.5" customHeight="1">
      <c r="B16" s="50" t="n"/>
      <c r="C16" s="55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</row>
    <row r="17" ht="19.5" customHeight="1">
      <c r="B17" s="50" t="n"/>
      <c r="C17" s="55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</row>
    <row r="18" ht="19.5" customHeight="1">
      <c r="B18" s="50" t="n"/>
      <c r="C18" s="55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</row>
    <row r="19" ht="19.5" customHeight="1">
      <c r="B19" s="50" t="n"/>
      <c r="C19" s="50" t="inlineStr">
        <is>
          <t>Notes</t>
        </is>
      </c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</row>
    <row r="20" ht="19.5" customHeight="1">
      <c r="B20" s="50" t="n"/>
      <c r="C20" s="56" t="inlineStr">
        <is>
          <t>DCF assumptions + forecast drivers from FICO SEC/market data. Formulas preserved.</t>
        </is>
      </c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0" t="n"/>
    </row>
    <row r="21" ht="19.5" customHeight="1">
      <c r="B21" s="50" t="n"/>
      <c r="C21" s="50" t="inlineStr">
        <is>
          <t>All content is Copyright material of CFI Education Inc.</t>
        </is>
      </c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</row>
    <row r="22" ht="19.5" customHeight="1">
      <c r="B22" s="50" t="n"/>
      <c r="C22" s="67" t="inlineStr">
        <is>
          <t>https://corporatefinanceinstitute.com/</t>
        </is>
      </c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</row>
    <row r="23" ht="19.5" customHeight="1"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</row>
    <row r="24" ht="19.5" customFormat="1" customHeight="1" s="60">
      <c r="B24" s="61" t="n"/>
      <c r="C24" s="65" t="inlineStr">
        <is>
          <t>© 2019 CFI Education Inc.</t>
        </is>
      </c>
      <c r="D24" s="65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1" t="n"/>
    </row>
    <row r="25" ht="19.5" customFormat="1" customHeight="1" s="60">
      <c r="B25" s="64" t="n"/>
      <c r="C25" s="65" t="inlineStr">
        <is>
          <t xml:space="preserve">All rights reserved.  The contents of this publication, including but not limited to all written material, content layout, images, formulas, and code, are protected under international copyright and trademark laws.  </t>
        </is>
      </c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4" t="n"/>
    </row>
    <row r="26" ht="19.5" customFormat="1" customHeight="1" s="60">
      <c r="B26" s="64" t="n"/>
      <c r="C26" s="65" t="inlineStr">
        <is>
          <t xml:space="preserve">No part of this publication may be modified, manipulated, reproduced, distributed, or transmitted in any form by any means, including photocopying, recording, or other electronic or mechanical methods, </t>
        </is>
      </c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4" t="n"/>
    </row>
    <row r="27" ht="19.5" customFormat="1" customHeight="1" s="60">
      <c r="B27" s="64" t="n"/>
      <c r="C27" s="65" t="inlineStr">
        <is>
          <t>without prior written permission of the publisher, except in the case of certain noncommercial uses permitted by copyright law.</t>
        </is>
      </c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4" t="n"/>
    </row>
    <row r="28" ht="19.5" customFormat="1" customHeight="1" s="60">
      <c r="B28" s="64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4" t="n"/>
    </row>
    <row r="29" ht="19.5" customFormat="1" customHeight="1" s="60">
      <c r="B29" s="64" t="n"/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</row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</sheetData>
  <hyperlinks>
    <hyperlink ref="C15" location="'DCF Model'!A1" display="DCF Model"/>
    <hyperlink xmlns:r="http://schemas.openxmlformats.org/officeDocument/2006/relationships" ref="C22" r:id="rId1"/>
  </hyperlinks>
  <pageMargins left="0.7" right="0.7" top="0.75" bottom="0.75" header="0.3" footer="0.3"/>
  <pageSetup orientation="landscape" scale="64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zoomScaleNormal="100" workbookViewId="0">
      <selection activeCell="A1" sqref="A1"/>
    </sheetView>
  </sheetViews>
  <sheetFormatPr baseColWidth="8" defaultColWidth="9.08984375" defaultRowHeight="15.5"/>
  <cols>
    <col width="3.54296875" customWidth="1" style="1" min="1" max="1"/>
    <col width="12.6328125" customWidth="1" style="1" min="2" max="2"/>
    <col width="12.453125" customWidth="1" style="1" min="3" max="3"/>
    <col width="11.36328125" customWidth="1" style="2" min="4" max="4"/>
    <col width="11.54296875" customWidth="1" style="1" min="5" max="9"/>
    <col width="12.54296875" customWidth="1" style="1" min="10" max="14"/>
    <col width="9.08984375" customWidth="1" style="1" min="15" max="16384"/>
  </cols>
  <sheetData>
    <row r="1" ht="18" customHeight="1">
      <c r="A1" s="3" t="inlineStr">
        <is>
          <t>© Corporate Finance Institute®. All rights reserved.</t>
        </is>
      </c>
      <c r="B1" s="4" t="n"/>
      <c r="C1" s="4" t="n"/>
      <c r="D1" s="5" t="n"/>
      <c r="E1" s="5" t="n"/>
      <c r="F1" s="5" t="n"/>
      <c r="G1" s="5" t="n"/>
      <c r="H1" s="3" t="n"/>
      <c r="I1" s="4" t="n"/>
      <c r="J1" s="4" t="n"/>
      <c r="K1" s="5" t="n"/>
      <c r="L1" s="5" t="n"/>
      <c r="M1" s="5" t="n"/>
      <c r="N1" s="5" t="n"/>
    </row>
    <row r="2" ht="18" customHeight="1">
      <c r="A2" s="4" t="n"/>
      <c r="B2" s="6" t="inlineStr">
        <is>
          <t>FICO DCF Model</t>
        </is>
      </c>
      <c r="C2" s="7" t="n"/>
      <c r="D2" s="7" t="n"/>
      <c r="E2" s="7" t="n"/>
      <c r="F2" s="5" t="n"/>
      <c r="G2" s="5" t="n"/>
      <c r="H2" s="4" t="n"/>
      <c r="I2" s="6" t="n"/>
      <c r="J2" s="7" t="n"/>
      <c r="K2" s="7" t="n"/>
      <c r="L2" s="7" t="n"/>
      <c r="M2" s="5" t="n"/>
      <c r="N2" s="5" t="n"/>
    </row>
    <row r="3" ht="16" customHeight="1">
      <c r="A3" s="23" t="n"/>
      <c r="B3" s="9" t="n"/>
      <c r="C3" s="23" t="n"/>
      <c r="D3" s="10" t="n"/>
      <c r="E3" s="21" t="n"/>
      <c r="F3" s="21" t="n"/>
      <c r="G3" s="21" t="n"/>
      <c r="H3" s="21" t="n"/>
      <c r="I3" s="21" t="n"/>
      <c r="J3" s="23" t="n"/>
      <c r="K3" s="23" t="n"/>
      <c r="L3" s="23" t="n"/>
      <c r="M3" s="23" t="n"/>
      <c r="N3" s="23" t="n"/>
      <c r="O3" s="23" t="n"/>
    </row>
    <row r="4" ht="16" customHeight="1">
      <c r="A4" s="23" t="n"/>
      <c r="B4" s="32" t="inlineStr">
        <is>
          <t>Assumptions</t>
        </is>
      </c>
      <c r="C4" s="33" t="n"/>
      <c r="D4" s="33" t="n"/>
      <c r="E4" s="21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</row>
    <row r="5" ht="16" customHeight="1">
      <c r="A5" s="23" t="n"/>
      <c r="B5" s="29" t="inlineStr">
        <is>
          <t>Tax Rate</t>
        </is>
      </c>
      <c r="C5" s="21" t="n"/>
      <c r="D5" s="68" t="n">
        <v>0.1877</v>
      </c>
      <c r="E5" s="21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</row>
    <row r="6" ht="16" customHeight="1">
      <c r="A6" s="23" t="n"/>
      <c r="B6" s="29" t="inlineStr">
        <is>
          <t>Discount Rate</t>
        </is>
      </c>
      <c r="C6" s="23" t="n"/>
      <c r="D6" s="68" t="n">
        <v>0.096</v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</row>
    <row r="7" ht="16" customHeight="1">
      <c r="A7" s="23" t="n"/>
      <c r="B7" s="23" t="inlineStr">
        <is>
          <t>Perpetural Growth Rate</t>
        </is>
      </c>
      <c r="C7" s="23" t="n"/>
      <c r="D7" s="68" t="n">
        <v>0.03</v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</row>
    <row r="8" ht="16" customHeight="1">
      <c r="A8" s="23" t="n"/>
      <c r="B8" s="23" t="inlineStr">
        <is>
          <t>EV/EBITDA Mulltiple</t>
        </is>
      </c>
      <c r="C8" s="23" t="n"/>
      <c r="D8" s="69" t="n">
        <v>25</v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</row>
    <row r="9" ht="16" customHeight="1">
      <c r="A9" s="23" t="n"/>
      <c r="B9" s="23" t="inlineStr">
        <is>
          <t>Transaction Date</t>
        </is>
      </c>
      <c r="C9" s="23" t="n"/>
      <c r="D9" s="70" t="n">
        <v>45930</v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</row>
    <row r="10" ht="16" customHeight="1">
      <c r="A10" s="23" t="n"/>
      <c r="B10" s="23" t="inlineStr">
        <is>
          <t>Fiscal Year End</t>
        </is>
      </c>
      <c r="C10" s="23" t="n"/>
      <c r="D10" s="70" t="n">
        <v>45930</v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16" customHeight="1">
      <c r="A11" s="23" t="n"/>
      <c r="B11" s="23" t="inlineStr">
        <is>
          <t>Current Price</t>
        </is>
      </c>
      <c r="C11" s="23" t="n"/>
      <c r="D11" s="71" t="n">
        <v>1046.23</v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</row>
    <row r="12" ht="16" customHeight="1">
      <c r="A12" s="23" t="n"/>
      <c r="B12" s="23" t="inlineStr">
        <is>
          <t>Shares Outstanding</t>
        </is>
      </c>
      <c r="C12" s="23" t="n"/>
      <c r="D12" s="72" t="n">
        <v>21597.635</v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 ht="16" customHeight="1">
      <c r="A13" s="23" t="n"/>
      <c r="B13" s="23" t="inlineStr">
        <is>
          <t>Debt</t>
        </is>
      </c>
      <c r="C13" s="23" t="n"/>
      <c r="D13" s="72" t="n">
        <v>5582389</v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</row>
    <row r="14" ht="16" customHeight="1">
      <c r="A14" s="23" t="n"/>
      <c r="B14" s="23" t="inlineStr">
        <is>
          <t>Cash</t>
        </is>
      </c>
      <c r="C14" s="23" t="n"/>
      <c r="D14" s="72" t="n">
        <v>304537</v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</row>
    <row r="15" ht="16" customHeight="1">
      <c r="A15" s="23" t="n"/>
      <c r="B15" s="23" t="inlineStr">
        <is>
          <t>Capex</t>
        </is>
      </c>
      <c r="C15" s="23" t="n"/>
      <c r="D15" s="73" t="n">
        <v>39407</v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</row>
    <row r="16" ht="16" customHeight="1">
      <c r="A16" s="23" t="n"/>
      <c r="B16" s="23" t="n"/>
      <c r="C16" s="23" t="n"/>
      <c r="D16" s="31" t="n"/>
      <c r="J16" s="23" t="n"/>
      <c r="K16" s="23" t="n"/>
      <c r="L16" s="23" t="n"/>
      <c r="M16" s="23" t="n"/>
      <c r="N16" s="23" t="n"/>
      <c r="O16" s="23" t="n"/>
    </row>
    <row r="17" ht="16" customHeight="1">
      <c r="A17" s="23" t="n"/>
      <c r="B17" s="42" t="inlineStr">
        <is>
          <t>Discounted Cash Flow</t>
        </is>
      </c>
      <c r="C17" s="43" t="n"/>
      <c r="D17" s="44" t="inlineStr">
        <is>
          <t>Entry</t>
        </is>
      </c>
      <c r="E17" s="45">
        <f>YEAR(E18)</f>
        <v/>
      </c>
      <c r="F17" s="45">
        <f>YEAR(F18)</f>
        <v/>
      </c>
      <c r="G17" s="45">
        <f>YEAR(G18)</f>
        <v/>
      </c>
      <c r="H17" s="45">
        <f>YEAR(H18)</f>
        <v/>
      </c>
      <c r="I17" s="45">
        <f>YEAR(I18)</f>
        <v/>
      </c>
      <c r="J17" s="44" t="inlineStr">
        <is>
          <t>Exit</t>
        </is>
      </c>
      <c r="K17" s="23" t="n"/>
      <c r="L17" s="42" t="inlineStr">
        <is>
          <t>Terminal Value</t>
        </is>
      </c>
      <c r="M17" s="43" t="n"/>
      <c r="N17" s="43" t="n"/>
      <c r="O17" s="23" t="n"/>
    </row>
    <row r="18" ht="16" customHeight="1">
      <c r="A18" s="23" t="n"/>
      <c r="B18" s="23" t="inlineStr">
        <is>
          <t>Date</t>
        </is>
      </c>
      <c r="C18" s="23" t="n"/>
      <c r="D18" s="37">
        <f>D9</f>
        <v/>
      </c>
      <c r="E18" s="37">
        <f>DATE(YEAR($D$10)+E19,9,30)</f>
        <v/>
      </c>
      <c r="F18" s="37">
        <f>DATE(YEAR($D$10)+F19,9,30)</f>
        <v/>
      </c>
      <c r="G18" s="37">
        <f>DATE(YEAR($D$10)+G19,9,30)</f>
        <v/>
      </c>
      <c r="H18" s="37">
        <f>DATE(YEAR($D$10)+H19,9,30)</f>
        <v/>
      </c>
      <c r="I18" s="37">
        <f>DATE(YEAR($D$10)+I19,9,30)</f>
        <v/>
      </c>
      <c r="J18" s="41">
        <f>I18</f>
        <v/>
      </c>
      <c r="K18" s="23" t="n"/>
      <c r="L18" s="23" t="inlineStr">
        <is>
          <t>Perpetural Growth</t>
        </is>
      </c>
      <c r="M18" s="23" t="n"/>
      <c r="N18" s="23">
        <f>(I26*(1+D7))/(D6-D7)</f>
        <v/>
      </c>
      <c r="O18" s="23" t="n"/>
    </row>
    <row r="19" ht="16" customHeight="1">
      <c r="A19" s="23" t="n"/>
      <c r="B19" s="38" t="inlineStr">
        <is>
          <t>Time Periods</t>
        </is>
      </c>
      <c r="C19" s="38" t="n"/>
      <c r="D19" s="37" t="n"/>
      <c r="E19" s="40" t="n">
        <v>0</v>
      </c>
      <c r="F19" s="39">
        <f>E19+1</f>
        <v/>
      </c>
      <c r="G19" s="39">
        <f>F19+1</f>
        <v/>
      </c>
      <c r="H19" s="39">
        <f>G19+1</f>
        <v/>
      </c>
      <c r="I19" s="39">
        <f>H19+1</f>
        <v/>
      </c>
      <c r="J19" s="37" t="n"/>
      <c r="K19" s="23" t="n"/>
      <c r="L19" s="23" t="inlineStr">
        <is>
          <t>EV/EBITDA</t>
        </is>
      </c>
      <c r="M19" s="23" t="n"/>
      <c r="N19" s="74">
        <f>D8*(I21+I23)</f>
        <v/>
      </c>
      <c r="O19" s="23" t="n"/>
    </row>
    <row r="20" ht="16" customHeight="1">
      <c r="A20" s="23" t="n"/>
      <c r="B20" s="38" t="inlineStr">
        <is>
          <t>Year Fraction</t>
        </is>
      </c>
      <c r="C20" s="23" t="n"/>
      <c r="D20" s="23" t="n"/>
      <c r="E20" s="75">
        <f>YEARFRAC(D18,E18)</f>
        <v/>
      </c>
      <c r="F20" s="75">
        <f>YEARFRAC(E18,F18)</f>
        <v/>
      </c>
      <c r="G20" s="75">
        <f>YEARFRAC(F18,G18)</f>
        <v/>
      </c>
      <c r="H20" s="75">
        <f>YEARFRAC(G18,H18)</f>
        <v/>
      </c>
      <c r="I20" s="75">
        <f>YEARFRAC(H18,I18)</f>
        <v/>
      </c>
      <c r="J20" s="23" t="n"/>
      <c r="K20" s="23" t="n"/>
      <c r="L20" s="23" t="inlineStr">
        <is>
          <t>Average</t>
        </is>
      </c>
      <c r="M20" s="23" t="n"/>
      <c r="N20" s="18">
        <f>AVERAGE(N18:N19)</f>
        <v/>
      </c>
      <c r="O20" s="23" t="n"/>
    </row>
    <row r="21" ht="16" customHeight="1">
      <c r="A21" s="23" t="n"/>
      <c r="B21" s="23" t="inlineStr">
        <is>
          <t>EBIT</t>
        </is>
      </c>
      <c r="C21" s="23" t="n"/>
      <c r="D21" s="23" t="n"/>
      <c r="E21" s="73" t="n">
        <v>1048623.4</v>
      </c>
      <c r="F21" s="73" t="n">
        <v>1284433.8</v>
      </c>
      <c r="G21" s="73" t="n">
        <v>1505458.6</v>
      </c>
      <c r="H21" s="73" t="n">
        <v>1717399.8</v>
      </c>
      <c r="I21" s="73" t="n">
        <v>1922965.4</v>
      </c>
      <c r="J21" s="23" t="n"/>
      <c r="K21" s="23" t="n"/>
      <c r="L21" s="23" t="n"/>
      <c r="M21" s="23" t="n"/>
      <c r="N21" s="23" t="n"/>
      <c r="O21" s="23" t="n"/>
    </row>
    <row r="22" ht="16" customHeight="1">
      <c r="A22" s="23" t="n"/>
      <c r="B22" s="23" t="inlineStr">
        <is>
          <t>Less: Cash Taxes</t>
        </is>
      </c>
      <c r="C22" s="23" t="n"/>
      <c r="D22" s="23" t="n"/>
      <c r="E22" s="74">
        <f>E21*$D$5</f>
        <v/>
      </c>
      <c r="F22" s="74">
        <f>F21*$D$5</f>
        <v/>
      </c>
      <c r="G22" s="74">
        <f>G21*$D$5</f>
        <v/>
      </c>
      <c r="H22" s="74">
        <f>H21*$D$5</f>
        <v/>
      </c>
      <c r="I22" s="74">
        <f>I21*$D$5</f>
        <v/>
      </c>
      <c r="J22" s="23" t="n"/>
      <c r="K22" s="23" t="n"/>
      <c r="L22" s="23" t="n"/>
      <c r="M22" s="23" t="n"/>
      <c r="N22" s="23" t="n"/>
      <c r="O22" s="23" t="n"/>
    </row>
    <row r="23" ht="16" customHeight="1">
      <c r="A23" s="23" t="n"/>
      <c r="B23" s="23" t="inlineStr">
        <is>
          <t>Plus: D&amp;A</t>
        </is>
      </c>
      <c r="C23" s="23" t="n"/>
      <c r="D23" s="23" t="n"/>
      <c r="E23" s="76" t="n">
        <v>18156.7</v>
      </c>
      <c r="F23" s="76" t="n">
        <v>20335.5</v>
      </c>
      <c r="G23" s="76" t="n">
        <v>22369.1</v>
      </c>
      <c r="H23" s="76" t="n">
        <v>24382.3</v>
      </c>
      <c r="I23" s="76" t="n">
        <v>26332.9</v>
      </c>
      <c r="J23" s="23" t="n"/>
      <c r="K23" s="23" t="n"/>
      <c r="L23" s="23" t="n"/>
      <c r="M23" s="23" t="n"/>
      <c r="N23" s="23" t="n"/>
      <c r="O23" s="23" t="n"/>
    </row>
    <row r="24" ht="16" customHeight="1">
      <c r="A24" s="23" t="n"/>
      <c r="B24" s="23" t="inlineStr">
        <is>
          <t>Less: Capex</t>
        </is>
      </c>
      <c r="C24" s="23" t="n"/>
      <c r="D24" s="23" t="n"/>
      <c r="E24" s="29">
        <f>$D$15</f>
        <v/>
      </c>
      <c r="F24" s="29">
        <f>$D$15</f>
        <v/>
      </c>
      <c r="G24" s="29">
        <f>$D$15</f>
        <v/>
      </c>
      <c r="H24" s="29">
        <f>$D$15</f>
        <v/>
      </c>
      <c r="I24" s="29">
        <f>$D$15</f>
        <v/>
      </c>
      <c r="J24" s="23" t="n"/>
      <c r="K24" s="23" t="n"/>
      <c r="L24" s="23" t="n"/>
      <c r="M24" s="23" t="n"/>
      <c r="N24" s="23" t="n"/>
      <c r="O24" s="23" t="n"/>
    </row>
    <row r="25" ht="16" customHeight="1">
      <c r="A25" s="23" t="n"/>
      <c r="B25" s="23" t="inlineStr">
        <is>
          <t>Less: Changes in NWC</t>
        </is>
      </c>
      <c r="C25" s="23" t="n"/>
      <c r="D25" s="23" t="n"/>
      <c r="E25" s="73" t="n">
        <v>13936.1</v>
      </c>
      <c r="F25" s="73" t="n">
        <v>13617.5</v>
      </c>
      <c r="G25" s="73" t="n">
        <v>12709.7</v>
      </c>
      <c r="H25" s="73" t="n">
        <v>12582.6</v>
      </c>
      <c r="I25" s="73" t="n">
        <v>12191.2</v>
      </c>
      <c r="J25" s="23" t="n"/>
      <c r="K25" s="23" t="n"/>
      <c r="L25" s="23" t="n"/>
      <c r="M25" s="23" t="n"/>
      <c r="N25" s="23" t="n"/>
      <c r="O25" s="23" t="n"/>
    </row>
    <row r="26" ht="16" customHeight="1">
      <c r="A26" s="23" t="n"/>
      <c r="B26" s="23" t="inlineStr">
        <is>
          <t>Unlevered FCF</t>
        </is>
      </c>
      <c r="C26" s="23" t="n"/>
      <c r="D26" s="23" t="n"/>
      <c r="E26" s="18">
        <f>E21-E22+E23-E24-E25</f>
        <v/>
      </c>
      <c r="F26" s="18">
        <f>F21-F22+F23-F24-F25</f>
        <v/>
      </c>
      <c r="G26" s="18">
        <f>G21-G22+G23-G24-G25</f>
        <v/>
      </c>
      <c r="H26" s="18">
        <f>H21-H22+H23-H24-H25</f>
        <v/>
      </c>
      <c r="I26" s="18">
        <f>I21-I22+I23-I24-I25</f>
        <v/>
      </c>
      <c r="J26" s="23" t="n"/>
      <c r="K26" s="23" t="n"/>
      <c r="L26" s="23" t="n"/>
      <c r="M26" s="23" t="n"/>
      <c r="N26" s="23" t="n"/>
      <c r="O26" s="23" t="n"/>
    </row>
    <row r="27" ht="16" customHeight="1">
      <c r="A27" s="23" t="n"/>
      <c r="B27" s="23" t="inlineStr">
        <is>
          <t>(Entry)/Exit</t>
        </is>
      </c>
      <c r="C27" s="23" t="n"/>
      <c r="D27" s="23">
        <f>-I35</f>
        <v/>
      </c>
      <c r="E27" s="23" t="n"/>
      <c r="F27" s="23" t="n"/>
      <c r="G27" s="23" t="n"/>
      <c r="H27" s="23" t="n"/>
      <c r="I27" s="23" t="n"/>
      <c r="J27" s="23">
        <f>N20</f>
        <v/>
      </c>
      <c r="K27" s="23" t="n"/>
      <c r="L27" s="23" t="n"/>
      <c r="M27" s="23" t="n"/>
      <c r="N27" s="23" t="n"/>
      <c r="O27" s="23" t="n"/>
    </row>
    <row r="28" ht="16" customHeight="1">
      <c r="A28" s="23" t="n"/>
      <c r="B28" s="23" t="inlineStr">
        <is>
          <t>Transaction CF</t>
        </is>
      </c>
      <c r="C28" s="23" t="n"/>
      <c r="D28" s="18" t="n">
        <v>0</v>
      </c>
      <c r="E28" s="18">
        <f>(E27+E26)*E20</f>
        <v/>
      </c>
      <c r="F28" s="18">
        <f>(F27+F26)*F20</f>
        <v/>
      </c>
      <c r="G28" s="18">
        <f>(G27+G26)*G20</f>
        <v/>
      </c>
      <c r="H28" s="18">
        <f>(H27+H26)*H20</f>
        <v/>
      </c>
      <c r="I28" s="18">
        <f>(I27+I26)*I20</f>
        <v/>
      </c>
      <c r="J28" s="18">
        <f>J27+J26</f>
        <v/>
      </c>
      <c r="K28" s="23" t="n"/>
      <c r="L28" s="23" t="n"/>
      <c r="M28" s="23" t="n"/>
      <c r="N28" s="23" t="n"/>
      <c r="O28" s="23" t="n"/>
    </row>
    <row r="29" ht="16" customHeight="1">
      <c r="A29" s="23" t="n"/>
      <c r="B29" s="23" t="inlineStr">
        <is>
          <t>Transaction CF</t>
        </is>
      </c>
      <c r="C29" s="23" t="n"/>
      <c r="D29" s="23">
        <f>D27+D26</f>
        <v/>
      </c>
      <c r="E29" s="23">
        <f>(E27+E26)*E20</f>
        <v/>
      </c>
      <c r="F29" s="23">
        <f>(F27+F26)*F20</f>
        <v/>
      </c>
      <c r="G29" s="23">
        <f>(G27+G26)*G20</f>
        <v/>
      </c>
      <c r="H29" s="23">
        <f>(H27+H26)*H20</f>
        <v/>
      </c>
      <c r="I29" s="23">
        <f>(I27+I26)*I20</f>
        <v/>
      </c>
      <c r="J29" s="23">
        <f>J27</f>
        <v/>
      </c>
      <c r="K29" s="23" t="n"/>
      <c r="L29" s="23" t="n"/>
      <c r="M29" s="23" t="n"/>
      <c r="N29" s="23" t="n"/>
      <c r="O29" s="23" t="n"/>
    </row>
    <row r="30" ht="16" customHeight="1">
      <c r="A30" s="23" t="n"/>
      <c r="B30" s="23" t="n"/>
      <c r="C30" s="23" t="n"/>
      <c r="D30" s="10" t="n"/>
      <c r="E30" s="23" t="n"/>
      <c r="G30" s="23" t="n"/>
      <c r="H30" s="23" t="n"/>
      <c r="I30" s="23" t="n"/>
      <c r="J30" s="23" t="n"/>
      <c r="L30" s="23" t="n"/>
      <c r="M30" s="23" t="n"/>
      <c r="N30" s="23" t="n"/>
      <c r="O30" s="23" t="n"/>
    </row>
    <row r="31" ht="16" customHeight="1">
      <c r="A31" s="23" t="n"/>
      <c r="B31" s="42" t="inlineStr">
        <is>
          <t>Intrinsic Value</t>
        </is>
      </c>
      <c r="C31" s="43" t="n"/>
      <c r="D31" s="43" t="n"/>
      <c r="E31" s="23" t="n"/>
      <c r="G31" s="42" t="inlineStr">
        <is>
          <t>Market Value</t>
        </is>
      </c>
      <c r="H31" s="43" t="n"/>
      <c r="I31" s="43" t="n"/>
      <c r="J31" s="23" t="n"/>
      <c r="L31" s="42" t="inlineStr">
        <is>
          <t>Rate of Return</t>
        </is>
      </c>
      <c r="M31" s="43" t="n"/>
      <c r="N31" s="43" t="n"/>
      <c r="O31" s="23" t="n"/>
    </row>
    <row r="32" ht="16" customHeight="1">
      <c r="A32" s="23" t="n"/>
      <c r="B32" s="23" t="inlineStr">
        <is>
          <t>Enterprise Value</t>
        </is>
      </c>
      <c r="C32" s="23" t="n"/>
      <c r="D32" s="23">
        <f>XNPV(D6,D28:J28,D18:J18)</f>
        <v/>
      </c>
      <c r="E32" s="23" t="n"/>
      <c r="G32" s="23" t="inlineStr">
        <is>
          <t>Market Cap</t>
        </is>
      </c>
      <c r="H32" s="23" t="n"/>
      <c r="I32" s="23">
        <f>D12*D11</f>
        <v/>
      </c>
      <c r="J32" s="23" t="n"/>
      <c r="L32" s="23" t="inlineStr">
        <is>
          <t>Target Price Upside</t>
        </is>
      </c>
      <c r="M32" s="23" t="n"/>
      <c r="N32" s="46">
        <f>D37/I37-1</f>
        <v/>
      </c>
      <c r="O32" s="23" t="n"/>
    </row>
    <row r="33" ht="16" customHeight="1">
      <c r="A33" s="23" t="n"/>
      <c r="B33" s="23" t="inlineStr">
        <is>
          <t>Plus: Cash</t>
        </is>
      </c>
      <c r="C33" s="23" t="n"/>
      <c r="D33" s="23">
        <f>+D14</f>
        <v/>
      </c>
      <c r="E33" s="23" t="n"/>
      <c r="G33" s="23" t="inlineStr">
        <is>
          <t>Plus: Debt</t>
        </is>
      </c>
      <c r="H33" s="23" t="n"/>
      <c r="I33" s="23">
        <f>D13</f>
        <v/>
      </c>
      <c r="J33" s="23" t="n"/>
      <c r="L33" s="23" t="inlineStr">
        <is>
          <t>Internal Rate of Return (IRR)</t>
        </is>
      </c>
      <c r="M33" s="23" t="n"/>
      <c r="N33" s="46">
        <f>XIRR(D29:J29,D18:J18)</f>
        <v/>
      </c>
      <c r="O33" s="23" t="n"/>
    </row>
    <row r="34" ht="16" customHeight="1">
      <c r="A34" s="23" t="n"/>
      <c r="B34" s="23" t="inlineStr">
        <is>
          <t>Less: Debt</t>
        </is>
      </c>
      <c r="C34" s="23" t="n"/>
      <c r="D34" s="23">
        <f>+D13</f>
        <v/>
      </c>
      <c r="E34" s="23" t="n"/>
      <c r="G34" s="23" t="inlineStr">
        <is>
          <t>Less: Cash</t>
        </is>
      </c>
      <c r="H34" s="23" t="n"/>
      <c r="I34" s="23">
        <f>+D14</f>
        <v/>
      </c>
      <c r="J34" s="23" t="n"/>
      <c r="L34" s="23" t="n"/>
      <c r="M34" s="23" t="n"/>
      <c r="N34" s="23" t="n"/>
      <c r="O34" s="23" t="n"/>
    </row>
    <row r="35" ht="16" customHeight="1">
      <c r="A35" s="23" t="n"/>
      <c r="B35" s="23" t="inlineStr">
        <is>
          <t>Equity Value</t>
        </is>
      </c>
      <c r="C35" s="23" t="n"/>
      <c r="D35" s="18">
        <f>D32+D33-D34</f>
        <v/>
      </c>
      <c r="E35" s="23" t="n"/>
      <c r="G35" s="23" t="inlineStr">
        <is>
          <t>Enterprise Value</t>
        </is>
      </c>
      <c r="H35" s="23" t="n"/>
      <c r="I35" s="18">
        <f>I32+I33-I34</f>
        <v/>
      </c>
      <c r="J35" s="23" t="n"/>
      <c r="L35" s="42" t="inlineStr">
        <is>
          <t>Market Value vs Intrinsic Value</t>
        </is>
      </c>
      <c r="M35" s="43" t="n"/>
      <c r="N35" s="43" t="n"/>
      <c r="O35" s="23" t="n"/>
    </row>
    <row r="36" ht="16" customHeight="1">
      <c r="A36" s="23" t="n"/>
      <c r="B36" s="23" t="n"/>
      <c r="C36" s="23" t="n"/>
      <c r="D36" s="23" t="n"/>
      <c r="E36" s="23" t="n"/>
      <c r="G36" s="23" t="n"/>
      <c r="H36" s="23" t="n"/>
      <c r="I36" s="77" t="n"/>
      <c r="J36" s="23" t="n"/>
      <c r="L36" s="23" t="inlineStr">
        <is>
          <t>Market Value</t>
        </is>
      </c>
      <c r="M36" s="23" t="n"/>
      <c r="N36" s="77">
        <f>I37</f>
        <v/>
      </c>
      <c r="O36" s="23" t="n"/>
    </row>
    <row r="37" ht="16" customHeight="1">
      <c r="A37" s="23" t="n"/>
      <c r="B37" s="23" t="inlineStr">
        <is>
          <t>Equity Value/Share</t>
        </is>
      </c>
      <c r="C37" s="23" t="n"/>
      <c r="D37" s="77">
        <f>D35/D12</f>
        <v/>
      </c>
      <c r="E37" s="23" t="n"/>
      <c r="G37" s="23" t="inlineStr">
        <is>
          <t>Equity Value/Share</t>
        </is>
      </c>
      <c r="H37" s="23" t="n"/>
      <c r="I37" s="77">
        <f>D11</f>
        <v/>
      </c>
      <c r="J37" s="23" t="n"/>
      <c r="L37" s="23" t="inlineStr">
        <is>
          <t>Upside</t>
        </is>
      </c>
      <c r="M37" s="23" t="n"/>
      <c r="N37" s="77">
        <f>D37-I37</f>
        <v/>
      </c>
      <c r="O37" s="23" t="n"/>
    </row>
    <row r="38" ht="16" customHeight="1">
      <c r="A38" s="23" t="n"/>
      <c r="B38" s="23" t="n"/>
      <c r="C38" s="23" t="n"/>
      <c r="D38" s="23" t="n"/>
      <c r="E38" s="23" t="n"/>
      <c r="G38" s="23" t="n"/>
      <c r="H38" s="23" t="n"/>
      <c r="I38" s="23" t="n"/>
      <c r="J38" s="23" t="n"/>
      <c r="L38" s="23" t="inlineStr">
        <is>
          <t>Intrinsic Value</t>
        </is>
      </c>
      <c r="M38" s="23" t="n"/>
      <c r="N38" s="77">
        <f>SUM(N36:N37)</f>
        <v/>
      </c>
      <c r="O38" s="23" t="n"/>
    </row>
    <row r="39" ht="16" customHeight="1">
      <c r="A39" s="23" t="n"/>
      <c r="C39" s="23" t="n"/>
      <c r="D39" s="10" t="n"/>
      <c r="E39" s="23" t="n"/>
      <c r="G39" s="23" t="n"/>
      <c r="H39" s="23" t="n"/>
      <c r="I39" s="9" t="n"/>
      <c r="J39" s="23" t="n"/>
      <c r="L39" s="23" t="n"/>
      <c r="M39" s="23" t="n"/>
      <c r="N39" s="23" t="n"/>
      <c r="O39" s="23" t="n"/>
    </row>
    <row r="40" ht="16" customHeight="1">
      <c r="A40" s="23" t="n"/>
      <c r="C40" s="23" t="n"/>
      <c r="D40" s="10" t="n"/>
      <c r="E40" s="23" t="n"/>
      <c r="F40" s="23" t="n"/>
      <c r="G40" s="23" t="n"/>
      <c r="H40" s="9" t="n"/>
      <c r="I40" s="23" t="n"/>
      <c r="K40" s="23" t="n"/>
      <c r="L40" s="23" t="n"/>
      <c r="M40" s="23" t="n"/>
      <c r="N40" s="23" t="n"/>
      <c r="O40" s="23" t="n"/>
    </row>
    <row r="41" ht="16" customHeight="1">
      <c r="A41" s="23" t="n"/>
      <c r="B41" s="42" t="inlineStr">
        <is>
          <t>Instructions</t>
        </is>
      </c>
      <c r="C41" s="43" t="n"/>
      <c r="D41" s="47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23" t="n"/>
    </row>
    <row r="42" ht="16" customHeight="1">
      <c r="A42" s="23" t="n"/>
      <c r="B42" s="23" t="inlineStr">
        <is>
          <t>Step 1: Get EBIT and D&amp;A from the income statement</t>
        </is>
      </c>
      <c r="C42" s="23" t="n"/>
      <c r="D42" s="10" t="n"/>
      <c r="E42" s="23" t="n"/>
      <c r="F42" s="23" t="n"/>
      <c r="G42" s="23" t="n"/>
      <c r="H42" s="23" t="n"/>
      <c r="N42" s="58" t="inlineStr">
        <is>
          <t>This file is for educational purposes only. E&amp;OE</t>
        </is>
      </c>
      <c r="O42" s="23" t="n"/>
    </row>
    <row r="43" ht="16" customHeight="1">
      <c r="A43" s="23" t="n"/>
      <c r="B43" s="23" t="inlineStr">
        <is>
          <t>Step 2: Calculate the net working capital</t>
        </is>
      </c>
      <c r="C43" s="23" t="n"/>
      <c r="D43" s="10" t="n"/>
      <c r="E43" s="23" t="n"/>
      <c r="F43" s="23" t="n"/>
      <c r="G43" s="23" t="n"/>
      <c r="H43" s="23" t="n"/>
      <c r="N43" s="26" t="n"/>
      <c r="O43" s="23" t="n"/>
    </row>
    <row r="44" ht="16" customHeight="1">
      <c r="A44" s="23" t="n"/>
      <c r="B44" s="48" t="inlineStr">
        <is>
          <t>There are two ways to find NWC:</t>
        </is>
      </c>
      <c r="C44" s="23" t="n"/>
      <c r="D44" s="10" t="n"/>
      <c r="E44" s="23" t="n"/>
      <c r="F44" s="23" t="n"/>
      <c r="G44" s="23" t="n"/>
      <c r="H44" s="23" t="n"/>
      <c r="N44" s="26" t="n"/>
      <c r="O44" s="23" t="n"/>
    </row>
    <row r="45" ht="16" customHeight="1">
      <c r="A45" s="23" t="n"/>
      <c r="B45" s="48" t="inlineStr">
        <is>
          <t>1. NWC = Current Assets (less cash) - Current Liabilities (less debt)</t>
        </is>
      </c>
      <c r="C45" s="23" t="n"/>
      <c r="D45" s="10" t="n"/>
      <c r="E45" s="23" t="n"/>
      <c r="F45" s="23" t="n"/>
      <c r="G45" s="23" t="n"/>
      <c r="H45" s="23" t="n"/>
      <c r="N45" s="26" t="n"/>
      <c r="O45" s="23" t="n"/>
    </row>
    <row r="46" ht="16" customHeight="1">
      <c r="A46" s="23" t="n"/>
      <c r="B46" s="48" t="inlineStr">
        <is>
          <t>2. NWC = Accounts Receivable + Inventory - Accounts Payable</t>
        </is>
      </c>
      <c r="C46" s="23" t="n"/>
      <c r="D46" s="10" t="n"/>
      <c r="E46" s="23" t="n"/>
      <c r="F46" s="23" t="n"/>
      <c r="G46" s="23" t="n"/>
      <c r="H46" s="23" t="n"/>
      <c r="N46" s="26" t="n"/>
      <c r="O46" s="23" t="n"/>
    </row>
    <row r="47" ht="16" customHeight="1">
      <c r="A47" s="23" t="n"/>
      <c r="B47" s="23" t="n"/>
      <c r="C47" s="23" t="n"/>
      <c r="D47" s="10" t="n"/>
      <c r="E47" s="23" t="n"/>
      <c r="F47" s="23" t="n"/>
      <c r="G47" s="23" t="n"/>
      <c r="H47" s="23" t="n"/>
      <c r="N47" s="26" t="n"/>
      <c r="O47" s="23" t="n"/>
    </row>
    <row r="48" ht="16" customHeight="1">
      <c r="A48" s="23" t="n"/>
      <c r="B48" s="23" t="n"/>
      <c r="C48" s="23" t="n"/>
      <c r="D48" s="10" t="n"/>
      <c r="E48" s="23" t="n"/>
      <c r="F48" s="23" t="n"/>
      <c r="G48" s="23" t="n"/>
      <c r="H48" s="23" t="n"/>
      <c r="N48" s="59" t="inlineStr">
        <is>
          <t xml:space="preserve">Corporate Finance Institute® </t>
        </is>
      </c>
      <c r="O48" s="23" t="n"/>
    </row>
    <row r="49" ht="16" customHeight="1">
      <c r="A49" s="23" t="n"/>
      <c r="B49" s="23" t="n"/>
      <c r="C49" s="23" t="n"/>
      <c r="D49" s="10" t="n"/>
      <c r="E49" s="23" t="n"/>
      <c r="F49" s="23" t="n"/>
      <c r="G49" s="23" t="n"/>
      <c r="H49" s="23" t="n"/>
      <c r="N49" s="66" t="inlineStr">
        <is>
          <t>https://corporatefinanceinstitute.com/</t>
        </is>
      </c>
      <c r="O49" s="23" t="n"/>
    </row>
    <row r="50" ht="16" customHeight="1">
      <c r="A50" s="23" t="n"/>
      <c r="B50" s="78" t="inlineStr">
        <is>
          <t>FICO DCF inputs from SEC + market bridge (10-Q debt/cash). Yellow/blue = inputs.</t>
        </is>
      </c>
      <c r="C50" s="23" t="n"/>
      <c r="D50" s="10" t="n"/>
      <c r="E50" s="23" t="n"/>
      <c r="F50" s="23" t="n"/>
      <c r="G50" s="23" t="n"/>
      <c r="H50" s="23" t="n"/>
      <c r="O50" s="23" t="n"/>
    </row>
    <row r="51" ht="16" customHeight="1">
      <c r="A51" s="23" t="n"/>
      <c r="B51" s="23" t="n"/>
      <c r="C51" s="23" t="n"/>
      <c r="D51" s="10" t="n"/>
      <c r="E51" s="23" t="n"/>
      <c r="F51" s="23" t="n"/>
      <c r="G51" s="23" t="n"/>
      <c r="H51" s="23" t="n"/>
      <c r="M51" s="23" t="n"/>
      <c r="O51" s="23" t="n"/>
    </row>
    <row r="52" ht="16" customHeight="1">
      <c r="A52" s="23" t="n"/>
      <c r="B52" s="23" t="n"/>
      <c r="C52" s="23" t="n"/>
      <c r="D52" s="10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</row>
    <row r="53" ht="16" customHeight="1">
      <c r="A53" s="23" t="n"/>
      <c r="B53" s="23" t="n"/>
      <c r="C53" s="23" t="n"/>
      <c r="D53" s="10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</row>
    <row r="54" ht="16" customHeight="1">
      <c r="A54" s="23" t="n"/>
      <c r="B54" s="23" t="n"/>
      <c r="C54" s="23" t="n"/>
      <c r="D54" s="10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</row>
    <row r="55" ht="16" customHeight="1">
      <c r="A55" s="23" t="n"/>
      <c r="B55" s="23" t="n"/>
      <c r="C55" s="23" t="n"/>
      <c r="D55" s="10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</row>
    <row r="56" ht="16" customHeight="1">
      <c r="A56" s="23" t="n"/>
      <c r="B56" s="23" t="n"/>
      <c r="C56" s="23" t="n"/>
      <c r="D56" s="10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</row>
    <row r="57" ht="16" customHeight="1">
      <c r="A57" s="23" t="n"/>
      <c r="B57" s="23" t="n"/>
      <c r="C57" s="23" t="n"/>
      <c r="D57" s="10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</row>
    <row r="58" ht="16" customHeight="1">
      <c r="A58" s="23" t="n"/>
      <c r="B58" s="23" t="n"/>
      <c r="C58" s="23" t="n"/>
      <c r="D58" s="10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</row>
    <row r="59" ht="16" customHeight="1">
      <c r="A59" s="23" t="n"/>
      <c r="B59" s="23" t="n"/>
      <c r="C59" s="23" t="n"/>
      <c r="D59" s="10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</row>
    <row r="60" ht="16" customHeight="1">
      <c r="A60" s="23" t="n"/>
      <c r="B60" s="23" t="n"/>
      <c r="C60" s="23" t="n"/>
      <c r="D60" s="10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</row>
    <row r="61" ht="16" customHeight="1">
      <c r="B61" s="23" t="n"/>
      <c r="C61" s="23" t="n"/>
      <c r="D61" s="10" t="n"/>
      <c r="E61" s="23" t="n"/>
      <c r="F61" s="23" t="n"/>
      <c r="G61" s="23" t="n"/>
      <c r="H61" s="23" t="n"/>
      <c r="I61" s="23" t="n"/>
      <c r="J61" s="23" t="n"/>
      <c r="K61" s="23" t="n"/>
      <c r="L61" s="23" t="n"/>
    </row>
  </sheetData>
  <hyperlinks>
    <hyperlink xmlns:r="http://schemas.openxmlformats.org/officeDocument/2006/relationships" ref="N49" r:id="rId1"/>
  </hyperlinks>
  <pageMargins left="0.7086614173228347" right="0.7086614173228347" top="0.7480314960629921" bottom="0.7480314960629921" header="0.3149606299212598" footer="0.3149606299212598"/>
  <pageSetup orientation="landscape" scale="78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 Vipond</dc:creator>
  <dcterms:created xsi:type="dcterms:W3CDTF">2014-11-08T22:00:02Z</dcterms:created>
  <dcterms:modified xsi:type="dcterms:W3CDTF">2026-08-03T21:04:51Z</dcterms:modified>
  <cp:lastModifiedBy>Katie Au Yeung</cp:lastModifiedBy>
  <cp:lastPrinted>2014-12-13T23:43:21Z</cp:lastPrinted>
</cp:coreProperties>
</file>