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00_Instructions" sheetId="1" state="visible" r:id="rId1"/>
    <sheet name="00_Cover" sheetId="2" state="visible" r:id="rId2"/>
    <sheet name="01_Three_Statement" sheetId="3" state="visible" r:id="rId3"/>
    <sheet name="02_DCF" sheetId="4" state="visible" r:id="rId4"/>
    <sheet name="03_Link_Map" sheetId="5" state="visible" r:id="rId5"/>
  </sheets>
  <definedNames>
    <definedName name="asd">#REF!</definedName>
    <definedName name="CIQWBGuid" hidden="1">"2cd8126d-26c3-430c-b7fa-a069e3a1fc62"</definedName>
    <definedName name="Forecast">#REF!</definedName>
    <definedName name="IQ_CH" hidden="1">110000</definedName>
    <definedName name="IQ_CQ" hidden="1">5000</definedName>
    <definedName name="IQ_CY" hidden="1">10000</definedName>
    <definedName name="IQ_DAILY" hidden="1">500000</definedName>
    <definedName name="IQ_DNTM" hidden="1">700000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LTMMONTH" hidden="1">120000</definedName>
    <definedName name="IQ_MONTH" hidden="1">15000</definedName>
    <definedName name="IQ_MTD" hidden="1">800000</definedName>
    <definedName name="IQ_NAMES_REVISION_DATE_" hidden="1">41666.7099189815</definedName>
    <definedName name="IQ_NTM" hidden="1">6000</definedName>
    <definedName name="IQ_QTD" hidden="1">750000</definedName>
    <definedName name="IQ_TODAY" hidden="1">0</definedName>
    <definedName name="IQ_WEEK" hidden="1">50000</definedName>
    <definedName name="IQ_YTD" hidden="1">3000</definedName>
    <definedName name="IQ_YTDMONTH" hidden="1">130000</definedName>
    <definedName name="Step_1">#REF!</definedName>
    <definedName name="Step_2">#REF!</definedName>
    <definedName name="Step_3">#REF!</definedName>
    <definedName name="Step_4">#REF!</definedName>
    <definedName name="Step_5">#REF!</definedName>
    <definedName name="Step_6">#REF!</definedName>
    <definedName name="Step1">#REF!</definedName>
    <definedName name="Step2">#REF!</definedName>
    <definedName name="Step3">#REF!</definedName>
    <definedName name="Step4">#REF!</definedName>
    <definedName name="Step5">#REF!</definedName>
    <definedName name="Step6">#REF!</definedName>
    <definedName name="_xlnm.Print_Area" localSheetId="1">'00_Cover'!$A$1:$P$27</definedName>
    <definedName name="Forecast" localSheetId="2">#REF!</definedName>
    <definedName name="Step_1" localSheetId="2">#REF!</definedName>
    <definedName name="Step_2" localSheetId="2">#REF!</definedName>
    <definedName name="Step_3" localSheetId="2">#REF!</definedName>
    <definedName name="Step_4" localSheetId="2">#REF!</definedName>
    <definedName name="Step_5" localSheetId="2">#REF!</definedName>
    <definedName name="Step_6" localSheetId="2">#REF!</definedName>
    <definedName name="_xlnm.Print_Titles" localSheetId="2">'01_Three_Statement'!$1:$3</definedName>
    <definedName name="_xlnm.Print_Area" localSheetId="2">'01_Three_Statement'!$A$1:$N$104</definedName>
  </definedNames>
  <calcPr calcId="181029" fullCalcOnLoad="1"/>
</workbook>
</file>

<file path=xl/styles.xml><?xml version="1.0" encoding="utf-8"?>
<styleSheet xmlns="http://schemas.openxmlformats.org/spreadsheetml/2006/main">
  <numFmts count="11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</numFmts>
  <fonts count="4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Calibri"/>
      <color rgb="000000FF"/>
    </font>
    <font>
      <name val="Calibri"/>
      <i val="1"/>
      <color rgb="00C00000"/>
      <sz val="10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i val="1"/>
      <color rgb="00C00000"/>
      <sz val="9"/>
    </font>
    <font>
      <name val="Calibri"/>
      <color rgb="00000000"/>
    </font>
    <font>
      <name val="Calibri"/>
      <i val="1"/>
      <color rgb="001F4E79"/>
      <sz val="10"/>
    </font>
    <font>
      <name val="Calibri"/>
      <b val="1"/>
      <color rgb="001F4E79"/>
      <sz val="16"/>
    </font>
    <font>
      <name val="Calibri"/>
      <b val="1"/>
      <color rgb="001F4E79"/>
      <sz val="12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00FFF2CC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1F4E79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41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6" fontId="26" fillId="6" borderId="0" pivotButton="0" quotePrefix="0" xfId="2"/>
    <xf numFmtId="164" fontId="26" fillId="6" borderId="0" pivotButton="0" quotePrefix="0" xfId="1"/>
    <xf numFmtId="164" fontId="26" fillId="6" borderId="1" pivotButton="0" quotePrefix="0" xfId="1"/>
    <xf numFmtId="0" fontId="27" fillId="0" borderId="0" pivotButton="0" quotePrefix="0" xfId="0"/>
    <xf numFmtId="0" fontId="43" fillId="0" borderId="0" pivotButton="0" quotePrefix="0" xfId="0"/>
    <xf numFmtId="0" fontId="44" fillId="0" borderId="0" pivotButton="0" quotePrefix="0" xfId="0"/>
    <xf numFmtId="164" fontId="28" fillId="2" borderId="0" pivotButton="0" quotePrefix="0" xfId="0"/>
    <xf numFmtId="164" fontId="29" fillId="2" borderId="0" pivotButton="0" quotePrefix="0" xfId="0"/>
    <xf numFmtId="164" fontId="29" fillId="2" borderId="0" applyAlignment="1" pivotButton="0" quotePrefix="0" xfId="0">
      <alignment horizontal="center"/>
    </xf>
    <xf numFmtId="0" fontId="30" fillId="2" borderId="0" applyAlignment="1" pivotButton="0" quotePrefix="0" xfId="0">
      <alignment vertical="center"/>
    </xf>
    <xf numFmtId="0" fontId="31" fillId="2" borderId="0" pivotButton="0" quotePrefix="0" xfId="0"/>
    <xf numFmtId="164" fontId="32" fillId="0" borderId="0" pivotButton="0" quotePrefix="0" xfId="0"/>
    <xf numFmtId="164" fontId="33" fillId="0" borderId="0" pivotButton="0" quotePrefix="0" xfId="0"/>
    <xf numFmtId="164" fontId="32" fillId="0" borderId="0" applyAlignment="1" pivotButton="0" quotePrefix="0" xfId="0">
      <alignment horizontal="center"/>
    </xf>
    <xf numFmtId="164" fontId="34" fillId="0" borderId="0" pivotButton="0" quotePrefix="0" xfId="0"/>
    <xf numFmtId="164" fontId="35" fillId="7" borderId="0" pivotButton="0" quotePrefix="0" xfId="0"/>
    <xf numFmtId="164" fontId="34" fillId="7" borderId="0" pivotButton="0" quotePrefix="0" xfId="0"/>
    <xf numFmtId="164" fontId="36" fillId="0" borderId="0" pivotButton="0" quotePrefix="0" xfId="0"/>
    <xf numFmtId="9" fontId="26" fillId="6" borderId="0" applyAlignment="1" pivotButton="0" quotePrefix="0" xfId="0">
      <alignment horizontal="right"/>
    </xf>
    <xf numFmtId="171" fontId="26" fillId="6" borderId="0" applyAlignment="1" pivotButton="0" quotePrefix="0" xfId="0">
      <alignment horizontal="right"/>
    </xf>
    <xf numFmtId="14" fontId="26" fillId="6" borderId="0" pivotButton="0" quotePrefix="0" xfId="0"/>
    <xf numFmtId="173" fontId="26" fillId="6" borderId="0" applyAlignment="1" pivotButton="0" quotePrefix="0" xfId="0">
      <alignment horizontal="right"/>
    </xf>
    <xf numFmtId="167" fontId="26" fillId="6" borderId="0" applyAlignment="1" pivotButton="0" quotePrefix="0" xfId="0">
      <alignment horizontal="right"/>
    </xf>
    <xf numFmtId="164" fontId="26" fillId="6" borderId="0" pivotButton="0" quotePrefix="0" xfId="0"/>
    <xf numFmtId="14" fontId="40" fillId="0" borderId="0" pivotButton="0" quotePrefix="0" xfId="0"/>
    <xf numFmtId="164" fontId="33" fillId="7" borderId="0" pivotButton="0" quotePrefix="0" xfId="0"/>
    <xf numFmtId="164" fontId="32" fillId="7" borderId="0" pivotButton="0" quotePrefix="0" xfId="0"/>
    <xf numFmtId="164" fontId="33" fillId="7" borderId="0" applyAlignment="1" pivotButton="0" quotePrefix="0" xfId="0">
      <alignment horizontal="right"/>
    </xf>
    <xf numFmtId="0" fontId="33" fillId="7" borderId="0" pivotButton="0" quotePrefix="0" xfId="0"/>
    <xf numFmtId="14" fontId="37" fillId="0" borderId="0" pivotButton="0" quotePrefix="0" xfId="0"/>
    <xf numFmtId="14" fontId="38" fillId="0" borderId="0" pivotButton="0" quotePrefix="0" xfId="0"/>
    <xf numFmtId="164" fontId="37" fillId="0" borderId="0" pivotButton="0" quotePrefix="0" xfId="0"/>
    <xf numFmtId="1" fontId="39" fillId="0" borderId="0" pivotButton="0" quotePrefix="0" xfId="0"/>
    <xf numFmtId="1" fontId="37" fillId="0" borderId="0" pivotButton="0" quotePrefix="0" xfId="0"/>
    <xf numFmtId="168" fontId="32" fillId="0" borderId="0" pivotButton="0" quotePrefix="0" xfId="0"/>
    <xf numFmtId="173" fontId="37" fillId="0" borderId="0" pivotButton="0" quotePrefix="0" xfId="0"/>
    <xf numFmtId="164" fontId="32" fillId="0" borderId="2" pivotButton="0" quotePrefix="0" xfId="0"/>
    <xf numFmtId="164" fontId="41" fillId="8" borderId="0" pivotButton="0" quotePrefix="0" xfId="0"/>
    <xf numFmtId="168" fontId="41" fillId="8" borderId="0" pivotButton="0" quotePrefix="0" xfId="0"/>
    <xf numFmtId="9" fontId="32" fillId="0" borderId="0" pivotButton="0" quotePrefix="0" xfId="0"/>
    <xf numFmtId="174" fontId="32" fillId="0" borderId="0" pivotButton="0" quotePrefix="0" xfId="0"/>
    <xf numFmtId="164" fontId="32" fillId="7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2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64" fontId="27" fillId="0" borderId="0" pivotButton="0" quotePrefix="0" xfId="0"/>
    <xf numFmtId="164" fontId="42" fillId="0" borderId="0" pivotButton="0" quotePrefix="0" xfId="0"/>
    <xf numFmtId="0" fontId="45" fillId="9" borderId="0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 sz="1200" b="0"/>
              <a:t>Cash Flow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chemeClr val="bg2"/>
            </a:solidFill>
            <a:ln>
              <a:noFill/>
              <a:prstDash val="solid"/>
            </a:ln>
          </spPr>
          <invertIfNegative val="0"/>
          <dLbls>
            <numFmt formatCode="&quot;$&quot;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anchor="ctr" anchorCtr="1"/>
              <a:lstStyle/>
              <a:p>
                <a:pPr>
                  <a:defRPr sz="800" b="0" i="0" strike="noStrike" kern="1200" baseline="0">
                    <a:solidFill>
                      <a:schemeClr val="bg2"/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'DCF Model'!$E$18:$I$18</f>
              <numCache>
                <formatCode>m/d/yyyy</formatCode>
                <ptCount val="5"/>
                <pt idx="0">
                  <v>43281</v>
                </pt>
                <pt idx="1">
                  <v>43646</v>
                </pt>
                <pt idx="2">
                  <v>44012</v>
                </pt>
                <pt idx="3">
                  <v>44377</v>
                </pt>
                <pt idx="4">
                  <v>44742</v>
                </pt>
              </numCache>
            </numRef>
          </cat>
          <val>
            <numRef>
              <f>'DCF Model'!$E$28:$I$28</f>
              <numCache>
                <formatCode>_-* #,##0_-;\(#,##0\)_-;_-* "-"_-;_-@_-</formatCode>
                <ptCount val="5"/>
                <pt idx="0">
                  <v>17747.131</v>
                </pt>
                <pt idx="1">
                  <v>37715.192065</v>
                </pt>
                <pt idx="2">
                  <v>41501.07372819999</v>
                </pt>
                <pt idx="3">
                  <v>43510.46166568699</v>
                </pt>
                <pt idx="4">
                  <v>47008.02994358224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0"/>
        <overlap val="-27"/>
        <axId val="542849320"/>
        <axId val="542849648"/>
      </barChart>
      <dateAx>
        <axId val="54284932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542849648"/>
        <crosses val="autoZero"/>
        <lblOffset val="100"/>
        <baseTimeUnit val="years"/>
        <majorUnit val="1"/>
        <majorTimeUnit val="years"/>
        <minorUnit val="1"/>
        <minorTimeUnit val="years"/>
      </dateAx>
      <valAx>
        <axId val="542849648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542849320"/>
        <crosses val="autoZero"/>
        <crossBetween val="between"/>
      </valAx>
    </plotArea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714376</colOff>
      <row>3</row>
      <rowOff>28575</rowOff>
    </from>
    <to>
      <col>9</col>
      <colOff>771525</colOff>
      <row>14</row>
      <rowOff>51063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96" t="inlineStr">
        <is>
          <t>FICO MEGA 3-Statement DCF</t>
        </is>
      </c>
    </row>
    <row r="2">
      <c r="A2" t="inlineStr"/>
    </row>
    <row r="3">
      <c r="A3" s="97" t="inlineStr">
        <is>
          <t>What this file is</t>
        </is>
      </c>
    </row>
    <row r="4">
      <c r="A4" t="inlineStr">
        <is>
          <t>One workbook combining the CFI 3-statement model and CFI DCF, with the DCF linked to the 3-statement forecast.</t>
        </is>
      </c>
    </row>
    <row r="5">
      <c r="A5" t="inlineStr"/>
    </row>
    <row r="6">
      <c r="A6" s="97" t="inlineStr">
        <is>
          <t>How to use</t>
        </is>
      </c>
    </row>
    <row r="7">
      <c r="A7" t="inlineStr">
        <is>
          <t>1) Go to 01_Three_Statement. Yellow/blue cells are inputs (history FY2021-25 already filled with FICO).</t>
        </is>
      </c>
    </row>
    <row r="8">
      <c r="A8" t="inlineStr">
        <is>
          <t>2) Edit forecast drivers in columns J-N (growth, margins/opex, tax, AR days, capex, debt issuance).</t>
        </is>
      </c>
    </row>
    <row r="9">
      <c r="A9" t="inlineStr">
        <is>
          <t>3) Go to 02_DCF. Green cells are linked from the 3-statement; yellow cells are valuation inputs (WACC, g, multiple, price, shares).</t>
        </is>
      </c>
    </row>
    <row r="10">
      <c r="A10" t="inlineStr">
        <is>
          <t>4) Read intrinsic value / share on 02_DCF (Equity Value/Share).</t>
        </is>
      </c>
    </row>
    <row r="11">
      <c r="A11" t="inlineStr"/>
    </row>
    <row r="12">
      <c r="A12" s="97" t="inlineStr">
        <is>
          <t>Color key</t>
        </is>
      </c>
    </row>
    <row r="13">
      <c r="A13" t="inlineStr">
        <is>
          <t>Yellow + blue font = inputs you type</t>
        </is>
      </c>
    </row>
    <row r="14">
      <c r="A14" t="inlineStr">
        <is>
          <t>Green fill = formulas linked from 01_Three_Statement</t>
        </is>
      </c>
    </row>
    <row r="15">
      <c r="A15" t="inlineStr">
        <is>
          <t>Black formulas = calculated inside the sheet</t>
        </is>
      </c>
    </row>
    <row r="16">
      <c r="A16" t="inlineStr"/>
    </row>
    <row r="17">
      <c r="A17" s="97" t="inlineStr">
        <is>
          <t>Sheets</t>
        </is>
      </c>
    </row>
    <row r="18">
      <c r="A18" t="inlineStr">
        <is>
          <t>00_Instructions — this page</t>
        </is>
      </c>
    </row>
    <row r="19">
      <c r="A19" t="inlineStr">
        <is>
          <t>00_Cover — cover</t>
        </is>
      </c>
    </row>
    <row r="20">
      <c r="A20" t="inlineStr">
        <is>
          <t>01_Three_Statement — FICO IS / BS / CF + assumptions + schedules</t>
        </is>
      </c>
    </row>
    <row r="21">
      <c r="A21" t="inlineStr">
        <is>
          <t>02_DCF — discounted cash flow valuation fed by 01</t>
        </is>
      </c>
    </row>
    <row r="22">
      <c r="A22" t="inlineStr"/>
    </row>
    <row r="23">
      <c r="A23" s="97" t="inlineStr">
        <is>
          <t>Caveats</t>
        </is>
      </c>
    </row>
    <row r="24">
      <c r="A24" t="inlineStr">
        <is>
          <t>CFI 3-statement structure is simplified (no goodwill, deferred revenue, SBC, buybacks). Equity may be a plug.</t>
        </is>
      </c>
    </row>
    <row r="25">
      <c r="A25" t="inlineStr">
        <is>
          <t>DCF debt/cash default to FY2025 3-stmt balances; override D13/D14 for latest 10-Q if desired.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MEGA — 3-Statement + DCF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01_Three_Statement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inlineStr">
        <is>
          <t>02_DCF</t>
        </is>
      </c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Integrated FICO model: edit the 3-statement assumptions; DCF pulls EBIT, D&amp;A, Capex, and ΔNWC automatically.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Educational use only. Sources: SEC EDGAR 10-K / 10-Q. Units: $ thousands except share price.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15.5546875" customWidth="1" style="19" min="2" max="3"/>
    <col width="15.5546875" customWidth="1" style="47" min="4" max="4"/>
    <col width="11.5546875" customWidth="1" style="19" min="5" max="9"/>
    <col width="12.5546875" customWidth="1" style="19" min="10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FICO FINANCIAL STATEMENTS</t>
        </is>
      </c>
      <c r="C2" s="62" t="n"/>
      <c r="D2" s="63" t="n"/>
      <c r="E2" s="83" t="n">
        <v>2021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92" t="n">
        <v>0.14</v>
      </c>
      <c r="K7" s="92" t="n">
        <v>0.12</v>
      </c>
      <c r="L7" s="92" t="n">
        <v>0.1</v>
      </c>
      <c r="M7" s="92" t="n">
        <v>0.09</v>
      </c>
      <c r="N7" s="92" t="n">
        <v>0.08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92" t="n">
        <v>0.178</v>
      </c>
      <c r="K8" s="92" t="n">
        <v>0.178</v>
      </c>
      <c r="L8" s="92" t="n">
        <v>0.175</v>
      </c>
      <c r="M8" s="92" t="n">
        <v>0.175</v>
      </c>
      <c r="N8" s="92" t="n">
        <v>0.17</v>
      </c>
    </row>
    <row r="9" hidden="1" outlineLevel="1">
      <c r="B9" s="19" t="inlineStr">
        <is>
          <t>SG&amp;A + R&amp;D + other opex, ex-D&amp;A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93" t="n">
        <v>794973.3</v>
      </c>
      <c r="K9" s="93" t="n">
        <v>781026.4</v>
      </c>
      <c r="L9" s="93" t="n">
        <v>767079.5</v>
      </c>
      <c r="M9" s="93" t="n">
        <v>760106.1</v>
      </c>
      <c r="N9" s="93" t="n">
        <v>753132.6</v>
      </c>
    </row>
    <row r="10" hidden="1" outlineLevel="1">
      <c r="B10" s="19" t="inlineStr">
        <is>
          <t>Other income (as negative overhead)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93" t="n">
        <v>0</v>
      </c>
      <c r="K10" s="93" t="n">
        <v>0</v>
      </c>
      <c r="L10" s="93" t="n">
        <v>0</v>
      </c>
      <c r="M10" s="93" t="n">
        <v>0</v>
      </c>
      <c r="N10" s="93" t="n">
        <v>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92" t="n">
        <v>0.3</v>
      </c>
      <c r="K11" s="92" t="n">
        <v>0.3</v>
      </c>
      <c r="L11" s="92" t="n">
        <v>0.3</v>
      </c>
      <c r="M11" s="92" t="n">
        <v>0.3</v>
      </c>
      <c r="N11" s="92" t="n">
        <v>0.3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92" t="n">
        <v>0.055</v>
      </c>
      <c r="K12" s="92" t="n">
        <v>0.055</v>
      </c>
      <c r="L12" s="92" t="n">
        <v>0.055</v>
      </c>
      <c r="M12" s="92" t="n">
        <v>0.055</v>
      </c>
      <c r="N12" s="92" t="n">
        <v>0.055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92" t="n">
        <v>0.188</v>
      </c>
      <c r="K13" s="92" t="n">
        <v>0.188</v>
      </c>
      <c r="L13" s="92" t="n">
        <v>0.188</v>
      </c>
      <c r="M13" s="92" t="n">
        <v>0.188</v>
      </c>
      <c r="N13" s="92" t="n">
        <v>0.188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93" t="n">
        <v>97</v>
      </c>
      <c r="K15" s="93" t="n">
        <v>97</v>
      </c>
      <c r="L15" s="93" t="n">
        <v>97</v>
      </c>
      <c r="M15" s="93" t="n">
        <v>97</v>
      </c>
      <c r="N15" s="93" t="n">
        <v>97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93" t="n">
        <v>0</v>
      </c>
      <c r="K16" s="93" t="n">
        <v>0</v>
      </c>
      <c r="L16" s="93" t="n">
        <v>0</v>
      </c>
      <c r="M16" s="93" t="n">
        <v>0</v>
      </c>
      <c r="N16" s="93" t="n">
        <v>0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93" t="n">
        <v>33</v>
      </c>
      <c r="K17" s="93" t="n">
        <v>33</v>
      </c>
      <c r="L17" s="93" t="n">
        <v>33</v>
      </c>
      <c r="M17" s="93" t="n">
        <v>33</v>
      </c>
      <c r="N17" s="93" t="n">
        <v>33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93" t="n">
        <v>45391.8</v>
      </c>
      <c r="K18" s="93" t="n">
        <v>50838.8</v>
      </c>
      <c r="L18" s="93" t="n">
        <v>55922.7</v>
      </c>
      <c r="M18" s="93" t="n">
        <v>60955.8</v>
      </c>
      <c r="N18" s="93" t="n">
        <v>65832.2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93" t="n">
        <v>0</v>
      </c>
      <c r="K19" s="93" t="n">
        <v>0</v>
      </c>
      <c r="L19" s="93" t="n">
        <v>0</v>
      </c>
      <c r="M19" s="93" t="n">
        <v>0</v>
      </c>
      <c r="N19" s="9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93" t="n">
        <v>0</v>
      </c>
      <c r="K20" s="93" t="n">
        <v>0</v>
      </c>
      <c r="L20" s="93" t="n">
        <v>0</v>
      </c>
      <c r="M20" s="93" t="n">
        <v>0</v>
      </c>
      <c r="N20" s="9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Revenue</t>
        </is>
      </c>
      <c r="C24" s="18" t="n"/>
      <c r="D24" s="46" t="n"/>
      <c r="E24" s="93" t="n">
        <v>1316536</v>
      </c>
      <c r="F24" s="93" t="n">
        <v>1377270</v>
      </c>
      <c r="G24" s="93" t="n">
        <v>1513557</v>
      </c>
      <c r="H24" s="93" t="n">
        <v>1717526</v>
      </c>
      <c r="I24" s="93" t="n">
        <v>1990869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93" t="n">
        <v>332462</v>
      </c>
      <c r="F25" s="93" t="n">
        <v>302174</v>
      </c>
      <c r="G25" s="93" t="n">
        <v>311053</v>
      </c>
      <c r="H25" s="93" t="n">
        <v>348206</v>
      </c>
      <c r="I25" s="93" t="n">
        <v>353722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SG&amp;A + R&amp;D + other opex (ex-D&amp;A)</t>
        </is>
      </c>
      <c r="E28" s="93" t="n">
        <v>452993</v>
      </c>
      <c r="F28" s="93" t="n">
        <v>512217</v>
      </c>
      <c r="G28" s="93" t="n">
        <v>545036</v>
      </c>
      <c r="H28" s="93" t="n">
        <v>621864</v>
      </c>
      <c r="I28" s="93" t="n">
        <v>697345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Other income, net (negative = income)</t>
        </is>
      </c>
      <c r="E29" s="93" t="n">
        <v>0</v>
      </c>
      <c r="F29" s="93" t="n">
        <v>0</v>
      </c>
      <c r="G29" s="93" t="n">
        <v>-6340</v>
      </c>
      <c r="H29" s="93" t="n">
        <v>-14034</v>
      </c>
      <c r="I29" s="93" t="n">
        <v>-11392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93" t="n">
        <v>25592</v>
      </c>
      <c r="F30" s="93" t="n">
        <v>20465</v>
      </c>
      <c r="G30" s="93" t="n">
        <v>14638</v>
      </c>
      <c r="H30" s="93" t="n">
        <v>13827</v>
      </c>
      <c r="I30" s="93" t="n">
        <v>14952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94" t="n">
        <v>40092</v>
      </c>
      <c r="F31" s="94" t="n">
        <v>68967</v>
      </c>
      <c r="G31" s="94" t="n">
        <v>95546</v>
      </c>
      <c r="H31" s="94" t="n">
        <v>105638</v>
      </c>
      <c r="I31" s="94" t="n">
        <v>133647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93" t="n">
        <v>81058</v>
      </c>
      <c r="F35" s="93" t="n">
        <v>97768</v>
      </c>
      <c r="G35" s="93" t="n">
        <v>124249</v>
      </c>
      <c r="H35" s="93" t="n">
        <v>129214</v>
      </c>
      <c r="I35" s="93" t="n">
        <v>150649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93" t="n">
        <v>195354</v>
      </c>
      <c r="F41" s="93" t="n">
        <v>133202</v>
      </c>
      <c r="G41" s="93" t="n">
        <v>136778</v>
      </c>
      <c r="H41" s="93" t="n">
        <v>150667</v>
      </c>
      <c r="I41" s="93" t="n">
        <v>134136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93" t="n">
        <v>312107</v>
      </c>
      <c r="F42" s="93" t="n">
        <v>322410</v>
      </c>
      <c r="G42" s="93" t="n">
        <v>387947</v>
      </c>
      <c r="H42" s="93" t="n">
        <v>426642</v>
      </c>
      <c r="I42" s="93" t="n">
        <v>529148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93" t="n">
        <v>0</v>
      </c>
      <c r="F43" s="93" t="n">
        <v>0</v>
      </c>
      <c r="G43" s="93" t="n">
        <v>0</v>
      </c>
      <c r="H43" s="93" t="n">
        <v>0</v>
      </c>
      <c r="I43" s="93" t="n">
        <v>0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93" t="n">
        <v>27913</v>
      </c>
      <c r="F44" s="93" t="n">
        <v>17580</v>
      </c>
      <c r="G44" s="93" t="n">
        <v>10966</v>
      </c>
      <c r="H44" s="93" t="n">
        <v>38465</v>
      </c>
      <c r="I44" s="93" t="n">
        <v>67713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93" t="n">
        <v>20749</v>
      </c>
      <c r="F48" s="93" t="n">
        <v>17273</v>
      </c>
      <c r="G48" s="93" t="n">
        <v>19009</v>
      </c>
      <c r="H48" s="93" t="n">
        <v>22473</v>
      </c>
      <c r="I48" s="93" t="n">
        <v>32315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93" t="n">
        <v>1009018</v>
      </c>
      <c r="F49" s="93" t="n">
        <v>1823669</v>
      </c>
      <c r="G49" s="93" t="n">
        <v>1811658</v>
      </c>
      <c r="H49" s="93" t="n">
        <v>2209021</v>
      </c>
      <c r="I49" s="93" t="n">
        <v>3055691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93" t="n">
        <v>-494393</v>
      </c>
      <c r="F52" s="93" t="n">
        <v>-1367750</v>
      </c>
      <c r="G52" s="93" t="n">
        <v>-1294976</v>
      </c>
      <c r="H52" s="93" t="n">
        <v>-1615720</v>
      </c>
      <c r="I52" s="93" t="n">
        <v>-2357009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93" t="n">
        <v>0</v>
      </c>
      <c r="F53" s="93" t="n">
        <v>0</v>
      </c>
      <c r="G53" s="93" t="n">
        <v>0</v>
      </c>
      <c r="H53" s="93" t="n">
        <v>0</v>
      </c>
      <c r="I53" s="93" t="n">
        <v>0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93" t="n">
        <v>-19789</v>
      </c>
      <c r="F64" s="93" t="n">
        <v>13779</v>
      </c>
      <c r="G64" s="93" t="n">
        <v>63801</v>
      </c>
      <c r="H64" s="93" t="n">
        <v>35231</v>
      </c>
      <c r="I64" s="93" t="n">
        <v>92664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93" t="n">
        <v>7569</v>
      </c>
      <c r="F68" s="93" t="n">
        <v>6029</v>
      </c>
      <c r="G68" s="93" t="n">
        <v>4237</v>
      </c>
      <c r="H68" s="93" t="n">
        <v>25551</v>
      </c>
      <c r="I68" s="93" t="n">
        <v>39407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93" t="n">
        <v>269583</v>
      </c>
      <c r="F72" s="93" t="n">
        <v>814651</v>
      </c>
      <c r="G72" s="93" t="n">
        <v>-12011</v>
      </c>
      <c r="H72" s="93" t="n">
        <v>397363</v>
      </c>
      <c r="I72" s="93" t="n">
        <v>846670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93" t="n">
        <v>0</v>
      </c>
      <c r="F73" s="93" t="n">
        <v>0</v>
      </c>
      <c r="G73" s="93" t="n">
        <v>0</v>
      </c>
      <c r="H73" s="93" t="n">
        <v>0</v>
      </c>
      <c r="I73" s="9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93" t="n">
        <v>157394</v>
      </c>
      <c r="F77" s="33">
        <f>E78</f>
        <v/>
      </c>
      <c r="G77" s="33">
        <f>F78</f>
        <v/>
      </c>
      <c r="H77" s="33">
        <f>G78</f>
        <v/>
      </c>
      <c r="I77" s="33">
        <f>H78</f>
        <v/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93" t="n">
        <v>312107</v>
      </c>
      <c r="F85" s="93" t="n">
        <v>322410</v>
      </c>
      <c r="G85" s="93" t="n">
        <v>387947</v>
      </c>
      <c r="H85" s="93" t="n">
        <v>426642</v>
      </c>
      <c r="I85" s="93" t="n">
        <v>529148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93" t="n">
        <v>0</v>
      </c>
      <c r="F86" s="93" t="n">
        <v>0</v>
      </c>
      <c r="G86" s="93" t="n">
        <v>0</v>
      </c>
      <c r="H86" s="93" t="n">
        <v>0</v>
      </c>
      <c r="I86" s="93" t="n">
        <v>0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93" t="n">
        <v>20749</v>
      </c>
      <c r="F87" s="93" t="n">
        <v>17273</v>
      </c>
      <c r="G87" s="93" t="n">
        <v>19009</v>
      </c>
      <c r="H87" s="93" t="n">
        <v>22473</v>
      </c>
      <c r="I87" s="93" t="n">
        <v>32315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93" t="n">
        <v>46419</v>
      </c>
      <c r="F92" s="93" t="n">
        <v>27913</v>
      </c>
      <c r="G92" s="93" t="n">
        <v>17580</v>
      </c>
      <c r="H92" s="93" t="n">
        <v>10966</v>
      </c>
      <c r="I92" s="93" t="n">
        <v>38465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93" t="n">
        <v>7086</v>
      </c>
      <c r="F93" s="93" t="n">
        <v>10132</v>
      </c>
      <c r="G93" s="93" t="n">
        <v>8024</v>
      </c>
      <c r="H93" s="93" t="n">
        <v>41326</v>
      </c>
      <c r="I93" s="93" t="n">
        <v>44200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93" t="n">
        <v>25592</v>
      </c>
      <c r="F94" s="93" t="n">
        <v>20465</v>
      </c>
      <c r="G94" s="93" t="n">
        <v>14638</v>
      </c>
      <c r="H94" s="93" t="n">
        <v>13827</v>
      </c>
      <c r="I94" s="93" t="n">
        <v>14952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93" t="n">
        <v>739435</v>
      </c>
      <c r="F98" s="93" t="n">
        <v>1009018</v>
      </c>
      <c r="G98" s="93" t="n">
        <v>1823669</v>
      </c>
      <c r="H98" s="93" t="n">
        <v>1811658</v>
      </c>
      <c r="I98" s="93" t="n">
        <v>2209021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93" t="n">
        <v>269583</v>
      </c>
      <c r="F99" s="93" t="n">
        <v>814651</v>
      </c>
      <c r="G99" s="93" t="n">
        <v>-12011</v>
      </c>
      <c r="H99" s="93" t="n">
        <v>397363</v>
      </c>
      <c r="I99" s="93" t="n">
        <v>846670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93" t="n">
        <v>40092</v>
      </c>
      <c r="F101" s="93" t="n">
        <v>68967</v>
      </c>
      <c r="G101" s="93" t="n">
        <v>95546</v>
      </c>
      <c r="H101" s="93" t="n">
        <v>105638</v>
      </c>
      <c r="I101" s="93" t="n">
        <v>133647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95" t="inlineStr">
        <is>
          <t>FICO simplified 3-statement mapping — educational only. Goodwill, deferred revenue, leases, SBC and buybacks not fully modeled.</t>
        </is>
      </c>
    </row>
    <row r="132">
      <c r="B132" s="95" t="inlineStr">
        <is>
          <t>Yellow/blue cells = FICO inputs. Forecast J-N: growth 14%→8%, EBIT-like opex via SG&amp;A+R&amp;D, tax 18.8%, kd 5.5%, AR days ~97.</t>
        </is>
      </c>
      <c r="C132" s="69" t="n"/>
      <c r="D132" s="69" t="n"/>
    </row>
    <row r="133">
      <c r="B133" s="95" t="inlineStr">
        <is>
          <t>Sources: SEC EDGAR FY2025 10-K / companyfacts; market bridge uses 10-Q 2026-06-30 in the DCF file.</t>
        </is>
      </c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12.6328125" customWidth="1" min="2" max="2"/>
    <col width="12.453125" customWidth="1" min="3" max="3"/>
    <col width="11.36328125" customWidth="1" min="4" max="4"/>
    <col width="11.54296875" customWidth="1" min="5" max="5"/>
    <col width="12.54296875" customWidth="1" min="10" max="10"/>
    <col width="9.08984375" customWidth="1" min="15" max="15"/>
  </cols>
  <sheetData>
    <row r="1" ht="18" customHeight="1">
      <c r="A1" s="98" t="inlineStr">
        <is>
          <t>© Corporate Finance Institute®. All rights reserved.</t>
        </is>
      </c>
      <c r="B1" s="99" t="n"/>
      <c r="C1" s="99" t="n"/>
      <c r="D1" s="100" t="n"/>
      <c r="E1" s="100" t="n"/>
      <c r="F1" s="100" t="n"/>
      <c r="G1" s="100" t="n"/>
      <c r="H1" s="98" t="n"/>
      <c r="I1" s="99" t="n"/>
      <c r="J1" s="99" t="n"/>
      <c r="K1" s="100" t="n"/>
      <c r="L1" s="100" t="n"/>
      <c r="M1" s="100" t="n"/>
      <c r="N1" s="100" t="n"/>
    </row>
    <row r="2" ht="18" customHeight="1">
      <c r="A2" s="99" t="n"/>
      <c r="B2" s="101" t="inlineStr">
        <is>
          <t>FICO MEGA DCF (linked to 01_Three_Statement)</t>
        </is>
      </c>
      <c r="C2" s="102" t="n"/>
      <c r="D2" s="102" t="n"/>
      <c r="E2" s="102" t="n"/>
      <c r="F2" s="100" t="n"/>
      <c r="G2" s="100" t="n"/>
      <c r="H2" s="99" t="n"/>
      <c r="I2" s="101" t="n"/>
      <c r="J2" s="102" t="n"/>
      <c r="K2" s="102" t="n"/>
      <c r="L2" s="102" t="n"/>
      <c r="M2" s="100" t="n"/>
      <c r="N2" s="100" t="n"/>
    </row>
    <row r="3" ht="16" customHeight="1">
      <c r="A3" s="103" t="n"/>
      <c r="B3" s="104" t="n"/>
      <c r="C3" s="103" t="n"/>
      <c r="D3" s="105" t="n"/>
      <c r="E3" s="106" t="n"/>
      <c r="F3" s="106" t="n"/>
      <c r="G3" s="106" t="n"/>
      <c r="H3" s="106" t="n"/>
      <c r="I3" s="106" t="n"/>
      <c r="J3" s="103" t="n"/>
      <c r="K3" s="103" t="n"/>
      <c r="L3" s="103" t="n"/>
      <c r="M3" s="103" t="n"/>
      <c r="N3" s="103" t="n"/>
      <c r="O3" s="103" t="n"/>
    </row>
    <row r="4" ht="16" customHeight="1">
      <c r="A4" s="103" t="n"/>
      <c r="B4" s="107" t="inlineStr">
        <is>
          <t>Assumptions</t>
        </is>
      </c>
      <c r="C4" s="108" t="n"/>
      <c r="D4" s="108" t="n"/>
      <c r="E4" s="106" t="n"/>
      <c r="F4" s="103" t="n"/>
      <c r="G4" s="103" t="n"/>
      <c r="H4" s="103" t="n"/>
      <c r="I4" s="103" t="n"/>
      <c r="J4" s="103" t="n"/>
      <c r="K4" s="103" t="n"/>
      <c r="L4" s="103" t="n"/>
      <c r="M4" s="103" t="n"/>
      <c r="N4" s="103" t="n"/>
      <c r="O4" s="103" t="n"/>
    </row>
    <row r="5" ht="16" customHeight="1">
      <c r="A5" s="103" t="n"/>
      <c r="B5" s="109" t="inlineStr">
        <is>
          <t>Tax Rate</t>
        </is>
      </c>
      <c r="C5" s="106" t="n"/>
      <c r="D5" s="110">
        <f>'01_Three_Statement'!J13</f>
        <v/>
      </c>
      <c r="E5" s="106" t="n"/>
      <c r="F5" s="103" t="n"/>
      <c r="G5" s="103" t="n"/>
      <c r="H5" s="103" t="n"/>
      <c r="I5" s="103" t="n"/>
      <c r="J5" s="103" t="n"/>
      <c r="K5" s="103" t="n"/>
      <c r="L5" s="103" t="n"/>
      <c r="M5" s="103" t="n"/>
      <c r="N5" s="103" t="n"/>
      <c r="O5" s="103" t="n"/>
    </row>
    <row r="6" ht="16" customHeight="1">
      <c r="A6" s="103" t="n"/>
      <c r="B6" s="109" t="inlineStr">
        <is>
          <t>Discount Rate</t>
        </is>
      </c>
      <c r="C6" s="103" t="n"/>
      <c r="D6" s="110" t="n">
        <v>0.096</v>
      </c>
      <c r="E6" s="103" t="n"/>
      <c r="F6" s="103" t="n"/>
      <c r="G6" s="103" t="n"/>
      <c r="H6" s="103" t="n"/>
      <c r="I6" s="103" t="n"/>
      <c r="J6" s="103" t="n"/>
      <c r="K6" s="103" t="n"/>
      <c r="L6" s="103" t="n"/>
      <c r="M6" s="103" t="n"/>
      <c r="N6" s="103" t="n"/>
      <c r="O6" s="103" t="n"/>
    </row>
    <row r="7" ht="16" customHeight="1">
      <c r="A7" s="103" t="n"/>
      <c r="B7" s="103" t="inlineStr">
        <is>
          <t>Perpetural Growth Rate</t>
        </is>
      </c>
      <c r="C7" s="103" t="n"/>
      <c r="D7" s="110" t="n">
        <v>0.03</v>
      </c>
      <c r="E7" s="103" t="n"/>
      <c r="F7" s="103" t="n"/>
      <c r="G7" s="103" t="n"/>
      <c r="H7" s="103" t="n"/>
      <c r="I7" s="103" t="n"/>
      <c r="J7" s="103" t="n"/>
      <c r="K7" s="103" t="n"/>
      <c r="L7" s="103" t="n"/>
      <c r="M7" s="103" t="n"/>
      <c r="N7" s="103" t="n"/>
      <c r="O7" s="103" t="n"/>
    </row>
    <row r="8" ht="16" customHeight="1">
      <c r="A8" s="103" t="n"/>
      <c r="B8" s="103" t="inlineStr">
        <is>
          <t>EV/EBITDA Mulltiple</t>
        </is>
      </c>
      <c r="C8" s="103" t="n"/>
      <c r="D8" s="111" t="n">
        <v>25</v>
      </c>
      <c r="E8" s="103" t="n"/>
      <c r="F8" s="103" t="n"/>
      <c r="G8" s="103" t="n"/>
      <c r="H8" s="103" t="n"/>
      <c r="I8" s="103" t="n"/>
      <c r="J8" s="103" t="n"/>
      <c r="K8" s="103" t="n"/>
      <c r="L8" s="103" t="n"/>
      <c r="M8" s="103" t="n"/>
      <c r="N8" s="103" t="n"/>
      <c r="O8" s="103" t="n"/>
    </row>
    <row r="9" ht="16" customHeight="1">
      <c r="A9" s="103" t="n"/>
      <c r="B9" s="103" t="inlineStr">
        <is>
          <t>Transaction Date</t>
        </is>
      </c>
      <c r="C9" s="103" t="n"/>
      <c r="D9" s="112" t="n">
        <v>45930</v>
      </c>
      <c r="E9" s="103" t="n"/>
      <c r="F9" s="103" t="n"/>
      <c r="G9" s="103" t="n"/>
      <c r="H9" s="103" t="n"/>
      <c r="I9" s="103" t="n"/>
      <c r="J9" s="103" t="n"/>
      <c r="K9" s="103" t="n"/>
      <c r="L9" s="103" t="n"/>
      <c r="M9" s="103" t="n"/>
      <c r="N9" s="103" t="n"/>
      <c r="O9" s="103" t="n"/>
    </row>
    <row r="10" ht="16" customHeight="1">
      <c r="A10" s="103" t="n"/>
      <c r="B10" s="103" t="inlineStr">
        <is>
          <t>Fiscal Year End</t>
        </is>
      </c>
      <c r="C10" s="103" t="n"/>
      <c r="D10" s="112" t="n">
        <v>45930</v>
      </c>
      <c r="E10" s="103" t="n"/>
      <c r="F10" s="103" t="n"/>
      <c r="G10" s="103" t="n"/>
      <c r="H10" s="103" t="n"/>
      <c r="I10" s="103" t="n"/>
      <c r="J10" s="103" t="n"/>
      <c r="K10" s="103" t="n"/>
      <c r="L10" s="103" t="n"/>
      <c r="M10" s="103" t="n"/>
      <c r="N10" s="103" t="n"/>
      <c r="O10" s="103" t="n"/>
    </row>
    <row r="11" ht="16" customHeight="1">
      <c r="A11" s="103" t="n"/>
      <c r="B11" s="103" t="inlineStr">
        <is>
          <t>Current Price</t>
        </is>
      </c>
      <c r="C11" s="103" t="n"/>
      <c r="D11" s="113" t="n">
        <v>1046.23</v>
      </c>
      <c r="E11" s="103" t="n"/>
      <c r="F11" s="103" t="n"/>
      <c r="G11" s="103" t="n"/>
      <c r="H11" s="103" t="n"/>
      <c r="I11" s="103" t="n"/>
      <c r="J11" s="103" t="n"/>
      <c r="K11" s="103" t="n"/>
      <c r="L11" s="103" t="n"/>
      <c r="M11" s="103" t="n"/>
      <c r="N11" s="103" t="n"/>
      <c r="O11" s="103" t="n"/>
    </row>
    <row r="12" ht="16" customHeight="1">
      <c r="A12" s="103" t="n"/>
      <c r="B12" s="103" t="inlineStr">
        <is>
          <t>Shares Outstanding</t>
        </is>
      </c>
      <c r="C12" s="103" t="n"/>
      <c r="D12" s="114" t="n">
        <v>21597.635</v>
      </c>
      <c r="E12" s="103" t="n"/>
      <c r="F12" s="103" t="n"/>
      <c r="G12" s="103" t="n"/>
      <c r="H12" s="103" t="n"/>
      <c r="I12" s="103" t="n"/>
      <c r="J12" s="103" t="n"/>
      <c r="K12" s="103" t="n"/>
      <c r="L12" s="103" t="n"/>
      <c r="M12" s="103" t="n"/>
      <c r="N12" s="103" t="n"/>
      <c r="O12" s="103" t="n"/>
    </row>
    <row r="13" ht="16" customHeight="1">
      <c r="A13" s="103" t="n"/>
      <c r="B13" s="103" t="inlineStr">
        <is>
          <t>Debt</t>
        </is>
      </c>
      <c r="C13" s="103" t="n"/>
      <c r="D13" s="114">
        <f>'01_Three_Statement'!I49</f>
        <v/>
      </c>
      <c r="E13" s="103" t="n"/>
      <c r="F13" s="103" t="n"/>
      <c r="G13" s="103" t="n"/>
      <c r="H13" s="103" t="n"/>
      <c r="I13" s="103" t="n"/>
      <c r="J13" s="103" t="n"/>
      <c r="K13" s="103" t="n"/>
      <c r="L13" s="103" t="n"/>
      <c r="M13" s="103" t="n"/>
      <c r="N13" s="103" t="n"/>
      <c r="O13" s="103" t="n"/>
    </row>
    <row r="14" ht="16" customHeight="1">
      <c r="A14" s="103" t="n"/>
      <c r="B14" s="103" t="inlineStr">
        <is>
          <t>Cash</t>
        </is>
      </c>
      <c r="C14" s="103" t="n"/>
      <c r="D14" s="114">
        <f>'01_Three_Statement'!I41</f>
        <v/>
      </c>
      <c r="E14" s="103" t="n"/>
      <c r="F14" s="103" t="n"/>
      <c r="G14" s="103" t="n"/>
      <c r="H14" s="103" t="n"/>
      <c r="I14" s="103" t="n"/>
      <c r="J14" s="103" t="n"/>
      <c r="K14" s="103" t="n"/>
      <c r="L14" s="103" t="n"/>
      <c r="M14" s="103" t="n"/>
      <c r="N14" s="103" t="n"/>
      <c r="O14" s="103" t="n"/>
    </row>
    <row r="15" ht="16" customHeight="1">
      <c r="A15" s="103" t="n"/>
      <c r="B15" s="103" t="inlineStr">
        <is>
          <t>Capex</t>
        </is>
      </c>
      <c r="C15" s="103" t="n"/>
      <c r="D15" s="115">
        <f>'01_Three_Statement'!I68</f>
        <v/>
      </c>
      <c r="E15" s="103" t="n"/>
      <c r="F15" s="103" t="n"/>
      <c r="G15" s="103" t="n"/>
      <c r="H15" s="103" t="n"/>
      <c r="I15" s="103" t="n"/>
      <c r="J15" s="103" t="n"/>
      <c r="K15" s="103" t="n"/>
      <c r="L15" s="103" t="n"/>
      <c r="M15" s="103" t="n"/>
      <c r="N15" s="103" t="n"/>
      <c r="O15" s="103" t="n"/>
    </row>
    <row r="16" ht="16" customHeight="1">
      <c r="A16" s="103" t="n"/>
      <c r="B16" s="103" t="inlineStr">
        <is>
          <t>Debt/Cash source</t>
        </is>
      </c>
      <c r="C16" s="103" t="n"/>
      <c r="D16" s="116" t="inlineStr">
        <is>
          <t>3-stmt FY2025 (I49/I41). Override D13/D14 if using 10-Q.</t>
        </is>
      </c>
      <c r="J16" s="103" t="n"/>
      <c r="K16" s="103" t="n"/>
      <c r="L16" s="103" t="n"/>
      <c r="M16" s="103" t="n"/>
      <c r="N16" s="103" t="n"/>
      <c r="O16" s="103" t="n"/>
    </row>
    <row r="17" ht="16" customHeight="1">
      <c r="A17" s="103" t="n"/>
      <c r="B17" s="117" t="inlineStr">
        <is>
          <t>Discounted Cash Flow</t>
        </is>
      </c>
      <c r="C17" s="118" t="n"/>
      <c r="D17" s="119" t="inlineStr">
        <is>
          <t>Entry</t>
        </is>
      </c>
      <c r="E17" s="120">
        <f>YEAR(E18)</f>
        <v/>
      </c>
      <c r="F17" s="120">
        <f>YEAR(F18)</f>
        <v/>
      </c>
      <c r="G17" s="120">
        <f>YEAR(G18)</f>
        <v/>
      </c>
      <c r="H17" s="120">
        <f>YEAR(H18)</f>
        <v/>
      </c>
      <c r="I17" s="120">
        <f>YEAR(I18)</f>
        <v/>
      </c>
      <c r="J17" s="119" t="inlineStr">
        <is>
          <t>Exit</t>
        </is>
      </c>
      <c r="K17" s="103" t="n"/>
      <c r="L17" s="117" t="inlineStr">
        <is>
          <t>Terminal Value</t>
        </is>
      </c>
      <c r="M17" s="118" t="n"/>
      <c r="N17" s="118" t="n"/>
      <c r="O17" s="103" t="n"/>
    </row>
    <row r="18" ht="16" customHeight="1">
      <c r="A18" s="103" t="n"/>
      <c r="B18" s="103" t="inlineStr">
        <is>
          <t>Date</t>
        </is>
      </c>
      <c r="C18" s="103" t="n"/>
      <c r="D18" s="121">
        <f>D9</f>
        <v/>
      </c>
      <c r="E18" s="121">
        <f>DATE(YEAR($D$10)+E19,9,30)</f>
        <v/>
      </c>
      <c r="F18" s="121">
        <f>DATE(YEAR($D$10)+F19,9,30)</f>
        <v/>
      </c>
      <c r="G18" s="121">
        <f>DATE(YEAR($D$10)+G19,9,30)</f>
        <v/>
      </c>
      <c r="H18" s="121">
        <f>DATE(YEAR($D$10)+H19,9,30)</f>
        <v/>
      </c>
      <c r="I18" s="121">
        <f>DATE(YEAR($D$10)+I19,9,30)</f>
        <v/>
      </c>
      <c r="J18" s="122">
        <f>I18</f>
        <v/>
      </c>
      <c r="K18" s="103" t="n"/>
      <c r="L18" s="103" t="inlineStr">
        <is>
          <t>Perpetural Growth</t>
        </is>
      </c>
      <c r="M18" s="103" t="n"/>
      <c r="N18" s="103">
        <f>(I26*(1+D7))/(D6-D7)</f>
        <v/>
      </c>
      <c r="O18" s="103" t="n"/>
    </row>
    <row r="19" ht="16" customHeight="1">
      <c r="A19" s="103" t="n"/>
      <c r="B19" s="123" t="inlineStr">
        <is>
          <t>Time Periods</t>
        </is>
      </c>
      <c r="C19" s="123" t="n"/>
      <c r="D19" s="121" t="n"/>
      <c r="E19" s="124" t="n">
        <v>0</v>
      </c>
      <c r="F19" s="125">
        <f>E19+1</f>
        <v/>
      </c>
      <c r="G19" s="125">
        <f>F19+1</f>
        <v/>
      </c>
      <c r="H19" s="125">
        <f>G19+1</f>
        <v/>
      </c>
      <c r="I19" s="125">
        <f>H19+1</f>
        <v/>
      </c>
      <c r="J19" s="121" t="n"/>
      <c r="K19" s="103" t="n"/>
      <c r="L19" s="103" t="inlineStr">
        <is>
          <t>EV/EBITDA</t>
        </is>
      </c>
      <c r="M19" s="103" t="n"/>
      <c r="N19" s="126">
        <f>D8*(I21+I23)</f>
        <v/>
      </c>
      <c r="O19" s="103" t="n"/>
    </row>
    <row r="20" ht="16" customHeight="1">
      <c r="A20" s="103" t="n"/>
      <c r="B20" s="123" t="inlineStr">
        <is>
          <t>Year Fraction</t>
        </is>
      </c>
      <c r="C20" s="103" t="n"/>
      <c r="D20" s="103" t="n"/>
      <c r="E20" s="127">
        <f>YEARFRAC(D18,E18)</f>
        <v/>
      </c>
      <c r="F20" s="127">
        <f>YEARFRAC(E18,F18)</f>
        <v/>
      </c>
      <c r="G20" s="127">
        <f>YEARFRAC(F18,G18)</f>
        <v/>
      </c>
      <c r="H20" s="127">
        <f>YEARFRAC(G18,H18)</f>
        <v/>
      </c>
      <c r="I20" s="127">
        <f>YEARFRAC(H18,I18)</f>
        <v/>
      </c>
      <c r="J20" s="103" t="n"/>
      <c r="K20" s="103" t="n"/>
      <c r="L20" s="103" t="inlineStr">
        <is>
          <t>Average</t>
        </is>
      </c>
      <c r="M20" s="103" t="n"/>
      <c r="N20" s="128">
        <f>AVERAGE(N18:N19)</f>
        <v/>
      </c>
      <c r="O20" s="103" t="n"/>
    </row>
    <row r="21" ht="16" customHeight="1">
      <c r="A21" s="103" t="n"/>
      <c r="B21" s="103" t="inlineStr">
        <is>
          <t>EBIT (from 3-stmt)</t>
        </is>
      </c>
      <c r="C21" s="103" t="n"/>
      <c r="D21" s="103" t="n"/>
      <c r="E21" s="129">
        <f>'01_Three_Statement'!J26-'01_Three_Statement'!J28-'01_Three_Statement'!J29-'01_Three_Statement'!J30</f>
        <v/>
      </c>
      <c r="F21" s="129">
        <f>'01_Three_Statement'!K26-'01_Three_Statement'!K28-'01_Three_Statement'!K29-'01_Three_Statement'!K30</f>
        <v/>
      </c>
      <c r="G21" s="129">
        <f>'01_Three_Statement'!L26-'01_Three_Statement'!L28-'01_Three_Statement'!L29-'01_Three_Statement'!L30</f>
        <v/>
      </c>
      <c r="H21" s="129">
        <f>'01_Three_Statement'!M26-'01_Three_Statement'!M28-'01_Three_Statement'!M29-'01_Three_Statement'!M30</f>
        <v/>
      </c>
      <c r="I21" s="129">
        <f>'01_Three_Statement'!N26-'01_Three_Statement'!N28-'01_Three_Statement'!N29-'01_Three_Statement'!N30</f>
        <v/>
      </c>
      <c r="J21" s="103" t="n"/>
      <c r="K21" s="103" t="n"/>
      <c r="L21" s="103" t="n"/>
      <c r="M21" s="103" t="n"/>
      <c r="N21" s="103" t="n"/>
      <c r="O21" s="103" t="n"/>
    </row>
    <row r="22" ht="16" customHeight="1">
      <c r="A22" s="103" t="n"/>
      <c r="B22" s="103" t="inlineStr">
        <is>
          <t>Less: Cash Taxes</t>
        </is>
      </c>
      <c r="C22" s="103" t="n"/>
      <c r="D22" s="103" t="n"/>
      <c r="E22" s="126">
        <f>E21*$D$5</f>
        <v/>
      </c>
      <c r="F22" s="126">
        <f>F21*$D$5</f>
        <v/>
      </c>
      <c r="G22" s="126">
        <f>G21*$D$5</f>
        <v/>
      </c>
      <c r="H22" s="126">
        <f>H21*$D$5</f>
        <v/>
      </c>
      <c r="I22" s="126">
        <f>I21*$D$5</f>
        <v/>
      </c>
      <c r="J22" s="103" t="n"/>
      <c r="K22" s="103" t="n"/>
      <c r="L22" s="103" t="n"/>
      <c r="M22" s="103" t="n"/>
      <c r="N22" s="103" t="n"/>
      <c r="O22" s="103" t="n"/>
    </row>
    <row r="23" ht="16" customHeight="1">
      <c r="A23" s="103" t="n"/>
      <c r="B23" s="103" t="inlineStr">
        <is>
          <t>Plus: D&amp;A (from 3-stmt)</t>
        </is>
      </c>
      <c r="C23" s="103" t="n"/>
      <c r="D23" s="103" t="n"/>
      <c r="E23" s="130">
        <f>'01_Three_Statement'!J30</f>
        <v/>
      </c>
      <c r="F23" s="130">
        <f>'01_Three_Statement'!K30</f>
        <v/>
      </c>
      <c r="G23" s="130">
        <f>'01_Three_Statement'!L30</f>
        <v/>
      </c>
      <c r="H23" s="130">
        <f>'01_Three_Statement'!M30</f>
        <v/>
      </c>
      <c r="I23" s="130">
        <f>'01_Three_Statement'!N30</f>
        <v/>
      </c>
      <c r="J23" s="103" t="n"/>
      <c r="K23" s="103" t="n"/>
      <c r="L23" s="103" t="n"/>
      <c r="M23" s="103" t="n"/>
      <c r="N23" s="103" t="n"/>
      <c r="O23" s="103" t="n"/>
    </row>
    <row r="24" ht="16" customHeight="1">
      <c r="A24" s="103" t="n"/>
      <c r="B24" s="103" t="inlineStr">
        <is>
          <t>Less: Capex (from 3-stmt)</t>
        </is>
      </c>
      <c r="C24" s="103" t="n"/>
      <c r="D24" s="103" t="n"/>
      <c r="E24" s="129">
        <f>'01_Three_Statement'!J18</f>
        <v/>
      </c>
      <c r="F24" s="129">
        <f>'01_Three_Statement'!K18</f>
        <v/>
      </c>
      <c r="G24" s="129">
        <f>'01_Three_Statement'!L18</f>
        <v/>
      </c>
      <c r="H24" s="129">
        <f>'01_Three_Statement'!M18</f>
        <v/>
      </c>
      <c r="I24" s="129">
        <f>'01_Three_Statement'!N18</f>
        <v/>
      </c>
      <c r="J24" s="103" t="n"/>
      <c r="K24" s="103" t="n"/>
      <c r="L24" s="103" t="n"/>
      <c r="M24" s="103" t="n"/>
      <c r="N24" s="103" t="n"/>
      <c r="O24" s="103" t="n"/>
    </row>
    <row r="25" ht="16" customHeight="1">
      <c r="A25" s="103" t="n"/>
      <c r="B25" s="103" t="inlineStr">
        <is>
          <t>Less: Changes in NWC (from 3-stmt)</t>
        </is>
      </c>
      <c r="C25" s="103" t="n"/>
      <c r="D25" s="103" t="n"/>
      <c r="E25" s="129">
        <f>'01_Three_Statement'!J89</f>
        <v/>
      </c>
      <c r="F25" s="129">
        <f>'01_Three_Statement'!K89</f>
        <v/>
      </c>
      <c r="G25" s="129">
        <f>'01_Three_Statement'!L89</f>
        <v/>
      </c>
      <c r="H25" s="129">
        <f>'01_Three_Statement'!M89</f>
        <v/>
      </c>
      <c r="I25" s="129">
        <f>'01_Three_Statement'!N89</f>
        <v/>
      </c>
      <c r="J25" s="103" t="n"/>
      <c r="K25" s="103" t="n"/>
      <c r="L25" s="103" t="n"/>
      <c r="M25" s="103" t="n"/>
      <c r="N25" s="103" t="n"/>
      <c r="O25" s="103" t="n"/>
    </row>
    <row r="26" ht="16" customHeight="1">
      <c r="A26" s="103" t="n"/>
      <c r="B26" s="103" t="inlineStr">
        <is>
          <t>Unlevered FCF</t>
        </is>
      </c>
      <c r="C26" s="103" t="n"/>
      <c r="D26" s="103" t="n"/>
      <c r="E26" s="128">
        <f>E21-E22+E23-E24-E25</f>
        <v/>
      </c>
      <c r="F26" s="128">
        <f>F21-F22+F23-F24-F25</f>
        <v/>
      </c>
      <c r="G26" s="128">
        <f>G21-G22+G23-G24-G25</f>
        <v/>
      </c>
      <c r="H26" s="128">
        <f>H21-H22+H23-H24-H25</f>
        <v/>
      </c>
      <c r="I26" s="128">
        <f>I21-I22+I23-I24-I25</f>
        <v/>
      </c>
      <c r="J26" s="103" t="n"/>
      <c r="K26" s="103" t="n"/>
      <c r="L26" s="103" t="n"/>
      <c r="M26" s="103" t="n"/>
      <c r="N26" s="103" t="n"/>
      <c r="O26" s="103" t="n"/>
    </row>
    <row r="27" ht="16" customHeight="1">
      <c r="A27" s="103" t="n"/>
      <c r="B27" s="103" t="inlineStr">
        <is>
          <t>(Entry)/Exit</t>
        </is>
      </c>
      <c r="C27" s="103" t="n"/>
      <c r="D27" s="103">
        <f>-I35</f>
        <v/>
      </c>
      <c r="E27" s="103" t="n"/>
      <c r="F27" s="103" t="n"/>
      <c r="G27" s="103" t="n"/>
      <c r="H27" s="103" t="n"/>
      <c r="I27" s="103" t="n"/>
      <c r="J27" s="103">
        <f>N20</f>
        <v/>
      </c>
      <c r="K27" s="103" t="n"/>
      <c r="L27" s="103" t="n"/>
      <c r="M27" s="103" t="n"/>
      <c r="N27" s="103" t="n"/>
      <c r="O27" s="103" t="n"/>
    </row>
    <row r="28" ht="16" customHeight="1">
      <c r="A28" s="103" t="n"/>
      <c r="B28" s="103" t="inlineStr">
        <is>
          <t>Transaction CF</t>
        </is>
      </c>
      <c r="C28" s="103" t="n"/>
      <c r="D28" s="128" t="n">
        <v>0</v>
      </c>
      <c r="E28" s="128">
        <f>(E27+E26)*E20</f>
        <v/>
      </c>
      <c r="F28" s="128">
        <f>(F27+F26)*F20</f>
        <v/>
      </c>
      <c r="G28" s="128">
        <f>(G27+G26)*G20</f>
        <v/>
      </c>
      <c r="H28" s="128">
        <f>(H27+H26)*H20</f>
        <v/>
      </c>
      <c r="I28" s="128">
        <f>(I27+I26)*I20</f>
        <v/>
      </c>
      <c r="J28" s="128">
        <f>J27+J26</f>
        <v/>
      </c>
      <c r="K28" s="103" t="n"/>
      <c r="L28" s="103" t="n"/>
      <c r="M28" s="103" t="n"/>
      <c r="N28" s="103" t="n"/>
      <c r="O28" s="103" t="n"/>
    </row>
    <row r="29" ht="16" customHeight="1">
      <c r="A29" s="103" t="n"/>
      <c r="B29" s="103" t="inlineStr">
        <is>
          <t>Transaction CF</t>
        </is>
      </c>
      <c r="C29" s="103" t="n"/>
      <c r="D29" s="103">
        <f>D27+D26</f>
        <v/>
      </c>
      <c r="E29" s="103">
        <f>(E27+E26)*E20</f>
        <v/>
      </c>
      <c r="F29" s="103">
        <f>(F27+F26)*F20</f>
        <v/>
      </c>
      <c r="G29" s="103">
        <f>(G27+G26)*G20</f>
        <v/>
      </c>
      <c r="H29" s="103">
        <f>(H27+H26)*H20</f>
        <v/>
      </c>
      <c r="I29" s="103">
        <f>(I27+I26)*I20</f>
        <v/>
      </c>
      <c r="J29" s="103">
        <f>J27</f>
        <v/>
      </c>
      <c r="K29" s="103" t="n"/>
      <c r="L29" s="103" t="n"/>
      <c r="M29" s="103" t="n"/>
      <c r="N29" s="103" t="n"/>
      <c r="O29" s="103" t="n"/>
    </row>
    <row r="30" ht="16" customHeight="1">
      <c r="A30" s="103" t="n"/>
      <c r="B30" s="103" t="n"/>
      <c r="C30" s="103" t="n"/>
      <c r="D30" s="105" t="n"/>
      <c r="E30" s="103" t="n"/>
      <c r="G30" s="103" t="n"/>
      <c r="H30" s="103" t="n"/>
      <c r="I30" s="103" t="n"/>
      <c r="J30" s="103" t="n"/>
      <c r="L30" s="103" t="n"/>
      <c r="M30" s="103" t="n"/>
      <c r="N30" s="103" t="n"/>
      <c r="O30" s="103" t="n"/>
    </row>
    <row r="31" ht="16" customHeight="1">
      <c r="A31" s="103" t="n"/>
      <c r="B31" s="117" t="inlineStr">
        <is>
          <t>Intrinsic Value</t>
        </is>
      </c>
      <c r="C31" s="118" t="n"/>
      <c r="D31" s="118" t="n"/>
      <c r="E31" s="103" t="n"/>
      <c r="G31" s="117" t="inlineStr">
        <is>
          <t>Market Value</t>
        </is>
      </c>
      <c r="H31" s="118" t="n"/>
      <c r="I31" s="118" t="n"/>
      <c r="J31" s="103" t="n"/>
      <c r="L31" s="117" t="inlineStr">
        <is>
          <t>Rate of Return</t>
        </is>
      </c>
      <c r="M31" s="118" t="n"/>
      <c r="N31" s="118" t="n"/>
      <c r="O31" s="103" t="n"/>
    </row>
    <row r="32" ht="16" customHeight="1">
      <c r="A32" s="103" t="n"/>
      <c r="B32" s="103" t="inlineStr">
        <is>
          <t>Enterprise Value</t>
        </is>
      </c>
      <c r="C32" s="103" t="n"/>
      <c r="D32" s="103">
        <f>XNPV(D6,D28:J28,D18:J18)</f>
        <v/>
      </c>
      <c r="E32" s="103" t="n"/>
      <c r="G32" s="103" t="inlineStr">
        <is>
          <t>Market Cap</t>
        </is>
      </c>
      <c r="H32" s="103" t="n"/>
      <c r="I32" s="103">
        <f>D12*D11</f>
        <v/>
      </c>
      <c r="J32" s="103" t="n"/>
      <c r="L32" s="103" t="inlineStr">
        <is>
          <t>Target Price Upside</t>
        </is>
      </c>
      <c r="M32" s="103" t="n"/>
      <c r="N32" s="131">
        <f>D37/I37-1</f>
        <v/>
      </c>
      <c r="O32" s="103" t="n"/>
    </row>
    <row r="33" ht="16" customHeight="1">
      <c r="A33" s="103" t="n"/>
      <c r="B33" s="103" t="inlineStr">
        <is>
          <t>Plus: Cash</t>
        </is>
      </c>
      <c r="C33" s="103" t="n"/>
      <c r="D33" s="103">
        <f>+D14</f>
        <v/>
      </c>
      <c r="E33" s="103" t="n"/>
      <c r="G33" s="103" t="inlineStr">
        <is>
          <t>Plus: Debt</t>
        </is>
      </c>
      <c r="H33" s="103" t="n"/>
      <c r="I33" s="103">
        <f>D13</f>
        <v/>
      </c>
      <c r="J33" s="103" t="n"/>
      <c r="L33" s="103" t="inlineStr">
        <is>
          <t>Internal Rate of Return (IRR)</t>
        </is>
      </c>
      <c r="M33" s="103" t="n"/>
      <c r="N33" s="131">
        <f>XIRR(D29:J29,D18:J18)</f>
        <v/>
      </c>
      <c r="O33" s="103" t="n"/>
    </row>
    <row r="34" ht="16" customHeight="1">
      <c r="A34" s="103" t="n"/>
      <c r="B34" s="103" t="inlineStr">
        <is>
          <t>Less: Debt</t>
        </is>
      </c>
      <c r="C34" s="103" t="n"/>
      <c r="D34" s="103">
        <f>+D13</f>
        <v/>
      </c>
      <c r="E34" s="103" t="n"/>
      <c r="G34" s="103" t="inlineStr">
        <is>
          <t>Less: Cash</t>
        </is>
      </c>
      <c r="H34" s="103" t="n"/>
      <c r="I34" s="103">
        <f>+D14</f>
        <v/>
      </c>
      <c r="J34" s="103" t="n"/>
      <c r="L34" s="103" t="n"/>
      <c r="M34" s="103" t="n"/>
      <c r="N34" s="103" t="n"/>
      <c r="O34" s="103" t="n"/>
    </row>
    <row r="35" ht="16" customHeight="1">
      <c r="A35" s="103" t="n"/>
      <c r="B35" s="103" t="inlineStr">
        <is>
          <t>Equity Value</t>
        </is>
      </c>
      <c r="C35" s="103" t="n"/>
      <c r="D35" s="128">
        <f>D32+D33-D34</f>
        <v/>
      </c>
      <c r="E35" s="103" t="n"/>
      <c r="G35" s="103" t="inlineStr">
        <is>
          <t>Enterprise Value</t>
        </is>
      </c>
      <c r="H35" s="103" t="n"/>
      <c r="I35" s="128">
        <f>I32+I33-I34</f>
        <v/>
      </c>
      <c r="J35" s="103" t="n"/>
      <c r="L35" s="117" t="inlineStr">
        <is>
          <t>Market Value vs Intrinsic Value</t>
        </is>
      </c>
      <c r="M35" s="118" t="n"/>
      <c r="N35" s="118" t="n"/>
      <c r="O35" s="103" t="n"/>
    </row>
    <row r="36" ht="16" customHeight="1">
      <c r="A36" s="103" t="n"/>
      <c r="B36" s="103" t="n"/>
      <c r="C36" s="103" t="n"/>
      <c r="D36" s="103" t="n"/>
      <c r="E36" s="103" t="n"/>
      <c r="G36" s="103" t="n"/>
      <c r="H36" s="103" t="n"/>
      <c r="I36" s="132" t="n"/>
      <c r="J36" s="103" t="n"/>
      <c r="L36" s="103" t="inlineStr">
        <is>
          <t>Market Value</t>
        </is>
      </c>
      <c r="M36" s="103" t="n"/>
      <c r="N36" s="132">
        <f>I37</f>
        <v/>
      </c>
      <c r="O36" s="103" t="n"/>
    </row>
    <row r="37" ht="16" customHeight="1">
      <c r="A37" s="103" t="n"/>
      <c r="B37" s="103" t="inlineStr">
        <is>
          <t>Equity Value/Share</t>
        </is>
      </c>
      <c r="C37" s="103" t="n"/>
      <c r="D37" s="132">
        <f>D35/D12</f>
        <v/>
      </c>
      <c r="E37" s="103" t="n"/>
      <c r="G37" s="103" t="inlineStr">
        <is>
          <t>Equity Value/Share</t>
        </is>
      </c>
      <c r="H37" s="103" t="n"/>
      <c r="I37" s="132">
        <f>D11</f>
        <v/>
      </c>
      <c r="J37" s="103" t="n"/>
      <c r="L37" s="103" t="inlineStr">
        <is>
          <t>Upside</t>
        </is>
      </c>
      <c r="M37" s="103" t="n"/>
      <c r="N37" s="132">
        <f>D37-I37</f>
        <v/>
      </c>
      <c r="O37" s="103" t="n"/>
    </row>
    <row r="38" ht="16" customHeight="1">
      <c r="A38" s="103" t="n"/>
      <c r="B38" s="103" t="n"/>
      <c r="C38" s="103" t="n"/>
      <c r="D38" s="103" t="n"/>
      <c r="E38" s="103" t="n"/>
      <c r="G38" s="103" t="n"/>
      <c r="H38" s="103" t="n"/>
      <c r="I38" s="103" t="n"/>
      <c r="J38" s="103" t="n"/>
      <c r="L38" s="103" t="inlineStr">
        <is>
          <t>Intrinsic Value</t>
        </is>
      </c>
      <c r="M38" s="103" t="n"/>
      <c r="N38" s="132">
        <f>SUM(N36:N37)</f>
        <v/>
      </c>
      <c r="O38" s="103" t="n"/>
    </row>
    <row r="39" ht="16" customHeight="1">
      <c r="A39" s="103" t="n"/>
      <c r="C39" s="103" t="n"/>
      <c r="D39" s="105" t="n"/>
      <c r="E39" s="103" t="n"/>
      <c r="G39" s="103" t="n"/>
      <c r="H39" s="103" t="n"/>
      <c r="I39" s="104" t="n"/>
      <c r="J39" s="103" t="n"/>
      <c r="L39" s="103" t="n"/>
      <c r="M39" s="103" t="n"/>
      <c r="N39" s="103" t="n"/>
      <c r="O39" s="103" t="n"/>
    </row>
    <row r="40" ht="16" customHeight="1">
      <c r="A40" s="103" t="n"/>
      <c r="C40" s="103" t="n"/>
      <c r="D40" s="105" t="n"/>
      <c r="E40" s="103" t="n"/>
      <c r="F40" s="103" t="n"/>
      <c r="G40" s="103" t="n"/>
      <c r="H40" s="104" t="n"/>
      <c r="I40" s="103" t="n"/>
      <c r="K40" s="103" t="n"/>
      <c r="L40" s="103" t="n"/>
      <c r="M40" s="103" t="n"/>
      <c r="N40" s="103" t="n"/>
      <c r="O40" s="103" t="n"/>
    </row>
    <row r="41" ht="16" customHeight="1">
      <c r="A41" s="103" t="n"/>
      <c r="B41" s="117" t="inlineStr">
        <is>
          <t>Instructions</t>
        </is>
      </c>
      <c r="C41" s="118" t="n"/>
      <c r="D41" s="133" t="n"/>
      <c r="E41" s="118" t="n"/>
      <c r="F41" s="118" t="n"/>
      <c r="G41" s="118" t="n"/>
      <c r="H41" s="118" t="n"/>
      <c r="I41" s="118" t="n"/>
      <c r="J41" s="118" t="n"/>
      <c r="K41" s="118" t="n"/>
      <c r="L41" s="118" t="n"/>
      <c r="M41" s="118" t="n"/>
      <c r="N41" s="118" t="n"/>
      <c r="O41" s="103" t="n"/>
    </row>
    <row r="42" ht="16" customHeight="1">
      <c r="A42" s="103" t="n"/>
      <c r="B42" s="103" t="inlineStr">
        <is>
          <t>Step 1: Get EBIT and D&amp;A from the income statement</t>
        </is>
      </c>
      <c r="C42" s="103" t="n"/>
      <c r="D42" s="105" t="n"/>
      <c r="E42" s="103" t="n"/>
      <c r="F42" s="103" t="n"/>
      <c r="G42" s="103" t="n"/>
      <c r="H42" s="103" t="n"/>
      <c r="N42" s="134" t="inlineStr">
        <is>
          <t>This file is for educational purposes only. E&amp;OE</t>
        </is>
      </c>
      <c r="O42" s="103" t="n"/>
    </row>
    <row r="43" ht="16" customHeight="1">
      <c r="A43" s="103" t="n"/>
      <c r="B43" s="103" t="inlineStr">
        <is>
          <t>Step 2: Calculate the net working capital</t>
        </is>
      </c>
      <c r="C43" s="103" t="n"/>
      <c r="D43" s="105" t="n"/>
      <c r="E43" s="103" t="n"/>
      <c r="F43" s="103" t="n"/>
      <c r="G43" s="103" t="n"/>
      <c r="H43" s="103" t="n"/>
      <c r="N43" s="69" t="n"/>
      <c r="O43" s="103" t="n"/>
    </row>
    <row r="44" ht="16" customHeight="1">
      <c r="A44" s="103" t="n"/>
      <c r="B44" s="135" t="inlineStr">
        <is>
          <t>There are two ways to find NWC:</t>
        </is>
      </c>
      <c r="C44" s="103" t="n"/>
      <c r="D44" s="105" t="n"/>
      <c r="E44" s="103" t="n"/>
      <c r="F44" s="103" t="n"/>
      <c r="G44" s="103" t="n"/>
      <c r="H44" s="103" t="n"/>
      <c r="N44" s="69" t="n"/>
      <c r="O44" s="103" t="n"/>
    </row>
    <row r="45" ht="16" customHeight="1">
      <c r="A45" s="103" t="n"/>
      <c r="B45" s="135" t="inlineStr">
        <is>
          <t>1. NWC = Current Assets (less cash) - Current Liabilities (less debt)</t>
        </is>
      </c>
      <c r="C45" s="103" t="n"/>
      <c r="D45" s="105" t="n"/>
      <c r="E45" s="103" t="n"/>
      <c r="F45" s="103" t="n"/>
      <c r="G45" s="103" t="n"/>
      <c r="H45" s="103" t="n"/>
      <c r="N45" s="69" t="n"/>
      <c r="O45" s="103" t="n"/>
    </row>
    <row r="46" ht="16" customHeight="1">
      <c r="A46" s="103" t="n"/>
      <c r="B46" s="135" t="inlineStr">
        <is>
          <t>2. NWC = Accounts Receivable + Inventory - Accounts Payable</t>
        </is>
      </c>
      <c r="C46" s="103" t="n"/>
      <c r="D46" s="105" t="n"/>
      <c r="E46" s="103" t="n"/>
      <c r="F46" s="103" t="n"/>
      <c r="G46" s="103" t="n"/>
      <c r="H46" s="103" t="n"/>
      <c r="N46" s="69" t="n"/>
      <c r="O46" s="103" t="n"/>
    </row>
    <row r="47" ht="16" customHeight="1">
      <c r="A47" s="103" t="n"/>
      <c r="B47" s="103" t="n"/>
      <c r="C47" s="103" t="n"/>
      <c r="D47" s="105" t="n"/>
      <c r="E47" s="103" t="n"/>
      <c r="F47" s="103" t="n"/>
      <c r="G47" s="103" t="n"/>
      <c r="H47" s="103" t="n"/>
      <c r="N47" s="69" t="n"/>
      <c r="O47" s="103" t="n"/>
    </row>
    <row r="48" ht="16" customHeight="1">
      <c r="A48" s="103" t="n"/>
      <c r="B48" s="103" t="n"/>
      <c r="C48" s="103" t="n"/>
      <c r="D48" s="105" t="n"/>
      <c r="E48" s="103" t="n"/>
      <c r="F48" s="103" t="n"/>
      <c r="G48" s="103" t="n"/>
      <c r="H48" s="103" t="n"/>
      <c r="N48" s="136" t="inlineStr">
        <is>
          <t xml:space="preserve">Corporate Finance Institute® </t>
        </is>
      </c>
      <c r="O48" s="103" t="n"/>
    </row>
    <row r="49" ht="16" customHeight="1">
      <c r="A49" s="103" t="n"/>
      <c r="B49" s="103" t="n"/>
      <c r="C49" s="103" t="n"/>
      <c r="D49" s="105" t="n"/>
      <c r="E49" s="103" t="n"/>
      <c r="F49" s="103" t="n"/>
      <c r="G49" s="103" t="n"/>
      <c r="H49" s="103" t="n"/>
      <c r="N49" s="137" t="inlineStr">
        <is>
          <t>https://corporatefinanceinstitute.com/</t>
        </is>
      </c>
      <c r="O49" s="103" t="n"/>
    </row>
    <row r="50" ht="16" customHeight="1">
      <c r="A50" s="103" t="n"/>
      <c r="B50" s="138" t="inlineStr">
        <is>
          <t>FICO notes</t>
        </is>
      </c>
      <c r="C50" s="103" t="n"/>
      <c r="D50" s="105" t="n"/>
      <c r="E50" s="103" t="n"/>
      <c r="F50" s="103" t="n"/>
      <c r="G50" s="103" t="n"/>
      <c r="H50" s="103" t="n"/>
      <c r="O50" s="103" t="n"/>
    </row>
    <row r="51" ht="16" customHeight="1">
      <c r="A51" s="103" t="n"/>
      <c r="B51" s="138" t="inlineStr">
        <is>
          <t>EBIT path: FY25A margin 46.5% fading to 44% by FY29-30; revenue growth 14%→8%.</t>
        </is>
      </c>
      <c r="C51" s="103" t="n"/>
      <c r="D51" s="105" t="n"/>
      <c r="E51" s="103" t="n"/>
      <c r="F51" s="103" t="n"/>
      <c r="G51" s="103" t="n"/>
      <c r="H51" s="103" t="n"/>
      <c r="M51" s="103" t="n"/>
      <c r="O51" s="103" t="n"/>
    </row>
    <row r="52" ht="16" customHeight="1">
      <c r="A52" s="103" t="n"/>
      <c r="B52" s="138" t="inlineStr">
        <is>
          <t>Debt/Cash from 10-Q ended 2026-06-30 (latest). Shares = diluted shares outstanding (Yahoo).</t>
        </is>
      </c>
      <c r="C52" s="103" t="n"/>
      <c r="D52" s="105" t="n"/>
      <c r="E52" s="103" t="n"/>
      <c r="F52" s="103" t="n"/>
      <c r="G52" s="103" t="n"/>
      <c r="H52" s="103" t="n"/>
      <c r="I52" s="103" t="n"/>
      <c r="J52" s="103" t="n"/>
      <c r="K52" s="103" t="n"/>
      <c r="L52" s="103" t="n"/>
      <c r="M52" s="103" t="n"/>
      <c r="N52" s="103" t="n"/>
      <c r="O52" s="103" t="n"/>
    </row>
    <row r="53" ht="16" customHeight="1">
      <c r="A53" s="103" t="n"/>
      <c r="B53" s="138" t="inlineStr">
        <is>
          <t>WACC ~9.6% (rf 4.3%, beta 1.32, ERP 5%, 80/20 E/D, pre-tax kd 5.5%). Units $000s.</t>
        </is>
      </c>
      <c r="C53" s="103" t="n"/>
      <c r="D53" s="105" t="n"/>
      <c r="E53" s="103" t="n"/>
      <c r="F53" s="103" t="n"/>
      <c r="G53" s="103" t="n"/>
      <c r="H53" s="103" t="n"/>
      <c r="I53" s="103" t="n"/>
      <c r="J53" s="103" t="n"/>
      <c r="K53" s="103" t="n"/>
      <c r="L53" s="103" t="n"/>
      <c r="M53" s="103" t="n"/>
      <c r="N53" s="103" t="n"/>
      <c r="O53" s="103" t="n"/>
    </row>
    <row r="54" ht="16" customHeight="1">
      <c r="A54" s="103" t="n"/>
      <c r="B54" s="103" t="n"/>
      <c r="C54" s="103" t="n"/>
      <c r="D54" s="105" t="n"/>
      <c r="E54" s="103" t="n"/>
      <c r="F54" s="103" t="n"/>
      <c r="G54" s="103" t="n"/>
      <c r="H54" s="103" t="n"/>
      <c r="I54" s="103" t="n"/>
      <c r="J54" s="103" t="n"/>
      <c r="K54" s="103" t="n"/>
      <c r="L54" s="103" t="n"/>
      <c r="M54" s="103" t="n"/>
      <c r="N54" s="103" t="n"/>
      <c r="O54" s="103" t="n"/>
    </row>
    <row r="55" ht="16" customHeight="1">
      <c r="A55" s="103" t="n"/>
      <c r="B55" s="139" t="inlineStr">
        <is>
          <t>MEGA LINKAGE</t>
        </is>
      </c>
      <c r="C55" s="103" t="n"/>
      <c r="D55" s="105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103" t="n"/>
      <c r="N55" s="103" t="n"/>
      <c r="O55" s="103" t="n"/>
    </row>
    <row r="56" ht="16" customHeight="1">
      <c r="A56" s="103" t="n"/>
      <c r="B56" s="139" t="inlineStr">
        <is>
          <t>Green cells are formulas pulled from 01_Three_Statement (cols J-N = FY2026-FY2030).</t>
        </is>
      </c>
      <c r="C56" s="103" t="n"/>
      <c r="D56" s="105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103" t="n"/>
      <c r="N56" s="103" t="n"/>
      <c r="O56" s="103" t="n"/>
    </row>
    <row r="57" ht="16" customHeight="1">
      <c r="A57" s="103" t="n"/>
      <c r="B57" s="139" t="inlineStr">
        <is>
          <t>Edit drivers on 01_Three_Statement assumptions (rows 7-20, yellow). DCF value updates automatically.</t>
        </is>
      </c>
      <c r="C57" s="103" t="n"/>
      <c r="D57" s="105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103" t="n"/>
      <c r="N57" s="103" t="n"/>
      <c r="O57" s="103" t="n"/>
    </row>
    <row r="58" ht="16" customHeight="1">
      <c r="A58" s="103" t="n"/>
      <c r="B58" s="139" t="inlineStr">
        <is>
          <t>Yellow cells here still editable: WACC (D6), g (D7), EV/EBITDA (D8), price (D11), shares (D12).</t>
        </is>
      </c>
      <c r="C58" s="103" t="n"/>
      <c r="D58" s="105" t="n"/>
      <c r="E58" s="103" t="n"/>
      <c r="F58" s="103" t="n"/>
      <c r="G58" s="103" t="n"/>
      <c r="H58" s="103" t="n"/>
      <c r="I58" s="103" t="n"/>
      <c r="J58" s="103" t="n"/>
      <c r="K58" s="103" t="n"/>
      <c r="L58" s="103" t="n"/>
      <c r="M58" s="103" t="n"/>
      <c r="N58" s="103" t="n"/>
      <c r="O58" s="103" t="n"/>
    </row>
    <row r="59" ht="16" customHeight="1">
      <c r="A59" s="103" t="n"/>
      <c r="B59" s="139" t="inlineStr">
        <is>
          <t>Optional: replace D13/D14 with 10-Q net debt bridge (Debt 5,582,389 / Cash+mkt secs 304,537).</t>
        </is>
      </c>
      <c r="C59" s="103" t="n"/>
      <c r="D59" s="105" t="n"/>
      <c r="E59" s="103" t="n"/>
      <c r="F59" s="103" t="n"/>
      <c r="G59" s="103" t="n"/>
      <c r="H59" s="103" t="n"/>
      <c r="I59" s="103" t="n"/>
      <c r="J59" s="103" t="n"/>
      <c r="K59" s="103" t="n"/>
      <c r="L59" s="103" t="n"/>
      <c r="M59" s="103" t="n"/>
      <c r="N59" s="103" t="n"/>
      <c r="O59" s="103" t="n"/>
    </row>
    <row r="60" ht="16" customHeight="1">
      <c r="A60" s="103" t="n"/>
      <c r="B60" s="103" t="n"/>
      <c r="C60" s="103" t="n"/>
      <c r="D60" s="105" t="n"/>
      <c r="E60" s="103" t="n"/>
      <c r="F60" s="103" t="n"/>
      <c r="G60" s="103" t="n"/>
      <c r="H60" s="103" t="n"/>
      <c r="I60" s="103" t="n"/>
      <c r="J60" s="103" t="n"/>
      <c r="K60" s="103" t="n"/>
      <c r="L60" s="103" t="n"/>
      <c r="M60" s="103" t="n"/>
      <c r="N60" s="103" t="n"/>
      <c r="O60" s="103" t="n"/>
    </row>
    <row r="61" ht="16" customHeight="1">
      <c r="B61" s="103" t="n"/>
      <c r="C61" s="103" t="n"/>
      <c r="D61" s="105" t="n"/>
      <c r="E61" s="103" t="n"/>
      <c r="F61" s="103" t="n"/>
      <c r="G61" s="103" t="n"/>
      <c r="H61" s="103" t="n"/>
      <c r="I61" s="103" t="n"/>
      <c r="J61" s="103" t="n"/>
      <c r="K61" s="103" t="n"/>
      <c r="L61" s="103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</cols>
  <sheetData>
    <row r="1">
      <c r="A1" s="140" t="inlineStr">
        <is>
          <t>DCF cell</t>
        </is>
      </c>
      <c r="B1" s="140" t="inlineStr">
        <is>
          <t>Meaning</t>
        </is>
      </c>
      <c r="C1" s="140" t="inlineStr">
        <is>
          <t>3-Statement source</t>
        </is>
      </c>
    </row>
    <row r="2">
      <c r="A2" t="inlineStr">
        <is>
          <t>02_DCF!D5</t>
        </is>
      </c>
      <c r="B2" t="inlineStr">
        <is>
          <t>Tax rate</t>
        </is>
      </c>
      <c r="C2" t="inlineStr">
        <is>
          <t>01_Three_Statement!J13</t>
        </is>
      </c>
    </row>
    <row r="3">
      <c r="A3" t="inlineStr">
        <is>
          <t>02_DCF!D13</t>
        </is>
      </c>
      <c r="B3" t="inlineStr">
        <is>
          <t>Debt</t>
        </is>
      </c>
      <c r="C3" t="inlineStr">
        <is>
          <t>01_Three_Statement!I49 (FY2025)</t>
        </is>
      </c>
    </row>
    <row r="4">
      <c r="A4" t="inlineStr">
        <is>
          <t>02_DCF!D14</t>
        </is>
      </c>
      <c r="B4" t="inlineStr">
        <is>
          <t>Cash</t>
        </is>
      </c>
      <c r="C4" t="inlineStr">
        <is>
          <t>01_Three_Statement!I41 (FY2025)</t>
        </is>
      </c>
    </row>
    <row r="5">
      <c r="A5" t="inlineStr">
        <is>
          <t>02_DCF!D15</t>
        </is>
      </c>
      <c r="B5" t="inlineStr">
        <is>
          <t>Capex (legacy constant)</t>
        </is>
      </c>
      <c r="C5" t="inlineStr">
        <is>
          <t>01_Three_Statement!I68</t>
        </is>
      </c>
    </row>
    <row r="6">
      <c r="A6" t="inlineStr">
        <is>
          <t>02_DCF!E21:I21</t>
        </is>
      </c>
      <c r="B6" t="inlineStr">
        <is>
          <t>EBIT FY26-30</t>
        </is>
      </c>
      <c r="C6" t="inlineStr">
        <is>
          <t>GP - opex - D&amp;A from cols J-N</t>
        </is>
      </c>
    </row>
    <row r="7">
      <c r="A7" t="inlineStr">
        <is>
          <t>02_DCF!E23:I23</t>
        </is>
      </c>
      <c r="B7" t="inlineStr">
        <is>
          <t>D&amp;A FY26-30</t>
        </is>
      </c>
      <c r="C7" t="inlineStr">
        <is>
          <t>01_Three_Statement!J30:N30</t>
        </is>
      </c>
    </row>
    <row r="8">
      <c r="A8" t="inlineStr">
        <is>
          <t>02_DCF!E24:I24</t>
        </is>
      </c>
      <c r="B8" t="inlineStr">
        <is>
          <t>Capex FY26-30</t>
        </is>
      </c>
      <c r="C8" t="inlineStr">
        <is>
          <t>01_Three_Statement!J18:N18</t>
        </is>
      </c>
    </row>
    <row r="9">
      <c r="A9" t="inlineStr">
        <is>
          <t>02_DCF!E25:I25</t>
        </is>
      </c>
      <c r="B9" t="inlineStr">
        <is>
          <t>ΔNWC FY26-30</t>
        </is>
      </c>
      <c r="C9" t="inlineStr">
        <is>
          <t>01_Three_Statement!J89:N89</t>
        </is>
      </c>
    </row>
    <row r="10">
      <c r="A10" t="inlineStr">
        <is>
          <t>02_DCF!D6/D7/D8/D11/D12</t>
        </is>
      </c>
      <c r="B10" t="inlineStr">
        <is>
          <t>WACC / g / exit multiple / price / shares</t>
        </is>
      </c>
      <c r="C10" t="inlineStr">
        <is>
          <t>Manual valuation inputs (yellow)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2026-08-03T20:46:44Z</dcterms:modified>
  <cp:lastModifiedBy>Katie Au Yeung</cp:lastModifiedBy>
  <cp:lastPrinted>2014-12-13T23:43:21Z</cp:lastPrinted>
</cp:coreProperties>
</file>