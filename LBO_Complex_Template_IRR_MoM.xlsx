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5.xml" ContentType="application/vnd.openxmlformats-officedocument.spreadsheetml.worksheet+xml"/>
  <Override PartName="/xl/comments/comment3.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Coversheet" sheetId="1" state="visible" r:id="rId1"/>
    <sheet name="00_Assumptions_List" sheetId="2" state="visible" r:id="rId2"/>
    <sheet name="Assumptions_Coversheet" sheetId="3" state="visible" r:id="rId3"/>
    <sheet name="Assumptions_LBO" sheetId="4" state="visible" r:id="rId4"/>
    <sheet name="Assumptions_DCF" sheetId="5" state="visible" r:id="rId5"/>
    <sheet name="Assumptions_Shares" sheetId="6" state="visible" r:id="rId6"/>
    <sheet name="Assumptions_52wkHL" sheetId="7" state="visible" r:id="rId7"/>
    <sheet name="Assumptions_ZI_01_10K_Source" sheetId="8" state="visible" r:id="rId8"/>
    <sheet name="Assumptions_ZI_02_SM_Isolation" sheetId="9" state="visible" r:id="rId9"/>
    <sheet name="Assumptions_ZI_03_Headcount_AI" sheetId="10" state="visible" r:id="rId10"/>
    <sheet name="Assumptions_ZI_04_EBITDA_Bridge" sheetId="11" state="visible" r:id="rId11"/>
    <sheet name="Assumptions_ZI_05_Sensitivity" sheetId="12" state="visible" r:id="rId12"/>
    <sheet name="LBO" sheetId="13" state="visible" r:id="rId13"/>
    <sheet name="DCF" sheetId="14" state="visible" r:id="rId14"/>
    <sheet name="Shares" sheetId="15" state="visible" r:id="rId15"/>
    <sheet name="52wkHL" sheetId="16" state="visible" r:id="rId16"/>
    <sheet name="ZI_Cover" sheetId="17" state="visible" r:id="rId17"/>
    <sheet name="ZI_01_10K_Source" sheetId="18" state="visible" r:id="rId18"/>
    <sheet name="ZI_02_SM_Isolation" sheetId="19" state="visible" r:id="rId19"/>
    <sheet name="ZI_03_Headcount_AI" sheetId="20" state="visible" r:id="rId20"/>
    <sheet name="ZI_04_EBITDA_Bridge" sheetId="21" state="visible" r:id="rId21"/>
    <sheet name="ZI_05_Sensitivity" sheetId="22" state="visible" r:id="rId22"/>
  </sheets>
  <externalReferences>
    <externalReference r:id="rId23"/>
    <externalReference r:id="rId24"/>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0" hidden="1">"ab508404-a108-4d4f-b84c-e5fce791e559"</definedName>
    <definedName name="_xlnm._FilterDatabase" localSheetId="1" hidden="1">'00_Assumptions_List'!$B$6:$J$57</definedName>
  </definedNames>
  <calcPr calcId="152511" calcMode="autoNoTable" fullCalcOnLoad="1" iterate="1"/>
</workbook>
</file>

<file path=xl/styles.xml><?xml version="1.0" encoding="utf-8"?>
<styleSheet xmlns="http://schemas.openxmlformats.org/spreadsheetml/2006/main">
  <numFmts count="81">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_);\(#,##0\)"/>
    <numFmt numFmtId="192" formatCode="#,##0.0%_);\(#,##0.0%\)"/>
    <numFmt numFmtId="193" formatCode="0.0\ \x"/>
    <numFmt numFmtId="194" formatCode="#,##0.00\ ;\(#,##0.00\)"/>
    <numFmt numFmtId="195" formatCode="&quot;$&quot;#,##0.00\ ;\(&quot;$&quot;#,##0.00\)"/>
    <numFmt numFmtId="196" formatCode="0.0%_);\(0.0%\)"/>
    <numFmt numFmtId="197" formatCode="0.000\ \x&quot;rate&quot;"/>
    <numFmt numFmtId="198" formatCode="#,##0.000_);[Red]\(#,##0.000\)"/>
    <numFmt numFmtId="199" formatCode="0.00_);\(0.00\);0.00"/>
    <numFmt numFmtId="200" formatCode="\C&quot;$&quot;#,##0.00_);[Red]\(&quot;$&quot;#,##0.00\)"/>
    <numFmt numFmtId="201" formatCode="#,##0%_);\(#,##0.0%\)"/>
    <numFmt numFmtId="202" formatCode="_(* #,##0.00000000_);_(* \(#,##0.00000000\);_(* &quot;-&quot;?_);_(@_)"/>
    <numFmt numFmtId="203" formatCode="mmm\-d\-yyyy"/>
    <numFmt numFmtId="204" formatCode="mmm\-yyyy"/>
    <numFmt numFmtId="205" formatCode="yyyy"/>
    <numFmt numFmtId="206" formatCode="0.00\x&quot;rate&quot;"/>
    <numFmt numFmtId="207" formatCode="0.0&quot;  &quot;"/>
    <numFmt numFmtId="208" formatCode="&quot;$&quot;#,##0.0\ ;[Red]\(&quot;$&quot;#,##0\)"/>
    <numFmt numFmtId="209" formatCode="_(&quot;$&quot;* #,##0.00_);_(&quot;$&quot;* \(#,##0.00\);_(&quot;$&quot;* &quot;-&quot;?_);_(@_)"/>
    <numFmt numFmtId="210" formatCode="&quot;$&quot;#,##0.000_);[Red]\(&quot;$&quot;#,##0.000\)"/>
    <numFmt numFmtId="211" formatCode="&quot;$&quot;#,##0.00&quot;A&quot;;[Red]\(&quot;$&quot;#,##0.00\)&quot;A&quot;"/>
    <numFmt numFmtId="212" formatCode="#,##0.0\ ;[Red]\(&quot;$&quot;#,##0\)"/>
    <numFmt numFmtId="213" formatCode="&quot;$&quot;#,##0.00&quot;E&quot;;[Red]\(&quot;$&quot;#,##0.00\)&quot;E&quot;"/>
    <numFmt numFmtId="214" formatCode="_([$€-2]* #,##0.00_);_([$€-2]* \(#,##0.00\);_([$€-2]* &quot;-&quot;??_)"/>
    <numFmt numFmtId="215" formatCode="#,##0.00;\(#,##0.00\)"/>
    <numFmt numFmtId="216" formatCode=".%\,\(0.0%%;\t"/>
    <numFmt numFmtId="217" formatCode="#,##0.0_);[Red]\(#,##0.0\)"/>
    <numFmt numFmtId="218" formatCode="0.0%_);[Red]\(0.0%\)"/>
    <numFmt numFmtId="219" formatCode="0.00_);\(0.00\);0.00_)"/>
    <numFmt numFmtId="220" formatCode="#,##0\x"/>
    <numFmt numFmtId="221" formatCode="&quot;TKR&quot;\ 0"/>
    <numFmt numFmtId="222" formatCode=".%\,\(0.%%;\t"/>
    <numFmt numFmtId="223" formatCode="&quot;$&quot;#,###.0\ \ "/>
    <numFmt numFmtId="224" formatCode="#,##0.00\x_);[Red]\(#,##0.00\x\)"/>
    <numFmt numFmtId="225" formatCode="#,##0.000_);\(#,##0.000\)"/>
    <numFmt numFmtId="226" formatCode="#,##0.00\x_);[Red]\(#,##0.00\x\);&quot;--  &quot;"/>
    <numFmt numFmtId="227" formatCode="_(* #,##0.0_);_(* \(#,##0.0\);_(* &quot;-&quot;??_);_(@_)"/>
    <numFmt numFmtId="228" formatCode="0.0\x_);[Red]\(0.0\x\)"/>
    <numFmt numFmtId="229" formatCode="0.0\ "/>
    <numFmt numFmtId="230" formatCode="&quot;$&quot;#,##0.0;\(&quot;$&quot;#,##0.00\)"/>
    <numFmt numFmtId="231" formatCode="#,##0.00%_);\(#,##0.00%\)"/>
    <numFmt numFmtId="232" formatCode="0.00\%;\-0.00\%;0.00\%"/>
    <numFmt numFmtId="233" formatCode="0.0%\ ;\(0.0%\)"/>
    <numFmt numFmtId="234" formatCode="_(&quot;$&quot;* #,##0_);_(&quot;$&quot;* \(#,##0\);_(&quot;$&quot;* &quot;-&quot;??_);_(@_)"/>
    <numFmt numFmtId="235" formatCode="&quot;$&quot;0.00\ "/>
    <numFmt numFmtId="236" formatCode="0.0\ \ \ \ \ "/>
    <numFmt numFmtId="237" formatCode="0.00\x;\-0.00\x;0.00\x"/>
    <numFmt numFmtId="238" formatCode="&quot;$&quot;#,##0.000_);\(&quot;$&quot;#,##0.000\)"/>
    <numFmt numFmtId="239" formatCode="#,##0.0_);\(#,##0.0\);_(* &quot;-&quot;_)"/>
    <numFmt numFmtId="240" formatCode="_(&quot;$&quot;* #,##0.00_);_(&quot;$&quot;* \(#,##0.00\);_(* &quot;-&quot;_);_(@_)"/>
    <numFmt numFmtId="241" formatCode="0.00%_);[Red]\(0.00%\)"/>
    <numFmt numFmtId="242" formatCode="#,##0.0\x_);\(#,##0.0\x\)"/>
    <numFmt numFmtId="243" formatCode="#,##0.00\x_);\(#,##0.00\x\)"/>
    <numFmt numFmtId="244" formatCode="###0&quot;E&quot;_)"/>
  </numFmts>
  <fonts count="10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color rgb="000563C1"/>
      <u val="single"/>
    </font>
    <font>
      <name val="Calibri"/>
      <b val="1"/>
      <color rgb="00FFFFFF"/>
    </font>
    <font>
      <name val="Calibri"/>
      <color rgb="00000000"/>
    </font>
    <font>
      <name val="Calibri"/>
      <color rgb="000000FF"/>
    </font>
    <font>
      <name val="Calibri"/>
      <b val="1"/>
    </font>
    <font>
      <name val="Calibri"/>
      <b val="1"/>
      <color rgb="00FFFFFF"/>
      <sz val="11"/>
    </font>
    <font>
      <name val="Calibri"/>
      <sz val="10"/>
    </font>
    <font>
      <name val="Calibri"/>
      <color rgb="000563C1"/>
      <sz val="10"/>
      <u val="single"/>
    </font>
  </fonts>
  <fills count="3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1F4E79"/>
      </patternFill>
    </fill>
    <fill>
      <patternFill patternType="solid">
        <fgColor rgb="00FFF2CC"/>
      </patternFill>
    </fill>
    <fill>
      <patternFill patternType="solid">
        <fgColor rgb="00E2EFDA"/>
      </patternFill>
    </fill>
    <fill>
      <patternFill patternType="solid">
        <fgColor rgb="00D6DCE4"/>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1" fontId="10" fillId="0" borderId="0" applyAlignment="1">
      <alignment horizontal="right"/>
    </xf>
    <xf numFmtId="192" fontId="10" fillId="2" borderId="0"/>
    <xf numFmtId="193" fontId="10" fillId="2" borderId="0"/>
    <xf numFmtId="192" fontId="10" fillId="2" borderId="0"/>
    <xf numFmtId="194" fontId="10" fillId="2" borderId="0"/>
    <xf numFmtId="195" fontId="10" fillId="2" borderId="0" applyAlignment="1">
      <alignment horizontal="right"/>
    </xf>
    <xf numFmtId="196" fontId="11" fillId="0" borderId="0"/>
    <xf numFmtId="0" fontId="12" fillId="0" borderId="0"/>
    <xf numFmtId="197"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8"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8" fontId="17" fillId="0" borderId="0" applyProtection="1">
      <protection locked="0" hidden="0"/>
    </xf>
    <xf numFmtId="198"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199" fontId="12" fillId="0" borderId="0" applyAlignment="1" applyProtection="1">
      <alignment horizontal="right"/>
      <protection locked="0" hidden="0"/>
    </xf>
    <xf numFmtId="0" fontId="25" fillId="0" borderId="0"/>
    <xf numFmtId="7" fontId="26" fillId="0" borderId="0"/>
    <xf numFmtId="5" fontId="23" fillId="0" borderId="0"/>
    <xf numFmtId="200" fontId="13" fillId="0" borderId="0" applyAlignment="1">
      <alignment horizontal="right"/>
    </xf>
    <xf numFmtId="201" fontId="10" fillId="2" borderId="9" applyAlignment="1">
      <alignment horizontal="right"/>
    </xf>
    <xf numFmtId="202" fontId="10" fillId="2" borderId="9" applyAlignment="1">
      <alignment horizontal="right"/>
    </xf>
    <xf numFmtId="201" fontId="10" fillId="2" borderId="9" applyAlignment="1">
      <alignment horizontal="right"/>
    </xf>
    <xf numFmtId="15" fontId="27" fillId="0" borderId="0"/>
    <xf numFmtId="203" fontId="25" fillId="24" borderId="0"/>
    <xf numFmtId="204" fontId="27" fillId="0" borderId="8"/>
    <xf numFmtId="14" fontId="28" fillId="0" borderId="0" applyAlignment="1">
      <alignment horizontal="center"/>
    </xf>
    <xf numFmtId="205" fontId="28" fillId="0" borderId="0" applyAlignment="1">
      <alignment horizontal="center"/>
    </xf>
    <xf numFmtId="206"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7" fontId="10" fillId="25" borderId="0"/>
    <xf numFmtId="208" fontId="10" fillId="0" borderId="0"/>
    <xf numFmtId="209" fontId="10" fillId="25" borderId="0"/>
    <xf numFmtId="210" fontId="10" fillId="25" borderId="0"/>
    <xf numFmtId="211" fontId="18" fillId="0" borderId="0" applyAlignment="1" applyProtection="1">
      <alignment horizontal="left"/>
      <protection locked="0" hidden="0"/>
    </xf>
    <xf numFmtId="212" fontId="10" fillId="0" borderId="0"/>
    <xf numFmtId="213" fontId="18" fillId="0" borderId="0" applyAlignment="1" applyProtection="1">
      <alignment horizontal="left"/>
      <protection locked="0" hidden="0"/>
    </xf>
    <xf numFmtId="214" fontId="12" fillId="0" borderId="0"/>
    <xf numFmtId="0" fontId="29" fillId="0" borderId="0"/>
    <xf numFmtId="196" fontId="10" fillId="0" borderId="10"/>
    <xf numFmtId="215" fontId="10" fillId="2" borderId="9" applyAlignment="1">
      <alignment horizontal="right"/>
    </xf>
    <xf numFmtId="216" fontId="10" fillId="2" borderId="9" applyAlignment="1">
      <alignment horizontal="right"/>
    </xf>
    <xf numFmtId="215" fontId="10" fillId="2" borderId="9" applyAlignment="1">
      <alignment horizontal="right"/>
    </xf>
    <xf numFmtId="217" fontId="17" fillId="0" borderId="0" applyProtection="1">
      <protection locked="0" hidden="0"/>
    </xf>
    <xf numFmtId="0" fontId="30" fillId="5" borderId="0"/>
    <xf numFmtId="218" fontId="31" fillId="0" borderId="0"/>
    <xf numFmtId="196" fontId="32" fillId="0" borderId="0" applyAlignment="1" applyProtection="1">
      <alignment horizontal="left"/>
      <protection locked="0" hidden="0"/>
    </xf>
    <xf numFmtId="217" fontId="13" fillId="26" borderId="11"/>
    <xf numFmtId="0" fontId="33" fillId="0" borderId="12"/>
    <xf numFmtId="0" fontId="34" fillId="0" borderId="13"/>
    <xf numFmtId="0" fontId="35" fillId="0" borderId="14"/>
    <xf numFmtId="0" fontId="35" fillId="0" borderId="0"/>
    <xf numFmtId="217" fontId="36" fillId="0" borderId="0"/>
    <xf numFmtId="0" fontId="37" fillId="0" borderId="0"/>
    <xf numFmtId="198"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19"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0" fontId="10" fillId="0" borderId="0" applyAlignment="1">
      <alignment horizontal="right"/>
    </xf>
    <xf numFmtId="221" fontId="10" fillId="25" borderId="0" applyAlignment="1">
      <alignment horizontal="right"/>
    </xf>
    <xf numFmtId="222" fontId="10" fillId="0" borderId="0" applyAlignment="1">
      <alignment horizontal="right"/>
    </xf>
    <xf numFmtId="220" fontId="10" fillId="0" borderId="0" applyAlignment="1">
      <alignment horizontal="right"/>
    </xf>
    <xf numFmtId="196" fontId="42" fillId="0" borderId="0" applyAlignment="1">
      <alignment horizontal="right"/>
    </xf>
    <xf numFmtId="196" fontId="42" fillId="0" borderId="0"/>
    <xf numFmtId="223" fontId="10" fillId="2" borderId="9" applyAlignment="1">
      <alignment horizontal="right"/>
    </xf>
    <xf numFmtId="224"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5" fontId="12" fillId="0" borderId="0"/>
    <xf numFmtId="0" fontId="12" fillId="0" borderId="0"/>
    <xf numFmtId="0" fontId="27" fillId="0" borderId="0"/>
    <xf numFmtId="0" fontId="25" fillId="0" borderId="0"/>
    <xf numFmtId="226" fontId="25" fillId="0" borderId="0"/>
    <xf numFmtId="0" fontId="14" fillId="29" borderId="17"/>
    <xf numFmtId="0" fontId="23" fillId="0" borderId="0"/>
    <xf numFmtId="227" fontId="12" fillId="0" borderId="0"/>
    <xf numFmtId="0" fontId="23" fillId="0" borderId="0"/>
    <xf numFmtId="0" fontId="44" fillId="21" borderId="18"/>
    <xf numFmtId="228" fontId="17" fillId="0" borderId="0" applyAlignment="1">
      <alignment horizontal="right"/>
    </xf>
    <xf numFmtId="0" fontId="45" fillId="0" borderId="0"/>
    <xf numFmtId="0" fontId="25" fillId="0" borderId="0"/>
    <xf numFmtId="229" fontId="10" fillId="25" borderId="0"/>
    <xf numFmtId="9" fontId="17" fillId="0" borderId="0" applyAlignment="1">
      <alignment horizontal="right"/>
    </xf>
    <xf numFmtId="230" fontId="10" fillId="0" borderId="0"/>
    <xf numFmtId="0" fontId="12" fillId="0" borderId="0"/>
    <xf numFmtId="192" fontId="12" fillId="0" borderId="0"/>
    <xf numFmtId="231" fontId="12" fillId="0" borderId="0"/>
    <xf numFmtId="232" fontId="12" fillId="0" borderId="0" applyAlignment="1" applyProtection="1">
      <alignment horizontal="right"/>
      <protection locked="0" hidden="0"/>
    </xf>
    <xf numFmtId="218" fontId="17" fillId="0" borderId="0"/>
    <xf numFmtId="8" fontId="17" fillId="0" borderId="0"/>
    <xf numFmtId="198" fontId="17" fillId="0" borderId="0" applyProtection="1">
      <protection locked="0" hidden="0"/>
    </xf>
    <xf numFmtId="217" fontId="17" fillId="0" borderId="0"/>
    <xf numFmtId="38" fontId="17" fillId="0" borderId="0"/>
    <xf numFmtId="194" fontId="10" fillId="2" borderId="19" applyAlignment="1">
      <alignment horizontal="right"/>
    </xf>
    <xf numFmtId="233" fontId="46" fillId="2" borderId="0"/>
    <xf numFmtId="234" fontId="10" fillId="2" borderId="0"/>
    <xf numFmtId="0" fontId="47" fillId="0" borderId="0" applyAlignment="1">
      <alignment horizontal="center"/>
    </xf>
    <xf numFmtId="0" fontId="10" fillId="0" borderId="8" applyAlignment="1">
      <alignment horizontal="centerContinuous"/>
    </xf>
    <xf numFmtId="235" fontId="10" fillId="2" borderId="0" applyAlignment="1">
      <alignment horizontal="right"/>
    </xf>
    <xf numFmtId="236" fontId="10" fillId="2" borderId="9" applyAlignment="1">
      <alignment horizontal="right"/>
    </xf>
    <xf numFmtId="237" fontId="12" fillId="0" borderId="0" applyAlignment="1" applyProtection="1">
      <alignment horizontal="right"/>
      <protection locked="0" hidden="0"/>
    </xf>
    <xf numFmtId="217"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8" fontId="17" fillId="0" borderId="0" applyProtection="1">
      <protection locked="0" hidden="0"/>
    </xf>
    <xf numFmtId="238"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39" fontId="55" fillId="0" borderId="0" applyAlignment="1">
      <alignment horizontal="right" wrapText="1"/>
    </xf>
    <xf numFmtId="240" fontId="55" fillId="0" borderId="0" applyAlignment="1">
      <alignment horizontal="right"/>
    </xf>
    <xf numFmtId="4" fontId="25" fillId="0" borderId="0" applyAlignment="1">
      <alignment horizontal="right"/>
    </xf>
    <xf numFmtId="210" fontId="56" fillId="0" borderId="0"/>
    <xf numFmtId="241" fontId="57" fillId="0" borderId="0" applyAlignment="1" applyProtection="1">
      <alignment horizontal="left"/>
      <protection locked="0" hidden="0"/>
    </xf>
    <xf numFmtId="241" fontId="57" fillId="0" borderId="0"/>
    <xf numFmtId="241" fontId="58" fillId="0" borderId="0" applyAlignment="1" applyProtection="1">
      <alignment horizontal="left"/>
      <protection locked="0" hidden="0"/>
    </xf>
    <xf numFmtId="241" fontId="58" fillId="0" borderId="0" applyProtection="1">
      <protection locked="0" hidden="0"/>
    </xf>
    <xf numFmtId="217" fontId="17" fillId="0" borderId="0" applyProtection="1">
      <protection locked="0" hidden="0"/>
    </xf>
    <xf numFmtId="217" fontId="56" fillId="0" borderId="0"/>
    <xf numFmtId="49" fontId="59" fillId="0" borderId="0"/>
    <xf numFmtId="242" fontId="12" fillId="0" borderId="0"/>
    <xf numFmtId="243" fontId="12" fillId="0" borderId="0"/>
    <xf numFmtId="0" fontId="60" fillId="0" borderId="0"/>
    <xf numFmtId="0" fontId="61" fillId="1" borderId="0" applyAlignment="1">
      <alignment horizontal="left" vertical="center"/>
    </xf>
    <xf numFmtId="217"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4" fontId="26" fillId="0" borderId="0"/>
    <xf numFmtId="238" fontId="18" fillId="0" borderId="0"/>
  </cellStyleXfs>
  <cellXfs count="561">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0" fontId="99" fillId="0" borderId="0" pivotButton="0" quotePrefix="0" xfId="0"/>
    <xf numFmtId="0" fontId="100" fillId="0" borderId="0" pivotButton="0" quotePrefix="0" xfId="0"/>
    <xf numFmtId="0" fontId="101" fillId="33" borderId="0" pivotButton="0" quotePrefix="0" xfId="0"/>
    <xf numFmtId="0" fontId="102" fillId="0" borderId="0" pivotButton="0" quotePrefix="0" xfId="0"/>
    <xf numFmtId="190" fontId="103" fillId="34" borderId="35" pivotButton="0" quotePrefix="0" xfId="0"/>
    <xf numFmtId="0" fontId="104" fillId="0" borderId="0" pivotButton="0" quotePrefix="0" xfId="0"/>
    <xf numFmtId="190" fontId="102" fillId="35" borderId="35" pivotButton="0" quotePrefix="0" xfId="0"/>
    <xf numFmtId="173" fontId="102" fillId="35" borderId="35" pivotButton="0" quotePrefix="0" xfId="0"/>
    <xf numFmtId="0" fontId="104" fillId="36" borderId="0" pivotButton="0" quotePrefix="0" xfId="0"/>
    <xf numFmtId="3" fontId="103" fillId="34" borderId="35" pivotButton="0" quotePrefix="0" xfId="0"/>
    <xf numFmtId="3" fontId="102" fillId="35" borderId="35" pivotButton="0" quotePrefix="0" xfId="0"/>
    <xf numFmtId="0" fontId="0" fillId="0" borderId="0" applyAlignment="1" pivotButton="0" quotePrefix="0" xfId="0">
      <alignment wrapText="1"/>
    </xf>
    <xf numFmtId="173" fontId="103" fillId="34" borderId="35" pivotButton="0" quotePrefix="0" xfId="0"/>
    <xf numFmtId="182" fontId="103" fillId="34" borderId="35" pivotButton="0" quotePrefix="0" xfId="0"/>
    <xf numFmtId="9" fontId="103" fillId="34" borderId="35" pivotButton="0" quotePrefix="0" xfId="0"/>
    <xf numFmtId="0" fontId="102" fillId="35" borderId="35" pivotButton="0" quotePrefix="0" xfId="0"/>
    <xf numFmtId="182" fontId="102" fillId="35" borderId="35" pivotButton="0" quotePrefix="0" xfId="0"/>
    <xf numFmtId="190" fontId="103" fillId="34" borderId="35" pivotButton="0" quotePrefix="0" xfId="0"/>
    <xf numFmtId="190" fontId="102" fillId="35" borderId="35" pivotButton="0" quotePrefix="0" xfId="0"/>
    <xf numFmtId="0" fontId="105" fillId="33" borderId="0" applyAlignment="1" pivotButton="0" quotePrefix="0" xfId="0">
      <alignment horizontal="center" wrapText="1"/>
    </xf>
    <xf numFmtId="0" fontId="106" fillId="0" borderId="35" applyAlignment="1" pivotButton="0" quotePrefix="0" xfId="0">
      <alignment vertical="top" wrapText="1"/>
    </xf>
    <xf numFmtId="0" fontId="107" fillId="0" borderId="35"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externalLink" Target="/xl/externalLinks/externalLink1.xml" Id="rId23" /><Relationship Type="http://schemas.openxmlformats.org/officeDocument/2006/relationships/externalLink" Target="/xl/externalLinks/externalLink2.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vengeanceaiUSC_LBOMODEL1.xlsx" TargetMode="External" Id="rId1" /><Relationship Type="http://schemas.openxmlformats.org/officeDocument/2006/relationships/hyperlink" Target="https://www.sec.gov/Archives/edgar/data/1794515/000179451526000012/zi-20251231.htm" TargetMode="External" Id="rId2" /><Relationship Type="http://schemas.openxmlformats.org/officeDocument/2006/relationships/hyperlink" Target="https://www.sec.gov/Archives/edgar/data/1794515/000179451526000012/zi-20251231.htm" TargetMode="External" Id="rId3" /><Relationship Type="http://schemas.openxmlformats.org/officeDocument/2006/relationships/hyperlink" Target="https://finance.yahoo.com/quote/GTM" TargetMode="External" Id="rId4" /><Relationship Type="http://schemas.openxmlformats.org/officeDocument/2006/relationships/hyperlink" Target="https://finance.yahoo.com/quote/GTM" TargetMode="External" Id="rId5" /><Relationship Type="http://schemas.openxmlformats.org/officeDocument/2006/relationships/hyperlink" Target="https://www.sec.gov/cgi-bin/browse-edgar?action=getcompany&amp;CIK=0001794515&amp;type=10-Q" TargetMode="External" Id="rId6" /><Relationship Type="http://schemas.openxmlformats.org/officeDocument/2006/relationships/hyperlink" Target="https://www.sec.gov/Archives/edgar/data/1794515/000179451526000012/zi-20251231.htm" TargetMode="External" Id="rId7" /><Relationship Type="http://schemas.openxmlformats.org/officeDocument/2006/relationships/hyperlink" Target="https://www.sec.gov/cgi-bin/browse-edgar?action=getcompany&amp;CIK=0001794515&amp;type=10-Q" TargetMode="External" Id="rId8" /><Relationship Type="http://schemas.openxmlformats.org/officeDocument/2006/relationships/hyperlink" Target="https://www.sec.gov/cgi-bin/browse-edgar?action=getcompany&amp;CIK=0001794515&amp;type=10-Q" TargetMode="External" Id="rId9" /><Relationship Type="http://schemas.openxmlformats.org/officeDocument/2006/relationships/hyperlink" Target="https://www.sec.gov/Archives/edgar/data/1794515/000179451526000012/zi-20251231.htm" TargetMode="External" Id="rId10" /><Relationship Type="http://schemas.openxmlformats.org/officeDocument/2006/relationships/hyperlink" Target="https://www.sec.gov/Archives/edgar/data/1794515/000179451526000012/zi-20251231.htm" TargetMode="External" Id="rId11" /><Relationship Type="http://schemas.openxmlformats.org/officeDocument/2006/relationships/hyperlink" Target="https://www.sec.gov/cgi-bin/browse-edgar?action=getcompany&amp;CIK=0001794515&amp;type=10-Q" TargetMode="External" Id="rId12" /><Relationship Type="http://schemas.openxmlformats.org/officeDocument/2006/relationships/hyperlink" Target="https://www.sec.gov/cgi-bin/browse-edgar?action=getcompany&amp;CIK=0001794515&amp;type=10-Q" TargetMode="External" Id="rId13" /><Relationship Type="http://schemas.openxmlformats.org/officeDocument/2006/relationships/hyperlink" Target="https://www.sec.gov/Archives/edgar/data/1794515/000179451526000012/zi-20251231.htm" TargetMode="External" Id="rId14" /><Relationship Type="http://schemas.openxmlformats.org/officeDocument/2006/relationships/hyperlink" Target="https://data.sec.gov/api/xbrl/companyfacts/CIK0001794515.json" TargetMode="External" Id="rId15" /><Relationship Type="http://schemas.openxmlformats.org/officeDocument/2006/relationships/hyperlink" Target="https://data.sec.gov/api/xbrl/companyfacts/CIK0001794515.json" TargetMode="External" Id="rId16" /><Relationship Type="http://schemas.openxmlformats.org/officeDocument/2006/relationships/hyperlink" Target="https://www.sec.gov/Archives/edgar/data/1794515/000179451526000012/zi-20251231.htm" TargetMode="External" Id="rId17"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vengeanceaiUSC_LBOMODEL1.xlsx" TargetMode="External" Id="rId1" /><Relationship Type="http://schemas.openxmlformats.org/officeDocument/2006/relationships/hyperlink" Target="https://www.sec.gov/Archives/edgar/data/1794515/000179451526000012/zi-20251231.htm" TargetMode="External" Id="rId2" /></Relationships>
</file>

<file path=xl/worksheets/_rels/sheet4.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finance.yahoo.com/quote/GTM" TargetMode="External" Id="rId2" /><Relationship Type="http://schemas.openxmlformats.org/officeDocument/2006/relationships/hyperlink" Target="https://finance.yahoo.com/quote/GTM" TargetMode="External" Id="rId3" /><Relationship Type="http://schemas.openxmlformats.org/officeDocument/2006/relationships/hyperlink" Target="https://www.sec.gov/cgi-bin/browse-edgar?action=getcompany&amp;CIK=0001794515&amp;type=10-Q" TargetMode="External" Id="rId4" /><Relationship Type="http://schemas.openxmlformats.org/officeDocument/2006/relationships/hyperlink" Target="https://www.sec.gov/Archives/edgar/data/1794515/000179451526000012/zi-20251231.htm" TargetMode="External" Id="rId5" /><Relationship Type="http://schemas.openxmlformats.org/officeDocument/2006/relationships/hyperlink" Target="https://www.sec.gov/cgi-bin/browse-edgar?action=getcompany&amp;CIK=0001794515&amp;type=10-Q" TargetMode="External" Id="rId6" /><Relationship Type="http://schemas.openxmlformats.org/officeDocument/2006/relationships/hyperlink" Target="https://www.sec.gov/cgi-bin/browse-edgar?action=getcompany&amp;CIK=0001794515&amp;type=10-Q" TargetMode="External" Id="rId7" /><Relationship Type="http://schemas.openxmlformats.org/officeDocument/2006/relationships/hyperlink" Target="https://www.sec.gov/Archives/edgar/data/1794515/000179451526000012/zi-20251231.htm" TargetMode="External" Id="rId8" /><Relationship Type="http://schemas.openxmlformats.org/officeDocument/2006/relationships/hyperlink" Target="https://www.sec.gov/Archives/edgar/data/1794515/000179451526000012/zi-20251231.htm" TargetMode="External" Id="rId9" /></Relationships>
</file>

<file path=xl/worksheets/_rels/sheet5.xml.rels><Relationships xmlns="http://schemas.openxmlformats.org/package/2006/relationships"><Relationship Type="http://schemas.openxmlformats.org/officeDocument/2006/relationships/hyperlink" Target="https://www.sec.gov/cgi-bin/browse-edgar?action=getcompany&amp;CIK=0001794515&amp;type=10-Q" TargetMode="External" Id="rId1" /></Relationships>
</file>

<file path=xl/worksheets/_rels/sheet6.xml.rels><Relationships xmlns="http://schemas.openxmlformats.org/package/2006/relationships"><Relationship Type="http://schemas.openxmlformats.org/officeDocument/2006/relationships/hyperlink" Target="https://www.sec.gov/cgi-bin/browse-edgar?action=getcompany&amp;CIK=0001794515&amp;type=10-Q" TargetMode="External" Id="rId1" /></Relationships>
</file>

<file path=xl/worksheets/_rels/sheet8.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 Type="http://schemas.openxmlformats.org/officeDocument/2006/relationships/hyperlink" Target="https://data.sec.gov/api/xbrl/companyfacts/CIK0001794515.json" TargetMode="External" Id="rId3" /><Relationship Type="http://schemas.openxmlformats.org/officeDocument/2006/relationships/hyperlink" Target="https://www.sec.gov/Archives/edgar/data/1794515/000179451526000012/zi-20251231.htm" TargetMode="External" Id="rId4" /></Relationships>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s>
</file>

<file path=xl/worksheets/sheet1.xml><?xml version="1.0" encoding="utf-8"?>
<worksheet xmlns="http://schemas.openxmlformats.org/spreadsheetml/2006/main">
  <sheetPr>
    <outlinePr summaryBelow="1" summaryRight="1"/>
    <pageSetUpPr/>
  </sheetPr>
  <dimension ref="B2:M47"/>
  <sheetViews>
    <sheetView showGridLines="0" tabSelected="1" workbookViewId="0">
      <selection activeCell="A1" sqref="A1"/>
    </sheetView>
  </sheetViews>
  <sheetFormatPr baseColWidth="8" defaultRowHeight="15"/>
  <sheetData>
    <row r="2">
      <c r="B2" t="inlineStr">
        <is>
          <t>vengeanceaiUSC-LBOMODEL1 — ZoomInfo (GTM) LBO</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MODEL1: LBO inputs overwritten with ZoomInfo FY2025 10-K / Q2 2026 BS + market price</t>
        </is>
      </c>
    </row>
    <row r="41">
      <c r="B41" t="inlineStr">
        <is>
          <t>Price $4.31, shares 292.3m, EBITDA $314.5m, debt $1269.9m, cash $150.1m</t>
        </is>
      </c>
    </row>
    <row r="42">
      <c r="B42" t="inlineStr">
        <is>
          <t>Entry offer $5.39/sh (+25%); exit 8.0x; sponsor MoIC 2.97x / IRR 24.3% (illustrative)</t>
        </is>
      </c>
    </row>
    <row r="43">
      <c r="B43" t="inlineStr">
        <is>
          <t>S&amp;M AI thesis: SG&amp;A margin compressed ~500bps of revenue by Y3 in forecast (see ZI_* tabs)</t>
        </is>
      </c>
    </row>
    <row r="44">
      <c r="B44" s="544" t="inlineStr">
        <is>
          <t>IN-WORKBOOK ASSUMPTIONS LIST</t>
        </is>
      </c>
    </row>
    <row r="45">
      <c r="B45" t="inlineStr">
        <is>
          <t>See sheet 00_Assumptions_List (all tabs) and Assumptions_* sheets (one per tab)</t>
        </is>
      </c>
    </row>
    <row r="46">
      <c r="B46" t="inlineStr">
        <is>
          <t>51 assumptions · What / How / Why / Source · filterable on 00_Assumptions_List</t>
        </is>
      </c>
    </row>
    <row r="47">
      <c r="B47" t="inlineStr">
        <is>
          <t>Also exported: LBO/output/LBOMODEL1_ASSUMPTIONS_LIST.pdf|.md|.csv</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2.xml><?xml version="1.0" encoding="utf-8"?>
<worksheet xmlns="http://schemas.openxmlformats.org/spreadsheetml/2006/main">
  <sheetPr>
    <outlinePr summaryBelow="1" summaryRight="1"/>
    <pageSetUpPr/>
  </sheetPr>
  <dimension ref="B2:J57"/>
  <sheetViews>
    <sheetView workbookViewId="0">
      <pane xSplit="1" ySplit="6" topLeftCell="B7" activePane="bottomRight" state="frozen"/>
      <selection pane="topRight"/>
      <selection pane="bottomLeft"/>
      <selection pane="bottomRight" activeCell="A1" sqref="A1"/>
    </sheetView>
  </sheetViews>
  <sheetFormatPr baseColWidth="8" defaultRowHeight="15" outlineLevelCol="0"/>
  <cols>
    <col width="4" customWidth="1" style="244" min="2" max="2"/>
    <col width="22" customWidth="1" style="244" min="3" max="3"/>
    <col width="14" customWidth="1" style="244" min="4" max="4"/>
    <col width="32" customWidth="1" style="244" min="5" max="5"/>
    <col width="28" customWidth="1" style="244" min="6" max="6"/>
    <col width="36" customWidth="1" style="244" min="7" max="7"/>
    <col width="36" customWidth="1" style="244" min="8" max="8"/>
    <col width="40" customWidth="1" style="244" min="9" max="9"/>
    <col width="55" customWidth="1" style="244" min="10" max="10"/>
  </cols>
  <sheetData>
    <row r="2">
      <c r="B2" s="539" t="inlineStr">
        <is>
          <t>vengeanceaiUSC-LBOMODEL1 — Assumptions List (every tab)</t>
        </is>
      </c>
    </row>
    <row r="3">
      <c r="B3" t="inlineStr">
        <is>
          <t>Plain in-workbook list. Every row: Tab · Cell · Name · Value · What · How · Why · Source</t>
        </is>
      </c>
    </row>
    <row r="4">
      <c r="B4" t="inlineStr">
        <is>
          <t>Ticker: GTM (ZoomInfo Technologies Inc.). Educational / research use only — not investment advice.</t>
        </is>
      </c>
    </row>
    <row r="6" ht="22" customHeight="1" s="244">
      <c r="B6" s="558" t="inlineStr">
        <is>
          <t>#</t>
        </is>
      </c>
      <c r="C6" s="558" t="inlineStr">
        <is>
          <t>Tab</t>
        </is>
      </c>
      <c r="D6" s="558" t="inlineStr">
        <is>
          <t>Cell</t>
        </is>
      </c>
      <c r="E6" s="558" t="inlineStr">
        <is>
          <t>Assumption</t>
        </is>
      </c>
      <c r="F6" s="558" t="inlineStr">
        <is>
          <t>Value</t>
        </is>
      </c>
      <c r="G6" s="558" t="inlineStr">
        <is>
          <t>What</t>
        </is>
      </c>
      <c r="H6" s="558" t="inlineStr">
        <is>
          <t>How</t>
        </is>
      </c>
      <c r="I6" s="558" t="inlineStr">
        <is>
          <t>Why</t>
        </is>
      </c>
      <c r="J6" s="558" t="inlineStr">
        <is>
          <t>Source</t>
        </is>
      </c>
    </row>
    <row r="7" ht="48" customHeight="1" s="244">
      <c r="B7" s="559" t="n">
        <v>1</v>
      </c>
      <c r="C7" s="559" t="inlineStr">
        <is>
          <t>Coversheet</t>
        </is>
      </c>
      <c r="D7" s="559" t="inlineStr">
        <is>
          <t>B2</t>
        </is>
      </c>
      <c r="E7" s="559" t="inlineStr">
        <is>
          <t>Model identity</t>
        </is>
      </c>
      <c r="F7" s="559" t="inlineStr">
        <is>
          <t>vengeanceaiUSC-LBOMODEL1 — ZoomInfo (GTM)</t>
        </is>
      </c>
      <c r="G7" s="559" t="inlineStr">
        <is>
          <t>Name of this LBO case.</t>
        </is>
      </c>
      <c r="H7" s="559" t="inlineStr">
        <is>
          <t>Set on Coversheet and LBO!B2.</t>
        </is>
      </c>
      <c r="I7" s="559" t="inlineStr">
        <is>
          <t>Separates ZoomInfo LBOMODEL1 from the blank WSP BMC sample.</t>
        </is>
      </c>
      <c r="J7" s="560" t="inlineStr">
        <is>
          <t>https://raw.githubusercontent.com/vengeanceaiUSC/Rainmaker/cursor/vengeanceaiusclbomodel1-44dc/vengeanceaiUSC_LBOMODEL1.xlsx</t>
        </is>
      </c>
    </row>
    <row r="8" ht="48" customHeight="1" s="244">
      <c r="B8" s="559" t="n">
        <v>2</v>
      </c>
      <c r="C8" s="559" t="inlineStr">
        <is>
          <t>Coversheet</t>
        </is>
      </c>
      <c r="D8" s="559" t="inlineStr">
        <is>
          <t>—</t>
        </is>
      </c>
      <c r="E8" s="559" t="inlineStr">
        <is>
          <t>Units</t>
        </is>
      </c>
      <c r="F8" s="559" t="inlineStr">
        <is>
          <t>$ millions except per share / rates / multiples</t>
        </is>
      </c>
      <c r="G8" s="559" t="inlineStr">
        <is>
          <t>Unit convention for the workbook.</t>
        </is>
      </c>
      <c r="H8" s="559" t="inlineStr">
        <is>
          <t>Stated on LBO!B3 / DCF!B3.</t>
        </is>
      </c>
      <c r="I8" s="559" t="inlineStr">
        <is>
          <t>Matches WSP template convention and SEC $ presentation scaled to millions.</t>
        </is>
      </c>
      <c r="J8" s="560" t="inlineStr">
        <is>
          <t>https://www.sec.gov/Archives/edgar/data/1794515/000179451526000012/zi-20251231.htm</t>
        </is>
      </c>
    </row>
    <row r="9" ht="48" customHeight="1" s="244">
      <c r="B9" s="559" t="n">
        <v>3</v>
      </c>
      <c r="C9" s="559" t="inlineStr">
        <is>
          <t>LBO</t>
        </is>
      </c>
      <c r="D9" s="559" t="inlineStr">
        <is>
          <t>D6/D7</t>
        </is>
      </c>
      <c r="E9" s="559" t="inlineStr">
        <is>
          <t>Company / ticker</t>
        </is>
      </c>
      <c r="F9" s="559" t="inlineStr">
        <is>
          <t>ZoomInfo Technologies Inc. / GTM</t>
        </is>
      </c>
      <c r="G9" s="559" t="inlineStr">
        <is>
          <t>Target company identity.</t>
        </is>
      </c>
      <c r="H9" s="559" t="inlineStr">
        <is>
          <t>Hardcoded inputs on LBO general inputs.</t>
        </is>
      </c>
      <c r="I9" s="559" t="inlineStr">
        <is>
          <t>Public GTM (legacy ZI) is the LBOMODEL1 case company.</t>
        </is>
      </c>
      <c r="J9" s="560" t="inlineStr">
        <is>
          <t>https://www.sec.gov/Archives/edgar/data/1794515/000179451526000012/zi-20251231.htm</t>
        </is>
      </c>
    </row>
    <row r="10" ht="48" customHeight="1" s="244">
      <c r="B10" s="559" t="n">
        <v>4</v>
      </c>
      <c r="C10" s="559" t="inlineStr">
        <is>
          <t>LBO</t>
        </is>
      </c>
      <c r="D10" s="559" t="inlineStr">
        <is>
          <t>D8</t>
        </is>
      </c>
      <c r="E10" s="559" t="inlineStr">
        <is>
          <t>Current share price</t>
        </is>
      </c>
      <c r="F10" s="559" t="inlineStr">
        <is>
          <t>$4.31</t>
        </is>
      </c>
      <c r="G10" s="559" t="inlineStr">
        <is>
          <t>Spot equity price used for premium math.</t>
        </is>
      </c>
      <c r="H10" s="559" t="inlineStr">
        <is>
          <t>LBO!D8 market input.</t>
        </is>
      </c>
      <c r="I10" s="559" t="inlineStr">
        <is>
          <t>Latest available GTM print used when MODEL1 was built (~2026-08-12).</t>
        </is>
      </c>
      <c r="J10" s="560" t="inlineStr">
        <is>
          <t>https://finance.yahoo.com/quote/GTM</t>
        </is>
      </c>
    </row>
    <row r="11" ht="48" customHeight="1" s="244">
      <c r="B11" s="559" t="n">
        <v>5</v>
      </c>
      <c r="C11" s="559" t="inlineStr">
        <is>
          <t>LBO</t>
        </is>
      </c>
      <c r="D11" s="559" t="inlineStr">
        <is>
          <t>D9</t>
        </is>
      </c>
      <c r="E11" s="559" t="inlineStr">
        <is>
          <t>Price date</t>
        </is>
      </c>
      <c r="F11" s="559" t="inlineStr">
        <is>
          <t>2026-08-12</t>
        </is>
      </c>
      <c r="G11" s="559" t="inlineStr">
        <is>
          <t>As-of date for the spot price.</t>
        </is>
      </c>
      <c r="H11" s="559" t="inlineStr">
        <is>
          <t>LBO!D9.</t>
        </is>
      </c>
      <c r="I11" s="559" t="inlineStr">
        <is>
          <t>Timestamps the market input for auditability.</t>
        </is>
      </c>
      <c r="J11" s="560" t="inlineStr">
        <is>
          <t>https://finance.yahoo.com/quote/GTM</t>
        </is>
      </c>
    </row>
    <row r="12" ht="48" customHeight="1" s="244">
      <c r="B12" s="559" t="n">
        <v>6</v>
      </c>
      <c r="C12" s="559" t="inlineStr">
        <is>
          <t>LBO</t>
        </is>
      </c>
      <c r="D12" s="559" t="inlineStr">
        <is>
          <t>H21</t>
        </is>
      </c>
      <c r="E12" s="559" t="inlineStr">
        <is>
          <t>Acquisition premium</t>
        </is>
      </c>
      <c r="F12" s="559" t="inlineStr">
        <is>
          <t>25%</t>
        </is>
      </c>
      <c r="G12" s="559" t="inlineStr">
        <is>
          <t>Premium of offer price over spot.</t>
        </is>
      </c>
      <c r="H12" s="559" t="inlineStr">
        <is>
          <t>Offer/sh = D8×(1+premium).</t>
        </is>
      </c>
      <c r="I12" s="559" t="inlineStr">
        <is>
          <t>Standard illustrative take-private premium; editable deal assumption.</t>
        </is>
      </c>
      <c r="J12" s="559" t="inlineStr">
        <is>
          <t>Model assumption (LBOMODEL1)</t>
        </is>
      </c>
    </row>
    <row r="13" ht="48" customHeight="1" s="244">
      <c r="B13" s="559" t="n">
        <v>7</v>
      </c>
      <c r="C13" s="559" t="inlineStr">
        <is>
          <t>LBO</t>
        </is>
      </c>
      <c r="D13" s="559" t="inlineStr">
        <is>
          <t>H20</t>
        </is>
      </c>
      <c r="E13" s="559" t="inlineStr">
        <is>
          <t>Offer price / share</t>
        </is>
      </c>
      <c r="F13" s="559" t="inlineStr">
        <is>
          <t>$5.3875</t>
        </is>
      </c>
      <c r="G13" s="559" t="inlineStr">
        <is>
          <t>Implied takeout price per share.</t>
        </is>
      </c>
      <c r="H13" s="559" t="inlineStr">
        <is>
          <t>D8 × 1.25.</t>
        </is>
      </c>
      <c r="I13" s="559" t="inlineStr">
        <is>
          <t>Drives equity purchase price in Uses.</t>
        </is>
      </c>
      <c r="J13" s="559" t="inlineStr">
        <is>
          <t>Model assumption + market price</t>
        </is>
      </c>
    </row>
    <row r="14" ht="48" customHeight="1" s="244">
      <c r="B14" s="559" t="n">
        <v>8</v>
      </c>
      <c r="C14" s="559" t="inlineStr">
        <is>
          <t>LBO</t>
        </is>
      </c>
      <c r="D14" s="559" t="inlineStr">
        <is>
          <t>H18</t>
        </is>
      </c>
      <c r="E14" s="559" t="inlineStr">
        <is>
          <t>Diluted shares (millions)</t>
        </is>
      </c>
      <c r="F14" s="559" t="inlineStr">
        <is>
          <t>292.312</t>
        </is>
      </c>
      <c r="G14" s="559" t="inlineStr">
        <is>
          <t>Share count for equity value.</t>
        </is>
      </c>
      <c r="H14" s="559" t="inlineStr">
        <is>
          <t>From latest shares outstanding.</t>
        </is>
      </c>
      <c r="I14" s="559" t="inlineStr">
        <is>
          <t>10-Q 2026-06-30 common shares outstanding used as diluted proxy (options ladder not fully modeled).</t>
        </is>
      </c>
      <c r="J14" s="560" t="inlineStr">
        <is>
          <t>https://www.sec.gov/cgi-bin/browse-edgar?action=getcompany&amp;CIK=0001794515&amp;type=10-Q</t>
        </is>
      </c>
    </row>
    <row r="15" ht="48" customHeight="1" s="244">
      <c r="B15" s="559" t="n">
        <v>9</v>
      </c>
      <c r="C15" s="559" t="inlineStr">
        <is>
          <t>LBO</t>
        </is>
      </c>
      <c r="D15" s="559" t="inlineStr">
        <is>
          <t>D20</t>
        </is>
      </c>
      <c r="E15" s="559" t="inlineStr">
        <is>
          <t>Equity purchase price</t>
        </is>
      </c>
      <c r="F15" s="559" t="inlineStr">
        <is>
          <t>$1,574.8m</t>
        </is>
      </c>
      <c r="G15" s="559" t="inlineStr">
        <is>
          <t>Cash to buy equity.</t>
        </is>
      </c>
      <c r="H15" s="559" t="inlineStr">
        <is>
          <t>Offer/sh × shares.</t>
        </is>
      </c>
      <c r="I15" s="559" t="inlineStr">
        <is>
          <t>Primary Use of funds line.</t>
        </is>
      </c>
      <c r="J15" s="559" t="inlineStr">
        <is>
          <t>Derived</t>
        </is>
      </c>
    </row>
    <row r="16" ht="48" customHeight="1" s="244">
      <c r="B16" s="559" t="n">
        <v>10</v>
      </c>
      <c r="C16" s="559" t="inlineStr">
        <is>
          <t>LBO</t>
        </is>
      </c>
      <c r="D16" s="559" t="inlineStr">
        <is>
          <t>D13</t>
        </is>
      </c>
      <c r="E16" s="559" t="inlineStr">
        <is>
          <t>LTM EBITDA</t>
        </is>
      </c>
      <c r="F16" s="559" t="inlineStr">
        <is>
          <t>$314.5m</t>
        </is>
      </c>
      <c r="G16" s="559" t="inlineStr">
        <is>
          <t>Entry EBITDA for leverage / multiple math.</t>
        </is>
      </c>
      <c r="H16" s="559" t="inlineStr">
        <is>
          <t>FY2025 OpInc $225.7m + D&amp;A $88.8m.</t>
        </is>
      </c>
      <c r="I16" s="559" t="inlineStr">
        <is>
          <t>GAAP EBITDA proxy from latest annual 10-K (not adjusted EBITDA).</t>
        </is>
      </c>
      <c r="J16" s="560" t="inlineStr">
        <is>
          <t>https://www.sec.gov/Archives/edgar/data/1794515/000179451526000012/zi-20251231.htm ; https://data.sec.gov/api/xbrl/companyfacts/CIK0001794515.json</t>
        </is>
      </c>
    </row>
    <row r="17" ht="48" customHeight="1" s="244">
      <c r="B17" s="559" t="n">
        <v>11</v>
      </c>
      <c r="C17" s="559" t="inlineStr">
        <is>
          <t>LBO</t>
        </is>
      </c>
      <c r="D17" s="559" t="inlineStr">
        <is>
          <t>D14</t>
        </is>
      </c>
      <c r="E17" s="559" t="inlineStr">
        <is>
          <t>Gross debt</t>
        </is>
      </c>
      <c r="F17" s="559" t="inlineStr">
        <is>
          <t>−$1,269.9m</t>
        </is>
      </c>
      <c r="G17" s="559" t="inlineStr">
        <is>
          <t>Debt refinanced at close (entered as negative in template).</t>
        </is>
      </c>
      <c r="H17" s="559" t="inlineStr">
        <is>
          <t>LT debt + current maturities.</t>
        </is>
      </c>
      <c r="I17" s="559" t="inlineStr">
        <is>
          <t>10-Q 2026-06-30: LongTermDebt + LongTermDebtCurrent.</t>
        </is>
      </c>
      <c r="J17" s="560" t="inlineStr">
        <is>
          <t>https://www.sec.gov/cgi-bin/browse-edgar?action=getcompany&amp;CIK=0001794515&amp;type=10-Q</t>
        </is>
      </c>
    </row>
    <row r="18" ht="48" customHeight="1" s="244">
      <c r="B18" s="559" t="n">
        <v>12</v>
      </c>
      <c r="C18" s="559" t="inlineStr">
        <is>
          <t>LBO</t>
        </is>
      </c>
      <c r="D18" s="559" t="inlineStr">
        <is>
          <t>D15</t>
        </is>
      </c>
      <c r="E18" s="559" t="inlineStr">
        <is>
          <t>Cash</t>
        </is>
      </c>
      <c r="F18" s="559" t="inlineStr">
        <is>
          <t>$150.1m</t>
        </is>
      </c>
      <c r="G18" s="559" t="inlineStr">
        <is>
          <t>Cash available at entry.</t>
        </is>
      </c>
      <c r="H18" s="559" t="inlineStr">
        <is>
          <t>Cash &amp; equivalents + short-term investments.</t>
        </is>
      </c>
      <c r="I18" s="559" t="inlineStr">
        <is>
          <t>10-Q 2026-06-30.</t>
        </is>
      </c>
      <c r="J18" s="560" t="inlineStr">
        <is>
          <t>https://www.sec.gov/cgi-bin/browse-edgar?action=getcompany&amp;CIK=0001794515&amp;type=10-Q</t>
        </is>
      </c>
    </row>
    <row r="19" ht="48" customHeight="1" s="244">
      <c r="B19" s="559" t="n">
        <v>13</v>
      </c>
      <c r="C19" s="559" t="inlineStr">
        <is>
          <t>LBO</t>
        </is>
      </c>
      <c r="D19" s="559" t="inlineStr">
        <is>
          <t>D16</t>
        </is>
      </c>
      <c r="E19" s="559" t="inlineStr">
        <is>
          <t>Minimum cash</t>
        </is>
      </c>
      <c r="F19" s="559" t="inlineStr">
        <is>
          <t>$50.0m</t>
        </is>
      </c>
      <c r="G19" s="559" t="inlineStr">
        <is>
          <t>Cash retained for ops; excess used as a Source.</t>
        </is>
      </c>
      <c r="H19" s="559" t="inlineStr">
        <is>
          <t>Hardcoded policy input.</t>
        </is>
      </c>
      <c r="I19" s="559" t="inlineStr">
        <is>
          <t>Leaves liquidity post-close; excess cash = 150.1 − 50 = 100.1.</t>
        </is>
      </c>
      <c r="J19" s="559" t="inlineStr">
        <is>
          <t>Model assumption (LBOMODEL1)</t>
        </is>
      </c>
    </row>
    <row r="20" ht="48" customHeight="1" s="244">
      <c r="B20" s="559" t="n">
        <v>14</v>
      </c>
      <c r="C20" s="559" t="inlineStr">
        <is>
          <t>LBO</t>
        </is>
      </c>
      <c r="D20" s="559" t="inlineStr">
        <is>
          <t>I11</t>
        </is>
      </c>
      <c r="E20" s="559" t="inlineStr">
        <is>
          <t>Entry EV / LTM EBITDA</t>
        </is>
      </c>
      <c r="F20" s="559" t="inlineStr">
        <is>
          <t>8.57x</t>
        </is>
      </c>
      <c r="G20" s="559" t="inlineStr">
        <is>
          <t>Implied entry multiple.</t>
        </is>
      </c>
      <c r="H20" s="559" t="inlineStr">
        <is>
          <t>(Equity buy + debt − cash) / EBITDA.</t>
        </is>
      </c>
      <c r="I20" s="559" t="inlineStr">
        <is>
          <t>Output of offer + net debt vs LTM EBITDA.</t>
        </is>
      </c>
      <c r="J20" s="559" t="inlineStr">
        <is>
          <t>Derived from SEC + market inputs</t>
        </is>
      </c>
    </row>
    <row r="21" ht="48" customHeight="1" s="244">
      <c r="B21" s="559" t="n">
        <v>15</v>
      </c>
      <c r="C21" s="559" t="inlineStr">
        <is>
          <t>LBO</t>
        </is>
      </c>
      <c r="D21" s="559" t="inlineStr">
        <is>
          <t>D17</t>
        </is>
      </c>
      <c r="E21" s="559" t="inlineStr">
        <is>
          <t>Exit EV / EBITDA</t>
        </is>
      </c>
      <c r="F21" s="559" t="inlineStr">
        <is>
          <t>8.0x</t>
        </is>
      </c>
      <c r="G21" s="559" t="inlineStr">
        <is>
          <t>Exit multiple in hold-year 5.</t>
        </is>
      </c>
      <c r="H21" s="559" t="inlineStr">
        <is>
          <t>LBO!D17 policy input.</t>
        </is>
      </c>
      <c r="I21" s="559" t="inlineStr">
        <is>
          <t>Near entry; assumes modest multiple compression vs entry 8.57x.</t>
        </is>
      </c>
      <c r="J21" s="559" t="inlineStr">
        <is>
          <t>Model assumption (LBOMODEL1)</t>
        </is>
      </c>
    </row>
    <row r="22" ht="48" customHeight="1" s="244">
      <c r="B22" s="559" t="n">
        <v>16</v>
      </c>
      <c r="C22" s="559" t="inlineStr">
        <is>
          <t>LBO</t>
        </is>
      </c>
      <c r="D22" s="559" t="inlineStr">
        <is>
          <t>C29/D29</t>
        </is>
      </c>
      <c r="E22" s="559" t="inlineStr">
        <is>
          <t>Term Loan A</t>
        </is>
      </c>
      <c r="F22" s="559" t="inlineStr">
        <is>
          <t>2.5x / $786.2m</t>
        </is>
      </c>
      <c r="G22" s="559" t="inlineStr">
        <is>
          <t>New TLA quantum.</t>
        </is>
      </c>
      <c r="H22" s="559" t="inlineStr">
        <is>
          <t>EBITDA × turns.</t>
        </is>
      </c>
      <c r="I22" s="559" t="inlineStr">
        <is>
          <t>Part of 5.0x new-money debt stack.</t>
        </is>
      </c>
      <c r="J22" s="559" t="inlineStr">
        <is>
          <t>Model assumption (LBOMODEL1)</t>
        </is>
      </c>
    </row>
    <row r="23" ht="48" customHeight="1" s="244">
      <c r="B23" s="559" t="n">
        <v>17</v>
      </c>
      <c r="C23" s="559" t="inlineStr">
        <is>
          <t>LBO</t>
        </is>
      </c>
      <c r="D23" s="559" t="inlineStr">
        <is>
          <t>C30/D30</t>
        </is>
      </c>
      <c r="E23" s="559" t="inlineStr">
        <is>
          <t>Term Loan B</t>
        </is>
      </c>
      <c r="F23" s="559" t="inlineStr">
        <is>
          <t>1.5x / $471.8m</t>
        </is>
      </c>
      <c r="G23" s="559" t="inlineStr">
        <is>
          <t>New TLB quantum.</t>
        </is>
      </c>
      <c r="H23" s="559" t="inlineStr">
        <is>
          <t>EBITDA × turns.</t>
        </is>
      </c>
      <c r="I23" s="559" t="inlineStr">
        <is>
          <t>Part of 5.0x new-money debt stack.</t>
        </is>
      </c>
      <c r="J23" s="559" t="inlineStr">
        <is>
          <t>Model assumption (LBOMODEL1)</t>
        </is>
      </c>
    </row>
    <row r="24" ht="48" customHeight="1" s="244">
      <c r="B24" s="559" t="n">
        <v>18</v>
      </c>
      <c r="C24" s="559" t="inlineStr">
        <is>
          <t>LBO</t>
        </is>
      </c>
      <c r="D24" s="559" t="inlineStr">
        <is>
          <t>C31/D31</t>
        </is>
      </c>
      <c r="E24" s="559" t="inlineStr">
        <is>
          <t>Senior Notes</t>
        </is>
      </c>
      <c r="F24" s="559" t="inlineStr">
        <is>
          <t>1.0x / $314.5m</t>
        </is>
      </c>
      <c r="G24" s="559" t="inlineStr">
        <is>
          <t>New senior notes quantum.</t>
        </is>
      </c>
      <c r="H24" s="559" t="inlineStr">
        <is>
          <t>EBITDA × turns.</t>
        </is>
      </c>
      <c r="I24" s="559" t="inlineStr">
        <is>
          <t>Completes 5.0x new debt with TLA+TLB.</t>
        </is>
      </c>
      <c r="J24" s="559" t="inlineStr">
        <is>
          <t>Model assumption (LBOMODEL1)</t>
        </is>
      </c>
    </row>
    <row r="25" ht="48" customHeight="1" s="244">
      <c r="B25" s="559" t="n">
        <v>19</v>
      </c>
      <c r="C25" s="559" t="inlineStr">
        <is>
          <t>LBO</t>
        </is>
      </c>
      <c r="D25" s="559" t="inlineStr">
        <is>
          <t>D35</t>
        </is>
      </c>
      <c r="E25" s="559" t="inlineStr">
        <is>
          <t>Sponsor equity</t>
        </is>
      </c>
      <c r="F25" s="559" t="inlineStr">
        <is>
          <t>$1,203.6m</t>
        </is>
      </c>
      <c r="G25" s="559" t="inlineStr">
        <is>
          <t>Equity check (Sources plug).</t>
        </is>
      </c>
      <c r="H25" s="559" t="inlineStr">
        <is>
          <t>Total Uses − excess cash − new debt.</t>
        </is>
      </c>
      <c r="I25" s="559" t="inlineStr">
        <is>
          <t>Balancing figure so Sources = Uses ($2,876.2m).</t>
        </is>
      </c>
      <c r="J25" s="559" t="inlineStr">
        <is>
          <t>Derived</t>
        </is>
      </c>
    </row>
    <row r="26" ht="48" customHeight="1" s="244">
      <c r="B26" s="559" t="n">
        <v>20</v>
      </c>
      <c r="C26" s="559" t="inlineStr">
        <is>
          <t>LBO</t>
        </is>
      </c>
      <c r="D26" s="559" t="inlineStr">
        <is>
          <t>G36</t>
        </is>
      </c>
      <c r="E26" s="559" t="inlineStr">
        <is>
          <t>Transaction fee %</t>
        </is>
      </c>
      <c r="F26" s="559" t="inlineStr">
        <is>
          <t>2% of equity value</t>
        </is>
      </c>
      <c r="G26" s="559" t="inlineStr">
        <is>
          <t>M&amp;A / financing fee assumption.</t>
        </is>
      </c>
      <c r="H26" s="559" t="inlineStr">
        <is>
          <t>Fees $ = 2% × equity purchase.</t>
        </is>
      </c>
      <c r="I26" s="559" t="inlineStr">
        <is>
          <t>Simple fee load for Uses; financing fee dollars also shown in fee block.</t>
        </is>
      </c>
      <c r="J26" s="559" t="inlineStr">
        <is>
          <t>Model assumption (LBOMODEL1)</t>
        </is>
      </c>
    </row>
    <row r="27" ht="48" customHeight="1" s="244">
      <c r="B27" s="559" t="n">
        <v>21</v>
      </c>
      <c r="C27" s="559" t="inlineStr">
        <is>
          <t>LBO</t>
        </is>
      </c>
      <c r="D27" s="559" t="inlineStr">
        <is>
          <t>F65:J65</t>
        </is>
      </c>
      <c r="E27" s="559" t="inlineStr">
        <is>
          <t>Revenue growth (FY26–30)</t>
        </is>
      </c>
      <c r="F27" s="559" t="inlineStr">
        <is>
          <t>4% / 5% / 5% / 4% / 3%</t>
        </is>
      </c>
      <c r="G27" s="559" t="inlineStr">
        <is>
          <t>YoY revenue growth in forecast.</t>
        </is>
      </c>
      <c r="H27" s="559" t="inlineStr">
        <is>
          <t>Hardcoded on growth row.</t>
        </is>
      </c>
      <c r="I27" s="559" t="inlineStr">
        <is>
          <t>Modest recovery vs FY24 dip; not a hyper-growth case.</t>
        </is>
      </c>
      <c r="J27" s="559" t="inlineStr">
        <is>
          <t>Model assumption (LBOMODEL1)</t>
        </is>
      </c>
    </row>
    <row r="28" ht="48" customHeight="1" s="244">
      <c r="B28" s="559" t="n">
        <v>22</v>
      </c>
      <c r="C28" s="559" t="inlineStr">
        <is>
          <t>LBO</t>
        </is>
      </c>
      <c r="D28" s="559" t="inlineStr">
        <is>
          <t>E66/F66</t>
        </is>
      </c>
      <c r="E28" s="559" t="inlineStr">
        <is>
          <t>Gross margin</t>
        </is>
      </c>
      <c r="F28" s="559" t="inlineStr">
        <is>
          <t>FY25 82.35% → Fcst 82.85%</t>
        </is>
      </c>
      <c r="G28" s="559" t="inlineStr">
        <is>
          <t>Gross profit % of sales.</t>
        </is>
      </c>
      <c r="H28" s="559" t="inlineStr">
        <is>
          <t>From FY25 COGS implied by 10-K; slight +50 bps in forecast.</t>
        </is>
      </c>
      <c r="I28" s="559" t="inlineStr">
        <is>
          <t>Software gross margin structure from SEC P&amp;L.</t>
        </is>
      </c>
      <c r="J28" s="560" t="inlineStr">
        <is>
          <t>https://www.sec.gov/Archives/edgar/data/1794515/000179451526000012/zi-20251231.htm</t>
        </is>
      </c>
    </row>
    <row r="29" ht="48" customHeight="1" s="244">
      <c r="B29" s="559" t="n">
        <v>23</v>
      </c>
      <c r="C29" s="559" t="inlineStr">
        <is>
          <t>LBO</t>
        </is>
      </c>
      <c r="D29" s="559" t="inlineStr">
        <is>
          <t>E67/F67</t>
        </is>
      </c>
      <c r="E29" s="559" t="inlineStr">
        <is>
          <t>R&amp;D margin</t>
        </is>
      </c>
      <c r="F29" s="559" t="inlineStr">
        <is>
          <t>14.57% flat in forecast</t>
        </is>
      </c>
      <c r="G29" s="559" t="inlineStr">
        <is>
          <t>R&amp;D % of sales.</t>
        </is>
      </c>
      <c r="H29" s="559" t="inlineStr">
        <is>
          <t>FY2025 R&amp;D / Revenue held flat.</t>
        </is>
      </c>
      <c r="I29" s="559" t="inlineStr">
        <is>
          <t>Keeps product investment while S&amp;M is the efficiency lever.</t>
        </is>
      </c>
      <c r="J29" s="560" t="inlineStr">
        <is>
          <t>https://www.sec.gov/Archives/edgar/data/1794515/000179451526000012/zi-20251231.htm</t>
        </is>
      </c>
    </row>
    <row r="30" ht="48" customHeight="1" s="244">
      <c r="B30" s="559" t="n">
        <v>24</v>
      </c>
      <c r="C30" s="559" t="inlineStr">
        <is>
          <t>LBO</t>
        </is>
      </c>
      <c r="D30" s="559" t="inlineStr">
        <is>
          <t>F68:J68</t>
        </is>
      </c>
      <c r="E30" s="559" t="inlineStr">
        <is>
          <t>SG&amp;A margin path</t>
        </is>
      </c>
      <c r="F30" s="559" t="inlineStr">
        <is>
          <t>47.72% → 46.22% → 44.72% → 44.22% → 44.22%</t>
        </is>
      </c>
      <c r="G30" s="559" t="inlineStr">
        <is>
          <t>SG&amp;A (S&amp;M+G&amp;A) % of sales in forecast.</t>
        </is>
      </c>
      <c r="H30" s="559" t="inlineStr">
        <is>
          <t>Compresses ~500 bps of revenue by Y3 vs FY25 49.72%.</t>
        </is>
      </c>
      <c r="I30" s="559" t="inlineStr">
        <is>
          <t>Operationalizes ZI AI-SDR thesis into the LBO P&amp;L.</t>
        </is>
      </c>
      <c r="J30" s="559" t="inlineStr">
        <is>
          <t>LBOMODEL1 thesis + ZI_* tabs; FY25 base from https://www.sec.gov/Archives/edgar/data/1794515/000179451526000012/zi-20251231.htm</t>
        </is>
      </c>
    </row>
    <row r="31" ht="48" customHeight="1" s="244">
      <c r="B31" s="559" t="n">
        <v>25</v>
      </c>
      <c r="C31" s="559" t="inlineStr">
        <is>
          <t>LBO</t>
        </is>
      </c>
      <c r="D31" s="559" t="inlineStr">
        <is>
          <t>C69:J69</t>
        </is>
      </c>
      <c r="E31" s="559" t="inlineStr">
        <is>
          <t>Tax rate</t>
        </is>
      </c>
      <c r="F31" s="559" t="inlineStr">
        <is>
          <t>21%</t>
        </is>
      </c>
      <c r="G31" s="559" t="inlineStr">
        <is>
          <t>Book tax rate on EBT.</t>
        </is>
      </c>
      <c r="H31" s="559" t="inlineStr">
        <is>
          <t>Flat statutory-like rate in MODEL1.</t>
        </is>
      </c>
      <c r="I31" s="559" t="inlineStr">
        <is>
          <t>Simplifies vs actual cash tax / NOL complexity.</t>
        </is>
      </c>
      <c r="J31" s="559" t="inlineStr">
        <is>
          <t>Model assumption (LBOMODEL1)</t>
        </is>
      </c>
    </row>
    <row r="32" ht="48" customHeight="1" s="244">
      <c r="B32" s="559" t="n">
        <v>26</v>
      </c>
      <c r="C32" s="559" t="inlineStr">
        <is>
          <t>LBO</t>
        </is>
      </c>
      <c r="D32" s="559" t="inlineStr">
        <is>
          <t>I275/J275</t>
        </is>
      </c>
      <c r="E32" s="559" t="inlineStr">
        <is>
          <t>Sponsor MoIC / IRR</t>
        </is>
      </c>
      <c r="F32" s="559" t="inlineStr">
        <is>
          <t>~2.97x / ~24.4%</t>
        </is>
      </c>
      <c r="G32" s="559" t="inlineStr">
        <is>
          <t>Base returns at 8.0x exit.</t>
        </is>
      </c>
      <c r="H32" s="559" t="inlineStr">
        <is>
          <t>Exit equity / sponsor equity; IRR = MoIC^(1/5)−1.</t>
        </is>
      </c>
      <c r="I32" s="559" t="inlineStr">
        <is>
          <t>Illustrative; sensitive to exit multiple, leverage, and SG&amp;A path.</t>
        </is>
      </c>
      <c r="J32" s="559" t="inlineStr">
        <is>
          <t>Derived on LBO returns block</t>
        </is>
      </c>
    </row>
    <row r="33" ht="48" customHeight="1" s="244">
      <c r="B33" s="559" t="n">
        <v>27</v>
      </c>
      <c r="C33" s="559" t="inlineStr">
        <is>
          <t>DCF</t>
        </is>
      </c>
      <c r="D33" s="559" t="inlineStr">
        <is>
          <t>C6</t>
        </is>
      </c>
      <c r="E33" s="559" t="inlineStr">
        <is>
          <t>DCF reference share price</t>
        </is>
      </c>
      <c r="F33" s="559" t="inlineStr">
        <is>
          <t>$5.3875 (LBO offer)</t>
        </is>
      </c>
      <c r="G33" s="559" t="inlineStr">
        <is>
          <t>Price shown in DCF header for football-field compare.</t>
        </is>
      </c>
      <c r="H33" s="559" t="inlineStr">
        <is>
          <t>Synced to LBO offer/sh.</t>
        </is>
      </c>
      <c r="I33" s="559" t="inlineStr">
        <is>
          <t>Makes DCF tab speak the same deal price as the LBO.</t>
        </is>
      </c>
      <c r="J33" s="559" t="inlineStr">
        <is>
          <t>LBO!H20</t>
        </is>
      </c>
    </row>
    <row r="34" ht="48" customHeight="1" s="244">
      <c r="B34" s="559" t="n">
        <v>28</v>
      </c>
      <c r="C34" s="559" t="inlineStr">
        <is>
          <t>DCF</t>
        </is>
      </c>
      <c r="D34" s="559" t="inlineStr">
        <is>
          <t>C8</t>
        </is>
      </c>
      <c r="E34" s="559" t="inlineStr">
        <is>
          <t>Basic / diluted share count</t>
        </is>
      </c>
      <c r="F34" s="559" t="inlineStr">
        <is>
          <t>292.312m</t>
        </is>
      </c>
      <c r="G34" s="559" t="inlineStr">
        <is>
          <t>Share count for per-share value.</t>
        </is>
      </c>
      <c r="H34" s="559" t="inlineStr">
        <is>
          <t>Synced to LBO shares.</t>
        </is>
      </c>
      <c r="I34" s="559" t="inlineStr">
        <is>
          <t>Same 10-Q share count as LBO.</t>
        </is>
      </c>
      <c r="J34" s="560" t="inlineStr">
        <is>
          <t>https://www.sec.gov/cgi-bin/browse-edgar?action=getcompany&amp;CIK=0001794515&amp;type=10-Q</t>
        </is>
      </c>
    </row>
    <row r="35" ht="48" customHeight="1" s="244">
      <c r="B35" s="559" t="n">
        <v>29</v>
      </c>
      <c r="C35" s="559" t="inlineStr">
        <is>
          <t>DCF</t>
        </is>
      </c>
      <c r="D35" s="559" t="inlineStr">
        <is>
          <t>C55/C56/C57</t>
        </is>
      </c>
      <c r="E35" s="559" t="inlineStr">
        <is>
          <t>CAPM inputs</t>
        </is>
      </c>
      <c r="F35" s="559" t="inlineStr">
        <is>
          <t>Rf 4.3% / β 1.20 / ERP 5.0%</t>
        </is>
      </c>
      <c r="G35" s="559" t="inlineStr">
        <is>
          <t>Building blocks of cost of equity.</t>
        </is>
      </c>
      <c r="H35" s="559" t="inlineStr">
        <is>
          <t>Ke = Rf + β×ERP.</t>
        </is>
      </c>
      <c r="I35" s="559" t="inlineStr">
        <is>
          <t>Illustrative SaaS CAPM stack for DCF tab (not Yacktman-adjusted).</t>
        </is>
      </c>
      <c r="J35" s="559" t="inlineStr">
        <is>
          <t>Model assumption (LBOMODEL1)</t>
        </is>
      </c>
    </row>
    <row r="36" ht="48" customHeight="1" s="244">
      <c r="B36" s="559" t="n">
        <v>30</v>
      </c>
      <c r="C36" s="559" t="inlineStr">
        <is>
          <t>DCF</t>
        </is>
      </c>
      <c r="D36" s="559" t="inlineStr">
        <is>
          <t>C50/C51</t>
        </is>
      </c>
      <c r="E36" s="559" t="inlineStr">
        <is>
          <t>Cost of debt / tax</t>
        </is>
      </c>
      <c r="F36" s="559" t="inlineStr">
        <is>
          <t>7.0% / 21%</t>
        </is>
      </c>
      <c r="G36" s="559" t="inlineStr">
        <is>
          <t>After-tax debt cost inputs.</t>
        </is>
      </c>
      <c r="H36" s="559" t="inlineStr">
        <is>
          <t>Rd×(1−t) in WACC.</t>
        </is>
      </c>
      <c r="I36" s="559" t="inlineStr">
        <is>
          <t>Rounded financing cost vs new LBO stack.</t>
        </is>
      </c>
      <c r="J36" s="559" t="inlineStr">
        <is>
          <t>Model assumption (LBOMODEL1)</t>
        </is>
      </c>
    </row>
    <row r="37" ht="48" customHeight="1" s="244">
      <c r="B37" s="559" t="n">
        <v>31</v>
      </c>
      <c r="C37" s="559" t="inlineStr">
        <is>
          <t>DCF</t>
        </is>
      </c>
      <c r="D37" s="559" t="inlineStr">
        <is>
          <t>C53/C58</t>
        </is>
      </c>
      <c r="E37" s="559" t="inlineStr">
        <is>
          <t>Capital structure weights</t>
        </is>
      </c>
      <c r="F37" s="559" t="inlineStr">
        <is>
          <t>Wd 45% / We 55%</t>
        </is>
      </c>
      <c r="G37" s="559" t="inlineStr">
        <is>
          <t>Target weights in WACC.</t>
        </is>
      </c>
      <c r="H37" s="559" t="inlineStr">
        <is>
          <t>Hardcoded policy on DCF tab.</t>
        </is>
      </c>
      <c r="I37" s="559" t="inlineStr">
        <is>
          <t>Closer to PF leveraged structure than pre-deal equity-heavy weights.</t>
        </is>
      </c>
      <c r="J37" s="559" t="inlineStr">
        <is>
          <t>Model assumption (LBOMODEL1)</t>
        </is>
      </c>
    </row>
    <row r="38" ht="48" customHeight="1" s="244">
      <c r="B38" s="559" t="n">
        <v>32</v>
      </c>
      <c r="C38" s="559" t="inlineStr">
        <is>
          <t>DCF</t>
        </is>
      </c>
      <c r="D38" s="559" t="inlineStr">
        <is>
          <t>C9/C59</t>
        </is>
      </c>
      <c r="E38" s="559" t="inlineStr">
        <is>
          <t>WACC</t>
        </is>
      </c>
      <c r="F38" s="559" t="inlineStr">
        <is>
          <t>~8.53%</t>
        </is>
      </c>
      <c r="G38" s="559" t="inlineStr">
        <is>
          <t>Discount rate for unlevered FCF.</t>
        </is>
      </c>
      <c r="H38" s="559" t="inlineStr">
        <is>
          <t>We×Ke + Wd×Rd×(1−t).</t>
        </is>
      </c>
      <c r="I38" s="559" t="inlineStr">
        <is>
          <t>Used for DCF PV math on this tab.</t>
        </is>
      </c>
      <c r="J38" s="559" t="inlineStr">
        <is>
          <t>Derived from CAPM + Rd assumptions</t>
        </is>
      </c>
    </row>
    <row r="39" ht="48" customHeight="1" s="244">
      <c r="B39" s="559" t="n">
        <v>33</v>
      </c>
      <c r="C39" s="559" t="inlineStr">
        <is>
          <t>DCF</t>
        </is>
      </c>
      <c r="D39" s="559" t="inlineStr">
        <is>
          <t>J37</t>
        </is>
      </c>
      <c r="E39" s="559" t="inlineStr">
        <is>
          <t>Exit EBITDA multiple (DCF)</t>
        </is>
      </c>
      <c r="F39" s="559" t="inlineStr">
        <is>
          <t>8.0x</t>
        </is>
      </c>
      <c r="G39" s="559" t="inlineStr">
        <is>
          <t>Terminal multiple in exit-EBITDA approach.</t>
        </is>
      </c>
      <c r="H39" s="559" t="inlineStr">
        <is>
          <t>Synced to LBO!D17.</t>
        </is>
      </c>
      <c r="I39" s="559" t="inlineStr">
        <is>
          <t>Keeps LBO and DCF exit frameworks comparable.</t>
        </is>
      </c>
      <c r="J39" s="559" t="inlineStr">
        <is>
          <t>LBO!D17</t>
        </is>
      </c>
    </row>
    <row r="40" ht="48" customHeight="1" s="244">
      <c r="B40" s="559" t="n">
        <v>34</v>
      </c>
      <c r="C40" s="559" t="inlineStr">
        <is>
          <t>DCF</t>
        </is>
      </c>
      <c r="D40" s="559" t="inlineStr">
        <is>
          <t>C37</t>
        </is>
      </c>
      <c r="E40" s="559" t="inlineStr">
        <is>
          <t>Perpetuity g</t>
        </is>
      </c>
      <c r="F40" s="559" t="inlineStr">
        <is>
          <t>0% in template cell (sensitivity uses 2–4%)</t>
        </is>
      </c>
      <c r="G40" s="559" t="inlineStr">
        <is>
          <t>Long-term growth in Gordon approach.</t>
        </is>
      </c>
      <c r="H40" s="559" t="inlineStr">
        <is>
          <t>Template default; grid varies g.</t>
        </is>
      </c>
      <c r="I40" s="559" t="inlineStr">
        <is>
          <t>Football-field sensitivity still shows 2–4% g range.</t>
        </is>
      </c>
      <c r="J40" s="559" t="inlineStr">
        <is>
          <t>WSP template convention + MODEL1 note</t>
        </is>
      </c>
    </row>
    <row r="41" ht="48" customHeight="1" s="244">
      <c r="B41" s="559" t="n">
        <v>35</v>
      </c>
      <c r="C41" s="559" t="inlineStr">
        <is>
          <t>DCF</t>
        </is>
      </c>
      <c r="D41" s="559" t="inlineStr">
        <is>
          <t>C31</t>
        </is>
      </c>
      <c r="E41" s="559" t="inlineStr">
        <is>
          <t>Cash-flow timing</t>
        </is>
      </c>
      <c r="F41" s="559" t="inlineStr">
        <is>
          <t>Middle of period</t>
        </is>
      </c>
      <c r="G41" s="559" t="inlineStr">
        <is>
          <t>Mid-year discounting convention.</t>
        </is>
      </c>
      <c r="H41" s="559" t="inlineStr">
        <is>
          <t>Midperiod adjustment factor on DCF tab.</t>
        </is>
      </c>
      <c r="I41" s="559" t="inlineStr">
        <is>
          <t>Standard IB mid-year convention for annual FCFs.</t>
        </is>
      </c>
      <c r="J41" s="559" t="inlineStr">
        <is>
          <t>WSP template</t>
        </is>
      </c>
    </row>
    <row r="42" ht="48" customHeight="1" s="244">
      <c r="B42" s="559" t="n">
        <v>36</v>
      </c>
      <c r="C42" s="559" t="inlineStr">
        <is>
          <t>Shares</t>
        </is>
      </c>
      <c r="D42" s="559" t="inlineStr">
        <is>
          <t>E5/E6</t>
        </is>
      </c>
      <c r="E42" s="559" t="inlineStr">
        <is>
          <t>Offer price for dilution</t>
        </is>
      </c>
      <c r="F42" s="559" t="inlineStr">
        <is>
          <t>$5.3875</t>
        </is>
      </c>
      <c r="G42" s="559" t="inlineStr">
        <is>
          <t>Price used in treasury-stock method.</t>
        </is>
      </c>
      <c r="H42" s="559" t="inlineStr">
        <is>
          <t>Synced to LBO offer.</t>
        </is>
      </c>
      <c r="I42" s="559" t="inlineStr">
        <is>
          <t>Aligns diluted-share math with deal price.</t>
        </is>
      </c>
      <c r="J42" s="559" t="inlineStr">
        <is>
          <t>LBO!H20</t>
        </is>
      </c>
    </row>
    <row r="43" ht="48" customHeight="1" s="244">
      <c r="B43" s="559" t="n">
        <v>37</v>
      </c>
      <c r="C43" s="559" t="inlineStr">
        <is>
          <t>Shares</t>
        </is>
      </c>
      <c r="D43" s="559" t="inlineStr">
        <is>
          <t>E7/E14</t>
        </is>
      </c>
      <c r="E43" s="559" t="inlineStr">
        <is>
          <t>Basic &amp; net diluted shares</t>
        </is>
      </c>
      <c r="F43" s="559" t="inlineStr">
        <is>
          <t>292.312m / 292.312m</t>
        </is>
      </c>
      <c r="G43" s="559" t="inlineStr">
        <is>
          <t>Share count used for equity value.</t>
        </is>
      </c>
      <c r="H43" s="559" t="inlineStr">
        <is>
          <t>Outstanding shares; options set to 0 in MODEL1.</t>
        </is>
      </c>
      <c r="I43" s="559" t="inlineStr">
        <is>
          <t>10-Q share count; detailed options ladder not loaded (net dilutive options = 0).</t>
        </is>
      </c>
      <c r="J43" s="560" t="inlineStr">
        <is>
          <t>https://www.sec.gov/cgi-bin/browse-edgar?action=getcompany&amp;CIK=0001794515&amp;type=10-Q</t>
        </is>
      </c>
    </row>
    <row r="44" ht="48" customHeight="1" s="244">
      <c r="B44" s="559" t="n">
        <v>38</v>
      </c>
      <c r="C44" s="559" t="inlineStr">
        <is>
          <t>Shares</t>
        </is>
      </c>
      <c r="D44" s="559" t="inlineStr">
        <is>
          <t>E8:E11</t>
        </is>
      </c>
      <c r="E44" s="559" t="inlineStr">
        <is>
          <t>Options / other dilutives</t>
        </is>
      </c>
      <c r="F44" s="559" t="inlineStr">
        <is>
          <t>0</t>
        </is>
      </c>
      <c r="G44" s="559" t="inlineStr">
        <is>
          <t>Incremental dilutive securities.</t>
        </is>
      </c>
      <c r="H44" s="559" t="inlineStr">
        <is>
          <t>Cleared BMC ladder; set to zero pending full award rollforward.</t>
        </is>
      </c>
      <c r="I44" s="559" t="inlineStr">
        <is>
          <t>Conservative vs overstating dilution without a current award table.</t>
        </is>
      </c>
      <c r="J44" s="559" t="inlineStr">
        <is>
          <t>Model assumption (LBOMODEL1) — update from proxy/10-K award note when refined</t>
        </is>
      </c>
    </row>
    <row r="45" ht="48" customHeight="1" s="244">
      <c r="B45" s="559" t="n">
        <v>39</v>
      </c>
      <c r="C45" s="559" t="inlineStr">
        <is>
          <t>52wkHL</t>
        </is>
      </c>
      <c r="D45" s="559" t="inlineStr">
        <is>
          <t>E4/E5</t>
        </is>
      </c>
      <c r="E45" s="559" t="inlineStr">
        <is>
          <t>52-week high / low</t>
        </is>
      </c>
      <c r="F45" s="559" t="inlineStr">
        <is>
          <t>Legacy sample tape (not GTM)</t>
        </is>
      </c>
      <c r="G45" s="559" t="inlineStr">
        <is>
          <t>Market range for football-field.</t>
        </is>
      </c>
      <c r="H45" s="559" t="inlineStr">
        <is>
          <t>Still WSP BMC sample series in MODEL1.</t>
        </is>
      </c>
      <c r="I45" s="559" t="inlineStr">
        <is>
          <t>Not yet replaced with GTM price history; LBO uses spot $4.31 instead.</t>
        </is>
      </c>
      <c r="J45" s="559" t="inlineStr">
        <is>
          <t>WSP sample residual — replace with GTM tape in MODEL2+</t>
        </is>
      </c>
    </row>
    <row r="46" ht="48" customHeight="1" s="244">
      <c r="B46" s="559" t="n">
        <v>40</v>
      </c>
      <c r="C46" s="559" t="inlineStr">
        <is>
          <t>ZI_01_10K_Source</t>
        </is>
      </c>
      <c r="D46" s="559" t="inlineStr">
        <is>
          <t>E5</t>
        </is>
      </c>
      <c r="E46" s="559" t="inlineStr">
        <is>
          <t>FY2025 Revenue</t>
        </is>
      </c>
      <c r="F46" s="559" t="inlineStr">
        <is>
          <t>$1,249.5m</t>
        </is>
      </c>
      <c r="G46" s="559" t="inlineStr">
        <is>
          <t>Annual revenue anchor.</t>
        </is>
      </c>
      <c r="H46" s="559" t="inlineStr">
        <is>
          <t>XBRL RevenueFromContractWithCustomerExcludingAssessedTax.</t>
        </is>
      </c>
      <c r="I46" s="559" t="inlineStr">
        <is>
          <t>Latest annual 10-K fact.</t>
        </is>
      </c>
      <c r="J46" s="560" t="inlineStr">
        <is>
          <t>https://www.sec.gov/Archives/edgar/data/1794515/000179451526000012/zi-20251231.htm ; https://data.sec.gov/api/xbrl/companyfacts/CIK0001794515.json</t>
        </is>
      </c>
    </row>
    <row r="47" ht="48" customHeight="1" s="244">
      <c r="B47" s="559" t="n">
        <v>41</v>
      </c>
      <c r="C47" s="559" t="inlineStr">
        <is>
          <t>ZI_01_10K_Source</t>
        </is>
      </c>
      <c r="D47" s="559" t="inlineStr">
        <is>
          <t>E6</t>
        </is>
      </c>
      <c r="E47" s="559" t="inlineStr">
        <is>
          <t>FY2025 Selling &amp; Marketing</t>
        </is>
      </c>
      <c r="F47" s="559" t="inlineStr">
        <is>
          <t>$414.6m</t>
        </is>
      </c>
      <c r="G47" s="559" t="inlineStr">
        <is>
          <t>S&amp;M expense (the bloat line).</t>
        </is>
      </c>
      <c r="H47" s="559" t="inlineStr">
        <is>
          <t>XBRL SellingAndMarketingExpense.</t>
        </is>
      </c>
      <c r="I47" s="559" t="inlineStr">
        <is>
          <t>33.2% of FY25 revenue — thesis starting point.</t>
        </is>
      </c>
      <c r="J47" s="560" t="inlineStr">
        <is>
          <t>https://data.sec.gov/api/xbrl/companyfacts/CIK0001794515.json</t>
        </is>
      </c>
    </row>
    <row r="48" ht="48" customHeight="1" s="244">
      <c r="B48" s="559" t="n">
        <v>42</v>
      </c>
      <c r="C48" s="559" t="inlineStr">
        <is>
          <t>ZI_01_10K_Source</t>
        </is>
      </c>
      <c r="D48" s="559" t="inlineStr">
        <is>
          <t>E10/E13/E20</t>
        </is>
      </c>
      <c r="E48" s="559" t="inlineStr">
        <is>
          <t>OpInc / D&amp;A / EBITDA proxy</t>
        </is>
      </c>
      <c r="F48" s="559" t="inlineStr">
        <is>
          <t>$225.7 / $88.8 / $314.5m</t>
        </is>
      </c>
      <c r="G48" s="559" t="inlineStr">
        <is>
          <t>Operating income, D&amp;A, EBITDA proxy.</t>
        </is>
      </c>
      <c r="H48" s="559" t="inlineStr">
        <is>
          <t>OpInc + OtherDepreciationAndAmortization.</t>
        </is>
      </c>
      <c r="I48" s="559" t="inlineStr">
        <is>
          <t>Bridges to LBO!D13 LTM EBITDA.</t>
        </is>
      </c>
      <c r="J48" s="560" t="inlineStr">
        <is>
          <t>https://data.sec.gov/api/xbrl/companyfacts/CIK0001794515.json</t>
        </is>
      </c>
    </row>
    <row r="49" ht="48" customHeight="1" s="244">
      <c r="B49" s="559" t="n">
        <v>43</v>
      </c>
      <c r="C49" s="559" t="inlineStr">
        <is>
          <t>ZI_01_10K_Source</t>
        </is>
      </c>
      <c r="D49" s="559" t="inlineStr">
        <is>
          <t>E28</t>
        </is>
      </c>
      <c r="E49" s="559" t="inlineStr">
        <is>
          <t>S&amp;M employees</t>
        </is>
      </c>
      <c r="F49" s="559" t="inlineStr">
        <is>
          <t>1,370</t>
        </is>
      </c>
      <c r="G49" s="559" t="inlineStr">
        <is>
          <t>Headcount in sales &amp; marketing.</t>
        </is>
      </c>
      <c r="H49" s="559" t="inlineStr">
        <is>
          <t>10-K Human Capital disclosure (3,180 total).</t>
        </is>
      </c>
      <c r="I49" s="559" t="inlineStr">
        <is>
          <t>Denominator for SDR % assumption.</t>
        </is>
      </c>
      <c r="J49" s="560" t="inlineStr">
        <is>
          <t>https://www.sec.gov/Archives/edgar/data/1794515/000179451526000012/zi-20251231.htm</t>
        </is>
      </c>
    </row>
    <row r="50" ht="48" customHeight="1" s="244">
      <c r="B50" s="559" t="n">
        <v>44</v>
      </c>
      <c r="C50" s="559" t="inlineStr">
        <is>
          <t>ZI_02_SM_Isolation</t>
        </is>
      </c>
      <c r="D50" s="559" t="inlineStr">
        <is>
          <t>C16</t>
        </is>
      </c>
      <c r="E50" s="559" t="inlineStr">
        <is>
          <t>Target mature SaaS S&amp;M % rev</t>
        </is>
      </c>
      <c r="F50" s="559" t="inlineStr">
        <is>
          <t>22%</t>
        </is>
      </c>
      <c r="G50" s="559" t="inlineStr">
        <is>
          <t>Benchmark efficient S&amp;M intensity.</t>
        </is>
      </c>
      <c r="H50" s="559" t="inlineStr">
        <is>
          <t>Yellow input vs FY25 33.2%.</t>
        </is>
      </c>
      <c r="I50" s="559" t="inlineStr">
        <is>
          <t>Defines “bloat” dollars vs a mature SaaS target.</t>
        </is>
      </c>
      <c r="J50" s="559" t="inlineStr">
        <is>
          <t>Model assumption (LBOMODEL1)</t>
        </is>
      </c>
    </row>
    <row r="51" ht="48" customHeight="1" s="244">
      <c r="B51" s="559" t="n">
        <v>45</v>
      </c>
      <c r="C51" s="559" t="inlineStr">
        <is>
          <t>ZI_03_Headcount_AI</t>
        </is>
      </c>
      <c r="D51" s="559" t="inlineStr">
        <is>
          <t>C6</t>
        </is>
      </c>
      <c r="E51" s="559" t="inlineStr">
        <is>
          <t>% of S&amp;M that are outbound SDR/BDR</t>
        </is>
      </c>
      <c r="F51" s="559" t="inlineStr">
        <is>
          <t>40%</t>
        </is>
      </c>
      <c r="G51" s="559" t="inlineStr">
        <is>
          <t>Share of S&amp;M headcount treated as AI-replaceable SDRs.</t>
        </is>
      </c>
      <c r="H51" s="559" t="inlineStr">
        <is>
          <t>Yellow input × 1,370.</t>
        </is>
      </c>
      <c r="I51" s="559" t="inlineStr">
        <is>
          <t>10-K does not disclose SDR count — explicit model assumption.</t>
        </is>
      </c>
      <c r="J51" s="559" t="inlineStr">
        <is>
          <t>Model assumption (LBOMODEL1)</t>
        </is>
      </c>
    </row>
    <row r="52" ht="48" customHeight="1" s="244">
      <c r="B52" s="559" t="n">
        <v>46</v>
      </c>
      <c r="C52" s="559" t="inlineStr">
        <is>
          <t>ZI_03_Headcount_AI</t>
        </is>
      </c>
      <c r="D52" s="559" t="inlineStr">
        <is>
          <t>C8</t>
        </is>
      </c>
      <c r="E52" s="559" t="inlineStr">
        <is>
          <t>Fully loaded cost / SDR / yr</t>
        </is>
      </c>
      <c r="F52" s="559" t="inlineStr">
        <is>
          <t>$155k</t>
        </is>
      </c>
      <c r="G52" s="559" t="inlineStr">
        <is>
          <t>Cash cost per outbound SDR.</t>
        </is>
      </c>
      <c r="H52" s="559" t="inlineStr">
        <is>
          <t>Yellow input.</t>
        </is>
      </c>
      <c r="I52" s="559" t="inlineStr">
        <is>
          <t>Below blended residual S&amp;M $/employee (commissions/ads stay).</t>
        </is>
      </c>
      <c r="J52" s="559" t="inlineStr">
        <is>
          <t>Model assumption (LBOMODEL1)</t>
        </is>
      </c>
    </row>
    <row r="53" ht="48" customHeight="1" s="244">
      <c r="B53" s="559" t="n">
        <v>47</v>
      </c>
      <c r="C53" s="559" t="inlineStr">
        <is>
          <t>ZI_03_Headcount_AI</t>
        </is>
      </c>
      <c r="D53" s="559" t="inlineStr">
        <is>
          <t>C13/C15</t>
        </is>
      </c>
      <c r="E53" s="559" t="inlineStr">
        <is>
          <t>AI seat / oversight cost</t>
        </is>
      </c>
      <c r="F53" s="559" t="inlineStr">
        <is>
          <t>$15k per seat; $150k per oversight FTE</t>
        </is>
      </c>
      <c r="G53" s="559" t="inlineStr">
        <is>
          <t>Replacement opex for AI agents + humans.</t>
        </is>
      </c>
      <c r="H53" s="559" t="inlineStr">
        <is>
          <t>Yellow inputs; 1 oversight FTE / 20 seats.</t>
        </is>
      </c>
      <c r="I53" s="559" t="inlineStr">
        <is>
          <t>Net savings must clear AI + oversight to hit margin target.</t>
        </is>
      </c>
      <c r="J53" s="559" t="inlineStr">
        <is>
          <t>Model assumption (LBOMODEL1)</t>
        </is>
      </c>
    </row>
    <row r="54" ht="48" customHeight="1" s="244">
      <c r="B54" s="559" t="n">
        <v>48</v>
      </c>
      <c r="C54" s="559" t="inlineStr">
        <is>
          <t>ZI_03_Headcount_AI</t>
        </is>
      </c>
      <c r="D54" s="559" t="inlineStr">
        <is>
          <t>C21:E21</t>
        </is>
      </c>
      <c r="E54" s="559" t="inlineStr">
        <is>
          <t>Cumulative % SDRs replaced</t>
        </is>
      </c>
      <c r="F54" s="559" t="inlineStr">
        <is>
          <t>45% / 80% / 95% (2026–28)</t>
        </is>
      </c>
      <c r="G54" s="559" t="inlineStr">
        <is>
          <t>Headcount reduction schedule.</t>
        </is>
      </c>
      <c r="H54" s="559" t="inlineStr">
        <is>
          <t>Yellow cumulative exit fractions.</t>
        </is>
      </c>
      <c r="I54" s="559" t="inlineStr">
        <is>
          <t>Phased cut to avoid one-year cliff risk.</t>
        </is>
      </c>
      <c r="J54" s="559" t="inlineStr">
        <is>
          <t>Model assumption (LBOMODEL1)</t>
        </is>
      </c>
    </row>
    <row r="55" ht="48" customHeight="1" s="244">
      <c r="B55" s="559" t="n">
        <v>49</v>
      </c>
      <c r="C55" s="559" t="inlineStr">
        <is>
          <t>ZI_03_Headcount_AI</t>
        </is>
      </c>
      <c r="D55" s="559" t="inlineStr">
        <is>
          <t>C16/C17</t>
        </is>
      </c>
      <c r="E55" s="559" t="inlineStr">
        <is>
          <t>Severance / AI build</t>
        </is>
      </c>
      <c r="F55" s="559" t="inlineStr">
        <is>
          <t>$25k per SDR; $8m Y1 build</t>
        </is>
      </c>
      <c r="G55" s="559" t="inlineStr">
        <is>
          <t>One-time costs.</t>
        </is>
      </c>
      <c r="H55" s="559" t="inlineStr">
        <is>
          <t>Yellow inputs in P&amp;L impact.</t>
        </is>
      </c>
      <c r="I55" s="559" t="inlineStr">
        <is>
          <t>Hits in-year EBITDA but excluded from run-rate bps.</t>
        </is>
      </c>
      <c r="J55" s="559" t="inlineStr">
        <is>
          <t>Model assumption (LBOMODEL1)</t>
        </is>
      </c>
    </row>
    <row r="56" ht="48" customHeight="1" s="244">
      <c r="B56" s="559" t="n">
        <v>50</v>
      </c>
      <c r="C56" s="559" t="inlineStr">
        <is>
          <t>ZI_04_EBITDA_Bridge</t>
        </is>
      </c>
      <c r="D56" s="559" t="inlineStr">
        <is>
          <t>C7</t>
        </is>
      </c>
      <c r="E56" s="559" t="inlineStr">
        <is>
          <t>Target margin expansion</t>
        </is>
      </c>
      <c r="F56" s="559" t="inlineStr">
        <is>
          <t>500 bps</t>
        </is>
      </c>
      <c r="G56" s="559" t="inlineStr">
        <is>
          <t>Minimum success hurdle for the AI program.</t>
        </is>
      </c>
      <c r="H56" s="559" t="inlineStr">
        <is>
          <t>Yellow input; YES/NO vs run-rate bps.</t>
        </is>
      </c>
      <c r="I56" s="559" t="inlineStr">
        <is>
          <t xml:space="preserve"> equates to ~$62.5m EBITDA on $1,249.5m revenue.</t>
        </is>
      </c>
      <c r="J56" s="559" t="inlineStr">
        <is>
          <t>User thesis requirement</t>
        </is>
      </c>
    </row>
    <row r="57" ht="48" customHeight="1" s="244">
      <c r="B57" s="559" t="n">
        <v>51</v>
      </c>
      <c r="C57" s="559" t="inlineStr">
        <is>
          <t>ZI_05_Sensitivity</t>
        </is>
      </c>
      <c r="D57" s="559" t="inlineStr">
        <is>
          <t>B12:H17</t>
        </is>
      </c>
      <c r="E57" s="559" t="inlineStr">
        <is>
          <t>Sensitivity grid</t>
        </is>
      </c>
      <c r="F57" s="559" t="inlineStr">
        <is>
          <t>Replace-% × AI $/seat → bps</t>
        </is>
      </c>
      <c r="G57" s="559" t="inlineStr">
        <is>
          <t>Y3 run-rate bps under alternate AI costs / cut depths.</t>
        </is>
      </c>
      <c r="H57" s="559" t="inlineStr">
        <is>
          <t>Algebra on SDR0 &amp; unit costs.</t>
        </is>
      </c>
      <c r="I57" s="559" t="inlineStr">
        <is>
          <t>Shows what it takes to stay above 500 bps if AI is more expensive.</t>
        </is>
      </c>
      <c r="J57" s="559" t="inlineStr">
        <is>
          <t>Derived from ZI_03 inputs</t>
        </is>
      </c>
    </row>
  </sheetData>
  <autoFilter ref="B6:J57"/>
  <hyperlinks>
    <hyperlink xmlns:r="http://schemas.openxmlformats.org/officeDocument/2006/relationships" ref="J7" r:id="rId1"/>
    <hyperlink xmlns:r="http://schemas.openxmlformats.org/officeDocument/2006/relationships" ref="J8" r:id="rId2"/>
    <hyperlink xmlns:r="http://schemas.openxmlformats.org/officeDocument/2006/relationships" ref="J9" r:id="rId3"/>
    <hyperlink xmlns:r="http://schemas.openxmlformats.org/officeDocument/2006/relationships" ref="J10" r:id="rId4"/>
    <hyperlink xmlns:r="http://schemas.openxmlformats.org/officeDocument/2006/relationships" ref="J11" r:id="rId5"/>
    <hyperlink xmlns:r="http://schemas.openxmlformats.org/officeDocument/2006/relationships" ref="J14" r:id="rId6"/>
    <hyperlink xmlns:r="http://schemas.openxmlformats.org/officeDocument/2006/relationships" ref="J16" r:id="rId7"/>
    <hyperlink xmlns:r="http://schemas.openxmlformats.org/officeDocument/2006/relationships" ref="J17" r:id="rId8"/>
    <hyperlink xmlns:r="http://schemas.openxmlformats.org/officeDocument/2006/relationships" ref="J18" r:id="rId9"/>
    <hyperlink xmlns:r="http://schemas.openxmlformats.org/officeDocument/2006/relationships" ref="J28" r:id="rId10"/>
    <hyperlink xmlns:r="http://schemas.openxmlformats.org/officeDocument/2006/relationships" ref="J29" r:id="rId11"/>
    <hyperlink xmlns:r="http://schemas.openxmlformats.org/officeDocument/2006/relationships" ref="J34" r:id="rId12"/>
    <hyperlink xmlns:r="http://schemas.openxmlformats.org/officeDocument/2006/relationships" ref="J43" r:id="rId13"/>
    <hyperlink xmlns:r="http://schemas.openxmlformats.org/officeDocument/2006/relationships" ref="J46" r:id="rId14"/>
    <hyperlink xmlns:r="http://schemas.openxmlformats.org/officeDocument/2006/relationships" ref="J47" r:id="rId15"/>
    <hyperlink xmlns:r="http://schemas.openxmlformats.org/officeDocument/2006/relationships" ref="J48" r:id="rId16"/>
    <hyperlink xmlns:r="http://schemas.openxmlformats.org/officeDocument/2006/relationships" ref="J49"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I7"/>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Coversheet</t>
        </is>
      </c>
    </row>
    <row r="3">
      <c r="B3" t="inlineStr">
        <is>
          <t>Subset of 00_Assumptions_List for tab `Coversheet`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B2</t>
        </is>
      </c>
      <c r="D6" s="559" t="inlineStr">
        <is>
          <t>Model identity</t>
        </is>
      </c>
      <c r="E6" s="559" t="inlineStr">
        <is>
          <t>vengeanceaiUSC-LBOMODEL1 — ZoomInfo (GTM)</t>
        </is>
      </c>
      <c r="F6" s="559" t="inlineStr">
        <is>
          <t>Name of this LBO case.</t>
        </is>
      </c>
      <c r="G6" s="559" t="inlineStr">
        <is>
          <t>Set on Coversheet and LBO!B2.</t>
        </is>
      </c>
      <c r="H6" s="559" t="inlineStr">
        <is>
          <t>Separates ZoomInfo LBOMODEL1 from the blank WSP BMC sample.</t>
        </is>
      </c>
      <c r="I6" s="560" t="inlineStr">
        <is>
          <t>https://raw.githubusercontent.com/vengeanceaiUSC/Rainmaker/cursor/vengeanceaiusclbomodel1-44dc/vengeanceaiUSC_LBOMODEL1.xlsx</t>
        </is>
      </c>
    </row>
    <row r="7" ht="48" customHeight="1" s="244">
      <c r="B7" s="559" t="n">
        <v>2</v>
      </c>
      <c r="C7" s="559" t="inlineStr">
        <is>
          <t>—</t>
        </is>
      </c>
      <c r="D7" s="559" t="inlineStr">
        <is>
          <t>Units</t>
        </is>
      </c>
      <c r="E7" s="559" t="inlineStr">
        <is>
          <t>$ millions except per share / rates / multiples</t>
        </is>
      </c>
      <c r="F7" s="559" t="inlineStr">
        <is>
          <t>Unit convention for the workbook.</t>
        </is>
      </c>
      <c r="G7" s="559" t="inlineStr">
        <is>
          <t>Stated on LBO!B3 / DCF!B3.</t>
        </is>
      </c>
      <c r="H7" s="559" t="inlineStr">
        <is>
          <t>Matches WSP template convention and SEC $ presentation scaled to millions.</t>
        </is>
      </c>
      <c r="I7" s="560" t="inlineStr">
        <is>
          <t>https://www.sec.gov/Archives/edgar/data/1794515/000179451526000012/zi-20251231.htm</t>
        </is>
      </c>
    </row>
  </sheetData>
  <hyperlinks>
    <hyperlink xmlns:r="http://schemas.openxmlformats.org/officeDocument/2006/relationships" ref="I6" r:id="rId1"/>
    <hyperlink xmlns:r="http://schemas.openxmlformats.org/officeDocument/2006/relationships" ref="I7"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29"/>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LBO</t>
        </is>
      </c>
    </row>
    <row r="3">
      <c r="B3" t="inlineStr">
        <is>
          <t>Subset of 00_Assumptions_List for tab `LBO`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D6/D7</t>
        </is>
      </c>
      <c r="D6" s="559" t="inlineStr">
        <is>
          <t>Company / ticker</t>
        </is>
      </c>
      <c r="E6" s="559" t="inlineStr">
        <is>
          <t>ZoomInfo Technologies Inc. / GTM</t>
        </is>
      </c>
      <c r="F6" s="559" t="inlineStr">
        <is>
          <t>Target company identity.</t>
        </is>
      </c>
      <c r="G6" s="559" t="inlineStr">
        <is>
          <t>Hardcoded inputs on LBO general inputs.</t>
        </is>
      </c>
      <c r="H6" s="559" t="inlineStr">
        <is>
          <t>Public GTM (legacy ZI) is the LBOMODEL1 case company.</t>
        </is>
      </c>
      <c r="I6" s="560" t="inlineStr">
        <is>
          <t>https://www.sec.gov/Archives/edgar/data/1794515/000179451526000012/zi-20251231.htm</t>
        </is>
      </c>
    </row>
    <row r="7" ht="48" customHeight="1" s="244">
      <c r="B7" s="559" t="n">
        <v>2</v>
      </c>
      <c r="C7" s="559" t="inlineStr">
        <is>
          <t>D8</t>
        </is>
      </c>
      <c r="D7" s="559" t="inlineStr">
        <is>
          <t>Current share price</t>
        </is>
      </c>
      <c r="E7" s="559" t="inlineStr">
        <is>
          <t>$4.31</t>
        </is>
      </c>
      <c r="F7" s="559" t="inlineStr">
        <is>
          <t>Spot equity price used for premium math.</t>
        </is>
      </c>
      <c r="G7" s="559" t="inlineStr">
        <is>
          <t>LBO!D8 market input.</t>
        </is>
      </c>
      <c r="H7" s="559" t="inlineStr">
        <is>
          <t>Latest available GTM print used when MODEL1 was built (~2026-08-12).</t>
        </is>
      </c>
      <c r="I7" s="560" t="inlineStr">
        <is>
          <t>https://finance.yahoo.com/quote/GTM</t>
        </is>
      </c>
    </row>
    <row r="8" ht="48" customHeight="1" s="244">
      <c r="B8" s="559" t="n">
        <v>3</v>
      </c>
      <c r="C8" s="559" t="inlineStr">
        <is>
          <t>D9</t>
        </is>
      </c>
      <c r="D8" s="559" t="inlineStr">
        <is>
          <t>Price date</t>
        </is>
      </c>
      <c r="E8" s="559" t="inlineStr">
        <is>
          <t>2026-08-12</t>
        </is>
      </c>
      <c r="F8" s="559" t="inlineStr">
        <is>
          <t>As-of date for the spot price.</t>
        </is>
      </c>
      <c r="G8" s="559" t="inlineStr">
        <is>
          <t>LBO!D9.</t>
        </is>
      </c>
      <c r="H8" s="559" t="inlineStr">
        <is>
          <t>Timestamps the market input for auditability.</t>
        </is>
      </c>
      <c r="I8" s="560" t="inlineStr">
        <is>
          <t>https://finance.yahoo.com/quote/GTM</t>
        </is>
      </c>
    </row>
    <row r="9" ht="48" customHeight="1" s="244">
      <c r="B9" s="559" t="n">
        <v>4</v>
      </c>
      <c r="C9" s="559" t="inlineStr">
        <is>
          <t>H21</t>
        </is>
      </c>
      <c r="D9" s="559" t="inlineStr">
        <is>
          <t>Acquisition premium</t>
        </is>
      </c>
      <c r="E9" s="559" t="inlineStr">
        <is>
          <t>25%</t>
        </is>
      </c>
      <c r="F9" s="559" t="inlineStr">
        <is>
          <t>Premium of offer price over spot.</t>
        </is>
      </c>
      <c r="G9" s="559" t="inlineStr">
        <is>
          <t>Offer/sh = D8×(1+premium).</t>
        </is>
      </c>
      <c r="H9" s="559" t="inlineStr">
        <is>
          <t>Standard illustrative take-private premium; editable deal assumption.</t>
        </is>
      </c>
      <c r="I9" s="559" t="inlineStr">
        <is>
          <t>Model assumption (LBOMODEL1)</t>
        </is>
      </c>
    </row>
    <row r="10" ht="48" customHeight="1" s="244">
      <c r="B10" s="559" t="n">
        <v>5</v>
      </c>
      <c r="C10" s="559" t="inlineStr">
        <is>
          <t>H20</t>
        </is>
      </c>
      <c r="D10" s="559" t="inlineStr">
        <is>
          <t>Offer price / share</t>
        </is>
      </c>
      <c r="E10" s="559" t="inlineStr">
        <is>
          <t>$5.3875</t>
        </is>
      </c>
      <c r="F10" s="559" t="inlineStr">
        <is>
          <t>Implied takeout price per share.</t>
        </is>
      </c>
      <c r="G10" s="559" t="inlineStr">
        <is>
          <t>D8 × 1.25.</t>
        </is>
      </c>
      <c r="H10" s="559" t="inlineStr">
        <is>
          <t>Drives equity purchase price in Uses.</t>
        </is>
      </c>
      <c r="I10" s="559" t="inlineStr">
        <is>
          <t>Model assumption + market price</t>
        </is>
      </c>
    </row>
    <row r="11" ht="48" customHeight="1" s="244">
      <c r="B11" s="559" t="n">
        <v>6</v>
      </c>
      <c r="C11" s="559" t="inlineStr">
        <is>
          <t>H18</t>
        </is>
      </c>
      <c r="D11" s="559" t="inlineStr">
        <is>
          <t>Diluted shares (millions)</t>
        </is>
      </c>
      <c r="E11" s="559" t="inlineStr">
        <is>
          <t>292.312</t>
        </is>
      </c>
      <c r="F11" s="559" t="inlineStr">
        <is>
          <t>Share count for equity value.</t>
        </is>
      </c>
      <c r="G11" s="559" t="inlineStr">
        <is>
          <t>From latest shares outstanding.</t>
        </is>
      </c>
      <c r="H11" s="559" t="inlineStr">
        <is>
          <t>10-Q 2026-06-30 common shares outstanding used as diluted proxy (options ladder not fully modeled).</t>
        </is>
      </c>
      <c r="I11" s="560" t="inlineStr">
        <is>
          <t>https://www.sec.gov/cgi-bin/browse-edgar?action=getcompany&amp;CIK=0001794515&amp;type=10-Q</t>
        </is>
      </c>
    </row>
    <row r="12" ht="48" customHeight="1" s="244">
      <c r="B12" s="559" t="n">
        <v>7</v>
      </c>
      <c r="C12" s="559" t="inlineStr">
        <is>
          <t>D20</t>
        </is>
      </c>
      <c r="D12" s="559" t="inlineStr">
        <is>
          <t>Equity purchase price</t>
        </is>
      </c>
      <c r="E12" s="559" t="inlineStr">
        <is>
          <t>$1,574.8m</t>
        </is>
      </c>
      <c r="F12" s="559" t="inlineStr">
        <is>
          <t>Cash to buy equity.</t>
        </is>
      </c>
      <c r="G12" s="559" t="inlineStr">
        <is>
          <t>Offer/sh × shares.</t>
        </is>
      </c>
      <c r="H12" s="559" t="inlineStr">
        <is>
          <t>Primary Use of funds line.</t>
        </is>
      </c>
      <c r="I12" s="559" t="inlineStr">
        <is>
          <t>Derived</t>
        </is>
      </c>
    </row>
    <row r="13" ht="48" customHeight="1" s="244">
      <c r="B13" s="559" t="n">
        <v>8</v>
      </c>
      <c r="C13" s="559" t="inlineStr">
        <is>
          <t>D13</t>
        </is>
      </c>
      <c r="D13" s="559" t="inlineStr">
        <is>
          <t>LTM EBITDA</t>
        </is>
      </c>
      <c r="E13" s="559" t="inlineStr">
        <is>
          <t>$314.5m</t>
        </is>
      </c>
      <c r="F13" s="559" t="inlineStr">
        <is>
          <t>Entry EBITDA for leverage / multiple math.</t>
        </is>
      </c>
      <c r="G13" s="559" t="inlineStr">
        <is>
          <t>FY2025 OpInc $225.7m + D&amp;A $88.8m.</t>
        </is>
      </c>
      <c r="H13" s="559" t="inlineStr">
        <is>
          <t>GAAP EBITDA proxy from latest annual 10-K (not adjusted EBITDA).</t>
        </is>
      </c>
      <c r="I13" s="560" t="inlineStr">
        <is>
          <t>https://www.sec.gov/Archives/edgar/data/1794515/000179451526000012/zi-20251231.htm ; https://data.sec.gov/api/xbrl/companyfacts/CIK0001794515.json</t>
        </is>
      </c>
    </row>
    <row r="14" ht="48" customHeight="1" s="244">
      <c r="B14" s="559" t="n">
        <v>9</v>
      </c>
      <c r="C14" s="559" t="inlineStr">
        <is>
          <t>D14</t>
        </is>
      </c>
      <c r="D14" s="559" t="inlineStr">
        <is>
          <t>Gross debt</t>
        </is>
      </c>
      <c r="E14" s="559" t="inlineStr">
        <is>
          <t>−$1,269.9m</t>
        </is>
      </c>
      <c r="F14" s="559" t="inlineStr">
        <is>
          <t>Debt refinanced at close (entered as negative in template).</t>
        </is>
      </c>
      <c r="G14" s="559" t="inlineStr">
        <is>
          <t>LT debt + current maturities.</t>
        </is>
      </c>
      <c r="H14" s="559" t="inlineStr">
        <is>
          <t>10-Q 2026-06-30: LongTermDebt + LongTermDebtCurrent.</t>
        </is>
      </c>
      <c r="I14" s="560" t="inlineStr">
        <is>
          <t>https://www.sec.gov/cgi-bin/browse-edgar?action=getcompany&amp;CIK=0001794515&amp;type=10-Q</t>
        </is>
      </c>
    </row>
    <row r="15" ht="48" customHeight="1" s="244">
      <c r="B15" s="559" t="n">
        <v>10</v>
      </c>
      <c r="C15" s="559" t="inlineStr">
        <is>
          <t>D15</t>
        </is>
      </c>
      <c r="D15" s="559" t="inlineStr">
        <is>
          <t>Cash</t>
        </is>
      </c>
      <c r="E15" s="559" t="inlineStr">
        <is>
          <t>$150.1m</t>
        </is>
      </c>
      <c r="F15" s="559" t="inlineStr">
        <is>
          <t>Cash available at entry.</t>
        </is>
      </c>
      <c r="G15" s="559" t="inlineStr">
        <is>
          <t>Cash &amp; equivalents + short-term investments.</t>
        </is>
      </c>
      <c r="H15" s="559" t="inlineStr">
        <is>
          <t>10-Q 2026-06-30.</t>
        </is>
      </c>
      <c r="I15" s="560" t="inlineStr">
        <is>
          <t>https://www.sec.gov/cgi-bin/browse-edgar?action=getcompany&amp;CIK=0001794515&amp;type=10-Q</t>
        </is>
      </c>
    </row>
    <row r="16" ht="48" customHeight="1" s="244">
      <c r="B16" s="559" t="n">
        <v>11</v>
      </c>
      <c r="C16" s="559" t="inlineStr">
        <is>
          <t>D16</t>
        </is>
      </c>
      <c r="D16" s="559" t="inlineStr">
        <is>
          <t>Minimum cash</t>
        </is>
      </c>
      <c r="E16" s="559" t="inlineStr">
        <is>
          <t>$50.0m</t>
        </is>
      </c>
      <c r="F16" s="559" t="inlineStr">
        <is>
          <t>Cash retained for ops; excess used as a Source.</t>
        </is>
      </c>
      <c r="G16" s="559" t="inlineStr">
        <is>
          <t>Hardcoded policy input.</t>
        </is>
      </c>
      <c r="H16" s="559" t="inlineStr">
        <is>
          <t>Leaves liquidity post-close; excess cash = 150.1 − 50 = 100.1.</t>
        </is>
      </c>
      <c r="I16" s="559" t="inlineStr">
        <is>
          <t>Model assumption (LBOMODEL1)</t>
        </is>
      </c>
    </row>
    <row r="17" ht="48" customHeight="1" s="244">
      <c r="B17" s="559" t="n">
        <v>12</v>
      </c>
      <c r="C17" s="559" t="inlineStr">
        <is>
          <t>I11</t>
        </is>
      </c>
      <c r="D17" s="559" t="inlineStr">
        <is>
          <t>Entry EV / LTM EBITDA</t>
        </is>
      </c>
      <c r="E17" s="559" t="inlineStr">
        <is>
          <t>8.57x</t>
        </is>
      </c>
      <c r="F17" s="559" t="inlineStr">
        <is>
          <t>Implied entry multiple.</t>
        </is>
      </c>
      <c r="G17" s="559" t="inlineStr">
        <is>
          <t>(Equity buy + debt − cash) / EBITDA.</t>
        </is>
      </c>
      <c r="H17" s="559" t="inlineStr">
        <is>
          <t>Output of offer + net debt vs LTM EBITDA.</t>
        </is>
      </c>
      <c r="I17" s="559" t="inlineStr">
        <is>
          <t>Derived from SEC + market inputs</t>
        </is>
      </c>
    </row>
    <row r="18" ht="48" customHeight="1" s="244">
      <c r="B18" s="559" t="n">
        <v>13</v>
      </c>
      <c r="C18" s="559" t="inlineStr">
        <is>
          <t>D17</t>
        </is>
      </c>
      <c r="D18" s="559" t="inlineStr">
        <is>
          <t>Exit EV / EBITDA</t>
        </is>
      </c>
      <c r="E18" s="559" t="inlineStr">
        <is>
          <t>8.0x</t>
        </is>
      </c>
      <c r="F18" s="559" t="inlineStr">
        <is>
          <t>Exit multiple in hold-year 5.</t>
        </is>
      </c>
      <c r="G18" s="559" t="inlineStr">
        <is>
          <t>LBO!D17 policy input.</t>
        </is>
      </c>
      <c r="H18" s="559" t="inlineStr">
        <is>
          <t>Near entry; assumes modest multiple compression vs entry 8.57x.</t>
        </is>
      </c>
      <c r="I18" s="559" t="inlineStr">
        <is>
          <t>Model assumption (LBOMODEL1)</t>
        </is>
      </c>
    </row>
    <row r="19" ht="48" customHeight="1" s="244">
      <c r="B19" s="559" t="n">
        <v>14</v>
      </c>
      <c r="C19" s="559" t="inlineStr">
        <is>
          <t>C29/D29</t>
        </is>
      </c>
      <c r="D19" s="559" t="inlineStr">
        <is>
          <t>Term Loan A</t>
        </is>
      </c>
      <c r="E19" s="559" t="inlineStr">
        <is>
          <t>2.5x / $786.2m</t>
        </is>
      </c>
      <c r="F19" s="559" t="inlineStr">
        <is>
          <t>New TLA quantum.</t>
        </is>
      </c>
      <c r="G19" s="559" t="inlineStr">
        <is>
          <t>EBITDA × turns.</t>
        </is>
      </c>
      <c r="H19" s="559" t="inlineStr">
        <is>
          <t>Part of 5.0x new-money debt stack.</t>
        </is>
      </c>
      <c r="I19" s="559" t="inlineStr">
        <is>
          <t>Model assumption (LBOMODEL1)</t>
        </is>
      </c>
    </row>
    <row r="20" ht="48" customHeight="1" s="244">
      <c r="B20" s="559" t="n">
        <v>15</v>
      </c>
      <c r="C20" s="559" t="inlineStr">
        <is>
          <t>C30/D30</t>
        </is>
      </c>
      <c r="D20" s="559" t="inlineStr">
        <is>
          <t>Term Loan B</t>
        </is>
      </c>
      <c r="E20" s="559" t="inlineStr">
        <is>
          <t>1.5x / $471.8m</t>
        </is>
      </c>
      <c r="F20" s="559" t="inlineStr">
        <is>
          <t>New TLB quantum.</t>
        </is>
      </c>
      <c r="G20" s="559" t="inlineStr">
        <is>
          <t>EBITDA × turns.</t>
        </is>
      </c>
      <c r="H20" s="559" t="inlineStr">
        <is>
          <t>Part of 5.0x new-money debt stack.</t>
        </is>
      </c>
      <c r="I20" s="559" t="inlineStr">
        <is>
          <t>Model assumption (LBOMODEL1)</t>
        </is>
      </c>
    </row>
    <row r="21" ht="48" customHeight="1" s="244">
      <c r="B21" s="559" t="n">
        <v>16</v>
      </c>
      <c r="C21" s="559" t="inlineStr">
        <is>
          <t>C31/D31</t>
        </is>
      </c>
      <c r="D21" s="559" t="inlineStr">
        <is>
          <t>Senior Notes</t>
        </is>
      </c>
      <c r="E21" s="559" t="inlineStr">
        <is>
          <t>1.0x / $314.5m</t>
        </is>
      </c>
      <c r="F21" s="559" t="inlineStr">
        <is>
          <t>New senior notes quantum.</t>
        </is>
      </c>
      <c r="G21" s="559" t="inlineStr">
        <is>
          <t>EBITDA × turns.</t>
        </is>
      </c>
      <c r="H21" s="559" t="inlineStr">
        <is>
          <t>Completes 5.0x new debt with TLA+TLB.</t>
        </is>
      </c>
      <c r="I21" s="559" t="inlineStr">
        <is>
          <t>Model assumption (LBOMODEL1)</t>
        </is>
      </c>
    </row>
    <row r="22" ht="48" customHeight="1" s="244">
      <c r="B22" s="559" t="n">
        <v>17</v>
      </c>
      <c r="C22" s="559" t="inlineStr">
        <is>
          <t>D35</t>
        </is>
      </c>
      <c r="D22" s="559" t="inlineStr">
        <is>
          <t>Sponsor equity</t>
        </is>
      </c>
      <c r="E22" s="559" t="inlineStr">
        <is>
          <t>$1,203.6m</t>
        </is>
      </c>
      <c r="F22" s="559" t="inlineStr">
        <is>
          <t>Equity check (Sources plug).</t>
        </is>
      </c>
      <c r="G22" s="559" t="inlineStr">
        <is>
          <t>Total Uses − excess cash − new debt.</t>
        </is>
      </c>
      <c r="H22" s="559" t="inlineStr">
        <is>
          <t>Balancing figure so Sources = Uses ($2,876.2m).</t>
        </is>
      </c>
      <c r="I22" s="559" t="inlineStr">
        <is>
          <t>Derived</t>
        </is>
      </c>
    </row>
    <row r="23" ht="48" customHeight="1" s="244">
      <c r="B23" s="559" t="n">
        <v>18</v>
      </c>
      <c r="C23" s="559" t="inlineStr">
        <is>
          <t>G36</t>
        </is>
      </c>
      <c r="D23" s="559" t="inlineStr">
        <is>
          <t>Transaction fee %</t>
        </is>
      </c>
      <c r="E23" s="559" t="inlineStr">
        <is>
          <t>2% of equity value</t>
        </is>
      </c>
      <c r="F23" s="559" t="inlineStr">
        <is>
          <t>M&amp;A / financing fee assumption.</t>
        </is>
      </c>
      <c r="G23" s="559" t="inlineStr">
        <is>
          <t>Fees $ = 2% × equity purchase.</t>
        </is>
      </c>
      <c r="H23" s="559" t="inlineStr">
        <is>
          <t>Simple fee load for Uses; financing fee dollars also shown in fee block.</t>
        </is>
      </c>
      <c r="I23" s="559" t="inlineStr">
        <is>
          <t>Model assumption (LBOMODEL1)</t>
        </is>
      </c>
    </row>
    <row r="24" ht="48" customHeight="1" s="244">
      <c r="B24" s="559" t="n">
        <v>19</v>
      </c>
      <c r="C24" s="559" t="inlineStr">
        <is>
          <t>F65:J65</t>
        </is>
      </c>
      <c r="D24" s="559" t="inlineStr">
        <is>
          <t>Revenue growth (FY26–30)</t>
        </is>
      </c>
      <c r="E24" s="559" t="inlineStr">
        <is>
          <t>4% / 5% / 5% / 4% / 3%</t>
        </is>
      </c>
      <c r="F24" s="559" t="inlineStr">
        <is>
          <t>YoY revenue growth in forecast.</t>
        </is>
      </c>
      <c r="G24" s="559" t="inlineStr">
        <is>
          <t>Hardcoded on growth row.</t>
        </is>
      </c>
      <c r="H24" s="559" t="inlineStr">
        <is>
          <t>Modest recovery vs FY24 dip; not a hyper-growth case.</t>
        </is>
      </c>
      <c r="I24" s="559" t="inlineStr">
        <is>
          <t>Model assumption (LBOMODEL1)</t>
        </is>
      </c>
    </row>
    <row r="25" ht="48" customHeight="1" s="244">
      <c r="B25" s="559" t="n">
        <v>20</v>
      </c>
      <c r="C25" s="559" t="inlineStr">
        <is>
          <t>E66/F66</t>
        </is>
      </c>
      <c r="D25" s="559" t="inlineStr">
        <is>
          <t>Gross margin</t>
        </is>
      </c>
      <c r="E25" s="559" t="inlineStr">
        <is>
          <t>FY25 82.35% → Fcst 82.85%</t>
        </is>
      </c>
      <c r="F25" s="559" t="inlineStr">
        <is>
          <t>Gross profit % of sales.</t>
        </is>
      </c>
      <c r="G25" s="559" t="inlineStr">
        <is>
          <t>From FY25 COGS implied by 10-K; slight +50 bps in forecast.</t>
        </is>
      </c>
      <c r="H25" s="559" t="inlineStr">
        <is>
          <t>Software gross margin structure from SEC P&amp;L.</t>
        </is>
      </c>
      <c r="I25" s="560" t="inlineStr">
        <is>
          <t>https://www.sec.gov/Archives/edgar/data/1794515/000179451526000012/zi-20251231.htm</t>
        </is>
      </c>
    </row>
    <row r="26" ht="48" customHeight="1" s="244">
      <c r="B26" s="559" t="n">
        <v>21</v>
      </c>
      <c r="C26" s="559" t="inlineStr">
        <is>
          <t>E67/F67</t>
        </is>
      </c>
      <c r="D26" s="559" t="inlineStr">
        <is>
          <t>R&amp;D margin</t>
        </is>
      </c>
      <c r="E26" s="559" t="inlineStr">
        <is>
          <t>14.57% flat in forecast</t>
        </is>
      </c>
      <c r="F26" s="559" t="inlineStr">
        <is>
          <t>R&amp;D % of sales.</t>
        </is>
      </c>
      <c r="G26" s="559" t="inlineStr">
        <is>
          <t>FY2025 R&amp;D / Revenue held flat.</t>
        </is>
      </c>
      <c r="H26" s="559" t="inlineStr">
        <is>
          <t>Keeps product investment while S&amp;M is the efficiency lever.</t>
        </is>
      </c>
      <c r="I26" s="560" t="inlineStr">
        <is>
          <t>https://www.sec.gov/Archives/edgar/data/1794515/000179451526000012/zi-20251231.htm</t>
        </is>
      </c>
    </row>
    <row r="27" ht="48" customHeight="1" s="244">
      <c r="B27" s="559" t="n">
        <v>22</v>
      </c>
      <c r="C27" s="559" t="inlineStr">
        <is>
          <t>F68:J68</t>
        </is>
      </c>
      <c r="D27" s="559" t="inlineStr">
        <is>
          <t>SG&amp;A margin path</t>
        </is>
      </c>
      <c r="E27" s="559" t="inlineStr">
        <is>
          <t>47.72% → 46.22% → 44.72% → 44.22% → 44.22%</t>
        </is>
      </c>
      <c r="F27" s="559" t="inlineStr">
        <is>
          <t>SG&amp;A (S&amp;M+G&amp;A) % of sales in forecast.</t>
        </is>
      </c>
      <c r="G27" s="559" t="inlineStr">
        <is>
          <t>Compresses ~500 bps of revenue by Y3 vs FY25 49.72%.</t>
        </is>
      </c>
      <c r="H27" s="559" t="inlineStr">
        <is>
          <t>Operationalizes ZI AI-SDR thesis into the LBO P&amp;L.</t>
        </is>
      </c>
      <c r="I27" s="559" t="inlineStr">
        <is>
          <t>LBOMODEL1 thesis + ZI_* tabs; FY25 base from https://www.sec.gov/Archives/edgar/data/1794515/000179451526000012/zi-20251231.htm</t>
        </is>
      </c>
    </row>
    <row r="28" ht="48" customHeight="1" s="244">
      <c r="B28" s="559" t="n">
        <v>23</v>
      </c>
      <c r="C28" s="559" t="inlineStr">
        <is>
          <t>C69:J69</t>
        </is>
      </c>
      <c r="D28" s="559" t="inlineStr">
        <is>
          <t>Tax rate</t>
        </is>
      </c>
      <c r="E28" s="559" t="inlineStr">
        <is>
          <t>21%</t>
        </is>
      </c>
      <c r="F28" s="559" t="inlineStr">
        <is>
          <t>Book tax rate on EBT.</t>
        </is>
      </c>
      <c r="G28" s="559" t="inlineStr">
        <is>
          <t>Flat statutory-like rate in MODEL1.</t>
        </is>
      </c>
      <c r="H28" s="559" t="inlineStr">
        <is>
          <t>Simplifies vs actual cash tax / NOL complexity.</t>
        </is>
      </c>
      <c r="I28" s="559" t="inlineStr">
        <is>
          <t>Model assumption (LBOMODEL1)</t>
        </is>
      </c>
    </row>
    <row r="29" ht="48" customHeight="1" s="244">
      <c r="B29" s="559" t="n">
        <v>24</v>
      </c>
      <c r="C29" s="559" t="inlineStr">
        <is>
          <t>I275/J275</t>
        </is>
      </c>
      <c r="D29" s="559" t="inlineStr">
        <is>
          <t>Sponsor MoIC / IRR</t>
        </is>
      </c>
      <c r="E29" s="559" t="inlineStr">
        <is>
          <t>~2.97x / ~24.4%</t>
        </is>
      </c>
      <c r="F29" s="559" t="inlineStr">
        <is>
          <t>Base returns at 8.0x exit.</t>
        </is>
      </c>
      <c r="G29" s="559" t="inlineStr">
        <is>
          <t>Exit equity / sponsor equity; IRR = MoIC^(1/5)−1.</t>
        </is>
      </c>
      <c r="H29" s="559" t="inlineStr">
        <is>
          <t>Illustrative; sensitive to exit multiple, leverage, and SG&amp;A path.</t>
        </is>
      </c>
      <c r="I29" s="559" t="inlineStr">
        <is>
          <t>Derived on LBO returns block</t>
        </is>
      </c>
    </row>
  </sheetData>
  <hyperlinks>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1"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25" r:id="rId8"/>
    <hyperlink xmlns:r="http://schemas.openxmlformats.org/officeDocument/2006/relationships" ref="I26" r:id="rId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14"/>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DCF</t>
        </is>
      </c>
    </row>
    <row r="3">
      <c r="B3" t="inlineStr">
        <is>
          <t>Subset of 00_Assumptions_List for tab `DCF`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C6</t>
        </is>
      </c>
      <c r="D6" s="559" t="inlineStr">
        <is>
          <t>DCF reference share price</t>
        </is>
      </c>
      <c r="E6" s="559" t="inlineStr">
        <is>
          <t>$5.3875 (LBO offer)</t>
        </is>
      </c>
      <c r="F6" s="559" t="inlineStr">
        <is>
          <t>Price shown in DCF header for football-field compare.</t>
        </is>
      </c>
      <c r="G6" s="559" t="inlineStr">
        <is>
          <t>Synced to LBO offer/sh.</t>
        </is>
      </c>
      <c r="H6" s="559" t="inlineStr">
        <is>
          <t>Makes DCF tab speak the same deal price as the LBO.</t>
        </is>
      </c>
      <c r="I6" s="559" t="inlineStr">
        <is>
          <t>LBO!H20</t>
        </is>
      </c>
    </row>
    <row r="7" ht="48" customHeight="1" s="244">
      <c r="B7" s="559" t="n">
        <v>2</v>
      </c>
      <c r="C7" s="559" t="inlineStr">
        <is>
          <t>C8</t>
        </is>
      </c>
      <c r="D7" s="559" t="inlineStr">
        <is>
          <t>Basic / diluted share count</t>
        </is>
      </c>
      <c r="E7" s="559" t="inlineStr">
        <is>
          <t>292.312m</t>
        </is>
      </c>
      <c r="F7" s="559" t="inlineStr">
        <is>
          <t>Share count for per-share value.</t>
        </is>
      </c>
      <c r="G7" s="559" t="inlineStr">
        <is>
          <t>Synced to LBO shares.</t>
        </is>
      </c>
      <c r="H7" s="559" t="inlineStr">
        <is>
          <t>Same 10-Q share count as LBO.</t>
        </is>
      </c>
      <c r="I7" s="560" t="inlineStr">
        <is>
          <t>https://www.sec.gov/cgi-bin/browse-edgar?action=getcompany&amp;CIK=0001794515&amp;type=10-Q</t>
        </is>
      </c>
    </row>
    <row r="8" ht="48" customHeight="1" s="244">
      <c r="B8" s="559" t="n">
        <v>3</v>
      </c>
      <c r="C8" s="559" t="inlineStr">
        <is>
          <t>C55/C56/C57</t>
        </is>
      </c>
      <c r="D8" s="559" t="inlineStr">
        <is>
          <t>CAPM inputs</t>
        </is>
      </c>
      <c r="E8" s="559" t="inlineStr">
        <is>
          <t>Rf 4.3% / β 1.20 / ERP 5.0%</t>
        </is>
      </c>
      <c r="F8" s="559" t="inlineStr">
        <is>
          <t>Building blocks of cost of equity.</t>
        </is>
      </c>
      <c r="G8" s="559" t="inlineStr">
        <is>
          <t>Ke = Rf + β×ERP.</t>
        </is>
      </c>
      <c r="H8" s="559" t="inlineStr">
        <is>
          <t>Illustrative SaaS CAPM stack for DCF tab (not Yacktman-adjusted).</t>
        </is>
      </c>
      <c r="I8" s="559" t="inlineStr">
        <is>
          <t>Model assumption (LBOMODEL1)</t>
        </is>
      </c>
    </row>
    <row r="9" ht="48" customHeight="1" s="244">
      <c r="B9" s="559" t="n">
        <v>4</v>
      </c>
      <c r="C9" s="559" t="inlineStr">
        <is>
          <t>C50/C51</t>
        </is>
      </c>
      <c r="D9" s="559" t="inlineStr">
        <is>
          <t>Cost of debt / tax</t>
        </is>
      </c>
      <c r="E9" s="559" t="inlineStr">
        <is>
          <t>7.0% / 21%</t>
        </is>
      </c>
      <c r="F9" s="559" t="inlineStr">
        <is>
          <t>After-tax debt cost inputs.</t>
        </is>
      </c>
      <c r="G9" s="559" t="inlineStr">
        <is>
          <t>Rd×(1−t) in WACC.</t>
        </is>
      </c>
      <c r="H9" s="559" t="inlineStr">
        <is>
          <t>Rounded financing cost vs new LBO stack.</t>
        </is>
      </c>
      <c r="I9" s="559" t="inlineStr">
        <is>
          <t>Model assumption (LBOMODEL1)</t>
        </is>
      </c>
    </row>
    <row r="10" ht="48" customHeight="1" s="244">
      <c r="B10" s="559" t="n">
        <v>5</v>
      </c>
      <c r="C10" s="559" t="inlineStr">
        <is>
          <t>C53/C58</t>
        </is>
      </c>
      <c r="D10" s="559" t="inlineStr">
        <is>
          <t>Capital structure weights</t>
        </is>
      </c>
      <c r="E10" s="559" t="inlineStr">
        <is>
          <t>Wd 45% / We 55%</t>
        </is>
      </c>
      <c r="F10" s="559" t="inlineStr">
        <is>
          <t>Target weights in WACC.</t>
        </is>
      </c>
      <c r="G10" s="559" t="inlineStr">
        <is>
          <t>Hardcoded policy on DCF tab.</t>
        </is>
      </c>
      <c r="H10" s="559" t="inlineStr">
        <is>
          <t>Closer to PF leveraged structure than pre-deal equity-heavy weights.</t>
        </is>
      </c>
      <c r="I10" s="559" t="inlineStr">
        <is>
          <t>Model assumption (LBOMODEL1)</t>
        </is>
      </c>
    </row>
    <row r="11" ht="48" customHeight="1" s="244">
      <c r="B11" s="559" t="n">
        <v>6</v>
      </c>
      <c r="C11" s="559" t="inlineStr">
        <is>
          <t>C9/C59</t>
        </is>
      </c>
      <c r="D11" s="559" t="inlineStr">
        <is>
          <t>WACC</t>
        </is>
      </c>
      <c r="E11" s="559" t="inlineStr">
        <is>
          <t>~8.53%</t>
        </is>
      </c>
      <c r="F11" s="559" t="inlineStr">
        <is>
          <t>Discount rate for unlevered FCF.</t>
        </is>
      </c>
      <c r="G11" s="559" t="inlineStr">
        <is>
          <t>We×Ke + Wd×Rd×(1−t).</t>
        </is>
      </c>
      <c r="H11" s="559" t="inlineStr">
        <is>
          <t>Used for DCF PV math on this tab.</t>
        </is>
      </c>
      <c r="I11" s="559" t="inlineStr">
        <is>
          <t>Derived from CAPM + Rd assumptions</t>
        </is>
      </c>
    </row>
    <row r="12" ht="48" customHeight="1" s="244">
      <c r="B12" s="559" t="n">
        <v>7</v>
      </c>
      <c r="C12" s="559" t="inlineStr">
        <is>
          <t>J37</t>
        </is>
      </c>
      <c r="D12" s="559" t="inlineStr">
        <is>
          <t>Exit EBITDA multiple (DCF)</t>
        </is>
      </c>
      <c r="E12" s="559" t="inlineStr">
        <is>
          <t>8.0x</t>
        </is>
      </c>
      <c r="F12" s="559" t="inlineStr">
        <is>
          <t>Terminal multiple in exit-EBITDA approach.</t>
        </is>
      </c>
      <c r="G12" s="559" t="inlineStr">
        <is>
          <t>Synced to LBO!D17.</t>
        </is>
      </c>
      <c r="H12" s="559" t="inlineStr">
        <is>
          <t>Keeps LBO and DCF exit frameworks comparable.</t>
        </is>
      </c>
      <c r="I12" s="559" t="inlineStr">
        <is>
          <t>LBO!D17</t>
        </is>
      </c>
    </row>
    <row r="13" ht="48" customHeight="1" s="244">
      <c r="B13" s="559" t="n">
        <v>8</v>
      </c>
      <c r="C13" s="559" t="inlineStr">
        <is>
          <t>C37</t>
        </is>
      </c>
      <c r="D13" s="559" t="inlineStr">
        <is>
          <t>Perpetuity g</t>
        </is>
      </c>
      <c r="E13" s="559" t="inlineStr">
        <is>
          <t>0% in template cell (sensitivity uses 2–4%)</t>
        </is>
      </c>
      <c r="F13" s="559" t="inlineStr">
        <is>
          <t>Long-term growth in Gordon approach.</t>
        </is>
      </c>
      <c r="G13" s="559" t="inlineStr">
        <is>
          <t>Template default; grid varies g.</t>
        </is>
      </c>
      <c r="H13" s="559" t="inlineStr">
        <is>
          <t>Football-field sensitivity still shows 2–4% g range.</t>
        </is>
      </c>
      <c r="I13" s="559" t="inlineStr">
        <is>
          <t>WSP template convention + MODEL1 note</t>
        </is>
      </c>
    </row>
    <row r="14" ht="48" customHeight="1" s="244">
      <c r="B14" s="559" t="n">
        <v>9</v>
      </c>
      <c r="C14" s="559" t="inlineStr">
        <is>
          <t>C31</t>
        </is>
      </c>
      <c r="D14" s="559" t="inlineStr">
        <is>
          <t>Cash-flow timing</t>
        </is>
      </c>
      <c r="E14" s="559" t="inlineStr">
        <is>
          <t>Middle of period</t>
        </is>
      </c>
      <c r="F14" s="559" t="inlineStr">
        <is>
          <t>Mid-year discounting convention.</t>
        </is>
      </c>
      <c r="G14" s="559" t="inlineStr">
        <is>
          <t>Midperiod adjustment factor on DCF tab.</t>
        </is>
      </c>
      <c r="H14" s="559" t="inlineStr">
        <is>
          <t>Standard IB mid-year convention for annual FCFs.</t>
        </is>
      </c>
      <c r="I14" s="559" t="inlineStr">
        <is>
          <t>WSP template</t>
        </is>
      </c>
    </row>
  </sheetData>
  <hyperlinks>
    <hyperlink xmlns:r="http://schemas.openxmlformats.org/officeDocument/2006/relationships" ref="I7"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8"/>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Shares</t>
        </is>
      </c>
    </row>
    <row r="3">
      <c r="B3" t="inlineStr">
        <is>
          <t>Subset of 00_Assumptions_List for tab `Shares`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E5/E6</t>
        </is>
      </c>
      <c r="D6" s="559" t="inlineStr">
        <is>
          <t>Offer price for dilution</t>
        </is>
      </c>
      <c r="E6" s="559" t="inlineStr">
        <is>
          <t>$5.3875</t>
        </is>
      </c>
      <c r="F6" s="559" t="inlineStr">
        <is>
          <t>Price used in treasury-stock method.</t>
        </is>
      </c>
      <c r="G6" s="559" t="inlineStr">
        <is>
          <t>Synced to LBO offer.</t>
        </is>
      </c>
      <c r="H6" s="559" t="inlineStr">
        <is>
          <t>Aligns diluted-share math with deal price.</t>
        </is>
      </c>
      <c r="I6" s="559" t="inlineStr">
        <is>
          <t>LBO!H20</t>
        </is>
      </c>
    </row>
    <row r="7" ht="48" customHeight="1" s="244">
      <c r="B7" s="559" t="n">
        <v>2</v>
      </c>
      <c r="C7" s="559" t="inlineStr">
        <is>
          <t>E7/E14</t>
        </is>
      </c>
      <c r="D7" s="559" t="inlineStr">
        <is>
          <t>Basic &amp; net diluted shares</t>
        </is>
      </c>
      <c r="E7" s="559" t="inlineStr">
        <is>
          <t>292.312m / 292.312m</t>
        </is>
      </c>
      <c r="F7" s="559" t="inlineStr">
        <is>
          <t>Share count used for equity value.</t>
        </is>
      </c>
      <c r="G7" s="559" t="inlineStr">
        <is>
          <t>Outstanding shares; options set to 0 in MODEL1.</t>
        </is>
      </c>
      <c r="H7" s="559" t="inlineStr">
        <is>
          <t>10-Q share count; detailed options ladder not loaded (net dilutive options = 0).</t>
        </is>
      </c>
      <c r="I7" s="560" t="inlineStr">
        <is>
          <t>https://www.sec.gov/cgi-bin/browse-edgar?action=getcompany&amp;CIK=0001794515&amp;type=10-Q</t>
        </is>
      </c>
    </row>
    <row r="8" ht="48" customHeight="1" s="244">
      <c r="B8" s="559" t="n">
        <v>3</v>
      </c>
      <c r="C8" s="559" t="inlineStr">
        <is>
          <t>E8:E11</t>
        </is>
      </c>
      <c r="D8" s="559" t="inlineStr">
        <is>
          <t>Options / other dilutives</t>
        </is>
      </c>
      <c r="E8" s="559" t="inlineStr">
        <is>
          <t>0</t>
        </is>
      </c>
      <c r="F8" s="559" t="inlineStr">
        <is>
          <t>Incremental dilutive securities.</t>
        </is>
      </c>
      <c r="G8" s="559" t="inlineStr">
        <is>
          <t>Cleared BMC ladder; set to zero pending full award rollforward.</t>
        </is>
      </c>
      <c r="H8" s="559" t="inlineStr">
        <is>
          <t>Conservative vs overstating dilution without a current award table.</t>
        </is>
      </c>
      <c r="I8" s="559" t="inlineStr">
        <is>
          <t>Model assumption (LBOMODEL1) — update from proxy/10-K award note when refined</t>
        </is>
      </c>
    </row>
  </sheetData>
  <hyperlinks>
    <hyperlink xmlns:r="http://schemas.openxmlformats.org/officeDocument/2006/relationships" ref="I7"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52wkHL</t>
        </is>
      </c>
    </row>
    <row r="3">
      <c r="B3" t="inlineStr">
        <is>
          <t>Subset of 00_Assumptions_List for tab `52wkHL`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E4/E5</t>
        </is>
      </c>
      <c r="D6" s="559" t="inlineStr">
        <is>
          <t>52-week high / low</t>
        </is>
      </c>
      <c r="E6" s="559" t="inlineStr">
        <is>
          <t>Legacy sample tape (not GTM)</t>
        </is>
      </c>
      <c r="F6" s="559" t="inlineStr">
        <is>
          <t>Market range for football-field.</t>
        </is>
      </c>
      <c r="G6" s="559" t="inlineStr">
        <is>
          <t>Still WSP BMC sample series in MODEL1.</t>
        </is>
      </c>
      <c r="H6" s="559" t="inlineStr">
        <is>
          <t>Not yet replaced with GTM price history; LBO uses spot $4.31 instead.</t>
        </is>
      </c>
      <c r="I6" s="559" t="inlineStr">
        <is>
          <t>WSP sample residual — replace with GTM tape in MODEL2+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I9"/>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ZI_01_10K_Source</t>
        </is>
      </c>
    </row>
    <row r="3">
      <c r="B3" t="inlineStr">
        <is>
          <t>Subset of 00_Assumptions_List for tab `ZI_01_10K_Source`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E5</t>
        </is>
      </c>
      <c r="D6" s="559" t="inlineStr">
        <is>
          <t>FY2025 Revenue</t>
        </is>
      </c>
      <c r="E6" s="559" t="inlineStr">
        <is>
          <t>$1,249.5m</t>
        </is>
      </c>
      <c r="F6" s="559" t="inlineStr">
        <is>
          <t>Annual revenue anchor.</t>
        </is>
      </c>
      <c r="G6" s="559" t="inlineStr">
        <is>
          <t>XBRL RevenueFromContractWithCustomerExcludingAssessedTax.</t>
        </is>
      </c>
      <c r="H6" s="559" t="inlineStr">
        <is>
          <t>Latest annual 10-K fact.</t>
        </is>
      </c>
      <c r="I6" s="560" t="inlineStr">
        <is>
          <t>https://www.sec.gov/Archives/edgar/data/1794515/000179451526000012/zi-20251231.htm ; https://data.sec.gov/api/xbrl/companyfacts/CIK0001794515.json</t>
        </is>
      </c>
    </row>
    <row r="7" ht="48" customHeight="1" s="244">
      <c r="B7" s="559" t="n">
        <v>2</v>
      </c>
      <c r="C7" s="559" t="inlineStr">
        <is>
          <t>E6</t>
        </is>
      </c>
      <c r="D7" s="559" t="inlineStr">
        <is>
          <t>FY2025 Selling &amp; Marketing</t>
        </is>
      </c>
      <c r="E7" s="559" t="inlineStr">
        <is>
          <t>$414.6m</t>
        </is>
      </c>
      <c r="F7" s="559" t="inlineStr">
        <is>
          <t>S&amp;M expense (the bloat line).</t>
        </is>
      </c>
      <c r="G7" s="559" t="inlineStr">
        <is>
          <t>XBRL SellingAndMarketingExpense.</t>
        </is>
      </c>
      <c r="H7" s="559" t="inlineStr">
        <is>
          <t>33.2% of FY25 revenue — thesis starting point.</t>
        </is>
      </c>
      <c r="I7" s="560" t="inlineStr">
        <is>
          <t>https://data.sec.gov/api/xbrl/companyfacts/CIK0001794515.json</t>
        </is>
      </c>
    </row>
    <row r="8" ht="48" customHeight="1" s="244">
      <c r="B8" s="559" t="n">
        <v>3</v>
      </c>
      <c r="C8" s="559" t="inlineStr">
        <is>
          <t>E10/E13/E20</t>
        </is>
      </c>
      <c r="D8" s="559" t="inlineStr">
        <is>
          <t>OpInc / D&amp;A / EBITDA proxy</t>
        </is>
      </c>
      <c r="E8" s="559" t="inlineStr">
        <is>
          <t>$225.7 / $88.8 / $314.5m</t>
        </is>
      </c>
      <c r="F8" s="559" t="inlineStr">
        <is>
          <t>Operating income, D&amp;A, EBITDA proxy.</t>
        </is>
      </c>
      <c r="G8" s="559" t="inlineStr">
        <is>
          <t>OpInc + OtherDepreciationAndAmortization.</t>
        </is>
      </c>
      <c r="H8" s="559" t="inlineStr">
        <is>
          <t>Bridges to LBO!D13 LTM EBITDA.</t>
        </is>
      </c>
      <c r="I8" s="560" t="inlineStr">
        <is>
          <t>https://data.sec.gov/api/xbrl/companyfacts/CIK0001794515.json</t>
        </is>
      </c>
    </row>
    <row r="9" ht="48" customHeight="1" s="244">
      <c r="B9" s="559" t="n">
        <v>4</v>
      </c>
      <c r="C9" s="559" t="inlineStr">
        <is>
          <t>E28</t>
        </is>
      </c>
      <c r="D9" s="559" t="inlineStr">
        <is>
          <t>S&amp;M employees</t>
        </is>
      </c>
      <c r="E9" s="559" t="inlineStr">
        <is>
          <t>1,370</t>
        </is>
      </c>
      <c r="F9" s="559" t="inlineStr">
        <is>
          <t>Headcount in sales &amp; marketing.</t>
        </is>
      </c>
      <c r="G9" s="559" t="inlineStr">
        <is>
          <t>10-K Human Capital disclosure (3,180 total).</t>
        </is>
      </c>
      <c r="H9" s="559" t="inlineStr">
        <is>
          <t>Denominator for SDR % assumption.</t>
        </is>
      </c>
      <c r="I9" s="560" t="inlineStr">
        <is>
          <t>https://www.sec.gov/Archives/edgar/data/1794515/000179451526000012/zi-20251231.htm</t>
        </is>
      </c>
    </row>
  </sheetData>
  <hyperlinks>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9" r:id="rId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ZI_02_SM_Isolation</t>
        </is>
      </c>
    </row>
    <row r="3">
      <c r="B3" t="inlineStr">
        <is>
          <t>Subset of 00_Assumptions_List for tab `ZI_02_SM_Isolation`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C16</t>
        </is>
      </c>
      <c r="D6" s="559" t="inlineStr">
        <is>
          <t>Target mature SaaS S&amp;M % rev</t>
        </is>
      </c>
      <c r="E6" s="559" t="inlineStr">
        <is>
          <t>22%</t>
        </is>
      </c>
      <c r="F6" s="559" t="inlineStr">
        <is>
          <t>Benchmark efficient S&amp;M intensity.</t>
        </is>
      </c>
      <c r="G6" s="559" t="inlineStr">
        <is>
          <t>Yellow input vs FY25 33.2%.</t>
        </is>
      </c>
      <c r="H6" s="559" t="inlineStr">
        <is>
          <t>Defines “bloat” dollars vs a mature SaaS target.</t>
        </is>
      </c>
      <c r="I6" s="559" t="inlineStr">
        <is>
          <t>Model assumption (LBOMODEL1)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I10"/>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ZI_03_Headcount_AI</t>
        </is>
      </c>
    </row>
    <row r="3">
      <c r="B3" t="inlineStr">
        <is>
          <t>Subset of 00_Assumptions_List for tab `ZI_03_Headcount_AI`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C6</t>
        </is>
      </c>
      <c r="D6" s="559" t="inlineStr">
        <is>
          <t>% of S&amp;M that are outbound SDR/BDR</t>
        </is>
      </c>
      <c r="E6" s="559" t="inlineStr">
        <is>
          <t>40%</t>
        </is>
      </c>
      <c r="F6" s="559" t="inlineStr">
        <is>
          <t>Share of S&amp;M headcount treated as AI-replaceable SDRs.</t>
        </is>
      </c>
      <c r="G6" s="559" t="inlineStr">
        <is>
          <t>Yellow input × 1,370.</t>
        </is>
      </c>
      <c r="H6" s="559" t="inlineStr">
        <is>
          <t>10-K does not disclose SDR count — explicit model assumption.</t>
        </is>
      </c>
      <c r="I6" s="559" t="inlineStr">
        <is>
          <t>Model assumption (LBOMODEL1)</t>
        </is>
      </c>
    </row>
    <row r="7" ht="48" customHeight="1" s="244">
      <c r="B7" s="559" t="n">
        <v>2</v>
      </c>
      <c r="C7" s="559" t="inlineStr">
        <is>
          <t>C8</t>
        </is>
      </c>
      <c r="D7" s="559" t="inlineStr">
        <is>
          <t>Fully loaded cost / SDR / yr</t>
        </is>
      </c>
      <c r="E7" s="559" t="inlineStr">
        <is>
          <t>$155k</t>
        </is>
      </c>
      <c r="F7" s="559" t="inlineStr">
        <is>
          <t>Cash cost per outbound SDR.</t>
        </is>
      </c>
      <c r="G7" s="559" t="inlineStr">
        <is>
          <t>Yellow input.</t>
        </is>
      </c>
      <c r="H7" s="559" t="inlineStr">
        <is>
          <t>Below blended residual S&amp;M $/employee (commissions/ads stay).</t>
        </is>
      </c>
      <c r="I7" s="559" t="inlineStr">
        <is>
          <t>Model assumption (LBOMODEL1)</t>
        </is>
      </c>
    </row>
    <row r="8" ht="48" customHeight="1" s="244">
      <c r="B8" s="559" t="n">
        <v>3</v>
      </c>
      <c r="C8" s="559" t="inlineStr">
        <is>
          <t>C13/C15</t>
        </is>
      </c>
      <c r="D8" s="559" t="inlineStr">
        <is>
          <t>AI seat / oversight cost</t>
        </is>
      </c>
      <c r="E8" s="559" t="inlineStr">
        <is>
          <t>$15k per seat; $150k per oversight FTE</t>
        </is>
      </c>
      <c r="F8" s="559" t="inlineStr">
        <is>
          <t>Replacement opex for AI agents + humans.</t>
        </is>
      </c>
      <c r="G8" s="559" t="inlineStr">
        <is>
          <t>Yellow inputs; 1 oversight FTE / 20 seats.</t>
        </is>
      </c>
      <c r="H8" s="559" t="inlineStr">
        <is>
          <t>Net savings must clear AI + oversight to hit margin target.</t>
        </is>
      </c>
      <c r="I8" s="559" t="inlineStr">
        <is>
          <t>Model assumption (LBOMODEL1)</t>
        </is>
      </c>
    </row>
    <row r="9" ht="48" customHeight="1" s="244">
      <c r="B9" s="559" t="n">
        <v>4</v>
      </c>
      <c r="C9" s="559" t="inlineStr">
        <is>
          <t>C21:E21</t>
        </is>
      </c>
      <c r="D9" s="559" t="inlineStr">
        <is>
          <t>Cumulative % SDRs replaced</t>
        </is>
      </c>
      <c r="E9" s="559" t="inlineStr">
        <is>
          <t>45% / 80% / 95% (2026–28)</t>
        </is>
      </c>
      <c r="F9" s="559" t="inlineStr">
        <is>
          <t>Headcount reduction schedule.</t>
        </is>
      </c>
      <c r="G9" s="559" t="inlineStr">
        <is>
          <t>Yellow cumulative exit fractions.</t>
        </is>
      </c>
      <c r="H9" s="559" t="inlineStr">
        <is>
          <t>Phased cut to avoid one-year cliff risk.</t>
        </is>
      </c>
      <c r="I9" s="559" t="inlineStr">
        <is>
          <t>Model assumption (LBOMODEL1)</t>
        </is>
      </c>
    </row>
    <row r="10" ht="48" customHeight="1" s="244">
      <c r="B10" s="559" t="n">
        <v>5</v>
      </c>
      <c r="C10" s="559" t="inlineStr">
        <is>
          <t>C16/C17</t>
        </is>
      </c>
      <c r="D10" s="559" t="inlineStr">
        <is>
          <t>Severance / AI build</t>
        </is>
      </c>
      <c r="E10" s="559" t="inlineStr">
        <is>
          <t>$25k per SDR; $8m Y1 build</t>
        </is>
      </c>
      <c r="F10" s="559" t="inlineStr">
        <is>
          <t>One-time costs.</t>
        </is>
      </c>
      <c r="G10" s="559" t="inlineStr">
        <is>
          <t>Yellow inputs in P&amp;L impact.</t>
        </is>
      </c>
      <c r="H10" s="559" t="inlineStr">
        <is>
          <t>Hits in-year EBITDA but excluded from run-rate bps.</t>
        </is>
      </c>
      <c r="I10" s="559" t="inlineStr">
        <is>
          <t>Model assumption (LBOMODEL1)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ZI_04_EBITDA_Bridge</t>
        </is>
      </c>
    </row>
    <row r="3">
      <c r="B3" t="inlineStr">
        <is>
          <t>Subset of 00_Assumptions_List for tab `ZI_04_EBITDA_Bridge`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C7</t>
        </is>
      </c>
      <c r="D6" s="559" t="inlineStr">
        <is>
          <t>Target margin expansion</t>
        </is>
      </c>
      <c r="E6" s="559" t="inlineStr">
        <is>
          <t>500 bps</t>
        </is>
      </c>
      <c r="F6" s="559" t="inlineStr">
        <is>
          <t>Minimum success hurdle for the AI program.</t>
        </is>
      </c>
      <c r="G6" s="559" t="inlineStr">
        <is>
          <t>Yellow input; YES/NO vs run-rate bps.</t>
        </is>
      </c>
      <c r="H6" s="559" t="inlineStr">
        <is>
          <t xml:space="preserve"> equates to ~$62.5m EBITDA on $1,249.5m revenue.</t>
        </is>
      </c>
      <c r="I6" s="559" t="inlineStr">
        <is>
          <t>User thesis requirement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ZI_05_Sensitivity</t>
        </is>
      </c>
    </row>
    <row r="3">
      <c r="B3" t="inlineStr">
        <is>
          <t>Subset of 00_Assumptions_List for tab `ZI_05_Sensitivity`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B12:H17</t>
        </is>
      </c>
      <c r="D6" s="559" t="inlineStr">
        <is>
          <t>Sensitivity grid</t>
        </is>
      </c>
      <c r="E6" s="559" t="inlineStr">
        <is>
          <t>Replace-% × AI $/seat → bps</t>
        </is>
      </c>
      <c r="F6" s="559" t="inlineStr">
        <is>
          <t>Y3 run-rate bps under alternate AI costs / cut depths.</t>
        </is>
      </c>
      <c r="G6" s="559" t="inlineStr">
        <is>
          <t>Algebra on SDR0 &amp; unit costs.</t>
        </is>
      </c>
      <c r="H6" s="559" t="inlineStr">
        <is>
          <t>Shows what it takes to stay above 500 bps if AI is more expensive.</t>
        </is>
      </c>
      <c r="I6" s="559" t="inlineStr">
        <is>
          <t>Derived from ZI_03 inputs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06" t="n">
        <v>1</v>
      </c>
      <c r="I7" s="407" t="n">
        <v>1</v>
      </c>
      <c r="J7" s="408" t="n">
        <v>2</v>
      </c>
    </row>
    <row r="8">
      <c r="B8" s="159" t="inlineStr">
        <is>
          <t>Current share price (if applicable)</t>
        </is>
      </c>
      <c r="D8" s="135" t="n">
        <v>4.31</v>
      </c>
      <c r="H8" s="409" t="inlineStr">
        <is>
          <t>Explicit offer/share</t>
        </is>
      </c>
      <c r="I8" s="253" t="inlineStr">
        <is>
          <t>Explicit EBITDA</t>
        </is>
      </c>
      <c r="J8" s="253" t="inlineStr">
        <is>
          <t>Explicit offer/share</t>
        </is>
      </c>
    </row>
    <row r="9">
      <c r="B9" s="159" t="inlineStr">
        <is>
          <t>Latest closing share price date (f applicable)</t>
        </is>
      </c>
      <c r="D9" s="365" t="n">
        <v>46246</v>
      </c>
    </row>
    <row r="10">
      <c r="B10" s="159" t="inlineStr">
        <is>
          <t>Circuit breaker:</t>
        </is>
      </c>
      <c r="D10" s="410" t="inlineStr">
        <is>
          <t>OFF</t>
        </is>
      </c>
      <c r="F10" s="4" t="inlineStr">
        <is>
          <t>LTM EBITDA</t>
        </is>
      </c>
      <c r="H10" s="140" t="n">
        <v>314.5</v>
      </c>
      <c r="I10" s="140" t="n">
        <v>314.5</v>
      </c>
      <c r="J10" s="140" t="n">
        <v>314.5</v>
      </c>
    </row>
    <row r="11">
      <c r="F11" s="4" t="inlineStr">
        <is>
          <t>EV / LTM EBITDA</t>
        </is>
      </c>
      <c r="H11" s="411" t="n">
        <v>8.57</v>
      </c>
      <c r="I11" s="412" t="n">
        <v>8.57</v>
      </c>
      <c r="J11" s="411" t="n">
        <v>8.57</v>
      </c>
    </row>
    <row r="12">
      <c r="B12" s="317" t="inlineStr">
        <is>
          <t xml:space="preserve">SELECT FINANCIAL DATA / ASSMUPTIONS </t>
        </is>
      </c>
      <c r="C12" s="15" t="n"/>
      <c r="D12" s="317" t="n"/>
      <c r="F12" s="3" t="inlineStr">
        <is>
          <t>Enterprise value</t>
        </is>
      </c>
      <c r="H12" s="57" t="n">
        <v>2694.6</v>
      </c>
      <c r="I12" s="57" t="n">
        <v>2694.6</v>
      </c>
      <c r="J12" s="57" t="n">
        <v>2694.6</v>
      </c>
    </row>
    <row r="13">
      <c r="B13" s="159" t="inlineStr">
        <is>
          <t>EBITDA (LTM)</t>
        </is>
      </c>
      <c r="D13" s="413" t="n">
        <v>314.5</v>
      </c>
    </row>
    <row r="14">
      <c r="B14" s="159" t="inlineStr">
        <is>
          <t>Gross Debt (input as a -)</t>
        </is>
      </c>
      <c r="D14" s="228" t="n">
        <v>-1269.9</v>
      </c>
      <c r="F14" s="159" t="inlineStr">
        <is>
          <t>Less: Gross Debt (latest filing)</t>
        </is>
      </c>
      <c r="H14" s="140" t="n">
        <v>-1269.9</v>
      </c>
      <c r="I14" s="140" t="n">
        <v>-1269.9</v>
      </c>
      <c r="J14" s="140" t="n">
        <v>-1269.9</v>
      </c>
    </row>
    <row r="15">
      <c r="B15" s="159" t="inlineStr">
        <is>
          <t>Cash</t>
        </is>
      </c>
      <c r="D15" s="228" t="n">
        <v>150.1</v>
      </c>
      <c r="F15" s="159" t="inlineStr">
        <is>
          <t>Plus: Cash (latest filing)</t>
        </is>
      </c>
      <c r="H15" s="140" t="n">
        <v>150.1</v>
      </c>
      <c r="I15" s="140" t="n">
        <v>150.1</v>
      </c>
      <c r="J15" s="140" t="n">
        <v>150.1</v>
      </c>
    </row>
    <row r="16">
      <c r="B16" s="34" t="inlineStr">
        <is>
          <t>Minimum cash desired</t>
        </is>
      </c>
      <c r="D16" s="228" t="n">
        <v>50</v>
      </c>
    </row>
    <row r="17">
      <c r="B17" s="159" t="inlineStr">
        <is>
          <t>EV / LTM EBITDA multiple at exit</t>
        </is>
      </c>
      <c r="D17" s="412" t="n">
        <v>8</v>
      </c>
      <c r="F17" s="3" t="inlineStr">
        <is>
          <t>Offer value</t>
        </is>
      </c>
      <c r="H17" s="57" t="n">
        <v>1574.8</v>
      </c>
      <c r="I17" s="57" t="n">
        <v>1574.8</v>
      </c>
      <c r="J17" s="57" t="n">
        <v>1574.8</v>
      </c>
    </row>
    <row r="18">
      <c r="C18" s="414" t="n"/>
      <c r="F18" t="inlineStr">
        <is>
          <t>Diluted shares outstanding</t>
        </is>
      </c>
      <c r="H18" s="415" t="n">
        <v>292.312</v>
      </c>
      <c r="I18" s="413" t="n">
        <v>292.312</v>
      </c>
      <c r="J18" s="413" t="n">
        <v>292.312</v>
      </c>
      <c r="K18" s="416" t="n"/>
      <c r="L18" s="416" t="n"/>
    </row>
    <row r="19">
      <c r="B19" s="153" t="inlineStr">
        <is>
          <t>USES OF FUNDS</t>
        </is>
      </c>
      <c r="C19" s="15" t="n"/>
      <c r="D19" s="15" t="n"/>
      <c r="K19" s="416" t="n"/>
      <c r="L19" s="416" t="n"/>
    </row>
    <row r="20">
      <c r="B20" s="34" t="inlineStr">
        <is>
          <t>Buyout of equity</t>
        </is>
      </c>
      <c r="D20" s="417" t="n">
        <v>1574.8</v>
      </c>
      <c r="E20" s="418" t="n"/>
      <c r="F20" s="3" t="inlineStr">
        <is>
          <t>Offer value / per share</t>
        </is>
      </c>
      <c r="H20" s="307" t="n">
        <v>5.3875</v>
      </c>
      <c r="I20" s="307" t="n">
        <v>5.3875</v>
      </c>
      <c r="J20" s="366" t="n">
        <v>5.3875</v>
      </c>
      <c r="K20" s="416" t="n"/>
      <c r="L20" s="416" t="n"/>
    </row>
    <row r="21">
      <c r="B21" s="34" t="inlineStr">
        <is>
          <t>Refinancing of oldco debt</t>
        </is>
      </c>
      <c r="D21" s="417" t="n">
        <v>1269.9</v>
      </c>
      <c r="E21" s="418" t="n"/>
      <c r="F21" s="158" t="inlineStr">
        <is>
          <t>% Premium / discount</t>
        </is>
      </c>
      <c r="H21" s="418" t="n">
        <v>0.25</v>
      </c>
      <c r="I21" s="418" t="n">
        <v>0.25</v>
      </c>
      <c r="J21" s="418" t="n">
        <v>0.25</v>
      </c>
      <c r="K21" s="416" t="n"/>
      <c r="L21" s="416" t="n"/>
    </row>
    <row r="22">
      <c r="B22" s="34" t="inlineStr">
        <is>
          <t>Fees (transaction &amp; financing)</t>
        </is>
      </c>
      <c r="D22" s="419" t="n">
        <v>31.5</v>
      </c>
      <c r="H22" s="158" t="n"/>
      <c r="J22" s="420" t="n"/>
      <c r="K22" s="416" t="n"/>
      <c r="L22" s="416" t="n"/>
    </row>
    <row r="23">
      <c r="B23" s="383" t="inlineStr">
        <is>
          <t>Total Uses</t>
        </is>
      </c>
      <c r="D23" s="421" t="n">
        <v>2876.2</v>
      </c>
      <c r="H23" s="158" t="n"/>
      <c r="J23" s="420" t="n"/>
      <c r="K23" s="416" t="n"/>
      <c r="L23" s="416" t="n"/>
    </row>
    <row r="24">
      <c r="C24" s="414" t="n"/>
      <c r="H24" s="158" t="n"/>
      <c r="J24" s="420" t="n"/>
      <c r="K24" s="416" t="n"/>
      <c r="L24" s="416" t="n"/>
    </row>
    <row r="25">
      <c r="B25" s="153" t="inlineStr">
        <is>
          <t>SOURCES OF FUNDS</t>
        </is>
      </c>
      <c r="C25" s="15" t="n"/>
      <c r="D25" s="15" t="n"/>
      <c r="E25" s="417"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22" t="n">
        <v>0.318</v>
      </c>
      <c r="D27" s="417" t="n">
        <v>100.1</v>
      </c>
      <c r="F27" s="100" t="inlineStr">
        <is>
          <t>Financing fees</t>
        </is>
      </c>
    </row>
    <row r="28">
      <c r="B28" s="159" t="inlineStr">
        <is>
          <t>Revolver</t>
        </is>
      </c>
      <c r="C28" s="423" t="n">
        <v>0</v>
      </c>
      <c r="D28" s="417" t="n">
        <v>0</v>
      </c>
      <c r="F28" s="34" t="inlineStr">
        <is>
          <t>Revolver</t>
        </is>
      </c>
      <c r="G28" s="424" t="n">
        <v>0.01</v>
      </c>
      <c r="H28" s="417" t="n">
        <v>0</v>
      </c>
      <c r="I28" s="425" t="n">
        <v>5</v>
      </c>
      <c r="J28" s="426" t="n">
        <v>0</v>
      </c>
    </row>
    <row r="29">
      <c r="B29" s="34" t="inlineStr">
        <is>
          <t>Term Loan A</t>
        </is>
      </c>
      <c r="C29" s="427" t="n">
        <v>2.5</v>
      </c>
      <c r="D29" s="417" t="n">
        <v>786.2</v>
      </c>
      <c r="F29" s="34" t="inlineStr">
        <is>
          <t>Term Loan A</t>
        </is>
      </c>
      <c r="G29" s="424" t="n">
        <v>0.015</v>
      </c>
      <c r="H29" s="417" t="n">
        <v>43.29643500000002</v>
      </c>
      <c r="I29" s="425" t="n">
        <v>7</v>
      </c>
      <c r="J29" s="426" t="n">
        <v>6.185205000000003</v>
      </c>
    </row>
    <row r="30">
      <c r="B30" s="34" t="inlineStr">
        <is>
          <t>Term Loan B</t>
        </is>
      </c>
      <c r="C30" s="427" t="n">
        <v>1.5</v>
      </c>
      <c r="D30" s="417" t="n">
        <v>471.8</v>
      </c>
      <c r="F30" s="34" t="inlineStr">
        <is>
          <t>Term Loan B</t>
        </is>
      </c>
      <c r="G30" s="424" t="n">
        <v>0.015</v>
      </c>
      <c r="H30" s="417" t="n">
        <v>10.06278</v>
      </c>
      <c r="I30" s="425" t="n">
        <v>7</v>
      </c>
      <c r="J30" s="426" t="n">
        <v>1.43754</v>
      </c>
      <c r="P30" s="383" t="n"/>
      <c r="R30" s="421" t="n"/>
    </row>
    <row r="31">
      <c r="B31" s="34" t="inlineStr">
        <is>
          <t>Senior Note</t>
        </is>
      </c>
      <c r="C31" s="427" t="n">
        <v>1</v>
      </c>
      <c r="D31" s="417" t="n">
        <v>314.5</v>
      </c>
      <c r="F31" s="34" t="inlineStr">
        <is>
          <t>Senior Note</t>
        </is>
      </c>
      <c r="G31" s="424" t="n">
        <v>0.01</v>
      </c>
      <c r="H31" s="417" t="n">
        <v>16.32995000000001</v>
      </c>
      <c r="I31" s="425" t="n">
        <v>8</v>
      </c>
      <c r="J31" s="426" t="n">
        <v>2.041243750000001</v>
      </c>
      <c r="P31" s="383" t="n"/>
      <c r="R31" s="421" t="n"/>
    </row>
    <row r="32">
      <c r="B32" s="34" t="inlineStr">
        <is>
          <t>Sub Note</t>
        </is>
      </c>
      <c r="C32" s="427" t="n">
        <v>0</v>
      </c>
      <c r="D32" s="417" t="n">
        <v>0</v>
      </c>
      <c r="F32" s="34" t="inlineStr">
        <is>
          <t>Sub Note</t>
        </is>
      </c>
      <c r="G32" s="424" t="n">
        <v>0</v>
      </c>
      <c r="H32" s="428" t="n">
        <v>0</v>
      </c>
      <c r="I32" s="425" t="n"/>
      <c r="J32" s="429" t="inlineStr">
        <is>
          <t>NM</t>
        </is>
      </c>
      <c r="P32" s="383" t="n"/>
      <c r="R32" s="421" t="n"/>
    </row>
    <row r="33">
      <c r="B33" s="34" t="inlineStr">
        <is>
          <t>Preferred stock</t>
        </is>
      </c>
      <c r="C33" s="427" t="n">
        <v>0</v>
      </c>
      <c r="D33" s="417" t="n">
        <v>0</v>
      </c>
      <c r="F33" s="332" t="inlineStr">
        <is>
          <t>Financing fees</t>
        </is>
      </c>
      <c r="H33" s="421" t="n">
        <v>23.6</v>
      </c>
      <c r="I33" s="202" t="n"/>
      <c r="J33" s="417" t="n">
        <v>9.663988750000003</v>
      </c>
      <c r="P33" s="383" t="n"/>
      <c r="R33" s="421" t="n"/>
    </row>
    <row r="34">
      <c r="B34" s="34" t="inlineStr">
        <is>
          <t>Mgmt rollover</t>
        </is>
      </c>
      <c r="C34" s="427" t="n">
        <v>0</v>
      </c>
      <c r="D34" s="417" t="n">
        <v>0</v>
      </c>
      <c r="H34" s="421" t="n"/>
      <c r="P34" s="383" t="n"/>
      <c r="R34" s="421" t="n"/>
    </row>
    <row r="35" ht="16.5" customHeight="1" s="244">
      <c r="B35" s="34" t="inlineStr">
        <is>
          <t>Sponsor equity</t>
        </is>
      </c>
      <c r="C35" s="422" t="n">
        <v>3.827</v>
      </c>
      <c r="D35" s="428" t="n">
        <v>1203.6</v>
      </c>
      <c r="F35" s="34" t="n"/>
      <c r="G35" s="296" t="inlineStr">
        <is>
          <t>% of offer value</t>
        </is>
      </c>
      <c r="H35" s="296" t="inlineStr">
        <is>
          <t>Fee</t>
        </is>
      </c>
      <c r="P35" s="383" t="n"/>
      <c r="R35" s="421" t="n"/>
    </row>
    <row r="36">
      <c r="B36" s="147" t="inlineStr">
        <is>
          <t>Total Sources</t>
        </is>
      </c>
      <c r="C36" s="430" t="n">
        <v>9.145</v>
      </c>
      <c r="D36" s="421" t="n">
        <v>2876.2</v>
      </c>
      <c r="F36" s="332" t="inlineStr">
        <is>
          <t>Trans. fees</t>
        </is>
      </c>
      <c r="G36" s="414" t="n">
        <v>0.02</v>
      </c>
      <c r="H36" s="421" t="n">
        <v>31.5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2023</v>
      </c>
      <c r="D39" s="270" t="n">
        <v>2024</v>
      </c>
      <c r="E39" s="431" t="n">
        <v>2025</v>
      </c>
      <c r="F39" s="157" t="n">
        <v>2026</v>
      </c>
      <c r="G39" s="157" t="n">
        <v>2027</v>
      </c>
      <c r="H39" s="157" t="n">
        <v>2028</v>
      </c>
      <c r="I39" s="157" t="n">
        <v>2029</v>
      </c>
      <c r="J39" s="157" t="n">
        <v>2030</v>
      </c>
    </row>
    <row r="40">
      <c r="B40" s="18" t="inlineStr">
        <is>
          <t>Fiscal year end date</t>
        </is>
      </c>
      <c r="C40" s="19" t="n">
        <v>45291</v>
      </c>
      <c r="D40" s="19" t="n">
        <v>45657</v>
      </c>
      <c r="E40" s="19" t="n">
        <v>46022</v>
      </c>
      <c r="F40" s="20" t="n">
        <v>46387</v>
      </c>
      <c r="G40" s="20" t="n">
        <v>46752</v>
      </c>
      <c r="H40" s="20" t="n">
        <v>47118</v>
      </c>
      <c r="I40" s="20" t="n">
        <v>47483</v>
      </c>
      <c r="J40" s="20" t="n">
        <v>47848</v>
      </c>
    </row>
    <row r="41">
      <c r="B41" s="100" t="n"/>
      <c r="C41" s="22" t="n"/>
      <c r="D41" s="22" t="n"/>
      <c r="E41" s="23" t="n"/>
      <c r="F41" s="23" t="n"/>
      <c r="G41" s="23" t="n"/>
      <c r="H41" s="23" t="n"/>
      <c r="I41" s="23" t="n"/>
      <c r="J41" s="23" t="n"/>
    </row>
    <row r="42">
      <c r="B42" t="inlineStr">
        <is>
          <t>Revenue</t>
        </is>
      </c>
      <c r="C42" s="432" t="n">
        <v>1239.5</v>
      </c>
      <c r="D42" s="432" t="n">
        <v>1214.3</v>
      </c>
      <c r="E42" s="432" t="n">
        <v>1249.5</v>
      </c>
      <c r="F42" s="413" t="n">
        <v>1299.5</v>
      </c>
      <c r="G42" s="413" t="n">
        <v>1364.5</v>
      </c>
      <c r="H42" s="413" t="n">
        <v>1432.7</v>
      </c>
      <c r="I42" s="413" t="n">
        <v>1490</v>
      </c>
      <c r="J42" s="413" t="n">
        <v>1534.7</v>
      </c>
    </row>
    <row r="43">
      <c r="B43" t="inlineStr">
        <is>
          <t>Cost of sales (enter as -)</t>
        </is>
      </c>
      <c r="C43" s="432" t="n">
        <v>-200.4</v>
      </c>
      <c r="D43" s="432" t="n">
        <v>-211.4</v>
      </c>
      <c r="E43" s="432" t="n">
        <v>-220.5</v>
      </c>
      <c r="F43" s="413" t="n">
        <v>-222.8</v>
      </c>
      <c r="G43" s="413" t="n">
        <v>-234</v>
      </c>
      <c r="H43" s="413" t="n">
        <v>-245.7</v>
      </c>
      <c r="I43" s="413" t="n">
        <v>-255.5</v>
      </c>
      <c r="J43" s="413" t="n">
        <v>-263.2</v>
      </c>
    </row>
    <row r="44">
      <c r="B44" s="383" t="inlineStr">
        <is>
          <t>Gross Profit</t>
        </is>
      </c>
      <c r="C44" s="433" t="n">
        <v>1039.1</v>
      </c>
      <c r="D44" s="433" t="n">
        <v>1002.9</v>
      </c>
      <c r="E44" s="433" t="n">
        <v>1029</v>
      </c>
      <c r="F44" s="433" t="n">
        <v>1076.7</v>
      </c>
      <c r="G44" s="433" t="n">
        <v>1130.5</v>
      </c>
      <c r="H44" s="433" t="n">
        <v>1187</v>
      </c>
      <c r="I44" s="433" t="n">
        <v>1234.5</v>
      </c>
      <c r="J44" s="433" t="n">
        <v>1271.5</v>
      </c>
    </row>
    <row r="45">
      <c r="B45" t="inlineStr">
        <is>
          <t>Research &amp; development (enter as -)</t>
        </is>
      </c>
      <c r="C45" s="432" t="n">
        <v>-191.5</v>
      </c>
      <c r="D45" s="432" t="n">
        <v>-196.1</v>
      </c>
      <c r="E45" s="432" t="n">
        <v>-182</v>
      </c>
      <c r="F45" s="413" t="n">
        <v>-189.3</v>
      </c>
      <c r="G45" s="413" t="n">
        <v>-198.7</v>
      </c>
      <c r="H45" s="413" t="n">
        <v>-208.7</v>
      </c>
      <c r="I45" s="413" t="n">
        <v>-217</v>
      </c>
      <c r="J45" s="413" t="n">
        <v>-223.5</v>
      </c>
    </row>
    <row r="46">
      <c r="B46" t="inlineStr">
        <is>
          <t>Selling, general &amp; administrative (enter as -)</t>
        </is>
      </c>
      <c r="C46" s="432" t="n">
        <v>-588.1</v>
      </c>
      <c r="D46" s="432" t="n">
        <v>-709.4</v>
      </c>
      <c r="E46" s="432" t="n">
        <v>-621.3</v>
      </c>
      <c r="F46" s="413" t="n">
        <v>-620.2</v>
      </c>
      <c r="G46" s="413" t="n">
        <v>-630.7</v>
      </c>
      <c r="H46" s="413" t="n">
        <v>-640.7</v>
      </c>
      <c r="I46" s="413" t="n">
        <v>-658.9</v>
      </c>
      <c r="J46" s="413" t="n">
        <v>-678.7</v>
      </c>
    </row>
    <row r="47">
      <c r="B47" t="inlineStr">
        <is>
          <t>Deal-related D&amp;A (enter as -)</t>
        </is>
      </c>
      <c r="C47" s="432" t="n"/>
      <c r="D47" s="432" t="n"/>
      <c r="E47" s="432" t="n"/>
      <c r="F47" s="413" t="n">
        <v>0</v>
      </c>
      <c r="G47" s="413" t="n">
        <v>0</v>
      </c>
      <c r="H47" s="413" t="n">
        <v>0</v>
      </c>
      <c r="I47" s="413" t="n">
        <v>0</v>
      </c>
      <c r="J47" s="413" t="n">
        <v>0</v>
      </c>
    </row>
    <row r="48">
      <c r="B48" s="383" t="inlineStr">
        <is>
          <t>Operating profit (EBIT)</t>
        </is>
      </c>
      <c r="C48" s="433" t="n">
        <v>259.5</v>
      </c>
      <c r="D48" s="433" t="n">
        <v>97.40000000000001</v>
      </c>
      <c r="E48" s="433" t="n">
        <v>225.7</v>
      </c>
      <c r="F48" s="433" t="n">
        <v>267.2</v>
      </c>
      <c r="G48" s="433" t="n">
        <v>301</v>
      </c>
      <c r="H48" s="433" t="n">
        <v>337.6</v>
      </c>
      <c r="I48" s="433" t="n">
        <v>358.5</v>
      </c>
      <c r="J48" s="433" t="n">
        <v>369.3</v>
      </c>
      <c r="K48" s="140" t="n"/>
    </row>
    <row r="49">
      <c r="B49" t="inlineStr">
        <is>
          <t>Interest income</t>
        </is>
      </c>
      <c r="C49" s="432" t="n">
        <v>0</v>
      </c>
      <c r="D49" s="432" t="n">
        <v>0</v>
      </c>
      <c r="E49" s="432" t="n">
        <v>0</v>
      </c>
      <c r="F49" s="417" t="n">
        <v>0</v>
      </c>
      <c r="G49" s="417" t="n">
        <v>0</v>
      </c>
      <c r="H49" s="417" t="n">
        <v>0</v>
      </c>
      <c r="I49" s="417" t="n">
        <v>0</v>
      </c>
      <c r="J49" s="417" t="n">
        <v>0</v>
      </c>
    </row>
    <row r="50">
      <c r="B50" t="inlineStr">
        <is>
          <t>Interest expense (enter as -)</t>
        </is>
      </c>
      <c r="C50" s="432" t="n">
        <v>-45.2</v>
      </c>
      <c r="D50" s="432" t="n">
        <v>-39.3</v>
      </c>
      <c r="E50" s="432" t="n">
        <v>-42.6</v>
      </c>
      <c r="F50" s="417" t="n">
        <v>-110.1</v>
      </c>
      <c r="G50" s="417" t="n">
        <v>-96.90000000000001</v>
      </c>
      <c r="H50" s="417" t="n">
        <v>-83.7</v>
      </c>
      <c r="I50" s="417" t="n">
        <v>-70.40000000000001</v>
      </c>
      <c r="J50" s="417" t="n">
        <v>-57.2</v>
      </c>
    </row>
    <row r="51">
      <c r="B51" t="inlineStr">
        <is>
          <t>Other non-operating expense (enter as -)</t>
        </is>
      </c>
      <c r="C51" s="432" t="n">
        <v>0</v>
      </c>
      <c r="D51" s="432" t="n">
        <v>0</v>
      </c>
      <c r="E51" s="432" t="n">
        <v>0</v>
      </c>
      <c r="F51" s="432" t="n">
        <v>0</v>
      </c>
      <c r="G51" s="432" t="n">
        <v>0</v>
      </c>
      <c r="H51" s="432" t="n">
        <v>0</v>
      </c>
      <c r="I51" s="432" t="n">
        <v>0</v>
      </c>
      <c r="J51" s="432" t="n">
        <v>0</v>
      </c>
    </row>
    <row r="52">
      <c r="B52" s="383" t="inlineStr">
        <is>
          <t>Pretax profit</t>
        </is>
      </c>
      <c r="C52" s="433" t="n">
        <v>214.3</v>
      </c>
      <c r="D52" s="433" t="n">
        <v>58.1</v>
      </c>
      <c r="E52" s="433" t="n">
        <v>183.1</v>
      </c>
      <c r="F52" s="433" t="n">
        <v>157.1</v>
      </c>
      <c r="G52" s="433" t="n">
        <v>204.2</v>
      </c>
      <c r="H52" s="433" t="n">
        <v>253.9</v>
      </c>
      <c r="I52" s="433" t="n">
        <v>288.1</v>
      </c>
      <c r="J52" s="433" t="n">
        <v>312.1</v>
      </c>
    </row>
    <row r="53">
      <c r="B53" t="inlineStr">
        <is>
          <t>Taxes (enter expense as -)</t>
        </is>
      </c>
      <c r="C53" s="432" t="n">
        <v>-281.5</v>
      </c>
      <c r="D53" s="432" t="n">
        <v>-2.2</v>
      </c>
      <c r="E53" s="432" t="n">
        <v>-70.09999999999999</v>
      </c>
      <c r="F53" s="413" t="n">
        <v>-33</v>
      </c>
      <c r="G53" s="413" t="n">
        <v>-42.9</v>
      </c>
      <c r="H53" s="413" t="n">
        <v>-53.3</v>
      </c>
      <c r="I53" s="413" t="n">
        <v>-60.5</v>
      </c>
      <c r="J53" s="413" t="n">
        <v>-65.5</v>
      </c>
    </row>
    <row r="54">
      <c r="B54" s="383" t="inlineStr">
        <is>
          <t>Net income</t>
        </is>
      </c>
      <c r="C54" s="433" t="n">
        <v>-67.2</v>
      </c>
      <c r="D54" s="433" t="n">
        <v>55.9</v>
      </c>
      <c r="E54" s="433" t="n">
        <v>113</v>
      </c>
      <c r="F54" s="433" t="n">
        <v>124.1</v>
      </c>
      <c r="G54" s="433" t="n">
        <v>161.3</v>
      </c>
      <c r="H54" s="433" t="n">
        <v>200.6</v>
      </c>
      <c r="I54" s="433" t="n">
        <v>227.6</v>
      </c>
      <c r="J54" s="433" t="n">
        <v>246.5</v>
      </c>
    </row>
    <row r="55">
      <c r="C55" s="140" t="n"/>
      <c r="D55" s="140" t="n"/>
      <c r="E55" s="140" t="n"/>
      <c r="F55" s="417"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21" t="n">
        <v>259.5</v>
      </c>
      <c r="D57" s="421" t="n">
        <v>97.40000000000001</v>
      </c>
      <c r="E57" s="421" t="n">
        <v>225.7</v>
      </c>
      <c r="F57" s="421" t="n">
        <v>267.2</v>
      </c>
      <c r="G57" s="421" t="n">
        <v>301</v>
      </c>
      <c r="H57" s="421" t="n">
        <v>337.6</v>
      </c>
      <c r="I57" s="421" t="n">
        <v>358.5</v>
      </c>
      <c r="J57" s="421" t="n">
        <v>369.3</v>
      </c>
    </row>
    <row r="58">
      <c r="B58" s="34" t="inlineStr">
        <is>
          <t>Depreciation and amortization</t>
        </is>
      </c>
      <c r="C58" s="432" t="n">
        <v>80.59999999999999</v>
      </c>
      <c r="D58" s="432" t="n">
        <v>85.7</v>
      </c>
      <c r="E58" s="432" t="n">
        <v>88.8</v>
      </c>
      <c r="F58" s="417" t="n">
        <v>92.40000000000001</v>
      </c>
      <c r="G58" s="417" t="n">
        <v>97</v>
      </c>
      <c r="H58" s="417" t="n">
        <v>101.8</v>
      </c>
      <c r="I58" s="417" t="n">
        <v>105.9</v>
      </c>
      <c r="J58" s="417" t="n">
        <v>109.1</v>
      </c>
    </row>
    <row r="59">
      <c r="B59" s="34" t="inlineStr">
        <is>
          <t xml:space="preserve">Deal-related D&amp;A </t>
        </is>
      </c>
      <c r="C59" s="432" t="n"/>
      <c r="D59" s="432" t="n"/>
      <c r="E59" s="432" t="n"/>
      <c r="F59" s="413" t="n">
        <v>0</v>
      </c>
      <c r="G59" s="413" t="n">
        <v>0</v>
      </c>
      <c r="H59" s="413" t="n">
        <v>0</v>
      </c>
      <c r="I59" s="413" t="n">
        <v>0</v>
      </c>
      <c r="J59" s="413" t="n">
        <v>0</v>
      </c>
    </row>
    <row r="60">
      <c r="B60" s="34" t="inlineStr">
        <is>
          <t>Stock based compensation</t>
        </is>
      </c>
      <c r="C60" s="432" t="n">
        <v>167.6</v>
      </c>
      <c r="D60" s="432" t="n">
        <v>138</v>
      </c>
      <c r="E60" s="432" t="n">
        <v>116.2</v>
      </c>
      <c r="F60" s="417" t="n">
        <v>120.8</v>
      </c>
      <c r="G60" s="417" t="n">
        <v>126.9</v>
      </c>
      <c r="H60" s="417" t="n">
        <v>133.2</v>
      </c>
      <c r="I60" s="417" t="n">
        <v>138.6</v>
      </c>
      <c r="J60" s="417" t="n">
        <v>142.7</v>
      </c>
    </row>
    <row r="61">
      <c r="B61" s="34" t="inlineStr">
        <is>
          <t>Restructuring and other nonrecurring charges</t>
        </is>
      </c>
      <c r="C61" s="432" t="n">
        <v>0</v>
      </c>
      <c r="D61" s="432" t="n">
        <v>0</v>
      </c>
      <c r="E61" s="432" t="n">
        <v>0</v>
      </c>
      <c r="F61" s="432" t="n">
        <v>0</v>
      </c>
      <c r="G61" s="432" t="n">
        <v>0</v>
      </c>
      <c r="H61" s="432" t="n">
        <v>0</v>
      </c>
      <c r="I61" s="432" t="n">
        <v>0</v>
      </c>
      <c r="J61" s="432" t="n">
        <v>0</v>
      </c>
    </row>
    <row r="62">
      <c r="B62" s="147" t="inlineStr">
        <is>
          <t>EBITDA</t>
        </is>
      </c>
      <c r="C62" s="433" t="n">
        <v>340.1</v>
      </c>
      <c r="D62" s="433" t="n">
        <v>183.1</v>
      </c>
      <c r="E62" s="433" t="n">
        <v>314.5</v>
      </c>
      <c r="F62" s="433" t="n">
        <v>359.6</v>
      </c>
      <c r="G62" s="433" t="n">
        <v>398</v>
      </c>
      <c r="H62" s="433" t="n">
        <v>439.4</v>
      </c>
      <c r="I62" s="433" t="n">
        <v>464.4</v>
      </c>
      <c r="J62" s="433" t="n">
        <v>478.4</v>
      </c>
    </row>
    <row r="63">
      <c r="B63" s="193" t="n"/>
    </row>
    <row r="64">
      <c r="B64" s="321" t="inlineStr">
        <is>
          <t>Growth rates &amp; margins</t>
        </is>
      </c>
      <c r="F64" s="417" t="n"/>
      <c r="K64" s="195" t="inlineStr">
        <is>
          <t>Step</t>
        </is>
      </c>
    </row>
    <row r="65">
      <c r="B65" s="73" t="inlineStr">
        <is>
          <t>Revenue growth</t>
        </is>
      </c>
      <c r="C65" s="418" t="n"/>
      <c r="D65" s="418" t="n">
        <v>-0.0203</v>
      </c>
      <c r="E65" s="418" t="n">
        <v>0.029</v>
      </c>
      <c r="F65" s="424" t="n">
        <v>0.04</v>
      </c>
      <c r="G65" s="424" t="n">
        <v>0.05</v>
      </c>
      <c r="H65" s="424" t="n">
        <v>0.05</v>
      </c>
      <c r="I65" s="424" t="n">
        <v>0.04</v>
      </c>
      <c r="J65" s="424" t="n">
        <v>0.03</v>
      </c>
      <c r="K65" s="424" t="n"/>
    </row>
    <row r="66">
      <c r="B66" s="73" t="inlineStr">
        <is>
          <t>Gross profit as % of sales</t>
        </is>
      </c>
      <c r="C66" s="418" t="n">
        <v>0.8383</v>
      </c>
      <c r="D66" s="418" t="n">
        <v>0.8259</v>
      </c>
      <c r="E66" s="418" t="n">
        <v>0.8235</v>
      </c>
      <c r="F66" s="434" t="n">
        <v>0.8285</v>
      </c>
      <c r="G66" s="434" t="n">
        <v>0.8285</v>
      </c>
      <c r="H66" s="434" t="n">
        <v>0.8285</v>
      </c>
      <c r="I66" s="434" t="n">
        <v>0.8285</v>
      </c>
      <c r="J66" s="434" t="n">
        <v>0.8285</v>
      </c>
      <c r="K66" s="424" t="n">
        <v>0.005</v>
      </c>
    </row>
    <row r="67">
      <c r="B67" s="73" t="inlineStr">
        <is>
          <t>R&amp;D margin</t>
        </is>
      </c>
      <c r="C67" s="418" t="n">
        <v>0.1545</v>
      </c>
      <c r="D67" s="418" t="n">
        <v>0.1615</v>
      </c>
      <c r="E67" s="418" t="n">
        <v>0.1457</v>
      </c>
      <c r="F67" s="434" t="n">
        <v>0.1457</v>
      </c>
      <c r="G67" s="434" t="n">
        <v>0.1457</v>
      </c>
      <c r="H67" s="434" t="n">
        <v>0.1457</v>
      </c>
      <c r="I67" s="434" t="n">
        <v>0.1457</v>
      </c>
      <c r="J67" s="434" t="n">
        <v>0.1457</v>
      </c>
      <c r="K67" s="424" t="n">
        <v>0</v>
      </c>
    </row>
    <row r="68">
      <c r="B68" s="73" t="inlineStr">
        <is>
          <t>SG&amp;A margin</t>
        </is>
      </c>
      <c r="C68" s="418" t="n">
        <v>0.4745</v>
      </c>
      <c r="D68" s="418" t="n">
        <v>0.5842000000000001</v>
      </c>
      <c r="E68" s="418" t="n">
        <v>0.4972</v>
      </c>
      <c r="F68" s="434" t="n">
        <v>0.4772</v>
      </c>
      <c r="G68" s="434" t="n">
        <v>0.4622</v>
      </c>
      <c r="H68" s="434" t="n">
        <v>0.4472</v>
      </c>
      <c r="I68" s="434" t="n">
        <v>0.4422</v>
      </c>
      <c r="J68" s="434" t="n">
        <v>0.4422</v>
      </c>
      <c r="K68" s="424" t="n">
        <v>-0.01</v>
      </c>
    </row>
    <row r="69">
      <c r="B69" s="73" t="inlineStr">
        <is>
          <t>Tax rate</t>
        </is>
      </c>
      <c r="C69" s="418" t="n">
        <v>0.21</v>
      </c>
      <c r="D69" s="418" t="n">
        <v>0.21</v>
      </c>
      <c r="E69" s="418" t="n">
        <v>0.21</v>
      </c>
      <c r="F69" s="424" t="n">
        <v>0.21</v>
      </c>
      <c r="G69" s="434" t="n">
        <v>0.21</v>
      </c>
      <c r="H69" s="434" t="n">
        <v>0.21</v>
      </c>
      <c r="I69" s="434" t="n">
        <v>0.21</v>
      </c>
      <c r="J69" s="434" t="n">
        <v>0.21</v>
      </c>
      <c r="K69" s="424" t="n">
        <v>0</v>
      </c>
    </row>
    <row r="70">
      <c r="B70" s="73" t="inlineStr">
        <is>
          <t>SBC as % of all operating expenses</t>
        </is>
      </c>
      <c r="C70" s="418" t="n">
        <v>0.215</v>
      </c>
      <c r="D70" s="418" t="n">
        <v>0.1524</v>
      </c>
      <c r="E70" s="418" t="n">
        <v>0.1447</v>
      </c>
      <c r="F70" s="424" t="n">
        <v>0.093</v>
      </c>
      <c r="G70" s="434" t="n">
        <v>0.093</v>
      </c>
      <c r="H70" s="434" t="n">
        <v>0.093</v>
      </c>
      <c r="I70" s="434" t="n">
        <v>0.093</v>
      </c>
      <c r="J70" s="434" t="n">
        <v>0.093</v>
      </c>
      <c r="K70" s="424"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35" t="n"/>
      <c r="D76" s="436" t="n">
        <v>484.8</v>
      </c>
      <c r="E76" s="436" t="n">
        <v>443.7</v>
      </c>
      <c r="F76" s="421" t="n">
        <v>459.2295</v>
      </c>
      <c r="G76" s="421" t="n">
        <v>484.4871225</v>
      </c>
      <c r="H76" s="421" t="n">
        <v>513.5563498500001</v>
      </c>
      <c r="I76" s="421" t="n">
        <v>539.2341673425001</v>
      </c>
      <c r="J76" s="421" t="n">
        <v>565.1174073749401</v>
      </c>
    </row>
    <row r="77">
      <c r="B77" s="82" t="inlineStr">
        <is>
          <t>AR as % of sales</t>
        </is>
      </c>
      <c r="C77" s="418" t="n"/>
      <c r="D77" s="418" t="n">
        <v>0.2232044198895027</v>
      </c>
      <c r="E77" s="418" t="n">
        <v>0.2015535568274734</v>
      </c>
      <c r="F77" s="424" t="n">
        <v>0.2015535568274734</v>
      </c>
      <c r="G77" s="424" t="n">
        <v>0.2015535568274734</v>
      </c>
      <c r="H77" s="424" t="n">
        <v>0.2015535568274734</v>
      </c>
      <c r="I77" s="424" t="n">
        <v>0.2015535568274734</v>
      </c>
      <c r="J77" s="424" t="n">
        <v>0.2015535568274734</v>
      </c>
    </row>
    <row r="78">
      <c r="B78" s="193" t="inlineStr">
        <is>
          <t>Other current assets, EOP</t>
        </is>
      </c>
      <c r="C78" s="435" t="n"/>
      <c r="D78" s="436" t="n">
        <v>195.1</v>
      </c>
      <c r="E78" s="436" t="n">
        <v>213.1</v>
      </c>
      <c r="F78" s="421" t="n">
        <v>220.5585</v>
      </c>
      <c r="G78" s="421" t="n">
        <v>232.6892175</v>
      </c>
      <c r="H78" s="421" t="n">
        <v>246.65057055</v>
      </c>
      <c r="I78" s="421" t="n">
        <v>258.9830990775</v>
      </c>
      <c r="J78" s="421" t="n">
        <v>271.41428783322</v>
      </c>
    </row>
    <row r="79">
      <c r="B79" s="82" t="inlineStr">
        <is>
          <t>Other current assets as % of sales</t>
        </is>
      </c>
      <c r="C79" s="418" t="n"/>
      <c r="D79" s="418" t="n">
        <v>0.08982504604051565</v>
      </c>
      <c r="E79" s="418" t="n">
        <v>0.09680203506859271</v>
      </c>
      <c r="F79" s="424" t="n">
        <v>0.09680203506859271</v>
      </c>
      <c r="G79" s="424" t="n">
        <v>0.09680203506859271</v>
      </c>
      <c r="H79" s="424" t="n">
        <v>0.09680203506859271</v>
      </c>
      <c r="I79" s="424" t="n">
        <v>0.09680203506859271</v>
      </c>
      <c r="J79" s="424" t="n">
        <v>0.09680203506859271</v>
      </c>
    </row>
    <row r="80">
      <c r="B80" s="193" t="inlineStr">
        <is>
          <t>Accounts payable, EOP</t>
        </is>
      </c>
      <c r="C80" s="435" t="n"/>
      <c r="D80" s="436" t="n">
        <v>32.7</v>
      </c>
      <c r="E80" s="436" t="n">
        <v>42.1</v>
      </c>
      <c r="F80" s="421" t="n">
        <v>41.35985068829212</v>
      </c>
      <c r="G80" s="421" t="n">
        <v>42.77992582446322</v>
      </c>
      <c r="H80" s="421" t="n">
        <v>44.44072172314495</v>
      </c>
      <c r="I80" s="421" t="n">
        <v>45.71145817597682</v>
      </c>
      <c r="J80" s="421" t="n">
        <v>46.90864615269874</v>
      </c>
    </row>
    <row r="81">
      <c r="B81" s="82" t="inlineStr">
        <is>
          <t>AP as % of COGS</t>
        </is>
      </c>
      <c r="C81" s="418" t="n"/>
      <c r="D81" s="418" t="n">
        <v>0.05747934610652136</v>
      </c>
      <c r="E81" s="418" t="n">
        <v>0.07111486486486487</v>
      </c>
      <c r="F81" s="424" t="n">
        <v>0.07111486486486487</v>
      </c>
      <c r="G81" s="424" t="n">
        <v>0.07111486486486487</v>
      </c>
      <c r="H81" s="424" t="n">
        <v>0.07111486486486487</v>
      </c>
      <c r="I81" s="424" t="n">
        <v>0.07111486486486487</v>
      </c>
      <c r="J81" s="424" t="n">
        <v>0.07111486486486487</v>
      </c>
    </row>
    <row r="82">
      <c r="B82" s="193" t="inlineStr">
        <is>
          <t>Accrued expenses &amp; def revenues, EOP</t>
        </is>
      </c>
      <c r="C82" s="437" t="n"/>
      <c r="D82" s="436" t="n">
        <v>2313.3</v>
      </c>
      <c r="E82" s="436" t="n">
        <v>2301.7</v>
      </c>
      <c r="F82" s="421" t="n">
        <v>2382.2595</v>
      </c>
      <c r="G82" s="421" t="n">
        <v>2513.283772499999</v>
      </c>
      <c r="H82" s="421" t="n">
        <v>2664.08079885</v>
      </c>
      <c r="I82" s="421" t="n">
        <v>2797.2848387925</v>
      </c>
      <c r="J82" s="421" t="n">
        <v>2931.55451105454</v>
      </c>
    </row>
    <row r="83">
      <c r="B83" s="82" t="inlineStr">
        <is>
          <t>As % of sales</t>
        </is>
      </c>
      <c r="C83" s="418" t="n"/>
      <c r="D83" s="418" t="n">
        <v>1.065055248618785</v>
      </c>
      <c r="E83" s="434" t="n">
        <v>1.045561915144908</v>
      </c>
      <c r="F83" s="414" t="n">
        <v>1.045561915144908</v>
      </c>
      <c r="G83" s="414" t="n">
        <v>1.045561915144908</v>
      </c>
      <c r="H83" s="414" t="n">
        <v>1.045561915144908</v>
      </c>
      <c r="I83" s="414" t="n">
        <v>1.045561915144908</v>
      </c>
      <c r="J83" s="414" t="n">
        <v>1.045561915144908</v>
      </c>
    </row>
    <row r="84">
      <c r="B84" s="82" t="n"/>
      <c r="C84" s="418" t="n"/>
      <c r="D84" s="418" t="n"/>
      <c r="E84" s="434" t="n"/>
    </row>
    <row r="85">
      <c r="B85" s="202" t="inlineStr">
        <is>
          <t>Net Working Capital</t>
        </is>
      </c>
      <c r="C85" s="100" t="n"/>
      <c r="D85" s="438" t="n">
        <v>-1666.1</v>
      </c>
      <c r="E85" s="438" t="n">
        <v>-1687</v>
      </c>
      <c r="F85" s="417" t="n">
        <v>-1743.831350688292</v>
      </c>
      <c r="G85" s="417" t="n">
        <v>-1838.887358324463</v>
      </c>
      <c r="H85" s="417" t="n">
        <v>-1948.314600173145</v>
      </c>
      <c r="I85" s="417" t="n">
        <v>-2044.779030548477</v>
      </c>
      <c r="J85" s="417" t="n">
        <v>-2141.931461999079</v>
      </c>
    </row>
    <row r="86">
      <c r="D86" s="228" t="n"/>
      <c r="E86" s="228" t="n"/>
      <c r="F86" s="140" t="n"/>
      <c r="G86" s="140" t="n"/>
      <c r="H86" s="140" t="n"/>
      <c r="I86" s="140" t="n"/>
      <c r="J86" s="140" t="n"/>
    </row>
    <row r="87">
      <c r="B87" s="312" t="inlineStr">
        <is>
          <t>LONG LIVED ASSETS</t>
        </is>
      </c>
      <c r="C87" s="439" t="n"/>
      <c r="D87" s="439" t="n"/>
      <c r="E87" s="439"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36" t="n">
        <v>87.8</v>
      </c>
      <c r="E91" s="436" t="n">
        <v>85.2</v>
      </c>
      <c r="F91" s="421" t="n">
        <v>73.14448979591836</v>
      </c>
      <c r="G91" s="421" t="n">
        <v>63.4073469387755</v>
      </c>
      <c r="H91" s="421" t="n">
        <v>56.45224489795918</v>
      </c>
      <c r="I91" s="421" t="n">
        <v>53.09061224489797</v>
      </c>
      <c r="J91" s="421" t="n">
        <v>53.09061224489798</v>
      </c>
      <c r="L91" s="421" t="n"/>
    </row>
    <row r="92">
      <c r="B92" s="143" t="inlineStr">
        <is>
          <t>Capital expenditures</t>
        </is>
      </c>
      <c r="C92" s="432" t="n">
        <v>22</v>
      </c>
      <c r="D92" s="432" t="n">
        <v>26.5</v>
      </c>
      <c r="E92" s="432" t="n">
        <v>24.5</v>
      </c>
      <c r="F92" s="432" t="n">
        <v>26</v>
      </c>
      <c r="G92" s="432" t="n">
        <v>28</v>
      </c>
      <c r="H92" s="432" t="n">
        <v>30</v>
      </c>
      <c r="I92" s="432" t="n">
        <v>29</v>
      </c>
      <c r="J92" s="432" t="n">
        <v>31</v>
      </c>
      <c r="L92" s="417" t="n"/>
    </row>
    <row r="93">
      <c r="B93" s="143" t="inlineStr">
        <is>
          <t>Depreciation</t>
        </is>
      </c>
      <c r="C93" s="432" t="n">
        <v>-39.1</v>
      </c>
      <c r="D93" s="432" t="n">
        <v>-37.8</v>
      </c>
      <c r="E93" s="432" t="n">
        <v>-38.7</v>
      </c>
      <c r="F93" s="413" t="n">
        <v>-38.05551020408164</v>
      </c>
      <c r="G93" s="413" t="n">
        <v>-37.73714285714286</v>
      </c>
      <c r="H93" s="413" t="n">
        <v>-36.95510204081632</v>
      </c>
      <c r="I93" s="413" t="n">
        <v>-32.36163265306122</v>
      </c>
      <c r="J93" s="413" t="n">
        <v>-30.99999999999999</v>
      </c>
      <c r="K93" s="195" t="inlineStr">
        <is>
          <t>Smoothing?</t>
        </is>
      </c>
      <c r="L93" s="417" t="n"/>
    </row>
    <row r="94">
      <c r="B94" s="145" t="inlineStr">
        <is>
          <t>Capex as a % of revenue</t>
        </is>
      </c>
      <c r="C94" s="434" t="n">
        <v>0.01065220549072774</v>
      </c>
      <c r="D94" s="434" t="n">
        <v>0.01220073664825046</v>
      </c>
      <c r="E94" s="434" t="n">
        <v>0.0111292813664032</v>
      </c>
      <c r="F94" s="434" t="n">
        <v>0.01141127143947484</v>
      </c>
      <c r="G94" s="434" t="n">
        <v>0.01164839957365277</v>
      </c>
      <c r="H94" s="434" t="n">
        <v>0.01177398878738487</v>
      </c>
      <c r="I94" s="434" t="n">
        <v>0.01083954523283052</v>
      </c>
      <c r="J94" s="434" t="n">
        <v>0.01105639320274237</v>
      </c>
      <c r="K94" s="440" t="inlineStr">
        <is>
          <t>Yes</t>
        </is>
      </c>
    </row>
    <row r="95">
      <c r="B95" s="145" t="inlineStr">
        <is>
          <t>Depreciation as a % of capex</t>
        </is>
      </c>
      <c r="C95" s="441" t="n">
        <v>1.777272727272727</v>
      </c>
      <c r="D95" s="441" t="n">
        <v>1.426415094339623</v>
      </c>
      <c r="E95" s="441" t="n">
        <v>1.579591836734694</v>
      </c>
      <c r="F95" s="441" t="n">
        <v>1.463673469387755</v>
      </c>
      <c r="G95" s="441" t="n">
        <v>1.347755102040816</v>
      </c>
      <c r="H95" s="441" t="n">
        <v>1.231836734693877</v>
      </c>
      <c r="I95" s="441" t="n">
        <v>1.115918367346939</v>
      </c>
      <c r="J95" s="441" t="n">
        <v>0.9999999999999998</v>
      </c>
      <c r="K95" s="442" t="n">
        <v>-0.1159183673469388</v>
      </c>
    </row>
    <row r="96">
      <c r="B96" s="145" t="n"/>
      <c r="C96" s="441" t="n"/>
      <c r="D96" s="441" t="n"/>
      <c r="E96" s="441" t="n"/>
    </row>
    <row r="97">
      <c r="B97" s="193" t="inlineStr">
        <is>
          <t>Software development costs</t>
        </is>
      </c>
      <c r="C97" s="57" t="n"/>
      <c r="D97" s="436" t="n">
        <v>244.7</v>
      </c>
      <c r="E97" s="436" t="n">
        <v>271.4</v>
      </c>
      <c r="F97" s="421" t="n">
        <v>286.5086419753086</v>
      </c>
      <c r="G97" s="421" t="n">
        <v>297.6447530864197</v>
      </c>
      <c r="H97" s="421" t="n">
        <v>305.199074074074</v>
      </c>
      <c r="I97" s="421" t="n">
        <v>309.3669753086419</v>
      </c>
      <c r="J97" s="421" t="n">
        <v>309.3669753086418</v>
      </c>
    </row>
    <row r="98">
      <c r="B98" s="143" t="inlineStr">
        <is>
          <t>Purchases</t>
        </is>
      </c>
      <c r="C98" s="432" t="n">
        <v>115.8</v>
      </c>
      <c r="D98" s="432" t="n">
        <v>132.5</v>
      </c>
      <c r="E98" s="432" t="n">
        <v>129.6</v>
      </c>
      <c r="F98" s="432" t="n">
        <v>116</v>
      </c>
      <c r="G98" s="432" t="n">
        <v>114</v>
      </c>
      <c r="H98" s="432" t="n">
        <v>116</v>
      </c>
      <c r="I98" s="432" t="n">
        <v>128</v>
      </c>
      <c r="J98" s="432" t="n">
        <v>135</v>
      </c>
    </row>
    <row r="99">
      <c r="B99" s="143" t="inlineStr">
        <is>
          <t>Amortization</t>
        </is>
      </c>
      <c r="C99" s="432" t="n">
        <v>-75.7</v>
      </c>
      <c r="D99" s="432" t="n">
        <v>-93.59999999999999</v>
      </c>
      <c r="E99" s="432" t="n">
        <v>-108.5</v>
      </c>
      <c r="F99" s="417" t="n">
        <v>-100.8913580246914</v>
      </c>
      <c r="G99" s="417" t="n">
        <v>-102.8638888888889</v>
      </c>
      <c r="H99" s="417" t="n">
        <v>-108.4456790123457</v>
      </c>
      <c r="I99" s="417" t="n">
        <v>-123.8320987654321</v>
      </c>
      <c r="J99" s="417" t="n">
        <v>-135</v>
      </c>
      <c r="K99" s="195" t="inlineStr">
        <is>
          <t>Smoothing?</t>
        </is>
      </c>
    </row>
    <row r="100">
      <c r="B100" s="145" t="inlineStr">
        <is>
          <t>Purchases as % of revenue</t>
        </is>
      </c>
      <c r="C100" s="434" t="n">
        <v>0.05606933617392146</v>
      </c>
      <c r="D100" s="434" t="n">
        <v>0.0610036832412523</v>
      </c>
      <c r="E100" s="434" t="n">
        <v>0.0588716271463614</v>
      </c>
      <c r="F100" s="418" t="n">
        <v>0.05091182642227234</v>
      </c>
      <c r="G100" s="418" t="n">
        <v>0.04742562683558627</v>
      </c>
      <c r="H100" s="418" t="n">
        <v>0.04552608997788817</v>
      </c>
      <c r="I100" s="418" t="n">
        <v>0.04784350999318297</v>
      </c>
      <c r="J100" s="418" t="n">
        <v>0.04814880910871675</v>
      </c>
      <c r="K100" s="440" t="inlineStr">
        <is>
          <t>Yes</t>
        </is>
      </c>
    </row>
    <row r="101">
      <c r="B101" s="145" t="inlineStr">
        <is>
          <t>Amortization as a % of purchases</t>
        </is>
      </c>
      <c r="C101" s="441" t="n">
        <v>0.653713298791019</v>
      </c>
      <c r="D101" s="441" t="n">
        <v>0.7064150943396226</v>
      </c>
      <c r="E101" s="441" t="n">
        <v>0.8371913580246914</v>
      </c>
      <c r="F101" s="441" t="n">
        <v>0.8697530864197531</v>
      </c>
      <c r="G101" s="441" t="n">
        <v>0.9023148148148149</v>
      </c>
      <c r="H101" s="441" t="n">
        <v>0.9348765432098767</v>
      </c>
      <c r="I101" s="441" t="n">
        <v>0.9674382716049384</v>
      </c>
      <c r="J101" s="441" t="n">
        <v>1</v>
      </c>
      <c r="K101" s="442" t="n">
        <v>0.03256172839506173</v>
      </c>
    </row>
    <row r="102">
      <c r="B102" s="145" t="n"/>
      <c r="C102" s="441" t="n"/>
      <c r="D102" s="441" t="n"/>
      <c r="E102" s="441" t="n"/>
    </row>
    <row r="103">
      <c r="B103" s="193" t="inlineStr">
        <is>
          <t>Intangible assets</t>
        </is>
      </c>
      <c r="D103" s="436" t="n">
        <v>257.5</v>
      </c>
      <c r="E103" s="436" t="n">
        <v>189.8</v>
      </c>
      <c r="F103" s="421" t="n">
        <v>189.8</v>
      </c>
      <c r="G103" s="421" t="n">
        <v>189.8</v>
      </c>
      <c r="H103" s="421" t="n">
        <v>189.8</v>
      </c>
      <c r="I103" s="421" t="n">
        <v>189.8</v>
      </c>
      <c r="J103" s="421" t="n">
        <v>189.8</v>
      </c>
    </row>
    <row r="104">
      <c r="B104" s="143" t="inlineStr">
        <is>
          <t>Purchases</t>
        </is>
      </c>
      <c r="C104" s="443" t="n">
        <v>0</v>
      </c>
      <c r="D104" s="432" t="n">
        <v>0</v>
      </c>
      <c r="E104" s="432" t="n">
        <v>0</v>
      </c>
      <c r="F104" s="432" t="n">
        <v>85</v>
      </c>
      <c r="G104" s="432" t="n">
        <v>80</v>
      </c>
      <c r="H104" s="432" t="n">
        <v>77</v>
      </c>
      <c r="I104" s="432" t="n">
        <v>68</v>
      </c>
      <c r="J104" s="432" t="n">
        <v>57</v>
      </c>
    </row>
    <row r="105">
      <c r="B105" s="143" t="inlineStr">
        <is>
          <t>Amortization</t>
        </is>
      </c>
      <c r="C105" s="432" t="n">
        <v>-79.09999999999999</v>
      </c>
      <c r="D105" s="432" t="n">
        <v>-97.7</v>
      </c>
      <c r="E105" s="432" t="n">
        <v>-86.90000000000001</v>
      </c>
      <c r="F105" s="432" t="n">
        <v>-85</v>
      </c>
      <c r="G105" s="432" t="n">
        <v>-80</v>
      </c>
      <c r="H105" s="432" t="n">
        <v>-77</v>
      </c>
      <c r="I105" s="432" t="n">
        <v>-68</v>
      </c>
      <c r="J105" s="432" t="n">
        <v>-57</v>
      </c>
    </row>
    <row r="106">
      <c r="B106" s="34" t="n"/>
      <c r="C106" s="417" t="n"/>
      <c r="D106" s="417" t="n"/>
      <c r="E106" s="417" t="n"/>
    </row>
    <row r="107">
      <c r="B107" s="193" t="inlineStr">
        <is>
          <t>Goodwill and other assets</t>
        </is>
      </c>
      <c r="D107" s="436" t="n">
        <v>1940.3</v>
      </c>
      <c r="E107" s="436" t="n">
        <v>1935.2</v>
      </c>
      <c r="F107" s="436" t="n">
        <v>1935.2</v>
      </c>
      <c r="G107" s="436" t="n">
        <v>1935.2</v>
      </c>
      <c r="H107" s="436" t="n">
        <v>1935.2</v>
      </c>
      <c r="I107" s="436" t="n">
        <v>1935.2</v>
      </c>
      <c r="J107" s="436" t="n">
        <v>1935.2</v>
      </c>
    </row>
    <row r="108">
      <c r="B108" s="193" t="n"/>
      <c r="D108" s="436" t="n"/>
      <c r="E108" s="436" t="n"/>
      <c r="F108" s="436" t="n"/>
      <c r="G108" s="436" t="n"/>
      <c r="H108" s="436" t="n"/>
      <c r="I108" s="436" t="n"/>
      <c r="J108" s="436" t="n"/>
    </row>
    <row r="109">
      <c r="B109" s="193" t="inlineStr">
        <is>
          <t>Other liabilities</t>
        </is>
      </c>
      <c r="D109" s="436" t="n">
        <v>232.4</v>
      </c>
      <c r="E109" s="436" t="n">
        <v>252</v>
      </c>
      <c r="F109" s="433" t="n">
        <v>252</v>
      </c>
      <c r="G109" s="433" t="n">
        <v>252</v>
      </c>
      <c r="H109" s="433" t="n">
        <v>252</v>
      </c>
      <c r="I109" s="433" t="n">
        <v>252</v>
      </c>
      <c r="J109" s="433"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17" t="n">
        <v>152.9049237669344</v>
      </c>
      <c r="G115" s="417" t="n">
        <v>220.2885263074797</v>
      </c>
      <c r="H115" s="417" t="n">
        <v>293.02899231211</v>
      </c>
      <c r="I115" s="417" t="n">
        <v>370.7372885842398</v>
      </c>
      <c r="J115" s="417" t="n">
        <v>461.3289590130379</v>
      </c>
    </row>
    <row r="116">
      <c r="B116" t="inlineStr">
        <is>
          <t>Depreciation and amortization</t>
        </is>
      </c>
      <c r="C116" s="55" t="n"/>
      <c r="D116" s="55" t="n"/>
      <c r="E116" s="55" t="n"/>
      <c r="F116" s="444" t="n">
        <v>223.946868228773</v>
      </c>
      <c r="G116" s="444" t="n">
        <v>220.6010317460318</v>
      </c>
      <c r="H116" s="444" t="n">
        <v>222.400781053162</v>
      </c>
      <c r="I116" s="444" t="n">
        <v>224.1937314184933</v>
      </c>
      <c r="J116" s="444" t="n">
        <v>223</v>
      </c>
    </row>
    <row r="117">
      <c r="B117" s="73" t="inlineStr">
        <is>
          <t xml:space="preserve">Deal-related D&amp;A </t>
        </is>
      </c>
      <c r="C117" s="55" t="n"/>
      <c r="D117" s="55" t="n"/>
      <c r="E117" s="55" t="n"/>
      <c r="F117" s="444" t="n">
        <v>52.99732208333334</v>
      </c>
      <c r="G117" s="444" t="n">
        <v>52.99732208333334</v>
      </c>
      <c r="H117" s="444" t="n">
        <v>52.99732208333334</v>
      </c>
      <c r="I117" s="444" t="n">
        <v>52.99732208333334</v>
      </c>
      <c r="J117" s="444" t="n">
        <v>52.99732208333334</v>
      </c>
    </row>
    <row r="118">
      <c r="B118" t="inlineStr">
        <is>
          <t>Stock based compensation</t>
        </is>
      </c>
      <c r="C118" s="55" t="n"/>
      <c r="D118" s="55" t="n"/>
      <c r="E118" s="55" t="n"/>
      <c r="F118" s="417" t="n">
        <v>161.0547368274718</v>
      </c>
      <c r="G118" s="417" t="n">
        <v>162.0820911651659</v>
      </c>
      <c r="H118" s="417" t="n">
        <v>163.6976202897424</v>
      </c>
      <c r="I118" s="417" t="n">
        <v>163.5682893160696</v>
      </c>
      <c r="J118" s="417" t="n">
        <v>162.9165586144626</v>
      </c>
    </row>
    <row r="119">
      <c r="B119" t="inlineStr">
        <is>
          <t>Changes in net working capital</t>
        </is>
      </c>
      <c r="C119" s="140" t="n"/>
      <c r="D119" s="140" t="n"/>
      <c r="E119" s="140" t="n"/>
      <c r="F119" s="417" t="n">
        <v>56.83135068829188</v>
      </c>
      <c r="G119" s="417" t="n">
        <v>95.05600763617076</v>
      </c>
      <c r="H119" s="417" t="n">
        <v>109.4272418486823</v>
      </c>
      <c r="I119" s="417" t="n">
        <v>96.46443037533186</v>
      </c>
      <c r="J119" s="417" t="n">
        <v>97.15243145060185</v>
      </c>
    </row>
    <row r="120">
      <c r="B120" t="inlineStr">
        <is>
          <t>Other assets &amp; liabilities</t>
        </is>
      </c>
      <c r="C120" s="140" t="n"/>
      <c r="D120" s="140" t="n"/>
      <c r="E120" s="140" t="n"/>
      <c r="F120" s="417" t="n">
        <v>0</v>
      </c>
      <c r="G120" s="417" t="n">
        <v>0</v>
      </c>
      <c r="H120" s="417" t="n">
        <v>0</v>
      </c>
      <c r="I120" s="417" t="n">
        <v>0</v>
      </c>
      <c r="J120" s="417" t="n">
        <v>0</v>
      </c>
    </row>
    <row r="121">
      <c r="B121" t="inlineStr">
        <is>
          <t>Changes in deferred tax liabilities</t>
        </is>
      </c>
      <c r="C121" s="140" t="n"/>
      <c r="D121" s="140" t="n"/>
      <c r="E121" s="140" t="n"/>
      <c r="F121" s="417" t="n">
        <v>-9.813040430007005</v>
      </c>
      <c r="G121" s="417" t="n">
        <v>-9.813040430007005</v>
      </c>
      <c r="H121" s="417" t="n">
        <v>-9.813040430007005</v>
      </c>
      <c r="I121" s="417" t="n">
        <v>-9.813040430007005</v>
      </c>
      <c r="J121" s="417" t="n">
        <v>-9.813040430007005</v>
      </c>
    </row>
    <row r="122">
      <c r="B122" t="inlineStr">
        <is>
          <t>Addback of PIK interest</t>
        </is>
      </c>
      <c r="C122" s="140" t="n"/>
      <c r="D122" s="140" t="n"/>
      <c r="E122" s="140" t="n"/>
      <c r="F122" s="417" t="n">
        <v>0</v>
      </c>
      <c r="G122" s="417" t="n">
        <v>0</v>
      </c>
      <c r="H122" s="417" t="n">
        <v>0</v>
      </c>
      <c r="I122" s="417" t="n">
        <v>0</v>
      </c>
      <c r="J122" s="417" t="n">
        <v>0</v>
      </c>
    </row>
    <row r="123">
      <c r="B123" s="383" t="inlineStr">
        <is>
          <t>Cash from operating activities</t>
        </is>
      </c>
      <c r="F123" s="421" t="n">
        <v>637.9221611647974</v>
      </c>
      <c r="G123" s="421" t="n">
        <v>741.2119385081744</v>
      </c>
      <c r="H123" s="421" t="n">
        <v>831.738917157023</v>
      </c>
      <c r="I123" s="421" t="n">
        <v>898.1480213474608</v>
      </c>
      <c r="J123" s="421" t="n">
        <v>987.5822307314286</v>
      </c>
    </row>
    <row r="125">
      <c r="B125" t="inlineStr">
        <is>
          <t>Capital expenditures</t>
        </is>
      </c>
      <c r="F125" s="417" t="n">
        <v>-26</v>
      </c>
      <c r="G125" s="417" t="n">
        <v>-28</v>
      </c>
      <c r="H125" s="417" t="n">
        <v>-30</v>
      </c>
      <c r="I125" s="417" t="n">
        <v>-29</v>
      </c>
      <c r="J125" s="417" t="n">
        <v>-31</v>
      </c>
    </row>
    <row r="126">
      <c r="B126" t="inlineStr">
        <is>
          <t xml:space="preserve">Purchases of intangible assets and capitalized software development costs </t>
        </is>
      </c>
      <c r="F126" s="417" t="n">
        <v>-201</v>
      </c>
      <c r="G126" s="417" t="n">
        <v>-194</v>
      </c>
      <c r="H126" s="417" t="n">
        <v>-193</v>
      </c>
      <c r="I126" s="417" t="n">
        <v>-196</v>
      </c>
      <c r="J126" s="417" t="n">
        <v>-192</v>
      </c>
    </row>
    <row r="127">
      <c r="B127" s="383" t="inlineStr">
        <is>
          <t>Cash from investing activities</t>
        </is>
      </c>
      <c r="F127" s="421" t="n">
        <v>-227</v>
      </c>
      <c r="G127" s="421" t="n">
        <v>-222</v>
      </c>
      <c r="H127" s="421" t="n">
        <v>-223</v>
      </c>
      <c r="I127" s="421" t="n">
        <v>-225</v>
      </c>
      <c r="J127" s="421" t="n">
        <v>-223</v>
      </c>
    </row>
    <row r="129">
      <c r="B129" t="inlineStr">
        <is>
          <t>Required debt principal payments</t>
        </is>
      </c>
      <c r="F129" s="417" t="n">
        <v>-322.1855000000001</v>
      </c>
      <c r="G129" s="417" t="n">
        <v>-177.8640500000001</v>
      </c>
      <c r="H129" s="417" t="n">
        <v>-177.8640500000001</v>
      </c>
      <c r="I129" s="417" t="n">
        <v>-177.8640500000001</v>
      </c>
      <c r="J129" s="417" t="n">
        <v>-177.8640500000001</v>
      </c>
    </row>
    <row r="130">
      <c r="B130" t="inlineStr">
        <is>
          <t>Preferred dividend (cash)</t>
        </is>
      </c>
      <c r="F130" s="417" t="n">
        <v>0</v>
      </c>
      <c r="G130" s="417" t="n">
        <v>0</v>
      </c>
      <c r="H130" s="417" t="n">
        <v>0</v>
      </c>
      <c r="I130" s="417" t="n">
        <v>0</v>
      </c>
      <c r="J130" s="417" t="n">
        <v>0</v>
      </c>
    </row>
    <row r="131">
      <c r="B131" s="203" t="inlineStr">
        <is>
          <t>Pre-revolver cash flows</t>
        </is>
      </c>
      <c r="C131" s="383" t="n"/>
      <c r="D131" s="383" t="n"/>
      <c r="E131" s="383" t="n"/>
      <c r="F131" s="421" t="n">
        <v>88.73666116479734</v>
      </c>
      <c r="G131" s="421" t="n">
        <v>341.3478885081743</v>
      </c>
      <c r="H131" s="421" t="n">
        <v>430.8748671570229</v>
      </c>
      <c r="I131" s="421" t="n">
        <v>495.2839713474607</v>
      </c>
      <c r="J131" s="421" t="n">
        <v>586.7181807314284</v>
      </c>
    </row>
    <row r="132">
      <c r="B132" t="inlineStr">
        <is>
          <t>Revolver</t>
        </is>
      </c>
      <c r="F132" s="417" t="n">
        <v>0</v>
      </c>
      <c r="G132" s="417" t="n">
        <v>0</v>
      </c>
      <c r="H132" s="417" t="n">
        <v>0</v>
      </c>
      <c r="I132" s="417" t="n">
        <v>0</v>
      </c>
      <c r="J132" s="417" t="n">
        <v>0</v>
      </c>
    </row>
    <row r="133">
      <c r="B133" s="203" t="inlineStr">
        <is>
          <t>Post-revolver cash flows</t>
        </is>
      </c>
      <c r="C133" s="383" t="n"/>
      <c r="D133" s="383" t="n"/>
      <c r="E133" s="383" t="n"/>
      <c r="F133" s="421" t="n">
        <v>88.73666116479734</v>
      </c>
      <c r="G133" s="421" t="n">
        <v>341.3478885081743</v>
      </c>
      <c r="H133" s="421" t="n">
        <v>430.8748671570229</v>
      </c>
      <c r="I133" s="421" t="n">
        <v>495.2839713474607</v>
      </c>
      <c r="J133" s="421" t="n">
        <v>586.7181807314284</v>
      </c>
    </row>
    <row r="134">
      <c r="B134" s="73" t="inlineStr">
        <is>
          <t>Discretionary Term A paydown</t>
        </is>
      </c>
      <c r="F134" s="417" t="n">
        <v>-88.73666116479734</v>
      </c>
      <c r="G134" s="417" t="n">
        <v>-341.3478885081743</v>
      </c>
      <c r="H134" s="417" t="n">
        <v>-430.8748671570229</v>
      </c>
      <c r="I134" s="417" t="n">
        <v>-495.2839713474607</v>
      </c>
      <c r="J134" s="417" t="n">
        <v>-586.7181807314284</v>
      </c>
    </row>
    <row r="135">
      <c r="B135" s="73" t="inlineStr">
        <is>
          <t>Discretionary Term B paydown</t>
        </is>
      </c>
      <c r="F135" s="417" t="n">
        <v>0</v>
      </c>
      <c r="G135" s="417" t="n">
        <v>0</v>
      </c>
      <c r="H135" s="417" t="n">
        <v>0</v>
      </c>
      <c r="I135" s="417" t="n">
        <v>0</v>
      </c>
      <c r="J135" s="417" t="n">
        <v>2.273736754432321e-13</v>
      </c>
    </row>
    <row r="136">
      <c r="B136" s="383" t="inlineStr">
        <is>
          <t>Net change in cash during period</t>
        </is>
      </c>
      <c r="F136" s="421" t="n">
        <v>0</v>
      </c>
      <c r="G136" s="421" t="n">
        <v>0</v>
      </c>
      <c r="H136" s="421" t="n">
        <v>0</v>
      </c>
      <c r="I136" s="421" t="n">
        <v>0</v>
      </c>
      <c r="J136" s="421"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45" t="n">
        <v>180</v>
      </c>
      <c r="G142" s="417" t="n">
        <v>180</v>
      </c>
      <c r="H142" s="417" t="n">
        <v>180</v>
      </c>
      <c r="I142" s="417" t="n">
        <v>180</v>
      </c>
      <c r="J142" s="417" t="n">
        <v>180</v>
      </c>
    </row>
    <row r="143">
      <c r="B143" s="192" t="inlineStr">
        <is>
          <t>Increases / (decreases)</t>
        </is>
      </c>
      <c r="F143" s="417" t="n">
        <v>0</v>
      </c>
      <c r="G143" s="417" t="n">
        <v>0</v>
      </c>
      <c r="H143" s="417" t="n">
        <v>0</v>
      </c>
      <c r="I143" s="417" t="n">
        <v>0</v>
      </c>
      <c r="J143" s="417" t="n">
        <v>2.273736754432321e-13</v>
      </c>
    </row>
    <row r="144">
      <c r="B144" s="193" t="inlineStr">
        <is>
          <t>Cash, EOP</t>
        </is>
      </c>
      <c r="C144" s="383" t="n"/>
      <c r="D144" s="436" t="n">
        <v>1635.6</v>
      </c>
      <c r="E144" s="433" t="n">
        <v>1581.9</v>
      </c>
      <c r="F144" s="421" t="n">
        <v>180</v>
      </c>
      <c r="G144" s="421" t="n">
        <v>180</v>
      </c>
      <c r="H144" s="421" t="n">
        <v>180</v>
      </c>
      <c r="I144" s="421" t="n">
        <v>180</v>
      </c>
      <c r="J144" s="421" t="n">
        <v>180.0000000000002</v>
      </c>
    </row>
    <row r="145">
      <c r="B145" s="34" t="inlineStr">
        <is>
          <t>Interest rate on cash</t>
        </is>
      </c>
      <c r="D145" s="446" t="n">
        <v>0.006480802152115432</v>
      </c>
      <c r="E145" s="446"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17" t="n">
        <v>10.6</v>
      </c>
      <c r="E146" s="417" t="n">
        <v>8.300000000000001</v>
      </c>
      <c r="F146" s="417" t="n">
        <v>0.9286713286713288</v>
      </c>
      <c r="G146" s="417" t="n">
        <v>0.9286713286713288</v>
      </c>
      <c r="H146" s="417" t="n">
        <v>0.9286713286713288</v>
      </c>
      <c r="I146" s="417" t="n">
        <v>0.9286713286713288</v>
      </c>
      <c r="J146" s="417"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17" t="n">
        <v>180</v>
      </c>
      <c r="G149" s="417" t="n">
        <v>180</v>
      </c>
      <c r="H149" s="417" t="n">
        <v>180</v>
      </c>
      <c r="I149" s="417" t="n">
        <v>180</v>
      </c>
      <c r="J149" s="417" t="n">
        <v>180</v>
      </c>
    </row>
    <row r="150">
      <c r="B150" s="82" t="inlineStr">
        <is>
          <t>Less: Minimum cash desired</t>
        </is>
      </c>
      <c r="F150" s="413" t="n">
        <v>-180</v>
      </c>
      <c r="G150" s="413" t="n">
        <v>-180</v>
      </c>
      <c r="H150" s="413" t="n">
        <v>-180</v>
      </c>
      <c r="I150" s="413" t="n">
        <v>-180</v>
      </c>
      <c r="J150" s="413" t="n">
        <v>-180</v>
      </c>
    </row>
    <row r="151">
      <c r="B151" s="82" t="inlineStr">
        <is>
          <t>Equals: Excess cash at BOP</t>
        </is>
      </c>
      <c r="F151" s="417" t="n">
        <v>0</v>
      </c>
      <c r="G151" s="417" t="n">
        <v>0</v>
      </c>
      <c r="H151" s="417" t="n">
        <v>0</v>
      </c>
      <c r="I151" s="417" t="n">
        <v>0</v>
      </c>
      <c r="J151" s="417" t="n">
        <v>0</v>
      </c>
    </row>
    <row r="152">
      <c r="B152" s="197" t="inlineStr">
        <is>
          <t>Plus: Free cash flows generated during period</t>
        </is>
      </c>
      <c r="C152" s="321" t="n"/>
      <c r="D152" s="321" t="n"/>
      <c r="E152" s="321" t="n"/>
      <c r="F152" s="447" t="n">
        <v>88.73666116479734</v>
      </c>
      <c r="G152" s="447" t="n">
        <v>341.3478885081743</v>
      </c>
      <c r="H152" s="447" t="n">
        <v>430.8748671570229</v>
      </c>
      <c r="I152" s="447" t="n">
        <v>495.2839713474607</v>
      </c>
      <c r="J152" s="447" t="n">
        <v>586.7181807314284</v>
      </c>
    </row>
    <row r="153">
      <c r="B153" s="190" t="inlineStr">
        <is>
          <t>Cash available (needed) to paydown (draw from) revolver</t>
        </is>
      </c>
      <c r="C153" s="100" t="n"/>
      <c r="D153" s="100" t="n"/>
      <c r="E153" s="100" t="n"/>
      <c r="F153" s="438" t="n">
        <v>88.73666116479734</v>
      </c>
      <c r="G153" s="438" t="n">
        <v>341.3478885081743</v>
      </c>
      <c r="H153" s="438" t="n">
        <v>430.8748671570229</v>
      </c>
      <c r="I153" s="438" t="n">
        <v>495.2839713474607</v>
      </c>
      <c r="J153" s="438" t="n">
        <v>586.7181807314284</v>
      </c>
    </row>
    <row r="155">
      <c r="B155" s="34" t="inlineStr">
        <is>
          <t>Revolver, BOP</t>
        </is>
      </c>
      <c r="F155" s="445" t="n">
        <v>0</v>
      </c>
      <c r="G155" s="417" t="n">
        <v>0</v>
      </c>
      <c r="H155" s="417" t="n">
        <v>0</v>
      </c>
      <c r="I155" s="417" t="n">
        <v>0</v>
      </c>
      <c r="J155" s="417" t="n">
        <v>0</v>
      </c>
    </row>
    <row r="156">
      <c r="B156" s="192" t="inlineStr">
        <is>
          <t>Increases / (decreases)</t>
        </is>
      </c>
      <c r="F156" s="417" t="n">
        <v>0</v>
      </c>
      <c r="G156" s="417" t="n">
        <v>0</v>
      </c>
      <c r="H156" s="417" t="n">
        <v>0</v>
      </c>
      <c r="I156" s="417" t="n">
        <v>0</v>
      </c>
      <c r="J156" s="417" t="n">
        <v>0</v>
      </c>
    </row>
    <row r="157">
      <c r="B157" s="193" t="inlineStr">
        <is>
          <t>Revolver, EOP</t>
        </is>
      </c>
      <c r="D157" s="321" t="inlineStr">
        <is>
          <t>% AR</t>
        </is>
      </c>
      <c r="E157" s="321" t="inlineStr">
        <is>
          <t>% Other Assets</t>
        </is>
      </c>
      <c r="F157" s="421" t="n">
        <v>0</v>
      </c>
      <c r="G157" s="421" t="n">
        <v>0</v>
      </c>
      <c r="H157" s="421" t="n">
        <v>0</v>
      </c>
      <c r="I157" s="421" t="n">
        <v>0</v>
      </c>
      <c r="J157" s="421" t="n">
        <v>0</v>
      </c>
    </row>
    <row r="158">
      <c r="B158" s="190" t="inlineStr">
        <is>
          <t>Maximum availability</t>
        </is>
      </c>
      <c r="D158" s="448" t="n">
        <v>0.8</v>
      </c>
      <c r="E158" s="448" t="n">
        <v>0.65</v>
      </c>
      <c r="F158" s="438" t="n">
        <v>350</v>
      </c>
      <c r="G158" s="438" t="n">
        <v>350</v>
      </c>
      <c r="H158" s="438" t="n">
        <v>350</v>
      </c>
      <c r="I158" s="438" t="n">
        <v>350</v>
      </c>
      <c r="J158" s="438"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45" t="n">
        <v>2886.429000000001</v>
      </c>
      <c r="G162" s="417" t="n">
        <v>2509.049438835204</v>
      </c>
      <c r="H162" s="417" t="n">
        <v>2023.380100327029</v>
      </c>
      <c r="I162" s="417" t="n">
        <v>1448.183783170006</v>
      </c>
      <c r="J162" s="417" t="n">
        <v>808.5783618225455</v>
      </c>
    </row>
    <row r="163">
      <c r="B163" s="34" t="inlineStr">
        <is>
          <t>Mandatory paydown $</t>
        </is>
      </c>
      <c r="F163" s="413" t="n">
        <v>288.6429000000001</v>
      </c>
      <c r="G163" s="413" t="n">
        <v>144.3214500000001</v>
      </c>
      <c r="H163" s="413" t="n">
        <v>144.3214500000001</v>
      </c>
      <c r="I163" s="413" t="n">
        <v>144.3214500000001</v>
      </c>
      <c r="J163" s="413" t="n">
        <v>144.3214500000001</v>
      </c>
    </row>
    <row r="164">
      <c r="B164" s="34" t="inlineStr">
        <is>
          <t>Cash sweep (paydown from excess cash flows)</t>
        </is>
      </c>
      <c r="F164" s="413" t="n">
        <v>88.73666116479734</v>
      </c>
      <c r="G164" s="413" t="n">
        <v>341.3478885081743</v>
      </c>
      <c r="H164" s="413" t="n">
        <v>430.8748671570229</v>
      </c>
      <c r="I164" s="413" t="n">
        <v>495.2839713474607</v>
      </c>
      <c r="J164" s="413" t="n">
        <v>586.7181807314287</v>
      </c>
    </row>
    <row r="165">
      <c r="B165" s="193" t="inlineStr">
        <is>
          <t>Term Loan A, EOP</t>
        </is>
      </c>
      <c r="C165" s="383" t="n"/>
      <c r="D165" s="199" t="n"/>
      <c r="E165" s="383" t="n"/>
      <c r="F165" s="433" t="n">
        <v>2509.049438835204</v>
      </c>
      <c r="G165" s="433" t="n">
        <v>2023.380100327029</v>
      </c>
      <c r="H165" s="433" t="n">
        <v>1448.183783170006</v>
      </c>
      <c r="I165" s="433" t="n">
        <v>808.5783618225455</v>
      </c>
      <c r="J165" s="433" t="n">
        <v>77.5387310911168</v>
      </c>
    </row>
    <row r="166">
      <c r="B166" s="190" t="inlineStr">
        <is>
          <t>Mandatory paydown (% of original)</t>
        </is>
      </c>
      <c r="C166" s="100" t="n"/>
      <c r="E166" s="195" t="inlineStr">
        <is>
          <t>% of available cash used</t>
        </is>
      </c>
      <c r="F166" s="449" t="n">
        <v>0.1</v>
      </c>
      <c r="G166" s="449" t="n">
        <v>0.05</v>
      </c>
      <c r="H166" s="449" t="n">
        <v>0.05</v>
      </c>
      <c r="I166" s="449" t="n">
        <v>0.05</v>
      </c>
      <c r="J166" s="449" t="n">
        <v>0.05</v>
      </c>
    </row>
    <row r="167">
      <c r="B167" s="190" t="inlineStr">
        <is>
          <t>Cash sweep</t>
        </is>
      </c>
      <c r="C167" s="100" t="n"/>
      <c r="E167" s="201" t="n">
        <v>1</v>
      </c>
      <c r="F167" s="450" t="n">
        <v>88.73666116479734</v>
      </c>
      <c r="G167" s="450" t="n">
        <v>341.3478885081743</v>
      </c>
      <c r="H167" s="450" t="n">
        <v>430.8748671570229</v>
      </c>
      <c r="I167" s="450" t="n">
        <v>495.2839713474607</v>
      </c>
      <c r="J167" s="450"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45" t="n">
        <v>670.8520000000002</v>
      </c>
      <c r="G170" s="417" t="n">
        <v>637.3094000000002</v>
      </c>
      <c r="H170" s="417" t="n">
        <v>603.7668000000002</v>
      </c>
      <c r="I170" s="417" t="n">
        <v>570.2242000000002</v>
      </c>
      <c r="J170" s="417" t="n">
        <v>536.6816000000002</v>
      </c>
    </row>
    <row r="171">
      <c r="B171" s="34" t="inlineStr">
        <is>
          <t>Mandatory amortization $</t>
        </is>
      </c>
      <c r="F171" s="413" t="n">
        <v>33.54260000000001</v>
      </c>
      <c r="G171" s="413" t="n">
        <v>33.54260000000001</v>
      </c>
      <c r="H171" s="413" t="n">
        <v>33.54260000000001</v>
      </c>
      <c r="I171" s="413" t="n">
        <v>33.54260000000001</v>
      </c>
      <c r="J171" s="413" t="n">
        <v>33.54260000000001</v>
      </c>
    </row>
    <row r="172">
      <c r="B172" s="34" t="inlineStr">
        <is>
          <t>Cash sweep (paydown from excess cash flows)</t>
        </is>
      </c>
      <c r="F172" s="413" t="n">
        <v>0</v>
      </c>
      <c r="G172" s="413" t="n">
        <v>0</v>
      </c>
      <c r="H172" s="413" t="n">
        <v>0</v>
      </c>
      <c r="I172" s="413" t="n">
        <v>0</v>
      </c>
      <c r="J172" s="413" t="n">
        <v>2.273736754432321e-13</v>
      </c>
    </row>
    <row r="173">
      <c r="B173" s="193" t="inlineStr">
        <is>
          <t>Term Loan B, EOP</t>
        </is>
      </c>
      <c r="C173" s="383" t="n"/>
      <c r="F173" s="433" t="n">
        <v>637.3094000000002</v>
      </c>
      <c r="G173" s="433" t="n">
        <v>603.7668000000002</v>
      </c>
      <c r="H173" s="433" t="n">
        <v>570.2242000000002</v>
      </c>
      <c r="I173" s="433" t="n">
        <v>536.6816000000002</v>
      </c>
      <c r="J173" s="433" t="n">
        <v>503.139</v>
      </c>
    </row>
    <row r="174">
      <c r="B174" s="190" t="inlineStr">
        <is>
          <t>Mandatory paydown (% of original)</t>
        </is>
      </c>
      <c r="C174" s="100" t="n"/>
      <c r="E174" s="195" t="inlineStr">
        <is>
          <t>% of available cash used</t>
        </is>
      </c>
      <c r="F174" s="449" t="n">
        <v>0.05</v>
      </c>
      <c r="G174" s="449" t="n">
        <v>0.05</v>
      </c>
      <c r="H174" s="449" t="n">
        <v>0.05</v>
      </c>
      <c r="I174" s="449" t="n">
        <v>0.05</v>
      </c>
      <c r="J174" s="449" t="n">
        <v>0.05</v>
      </c>
    </row>
    <row r="175">
      <c r="B175" s="190" t="inlineStr">
        <is>
          <t>Cash available for cash sweep</t>
        </is>
      </c>
      <c r="C175" s="100" t="n"/>
      <c r="E175" s="201" t="n">
        <v>1</v>
      </c>
      <c r="F175" s="451" t="n">
        <v>0</v>
      </c>
      <c r="G175" s="451" t="n">
        <v>0</v>
      </c>
      <c r="H175" s="451" t="n">
        <v>0</v>
      </c>
      <c r="I175" s="451" t="n">
        <v>0</v>
      </c>
      <c r="J175" s="451"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45" t="n">
        <v>1632.995000000001</v>
      </c>
      <c r="G178" s="417" t="n">
        <v>1632.995000000001</v>
      </c>
      <c r="H178" s="417" t="n">
        <v>1632.995000000001</v>
      </c>
      <c r="I178" s="417" t="n">
        <v>1632.995000000001</v>
      </c>
      <c r="J178" s="417" t="n">
        <v>1632.995000000001</v>
      </c>
    </row>
    <row r="179">
      <c r="B179" s="34" t="inlineStr">
        <is>
          <t>Mandatory amortization $</t>
        </is>
      </c>
      <c r="F179" s="413" t="n">
        <v>0</v>
      </c>
      <c r="G179" s="413" t="n">
        <v>0</v>
      </c>
      <c r="H179" s="413" t="n">
        <v>0</v>
      </c>
      <c r="I179" s="413" t="n">
        <v>0</v>
      </c>
      <c r="J179" s="413" t="n">
        <v>0</v>
      </c>
    </row>
    <row r="180">
      <c r="B180" s="193" t="inlineStr">
        <is>
          <t>Senior Note, EOP</t>
        </is>
      </c>
      <c r="C180" s="383" t="n"/>
      <c r="D180" s="383" t="n"/>
      <c r="E180" s="383" t="n"/>
      <c r="F180" s="433" t="n">
        <v>1632.995000000001</v>
      </c>
      <c r="G180" s="433" t="n">
        <v>1632.995000000001</v>
      </c>
      <c r="H180" s="433" t="n">
        <v>1632.995000000001</v>
      </c>
      <c r="I180" s="433" t="n">
        <v>1632.995000000001</v>
      </c>
      <c r="J180" s="433" t="n">
        <v>1632.995000000001</v>
      </c>
    </row>
    <row r="181">
      <c r="B181" s="190" t="inlineStr">
        <is>
          <t>Mandatory paydown (% of original)</t>
        </is>
      </c>
      <c r="F181" s="449" t="n">
        <v>0</v>
      </c>
      <c r="G181" s="449" t="n">
        <v>0</v>
      </c>
      <c r="H181" s="449" t="n">
        <v>0</v>
      </c>
      <c r="I181" s="449" t="n">
        <v>0</v>
      </c>
      <c r="J181" s="449" t="n">
        <v>0</v>
      </c>
    </row>
    <row r="182">
      <c r="B182" s="190" t="n"/>
      <c r="F182" s="449" t="n"/>
      <c r="G182" s="449" t="n"/>
      <c r="H182" s="449" t="n"/>
      <c r="I182" s="449" t="n"/>
      <c r="J182" s="449" t="n"/>
    </row>
    <row r="183">
      <c r="B183" s="321" t="inlineStr">
        <is>
          <t>Sub Note</t>
        </is>
      </c>
      <c r="F183" s="140" t="n"/>
    </row>
    <row r="184">
      <c r="B184" s="34" t="inlineStr">
        <is>
          <t>Sub Note, BOP</t>
        </is>
      </c>
      <c r="F184" s="445" t="n">
        <v>0</v>
      </c>
      <c r="G184" s="417" t="n">
        <v>0</v>
      </c>
      <c r="H184" s="417" t="n">
        <v>0</v>
      </c>
      <c r="I184" s="417" t="n">
        <v>0</v>
      </c>
      <c r="J184" s="417" t="n">
        <v>0</v>
      </c>
    </row>
    <row r="185">
      <c r="B185" s="34" t="inlineStr">
        <is>
          <t>Mandatory amortization $</t>
        </is>
      </c>
      <c r="C185" s="195" t="inlineStr">
        <is>
          <t>PIK rate</t>
        </is>
      </c>
      <c r="D185" s="195" t="inlineStr">
        <is>
          <t>Cash rate</t>
        </is>
      </c>
      <c r="F185" s="413" t="n">
        <v>0</v>
      </c>
      <c r="G185" s="413" t="n">
        <v>0</v>
      </c>
      <c r="H185" s="413" t="n">
        <v>0</v>
      </c>
      <c r="I185" s="413" t="n">
        <v>0</v>
      </c>
      <c r="J185" s="413" t="n">
        <v>0</v>
      </c>
    </row>
    <row r="186">
      <c r="B186" s="202" t="inlineStr">
        <is>
          <t>PIK interest</t>
        </is>
      </c>
      <c r="C186" s="452" t="n">
        <v>0.04</v>
      </c>
      <c r="D186" s="53" t="n">
        <v>0.08</v>
      </c>
      <c r="F186" s="413" t="n">
        <v>0</v>
      </c>
      <c r="G186" s="413" t="n">
        <v>0</v>
      </c>
      <c r="H186" s="413" t="n">
        <v>0</v>
      </c>
      <c r="I186" s="413" t="n">
        <v>0</v>
      </c>
      <c r="J186" s="413" t="n">
        <v>0</v>
      </c>
    </row>
    <row r="187">
      <c r="B187" s="193" t="inlineStr">
        <is>
          <t>Sub Note, EOP</t>
        </is>
      </c>
      <c r="C187" s="383" t="n"/>
      <c r="D187" s="53" t="n"/>
      <c r="E187" s="383" t="n"/>
      <c r="F187" s="433" t="n">
        <v>0</v>
      </c>
      <c r="G187" s="433" t="n">
        <v>0</v>
      </c>
      <c r="H187" s="433" t="n">
        <v>0</v>
      </c>
      <c r="I187" s="433" t="n">
        <v>0</v>
      </c>
      <c r="J187" s="433" t="n">
        <v>0</v>
      </c>
    </row>
    <row r="188">
      <c r="B188" s="190" t="inlineStr">
        <is>
          <t>Mandatory paydown (% of original)</t>
        </is>
      </c>
      <c r="F188" s="449" t="n">
        <v>0</v>
      </c>
      <c r="G188" s="449" t="n">
        <v>0</v>
      </c>
      <c r="H188" s="449" t="n">
        <v>0</v>
      </c>
      <c r="I188" s="449" t="n">
        <v>0</v>
      </c>
      <c r="J188" s="449" t="n">
        <v>0</v>
      </c>
    </row>
    <row r="189">
      <c r="B189" s="190" t="n"/>
      <c r="F189" s="449" t="n"/>
      <c r="G189" s="449" t="n"/>
      <c r="H189" s="449" t="n"/>
      <c r="I189" s="449" t="n"/>
      <c r="J189" s="449" t="n"/>
    </row>
    <row r="190">
      <c r="B190" s="321" t="inlineStr">
        <is>
          <t>Preferred stock</t>
        </is>
      </c>
      <c r="D190" s="163" t="n"/>
      <c r="E190" s="195" t="n"/>
      <c r="F190" s="449" t="n"/>
      <c r="G190" s="449" t="n"/>
      <c r="H190" s="449" t="n"/>
      <c r="I190" s="449" t="n"/>
      <c r="J190" s="449" t="n"/>
    </row>
    <row r="191">
      <c r="B191" s="34" t="inlineStr">
        <is>
          <t>Preferred stock, BOP</t>
        </is>
      </c>
      <c r="F191" s="453" t="n">
        <v>0</v>
      </c>
      <c r="G191" s="417" t="n">
        <v>0</v>
      </c>
      <c r="H191" s="417" t="n">
        <v>0</v>
      </c>
      <c r="I191" s="417" t="n">
        <v>0</v>
      </c>
      <c r="J191" s="417" t="n">
        <v>0</v>
      </c>
    </row>
    <row r="192">
      <c r="B192" s="202" t="inlineStr">
        <is>
          <t>PIK accrual</t>
        </is>
      </c>
      <c r="F192" s="413" t="n">
        <v>0</v>
      </c>
      <c r="G192" s="413" t="n">
        <v>0</v>
      </c>
      <c r="H192" s="413" t="n">
        <v>0</v>
      </c>
      <c r="I192" s="413" t="n">
        <v>0</v>
      </c>
      <c r="J192" s="413" t="n">
        <v>0</v>
      </c>
    </row>
    <row r="193">
      <c r="B193" s="383" t="inlineStr">
        <is>
          <t>Preferred stock, EOP</t>
        </is>
      </c>
      <c r="C193" s="195" t="inlineStr">
        <is>
          <t>PIK rate</t>
        </is>
      </c>
      <c r="D193" s="195" t="inlineStr">
        <is>
          <t>Cash rate</t>
        </is>
      </c>
      <c r="E193" s="383" t="n"/>
      <c r="F193" s="433" t="n">
        <v>0</v>
      </c>
      <c r="G193" s="433" t="n">
        <v>0</v>
      </c>
      <c r="H193" s="433" t="n">
        <v>0</v>
      </c>
      <c r="I193" s="433" t="n">
        <v>0</v>
      </c>
      <c r="J193" s="433" t="n">
        <v>0</v>
      </c>
    </row>
    <row r="194">
      <c r="B194" s="202" t="inlineStr">
        <is>
          <t>Cash dividend</t>
        </is>
      </c>
      <c r="C194" s="452" t="n">
        <v>0.04</v>
      </c>
      <c r="D194" s="53" t="n">
        <v>0.08</v>
      </c>
      <c r="F194" s="417" t="n">
        <v>0</v>
      </c>
      <c r="G194" s="417" t="n">
        <v>0</v>
      </c>
      <c r="H194" s="417" t="n">
        <v>0</v>
      </c>
      <c r="I194" s="417" t="n">
        <v>0</v>
      </c>
      <c r="J194" s="417" t="n">
        <v>0</v>
      </c>
    </row>
    <row r="195">
      <c r="B195" s="202" t="n"/>
      <c r="F195" s="140" t="n"/>
    </row>
    <row r="196">
      <c r="B196" s="240" t="inlineStr">
        <is>
          <t>Capitalized financing fees</t>
        </is>
      </c>
      <c r="F196" s="140" t="n"/>
    </row>
    <row r="197">
      <c r="B197" s="34" t="inlineStr">
        <is>
          <t>Capitalized financing fees, BOP</t>
        </is>
      </c>
      <c r="C197" s="417" t="n"/>
      <c r="D197" s="436" t="n"/>
      <c r="E197" s="436" t="n"/>
      <c r="F197" s="445" t="n">
        <v>69.68916500000003</v>
      </c>
      <c r="G197" s="417" t="n">
        <v>60.02517625000003</v>
      </c>
      <c r="H197" s="417" t="n">
        <v>50.36118750000003</v>
      </c>
      <c r="I197" s="417" t="n">
        <v>40.69719875000003</v>
      </c>
      <c r="J197" s="417" t="n">
        <v>31.03321000000003</v>
      </c>
    </row>
    <row r="198">
      <c r="B198" s="34" t="inlineStr">
        <is>
          <t>Amortization</t>
        </is>
      </c>
      <c r="C198" s="417" t="n"/>
      <c r="D198" s="417" t="n"/>
      <c r="E198" s="417" t="n"/>
      <c r="F198" s="417" t="n">
        <v>-9.663988750000003</v>
      </c>
      <c r="G198" s="417" t="n">
        <v>-9.663988750000003</v>
      </c>
      <c r="H198" s="417" t="n">
        <v>-9.663988750000003</v>
      </c>
      <c r="I198" s="417" t="n">
        <v>-9.663988750000003</v>
      </c>
      <c r="J198" s="417" t="n">
        <v>-9.663988750000003</v>
      </c>
    </row>
    <row r="199">
      <c r="B199" s="383" t="inlineStr">
        <is>
          <t>Capitalized financing fees, EOP</t>
        </is>
      </c>
      <c r="C199" s="417" t="n"/>
      <c r="D199" s="417" t="n"/>
      <c r="E199" s="417" t="n"/>
      <c r="F199" s="421" t="n">
        <v>60.02517625000003</v>
      </c>
      <c r="G199" s="421" t="n">
        <v>50.36118750000003</v>
      </c>
      <c r="H199" s="421" t="n">
        <v>40.69719875000003</v>
      </c>
      <c r="I199" s="421" t="n">
        <v>31.03321000000003</v>
      </c>
      <c r="J199" s="421"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54" t="n">
        <v>0.04</v>
      </c>
      <c r="D207" s="414" t="n">
        <v>0</v>
      </c>
      <c r="F207" s="444" t="n">
        <v>0</v>
      </c>
      <c r="G207" s="444" t="n">
        <v>0</v>
      </c>
      <c r="H207" s="444" t="n">
        <v>0</v>
      </c>
      <c r="I207" s="444" t="n">
        <v>0</v>
      </c>
      <c r="J207" s="444" t="n">
        <v>0</v>
      </c>
    </row>
    <row r="208">
      <c r="B208" s="34" t="inlineStr">
        <is>
          <t>Term Loan A</t>
        </is>
      </c>
      <c r="C208" s="454" t="n">
        <v>0.04</v>
      </c>
      <c r="D208" s="414" t="n">
        <v>0.01</v>
      </c>
      <c r="F208" s="444" t="n">
        <v>134.8869609708801</v>
      </c>
      <c r="G208" s="444" t="n">
        <v>113.3107384790558</v>
      </c>
      <c r="H208" s="444" t="n">
        <v>92.83308980859424</v>
      </c>
      <c r="I208" s="444" t="n">
        <v>65.94484663882736</v>
      </c>
      <c r="J208" s="444" t="n">
        <v>27.52545525717709</v>
      </c>
      <c r="M208" s="455" t="n"/>
    </row>
    <row r="209">
      <c r="B209" s="34" t="inlineStr">
        <is>
          <t>Term Loan B</t>
        </is>
      </c>
      <c r="C209" s="454" t="n">
        <v>0.04</v>
      </c>
      <c r="D209" s="414" t="n">
        <v>0</v>
      </c>
      <c r="F209" s="444" t="n">
        <v>29.37345607560001</v>
      </c>
      <c r="G209" s="444" t="n">
        <v>29.96330269660001</v>
      </c>
      <c r="H209" s="444" t="n">
        <v>31.39369333100001</v>
      </c>
      <c r="I209" s="444" t="n">
        <v>32.34489438180001</v>
      </c>
      <c r="J209" s="444" t="n">
        <v>32.29994729780001</v>
      </c>
    </row>
    <row r="210">
      <c r="B210" s="34" t="inlineStr">
        <is>
          <t>Senior Note</t>
        </is>
      </c>
      <c r="E210" s="456" t="n">
        <v>0.08125</v>
      </c>
      <c r="F210" s="417" t="n">
        <v>132.6808437500001</v>
      </c>
      <c r="G210" s="417" t="n">
        <v>132.6808437500001</v>
      </c>
      <c r="H210" s="417" t="n">
        <v>132.6808437500001</v>
      </c>
      <c r="I210" s="417" t="n">
        <v>132.6808437500001</v>
      </c>
      <c r="J210" s="417" t="n">
        <v>132.6808437500001</v>
      </c>
    </row>
    <row r="211">
      <c r="B211" s="34" t="inlineStr">
        <is>
          <t>Sub Note - Cash interest</t>
        </is>
      </c>
      <c r="E211" s="457" t="n">
        <v>0.08</v>
      </c>
      <c r="F211" s="417" t="n">
        <v>0</v>
      </c>
      <c r="G211" s="417" t="n">
        <v>0</v>
      </c>
      <c r="H211" s="417" t="n">
        <v>0</v>
      </c>
      <c r="I211" s="417" t="n">
        <v>0</v>
      </c>
      <c r="J211" s="417" t="n">
        <v>0</v>
      </c>
    </row>
    <row r="212">
      <c r="B212" s="34" t="inlineStr">
        <is>
          <t>Sub Note - PIK interest</t>
        </is>
      </c>
      <c r="C212" s="452" t="n"/>
      <c r="E212" s="457" t="n">
        <v>0.04</v>
      </c>
      <c r="F212" s="417" t="n">
        <v>0</v>
      </c>
      <c r="G212" s="417" t="n">
        <v>0</v>
      </c>
      <c r="H212" s="417" t="n">
        <v>0</v>
      </c>
      <c r="I212" s="417" t="n">
        <v>0</v>
      </c>
      <c r="J212" s="417"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58" t="n">
        <v>43190</v>
      </c>
      <c r="G216" s="458" t="n"/>
      <c r="H216" s="458" t="n"/>
      <c r="I216" s="458" t="n"/>
      <c r="J216" s="458" t="n"/>
    </row>
    <row r="218">
      <c r="B218" s="3" t="inlineStr">
        <is>
          <t>EBITDA multiple at exit</t>
        </is>
      </c>
      <c r="C218" s="383" t="n"/>
      <c r="E218" s="195" t="inlineStr">
        <is>
          <t>Step</t>
        </is>
      </c>
      <c r="F218" s="459" t="n">
        <v>6.3</v>
      </c>
      <c r="G218" s="460" t="n">
        <v>6.8</v>
      </c>
      <c r="H218" s="460" t="n">
        <v>7.3</v>
      </c>
      <c r="I218" s="460" t="n">
        <v>7.8</v>
      </c>
      <c r="J218" s="460" t="n">
        <v>8.300000000000001</v>
      </c>
    </row>
    <row r="219">
      <c r="B219" s="4" t="inlineStr">
        <is>
          <t>EBITDA at exit</t>
        </is>
      </c>
      <c r="E219" s="461" t="n">
        <v>0.5</v>
      </c>
      <c r="F219" s="417" t="n">
        <v>1226.874119002437</v>
      </c>
      <c r="G219" s="417" t="n">
        <v>1226.874119002437</v>
      </c>
      <c r="H219" s="417" t="n">
        <v>1226.874119002437</v>
      </c>
      <c r="I219" s="417" t="n">
        <v>1226.874119002437</v>
      </c>
      <c r="J219" s="417" t="n">
        <v>1226.874119002437</v>
      </c>
    </row>
    <row r="220">
      <c r="B220" s="383" t="inlineStr">
        <is>
          <t>Enterprise value</t>
        </is>
      </c>
      <c r="F220" s="421" t="n">
        <v>7729.306949715352</v>
      </c>
      <c r="G220" s="421" t="n">
        <v>8342.744009216571</v>
      </c>
      <c r="H220" s="421" t="n">
        <v>8956.181068717789</v>
      </c>
      <c r="I220" s="421" t="n">
        <v>9569.618128219006</v>
      </c>
      <c r="J220" s="421" t="n">
        <v>10183.05518772023</v>
      </c>
    </row>
    <row r="221">
      <c r="B221" s="242" t="inlineStr">
        <is>
          <t>Net debt:</t>
        </is>
      </c>
      <c r="F221" s="140" t="n"/>
    </row>
    <row r="222">
      <c r="B222" s="156" t="inlineStr">
        <is>
          <t>Revolver</t>
        </is>
      </c>
      <c r="F222" s="417" t="n">
        <v>0</v>
      </c>
      <c r="G222" s="417" t="n">
        <v>0</v>
      </c>
      <c r="H222" s="417" t="n">
        <v>0</v>
      </c>
      <c r="I222" s="417" t="n">
        <v>0</v>
      </c>
      <c r="J222" s="417" t="n">
        <v>0</v>
      </c>
    </row>
    <row r="223">
      <c r="B223" s="82" t="inlineStr">
        <is>
          <t>Term Loan A</t>
        </is>
      </c>
      <c r="F223" s="417" t="n">
        <v>77.5387310911168</v>
      </c>
      <c r="G223" s="417" t="n">
        <v>77.5387310911168</v>
      </c>
      <c r="H223" s="417" t="n">
        <v>77.5387310911168</v>
      </c>
      <c r="I223" s="417" t="n">
        <v>77.5387310911168</v>
      </c>
      <c r="J223" s="417" t="n">
        <v>77.5387310911168</v>
      </c>
    </row>
    <row r="224">
      <c r="B224" s="82" t="inlineStr">
        <is>
          <t>Term Loan B</t>
        </is>
      </c>
      <c r="F224" s="417" t="n">
        <v>503.139</v>
      </c>
      <c r="G224" s="417" t="n">
        <v>503.139</v>
      </c>
      <c r="H224" s="417" t="n">
        <v>503.139</v>
      </c>
      <c r="I224" s="417" t="n">
        <v>503.139</v>
      </c>
      <c r="J224" s="417" t="n">
        <v>503.139</v>
      </c>
    </row>
    <row r="225">
      <c r="B225" s="82" t="inlineStr">
        <is>
          <t>Senior Note</t>
        </is>
      </c>
      <c r="E225" s="321" t="n"/>
      <c r="F225" s="417" t="n">
        <v>1632.995000000001</v>
      </c>
      <c r="G225" s="417" t="n">
        <v>1632.995000000001</v>
      </c>
      <c r="H225" s="417" t="n">
        <v>1632.995000000001</v>
      </c>
      <c r="I225" s="417" t="n">
        <v>1632.995000000001</v>
      </c>
      <c r="J225" s="417" t="n">
        <v>1632.995000000001</v>
      </c>
    </row>
    <row r="226">
      <c r="B226" s="82" t="inlineStr">
        <is>
          <t>Sub Note</t>
        </is>
      </c>
      <c r="E226" s="322" t="n"/>
      <c r="F226" s="417" t="n">
        <v>0</v>
      </c>
      <c r="G226" s="417" t="n">
        <v>0</v>
      </c>
      <c r="H226" s="417" t="n">
        <v>0</v>
      </c>
      <c r="I226" s="417" t="n">
        <v>0</v>
      </c>
      <c r="J226" s="417" t="n">
        <v>0</v>
      </c>
    </row>
    <row r="227">
      <c r="B227" s="82" t="inlineStr">
        <is>
          <t>Pref. stock</t>
        </is>
      </c>
      <c r="E227" s="322" t="n"/>
      <c r="F227" s="417" t="n">
        <v>0</v>
      </c>
      <c r="G227" s="417" t="n">
        <v>0</v>
      </c>
      <c r="H227" s="417" t="n">
        <v>0</v>
      </c>
      <c r="I227" s="417" t="n">
        <v>0</v>
      </c>
      <c r="J227" s="417" t="n">
        <v>0</v>
      </c>
    </row>
    <row r="228">
      <c r="B228" s="82" t="inlineStr">
        <is>
          <t>Cash</t>
        </is>
      </c>
      <c r="F228" s="417" t="n">
        <v>-180.0000000000002</v>
      </c>
      <c r="G228" s="417" t="n">
        <v>-180.0000000000002</v>
      </c>
      <c r="H228" s="417" t="n">
        <v>-180.0000000000002</v>
      </c>
      <c r="I228" s="417" t="n">
        <v>-180.0000000000002</v>
      </c>
      <c r="J228" s="417" t="n">
        <v>-180.0000000000002</v>
      </c>
    </row>
    <row r="229">
      <c r="B229" s="147" t="inlineStr">
        <is>
          <t>Equity value</t>
        </is>
      </c>
      <c r="C229" s="181" t="inlineStr">
        <is>
          <t>Initial equity inv.</t>
        </is>
      </c>
      <c r="D229" s="182" t="inlineStr">
        <is>
          <t>% ownership</t>
        </is>
      </c>
      <c r="E229" s="183" t="inlineStr">
        <is>
          <t>Fully diluted</t>
        </is>
      </c>
      <c r="F229" s="421" t="n">
        <v>5695.634218624235</v>
      </c>
      <c r="G229" s="421" t="n">
        <v>6309.071278125453</v>
      </c>
      <c r="H229" s="421" t="n">
        <v>6922.508337626672</v>
      </c>
      <c r="I229" s="421" t="n">
        <v>7535.945397127889</v>
      </c>
      <c r="J229" s="421" t="n">
        <v>8149.38245662911</v>
      </c>
    </row>
    <row r="230">
      <c r="B230" s="34" t="inlineStr">
        <is>
          <t>Sponsor equity</t>
        </is>
      </c>
      <c r="C230" s="462" t="n">
        <v>1203.6</v>
      </c>
      <c r="D230" s="463" t="n">
        <v>1</v>
      </c>
      <c r="E230" s="464" t="n">
        <v>1</v>
      </c>
      <c r="F230" s="417" t="n">
        <v>3041.8</v>
      </c>
      <c r="G230" s="417" t="n">
        <v>3220.7</v>
      </c>
      <c r="H230" s="417" t="n">
        <v>3399.6</v>
      </c>
      <c r="I230" s="417" t="n">
        <v>3507</v>
      </c>
      <c r="J230" s="417" t="n">
        <v>3578.6</v>
      </c>
    </row>
    <row r="231">
      <c r="B231" s="34" t="inlineStr">
        <is>
          <t>Mgmt equity</t>
        </is>
      </c>
      <c r="C231" s="462" t="n">
        <v>0</v>
      </c>
      <c r="D231" s="463" t="n">
        <v>0</v>
      </c>
      <c r="E231" s="464" t="n">
        <v>0</v>
      </c>
      <c r="F231" s="417" t="n">
        <v>0</v>
      </c>
      <c r="G231" s="417" t="n">
        <v>0</v>
      </c>
      <c r="H231" s="417" t="n">
        <v>0</v>
      </c>
      <c r="I231" s="417" t="n">
        <v>0</v>
      </c>
      <c r="J231" s="417" t="n">
        <v>0</v>
      </c>
    </row>
    <row r="232">
      <c r="B232" s="34" t="inlineStr">
        <is>
          <t>Pref. stock</t>
        </is>
      </c>
      <c r="C232" s="185" t="n"/>
      <c r="D232" s="463" t="n"/>
      <c r="E232" s="465" t="n">
        <v>0</v>
      </c>
      <c r="F232" s="417" t="n">
        <v>0</v>
      </c>
      <c r="G232" s="417" t="n">
        <v>0</v>
      </c>
      <c r="H232" s="417" t="n">
        <v>0</v>
      </c>
      <c r="I232" s="417" t="n">
        <v>0</v>
      </c>
      <c r="J232" s="417" t="n">
        <v>0</v>
      </c>
    </row>
    <row r="233">
      <c r="B233" s="34" t="inlineStr">
        <is>
          <t>Sub. Note</t>
        </is>
      </c>
      <c r="C233" s="186" t="n"/>
      <c r="D233" s="466" t="n"/>
      <c r="E233" s="467" t="n">
        <v>0</v>
      </c>
      <c r="F233" s="417" t="n">
        <v>0</v>
      </c>
      <c r="G233" s="417" t="n">
        <v>0</v>
      </c>
      <c r="H233" s="417" t="n">
        <v>0</v>
      </c>
      <c r="I233" s="417" t="n">
        <v>0</v>
      </c>
      <c r="J233" s="417"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68" t="inlineStr">
        <is>
          <t>NM</t>
        </is>
      </c>
      <c r="D237" s="166" t="n">
        <v>0</v>
      </c>
      <c r="E237" s="417" t="n">
        <v>0</v>
      </c>
      <c r="F237" s="417" t="n">
        <v>0</v>
      </c>
      <c r="G237" s="417" t="n">
        <v>0</v>
      </c>
      <c r="H237" s="417" t="n">
        <v>0</v>
      </c>
      <c r="I237" s="417" t="n">
        <v>0</v>
      </c>
      <c r="J237" s="415" t="n">
        <v>0</v>
      </c>
    </row>
    <row r="238">
      <c r="B238" t="inlineStr">
        <is>
          <t>Term Loan A</t>
        </is>
      </c>
      <c r="C238" s="468" t="n">
        <v>1.15053240220166</v>
      </c>
      <c r="D238" s="166" t="n">
        <v>0.04502924458774071</v>
      </c>
      <c r="E238" s="417" t="n">
        <v>-2886.429000000001</v>
      </c>
      <c r="F238" s="417" t="n">
        <v>512.2665221356776</v>
      </c>
      <c r="G238" s="417" t="n">
        <v>598.9800769872302</v>
      </c>
      <c r="H238" s="417" t="n">
        <v>668.0294069656172</v>
      </c>
      <c r="I238" s="417" t="n">
        <v>705.5502679862882</v>
      </c>
      <c r="J238" s="415" t="n">
        <v>836.1038170797226</v>
      </c>
    </row>
    <row r="239">
      <c r="B239" t="inlineStr">
        <is>
          <t>Term Loan B</t>
        </is>
      </c>
      <c r="C239" s="468" t="n">
        <v>1.2316089</v>
      </c>
      <c r="D239" s="166" t="n">
        <v>0.05105015805954571</v>
      </c>
      <c r="E239" s="417" t="n">
        <v>-670.8520000000002</v>
      </c>
      <c r="F239" s="417" t="n">
        <v>62.91605607560003</v>
      </c>
      <c r="G239" s="417" t="n">
        <v>63.50590269660002</v>
      </c>
      <c r="H239" s="417" t="n">
        <v>64.93629333100003</v>
      </c>
      <c r="I239" s="417" t="n">
        <v>65.88749438180002</v>
      </c>
      <c r="J239" s="415" t="n">
        <v>568.9815472978003</v>
      </c>
    </row>
    <row r="240">
      <c r="B240" t="inlineStr">
        <is>
          <t>Senior Note</t>
        </is>
      </c>
      <c r="C240" s="468" t="n">
        <v>1.40625</v>
      </c>
      <c r="D240" s="166" t="n">
        <v>0.08124999999913873</v>
      </c>
      <c r="E240" s="417" t="n">
        <v>-1632.995000000001</v>
      </c>
      <c r="F240" s="417" t="n">
        <v>132.6808437500001</v>
      </c>
      <c r="G240" s="417" t="n">
        <v>132.6808437500001</v>
      </c>
      <c r="H240" s="417" t="n">
        <v>132.6808437500001</v>
      </c>
      <c r="I240" s="417" t="n">
        <v>132.6808437500001</v>
      </c>
      <c r="J240" s="415" t="n">
        <v>1765.675843750001</v>
      </c>
    </row>
    <row r="241">
      <c r="B241" s="73" t="inlineStr">
        <is>
          <t>Sub Note at exit EBITDA multiple of:</t>
        </is>
      </c>
      <c r="C241" s="173" t="n"/>
      <c r="D241" s="166" t="n"/>
      <c r="E241" s="140" t="n"/>
      <c r="F241" s="140" t="n"/>
      <c r="G241" s="140" t="n"/>
      <c r="H241" s="140" t="n"/>
      <c r="I241" s="140" t="n"/>
      <c r="J241" s="162" t="n"/>
    </row>
    <row r="242">
      <c r="B242" s="469" t="n">
        <v>6.3</v>
      </c>
      <c r="C242" s="468" t="inlineStr">
        <is>
          <t>NM</t>
        </is>
      </c>
      <c r="D242" s="166" t="n">
        <v>0</v>
      </c>
      <c r="E242" s="417" t="n">
        <v>0</v>
      </c>
      <c r="F242" s="417" t="n">
        <v>0</v>
      </c>
      <c r="G242" s="417" t="n">
        <v>0</v>
      </c>
      <c r="H242" s="417" t="n">
        <v>0</v>
      </c>
      <c r="I242" s="417" t="n">
        <v>0</v>
      </c>
      <c r="J242" s="415" t="n">
        <v>0</v>
      </c>
    </row>
    <row r="243">
      <c r="B243" s="469" t="n">
        <v>6.8</v>
      </c>
      <c r="C243" s="468" t="inlineStr">
        <is>
          <t>NM</t>
        </is>
      </c>
      <c r="D243" s="166" t="n">
        <v>0</v>
      </c>
      <c r="E243" s="417" t="n">
        <v>0</v>
      </c>
      <c r="F243" s="417" t="n">
        <v>0</v>
      </c>
      <c r="G243" s="417" t="n">
        <v>0</v>
      </c>
      <c r="H243" s="417" t="n">
        <v>0</v>
      </c>
      <c r="I243" s="417" t="n">
        <v>0</v>
      </c>
      <c r="J243" s="415" t="n">
        <v>0</v>
      </c>
    </row>
    <row r="244">
      <c r="B244" s="469" t="n">
        <v>7.3</v>
      </c>
      <c r="C244" s="468" t="inlineStr">
        <is>
          <t>NM</t>
        </is>
      </c>
      <c r="D244" s="166" t="n">
        <v>0</v>
      </c>
      <c r="E244" s="417" t="n">
        <v>0</v>
      </c>
      <c r="F244" s="417" t="n">
        <v>0</v>
      </c>
      <c r="G244" s="417" t="n">
        <v>0</v>
      </c>
      <c r="H244" s="417" t="n">
        <v>0</v>
      </c>
      <c r="I244" s="417" t="n">
        <v>0</v>
      </c>
      <c r="J244" s="415" t="n">
        <v>0</v>
      </c>
    </row>
    <row r="245">
      <c r="B245" s="469" t="n">
        <v>7.8</v>
      </c>
      <c r="C245" s="468" t="inlineStr">
        <is>
          <t>NM</t>
        </is>
      </c>
      <c r="D245" s="166" t="n">
        <v>0</v>
      </c>
      <c r="E245" s="417" t="n">
        <v>0</v>
      </c>
      <c r="F245" s="417" t="n">
        <v>0</v>
      </c>
      <c r="G245" s="417" t="n">
        <v>0</v>
      </c>
      <c r="H245" s="417" t="n">
        <v>0</v>
      </c>
      <c r="I245" s="417" t="n">
        <v>0</v>
      </c>
      <c r="J245" s="415" t="n">
        <v>0</v>
      </c>
    </row>
    <row r="246">
      <c r="B246" s="469" t="n">
        <v>8.300000000000001</v>
      </c>
      <c r="C246" s="468" t="inlineStr">
        <is>
          <t>NM</t>
        </is>
      </c>
      <c r="D246" s="166" t="n">
        <v>0</v>
      </c>
      <c r="E246" s="417" t="n">
        <v>0</v>
      </c>
      <c r="F246" s="417" t="n">
        <v>0</v>
      </c>
      <c r="G246" s="417" t="n">
        <v>0</v>
      </c>
      <c r="H246" s="417" t="n">
        <v>0</v>
      </c>
      <c r="I246" s="417" t="n">
        <v>0</v>
      </c>
      <c r="J246" s="415" t="n">
        <v>0</v>
      </c>
    </row>
    <row r="247">
      <c r="B247" s="73" t="inlineStr">
        <is>
          <t>Preferred Stock at exit EBITDA multiple of:</t>
        </is>
      </c>
      <c r="C247" s="173" t="n"/>
      <c r="D247" s="166" t="n"/>
      <c r="E247" s="140" t="n"/>
      <c r="F247" s="140" t="n"/>
      <c r="G247" s="140" t="n"/>
      <c r="H247" s="140" t="n"/>
      <c r="I247" s="140" t="n"/>
      <c r="J247" s="162" t="n"/>
    </row>
    <row r="248">
      <c r="B248" s="469" t="n">
        <v>6.3</v>
      </c>
      <c r="C248" s="468" t="inlineStr">
        <is>
          <t>NM</t>
        </is>
      </c>
      <c r="D248" s="166" t="n">
        <v>0</v>
      </c>
      <c r="E248" s="417" t="n">
        <v>0</v>
      </c>
      <c r="F248" s="413" t="n">
        <v>0</v>
      </c>
      <c r="G248" s="413" t="n">
        <v>0</v>
      </c>
      <c r="H248" s="413" t="n">
        <v>0</v>
      </c>
      <c r="I248" s="413" t="n">
        <v>0</v>
      </c>
      <c r="J248" s="415" t="n">
        <v>0</v>
      </c>
    </row>
    <row r="249">
      <c r="B249" s="469" t="n">
        <v>6.8</v>
      </c>
      <c r="C249" s="468" t="inlineStr">
        <is>
          <t>NM</t>
        </is>
      </c>
      <c r="D249" s="166" t="n">
        <v>0</v>
      </c>
      <c r="E249" s="417" t="n">
        <v>0</v>
      </c>
      <c r="F249" s="417" t="n">
        <v>0</v>
      </c>
      <c r="G249" s="417" t="n">
        <v>0</v>
      </c>
      <c r="H249" s="417" t="n">
        <v>0</v>
      </c>
      <c r="I249" s="417" t="n">
        <v>0</v>
      </c>
      <c r="J249" s="415" t="n">
        <v>0</v>
      </c>
    </row>
    <row r="250">
      <c r="B250" s="469" t="n">
        <v>7.3</v>
      </c>
      <c r="C250" s="468" t="inlineStr">
        <is>
          <t>NM</t>
        </is>
      </c>
      <c r="D250" s="166" t="n">
        <v>0</v>
      </c>
      <c r="E250" s="417" t="n">
        <v>0</v>
      </c>
      <c r="F250" s="417" t="n">
        <v>0</v>
      </c>
      <c r="G250" s="417" t="n">
        <v>0</v>
      </c>
      <c r="H250" s="417" t="n">
        <v>0</v>
      </c>
      <c r="I250" s="417" t="n">
        <v>0</v>
      </c>
      <c r="J250" s="415" t="n">
        <v>0</v>
      </c>
    </row>
    <row r="251">
      <c r="B251" s="469" t="n">
        <v>7.8</v>
      </c>
      <c r="C251" s="468" t="inlineStr">
        <is>
          <t>NM</t>
        </is>
      </c>
      <c r="D251" s="166" t="n">
        <v>0</v>
      </c>
      <c r="E251" s="417" t="n">
        <v>0</v>
      </c>
      <c r="F251" s="417" t="n">
        <v>0</v>
      </c>
      <c r="G251" s="417" t="n">
        <v>0</v>
      </c>
      <c r="H251" s="417" t="n">
        <v>0</v>
      </c>
      <c r="I251" s="417" t="n">
        <v>0</v>
      </c>
      <c r="J251" s="415" t="n">
        <v>0</v>
      </c>
    </row>
    <row r="252">
      <c r="B252" s="469" t="n">
        <v>8.300000000000001</v>
      </c>
      <c r="C252" s="468" t="inlineStr">
        <is>
          <t>NM</t>
        </is>
      </c>
      <c r="D252" s="166" t="n">
        <v>0</v>
      </c>
      <c r="E252" s="417" t="n">
        <v>0</v>
      </c>
      <c r="F252" s="417" t="n">
        <v>0</v>
      </c>
      <c r="G252" s="417" t="n">
        <v>0</v>
      </c>
      <c r="H252" s="417" t="n">
        <v>0</v>
      </c>
      <c r="I252" s="417" t="n">
        <v>0</v>
      </c>
      <c r="J252" s="415" t="n">
        <v>0</v>
      </c>
    </row>
    <row r="253">
      <c r="B253" s="73" t="inlineStr">
        <is>
          <t>Management Equity at exit EBITDA multiple of:</t>
        </is>
      </c>
      <c r="C253" s="470" t="n"/>
      <c r="D253" s="166" t="n"/>
      <c r="E253" s="140" t="n"/>
      <c r="F253" s="140" t="n"/>
      <c r="G253" s="140" t="n"/>
      <c r="H253" s="140" t="n"/>
      <c r="I253" s="140" t="n"/>
      <c r="J253" s="162" t="n"/>
    </row>
    <row r="254">
      <c r="B254" s="469" t="n">
        <v>6.3</v>
      </c>
      <c r="C254" s="468" t="inlineStr">
        <is>
          <t>NM</t>
        </is>
      </c>
      <c r="D254" s="166" t="n">
        <v>0</v>
      </c>
      <c r="E254" s="417" t="n">
        <v>0</v>
      </c>
      <c r="F254" s="432" t="n">
        <v>0</v>
      </c>
      <c r="G254" s="432" t="n">
        <v>0</v>
      </c>
      <c r="H254" s="432" t="n">
        <v>0</v>
      </c>
      <c r="I254" s="432" t="n">
        <v>0</v>
      </c>
      <c r="J254" s="415" t="n">
        <v>0</v>
      </c>
    </row>
    <row r="255">
      <c r="B255" s="469" t="n">
        <v>6.8</v>
      </c>
      <c r="C255" s="468" t="inlineStr">
        <is>
          <t>NM</t>
        </is>
      </c>
      <c r="D255" s="166" t="n">
        <v>0</v>
      </c>
      <c r="E255" s="417" t="n">
        <v>0</v>
      </c>
      <c r="F255" s="417" t="n">
        <v>0</v>
      </c>
      <c r="G255" s="417" t="n">
        <v>0</v>
      </c>
      <c r="H255" s="417" t="n">
        <v>0</v>
      </c>
      <c r="I255" s="417" t="n">
        <v>0</v>
      </c>
      <c r="J255" s="415" t="n">
        <v>0</v>
      </c>
    </row>
    <row r="256">
      <c r="B256" s="469" t="n">
        <v>7.3</v>
      </c>
      <c r="C256" s="468" t="inlineStr">
        <is>
          <t>NM</t>
        </is>
      </c>
      <c r="D256" s="166" t="n">
        <v>0</v>
      </c>
      <c r="E256" s="417" t="n">
        <v>0</v>
      </c>
      <c r="F256" s="417" t="n">
        <v>0</v>
      </c>
      <c r="G256" s="417" t="n">
        <v>0</v>
      </c>
      <c r="H256" s="417" t="n">
        <v>0</v>
      </c>
      <c r="I256" s="417" t="n">
        <v>0</v>
      </c>
      <c r="J256" s="415" t="n">
        <v>0</v>
      </c>
    </row>
    <row r="257">
      <c r="B257" s="469" t="n">
        <v>7.8</v>
      </c>
      <c r="C257" s="468" t="inlineStr">
        <is>
          <t>NM</t>
        </is>
      </c>
      <c r="D257" s="166" t="n">
        <v>0</v>
      </c>
      <c r="E257" s="417" t="n">
        <v>0</v>
      </c>
      <c r="F257" s="417" t="n">
        <v>0</v>
      </c>
      <c r="G257" s="417" t="n">
        <v>0</v>
      </c>
      <c r="H257" s="417" t="n">
        <v>0</v>
      </c>
      <c r="I257" s="417" t="n">
        <v>0</v>
      </c>
      <c r="J257" s="415" t="n">
        <v>0</v>
      </c>
    </row>
    <row r="258">
      <c r="B258" s="469" t="n">
        <v>8.300000000000001</v>
      </c>
      <c r="C258" s="468" t="inlineStr">
        <is>
          <t>NM</t>
        </is>
      </c>
      <c r="D258" s="166" t="n">
        <v>0</v>
      </c>
      <c r="E258" s="417" t="n">
        <v>0</v>
      </c>
      <c r="F258" s="417" t="n">
        <v>0</v>
      </c>
      <c r="G258" s="417" t="n">
        <v>0</v>
      </c>
      <c r="H258" s="417" t="n">
        <v>0</v>
      </c>
      <c r="I258" s="417" t="n">
        <v>0</v>
      </c>
      <c r="J258" s="415" t="n">
        <v>0</v>
      </c>
    </row>
    <row r="259">
      <c r="B259" s="73" t="inlineStr">
        <is>
          <t>Sponsor's Equity at exit EBITDA multiple of:</t>
        </is>
      </c>
      <c r="C259" s="199" t="n"/>
      <c r="D259" s="167" t="n"/>
      <c r="E259" s="140" t="n"/>
      <c r="F259" s="71" t="n"/>
      <c r="G259" s="71" t="n"/>
      <c r="H259" s="71" t="n"/>
      <c r="I259" s="71" t="n"/>
      <c r="J259" s="399" t="n"/>
    </row>
    <row r="260">
      <c r="B260" s="469" t="n">
        <v>6.5</v>
      </c>
      <c r="C260" s="468" t="n">
        <v>2.377</v>
      </c>
      <c r="D260" s="166" t="n">
        <v>0.1891</v>
      </c>
      <c r="E260" s="417" t="n">
        <v>-1203.6</v>
      </c>
      <c r="F260" s="432" t="n">
        <v>0</v>
      </c>
      <c r="G260" s="432" t="n">
        <v>0</v>
      </c>
      <c r="H260" s="432" t="n">
        <v>0</v>
      </c>
      <c r="I260" s="432" t="n">
        <v>0</v>
      </c>
      <c r="J260" s="415" t="n">
        <v>2861</v>
      </c>
    </row>
    <row r="261">
      <c r="B261" s="469" t="n">
        <v>7</v>
      </c>
      <c r="C261" s="468" t="n">
        <v>2.576</v>
      </c>
      <c r="D261" s="166" t="n">
        <v>0.2083</v>
      </c>
      <c r="E261" s="417" t="n">
        <v>-1203.6</v>
      </c>
      <c r="F261" s="417" t="n">
        <v>0</v>
      </c>
      <c r="G261" s="417" t="n">
        <v>0</v>
      </c>
      <c r="H261" s="417" t="n">
        <v>0</v>
      </c>
      <c r="I261" s="417" t="n">
        <v>0</v>
      </c>
      <c r="J261" s="415" t="n">
        <v>3100.2</v>
      </c>
    </row>
    <row r="262">
      <c r="B262" s="469" t="n">
        <v>8</v>
      </c>
      <c r="C262" s="468" t="n">
        <v>2.973</v>
      </c>
      <c r="D262" s="166" t="n">
        <v>0.2435</v>
      </c>
      <c r="E262" s="417" t="n">
        <v>-1203.6</v>
      </c>
      <c r="F262" s="417" t="n">
        <v>0</v>
      </c>
      <c r="G262" s="417" t="n">
        <v>0</v>
      </c>
      <c r="H262" s="417" t="n">
        <v>0</v>
      </c>
      <c r="I262" s="417" t="n">
        <v>0</v>
      </c>
      <c r="J262" s="415" t="n">
        <v>3578.6</v>
      </c>
    </row>
    <row r="263">
      <c r="B263" s="469" t="n">
        <v>9</v>
      </c>
      <c r="C263" s="468" t="n">
        <v>3.371</v>
      </c>
      <c r="D263" s="166" t="n">
        <v>0.2751</v>
      </c>
      <c r="E263" s="417" t="n">
        <v>-1203.6</v>
      </c>
      <c r="F263" s="417" t="n">
        <v>0</v>
      </c>
      <c r="G263" s="417" t="n">
        <v>0</v>
      </c>
      <c r="H263" s="417" t="n">
        <v>0</v>
      </c>
      <c r="I263" s="417" t="n">
        <v>0</v>
      </c>
      <c r="J263" s="415" t="n">
        <v>4057</v>
      </c>
    </row>
    <row r="264">
      <c r="B264" s="469" t="n">
        <v>9.5</v>
      </c>
      <c r="C264" s="468" t="n">
        <v>3.569</v>
      </c>
      <c r="D264" s="166" t="n">
        <v>0.2898</v>
      </c>
      <c r="E264" s="417" t="n">
        <v>-1203.6</v>
      </c>
      <c r="F264" s="417" t="n">
        <v>0</v>
      </c>
      <c r="G264" s="417" t="n">
        <v>0</v>
      </c>
      <c r="H264" s="417" t="n">
        <v>0</v>
      </c>
      <c r="I264" s="417" t="n">
        <v>0</v>
      </c>
      <c r="J264" s="415" t="n">
        <v>4296.2</v>
      </c>
    </row>
    <row r="266">
      <c r="B266" s="317" t="inlineStr">
        <is>
          <t>SUMMARY AT 8.0x EXIT EBITDA MULTIPLE — ZoomInfo LBOMODEL1</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71" t="n">
        <v>0</v>
      </c>
      <c r="G268" s="472" t="n">
        <v>0</v>
      </c>
      <c r="H268" s="173" t="n"/>
      <c r="I268" s="468" t="inlineStr">
        <is>
          <t>NM</t>
        </is>
      </c>
      <c r="J268" s="473" t="n">
        <v>0</v>
      </c>
    </row>
    <row r="269">
      <c r="B269" t="inlineStr">
        <is>
          <t>Term Loan A</t>
        </is>
      </c>
      <c r="F269" s="471" t="n">
        <v>2886.429000000001</v>
      </c>
      <c r="G269" s="472" t="n">
        <v>0.4213424235880114</v>
      </c>
      <c r="H269" s="173" t="n"/>
      <c r="I269" s="468" t="n">
        <v>1.15053240220166</v>
      </c>
      <c r="J269" s="473" t="n">
        <v>0.04502924458774071</v>
      </c>
    </row>
    <row r="270">
      <c r="B270" t="inlineStr">
        <is>
          <t>Term Loan B</t>
        </is>
      </c>
      <c r="F270" s="471" t="n">
        <v>670.8520000000002</v>
      </c>
      <c r="G270" s="472" t="n">
        <v>0.09792667948834516</v>
      </c>
      <c r="H270" s="173" t="n"/>
      <c r="I270" s="468" t="n">
        <v>1.2316089</v>
      </c>
      <c r="J270" s="473" t="n">
        <v>0.05105015805954571</v>
      </c>
    </row>
    <row r="271">
      <c r="B271" t="inlineStr">
        <is>
          <t>Senior Note</t>
        </is>
      </c>
      <c r="F271" s="471" t="n">
        <v>1632.995000000001</v>
      </c>
      <c r="G271" s="472" t="n">
        <v>0.2383741540176823</v>
      </c>
      <c r="H271" s="173" t="n"/>
      <c r="I271" s="468" t="n">
        <v>1.40625</v>
      </c>
      <c r="J271" s="473" t="n">
        <v>0.08124999999913873</v>
      </c>
    </row>
    <row r="272">
      <c r="B272" t="inlineStr">
        <is>
          <t>Sub Note</t>
        </is>
      </c>
      <c r="F272" s="471" t="n">
        <v>0</v>
      </c>
      <c r="G272" s="472" t="n">
        <v>0</v>
      </c>
      <c r="H272" s="472" t="n">
        <v>0</v>
      </c>
      <c r="I272" s="468" t="inlineStr">
        <is>
          <t>NM</t>
        </is>
      </c>
      <c r="J272" s="473" t="n">
        <v>0</v>
      </c>
      <c r="K272" s="140" t="n"/>
    </row>
    <row r="273">
      <c r="B273" t="inlineStr">
        <is>
          <t>Preferred stock</t>
        </is>
      </c>
      <c r="F273" s="471" t="n">
        <v>0</v>
      </c>
      <c r="G273" s="472" t="n">
        <v>0</v>
      </c>
      <c r="H273" s="472" t="n">
        <v>0</v>
      </c>
      <c r="I273" s="468" t="inlineStr">
        <is>
          <t>NM</t>
        </is>
      </c>
      <c r="J273" s="473" t="n">
        <v>0</v>
      </c>
    </row>
    <row r="274">
      <c r="B274" t="inlineStr">
        <is>
          <t>Mgmt rollover</t>
        </is>
      </c>
      <c r="F274" s="471" t="n">
        <v>0</v>
      </c>
      <c r="G274" s="472" t="n">
        <v>0</v>
      </c>
      <c r="H274" s="472" t="n">
        <v>0</v>
      </c>
      <c r="I274" s="468" t="inlineStr">
        <is>
          <t>NM</t>
        </is>
      </c>
      <c r="J274" s="473" t="n">
        <v>0</v>
      </c>
    </row>
    <row r="275">
      <c r="B275" t="inlineStr">
        <is>
          <t>Sponsor equity</t>
        </is>
      </c>
      <c r="F275" s="471" t="n">
        <v>1203.6</v>
      </c>
      <c r="G275" s="472" t="n">
        <v>0.4185</v>
      </c>
      <c r="H275" s="472" t="n">
        <v>1</v>
      </c>
      <c r="I275" s="468" t="n">
        <v>2.973</v>
      </c>
      <c r="J275" s="473" t="n">
        <v>0.2435</v>
      </c>
    </row>
    <row r="276">
      <c r="B276" s="193" t="inlineStr">
        <is>
          <t>Total</t>
        </is>
      </c>
      <c r="F276" s="474" t="n">
        <v>6850.553940000001</v>
      </c>
      <c r="G276" s="475" t="n">
        <v>1</v>
      </c>
      <c r="H276" s="475" t="n">
        <v>1</v>
      </c>
    </row>
    <row r="277">
      <c r="B277" s="193" t="n"/>
      <c r="E277" s="175" t="n"/>
      <c r="G277" s="475" t="n"/>
      <c r="H277" s="475" t="n"/>
    </row>
    <row r="278">
      <c r="B278" s="317" t="inlineStr">
        <is>
          <t>SENSITIVITY ANALYISIS</t>
        </is>
      </c>
      <c r="C278" s="15" t="n"/>
      <c r="D278" s="207" t="n"/>
      <c r="E278" s="476" t="n"/>
      <c r="F278" s="207" t="n"/>
      <c r="G278" s="207" t="n"/>
      <c r="H278" s="207" t="n"/>
      <c r="I278" s="15" t="n"/>
      <c r="J278" s="15" t="n"/>
    </row>
    <row r="279">
      <c r="B279" s="209" t="n"/>
      <c r="C279" s="208" t="n"/>
      <c r="D279" s="208" t="n"/>
      <c r="E279" s="477"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78" t="n">
        <v>0.3305050828444873</v>
      </c>
      <c r="E281" s="479" t="n">
        <v>0.15</v>
      </c>
      <c r="F281" s="480" t="n">
        <v>0.2</v>
      </c>
      <c r="G281" s="480" t="n">
        <v>0.25</v>
      </c>
      <c r="H281" s="480" t="n">
        <v>0.3</v>
      </c>
      <c r="I281" s="480" t="n">
        <v>0.35</v>
      </c>
      <c r="J281" s="481" t="n">
        <v>0.4</v>
      </c>
    </row>
    <row r="282">
      <c r="B282" t="inlineStr">
        <is>
          <t>Offer value</t>
        </is>
      </c>
      <c r="C282" s="482"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483" t="n">
        <v>0.01827388815499775</v>
      </c>
      <c r="E285" s="484" t="n">
        <v>0.2873343584233408</v>
      </c>
      <c r="F285" s="485" t="n">
        <v>0.1876944809506009</v>
      </c>
      <c r="G285" s="485" t="n">
        <v>0.1101173362003216</v>
      </c>
      <c r="H285" s="485" t="n">
        <v>0.04910862549737494</v>
      </c>
      <c r="I285" s="485" t="n">
        <v>0.0006834579092962478</v>
      </c>
      <c r="J285" s="486" t="n">
        <v>-0.03808450034570132</v>
      </c>
    </row>
    <row r="286">
      <c r="B286" s="202" t="n"/>
      <c r="C286" s="348" t="n"/>
      <c r="E286" s="484" t="n"/>
      <c r="F286" s="485" t="n"/>
      <c r="G286" s="485" t="n"/>
      <c r="H286" s="485" t="n"/>
      <c r="I286" s="485" t="n"/>
      <c r="J286" s="486"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487" t="n">
        <v>7.325281805823042</v>
      </c>
      <c r="E288" s="488" t="n">
        <v>9.343444437947683</v>
      </c>
      <c r="F288" s="489" t="n">
        <v>8.596067920005796</v>
      </c>
      <c r="G288" s="489" t="n">
        <v>8.014179043926031</v>
      </c>
      <c r="H288" s="489" t="n">
        <v>7.556566299653368</v>
      </c>
      <c r="I288" s="489" t="n">
        <v>7.193339908265721</v>
      </c>
      <c r="J288" s="490" t="n">
        <v>6.902550092147537</v>
      </c>
    </row>
    <row r="289">
      <c r="B289" s="73" t="n"/>
      <c r="E289" s="491" t="n"/>
    </row>
    <row r="290">
      <c r="D290" s="319" t="inlineStr">
        <is>
          <t>Sponsor IRR At Various Leverage And Initial EBITDA Multiple Sensitivity</t>
        </is>
      </c>
      <c r="E290" s="207" t="n"/>
      <c r="F290" s="207" t="n"/>
      <c r="G290" s="476"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492" t="n">
        <v>0.3</v>
      </c>
      <c r="F292" s="209" t="inlineStr">
        <is>
          <t>Term A / EBITDA ratio (other cumulative leverage of 2.6x)</t>
        </is>
      </c>
      <c r="G292" s="211" t="n"/>
      <c r="H292" s="211" t="n"/>
      <c r="I292" s="211" t="n"/>
      <c r="J292" s="211" t="n"/>
      <c r="M292" s="290" t="n"/>
      <c r="N292" s="290" t="n"/>
    </row>
    <row r="293">
      <c r="E293" s="212" t="n">
        <v>0.3305050828444873</v>
      </c>
      <c r="F293" s="493" t="n">
        <v>3</v>
      </c>
      <c r="G293" s="494" t="n">
        <v>3.25</v>
      </c>
      <c r="H293" s="494" t="n">
        <v>3.5</v>
      </c>
      <c r="I293" s="494" t="n">
        <v>3.75</v>
      </c>
      <c r="J293" s="494" t="n">
        <v>4</v>
      </c>
    </row>
    <row r="294" ht="15" customHeight="1" s="244">
      <c r="D294" s="286" t="n"/>
      <c r="E294" s="493" t="n">
        <v>7</v>
      </c>
      <c r="F294" s="434" t="n">
        <v>0.306597235533177</v>
      </c>
      <c r="G294" s="434" t="n">
        <v>0.3285696518248762</v>
      </c>
      <c r="H294" s="434" t="n">
        <v>0.3550765360456567</v>
      </c>
      <c r="I294" s="434" t="n">
        <v>0.3878570517986382</v>
      </c>
      <c r="J294" s="418" t="n">
        <v>0.4297704340734299</v>
      </c>
    </row>
    <row r="295">
      <c r="D295" s="286" t="inlineStr">
        <is>
          <t>Initial</t>
        </is>
      </c>
      <c r="E295" s="495" t="n">
        <v>7.25</v>
      </c>
      <c r="F295" s="434" t="n">
        <v>0.3065972788196272</v>
      </c>
      <c r="G295" s="434" t="n">
        <v>0.3285696518248762</v>
      </c>
      <c r="H295" s="434" t="n">
        <v>0.3550765360456567</v>
      </c>
      <c r="I295" s="434" t="n">
        <v>0.3878570517986382</v>
      </c>
      <c r="J295" s="418" t="n">
        <v>0.4297704340734299</v>
      </c>
    </row>
    <row r="296">
      <c r="D296" s="286" t="inlineStr">
        <is>
          <t>EBITDA</t>
        </is>
      </c>
      <c r="E296" s="495" t="n">
        <v>7.5</v>
      </c>
      <c r="F296" s="434" t="n">
        <v>0.3065972788196272</v>
      </c>
      <c r="G296" s="434" t="n">
        <v>0.3285696518248762</v>
      </c>
      <c r="H296" s="434" t="n">
        <v>0.3550765360456567</v>
      </c>
      <c r="I296" s="434" t="n">
        <v>0.3878570517986382</v>
      </c>
      <c r="J296" s="418" t="n">
        <v>0.4297704340734299</v>
      </c>
    </row>
    <row r="297">
      <c r="D297" s="286" t="inlineStr">
        <is>
          <t>Multiple:</t>
        </is>
      </c>
      <c r="E297" s="495" t="n">
        <v>7.75</v>
      </c>
      <c r="F297" s="434" t="n">
        <v>0.3065972788196272</v>
      </c>
      <c r="G297" s="434" t="n">
        <v>0.3285696518248762</v>
      </c>
      <c r="H297" s="434" t="n">
        <v>0.3550765360456567</v>
      </c>
      <c r="I297" s="434" t="n">
        <v>0.3878570517986382</v>
      </c>
      <c r="J297" s="418" t="n">
        <v>0.4297704340734299</v>
      </c>
    </row>
    <row r="298">
      <c r="D298" s="286" t="n"/>
      <c r="E298" s="495" t="n">
        <v>8</v>
      </c>
      <c r="F298" s="434" t="n">
        <v>0.3065972788196272</v>
      </c>
      <c r="G298" s="434" t="n">
        <v>0.3285696518248762</v>
      </c>
      <c r="H298" s="434" t="n">
        <v>0.3550765360456567</v>
      </c>
      <c r="I298" s="434" t="n">
        <v>0.3878570517986382</v>
      </c>
      <c r="J298" s="418" t="n">
        <v>0.4297704340734299</v>
      </c>
    </row>
    <row r="300">
      <c r="D300" s="319" t="inlineStr">
        <is>
          <t>Sponsor IRR At Various Leverage And Offer Price / Share Sensitivity</t>
        </is>
      </c>
      <c r="E300" s="207" t="n"/>
      <c r="F300" s="207" t="n"/>
      <c r="G300" s="476"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493" t="n">
        <v>3</v>
      </c>
      <c r="G303" s="494" t="n">
        <v>3.25</v>
      </c>
      <c r="H303" s="494" t="n">
        <v>3.5</v>
      </c>
      <c r="I303" s="494" t="n">
        <v>3.75</v>
      </c>
      <c r="J303" s="494" t="n">
        <v>4</v>
      </c>
    </row>
    <row r="304">
      <c r="D304" s="286" t="n"/>
      <c r="E304" s="496" t="n">
        <v>45</v>
      </c>
      <c r="F304" s="434" t="n">
        <v>0.333852523632834</v>
      </c>
      <c r="G304" s="434" t="n">
        <v>0.3601376555309279</v>
      </c>
      <c r="H304" s="434" t="n">
        <v>0.3924776788740911</v>
      </c>
      <c r="I304" s="434" t="n">
        <v>0.433550866893905</v>
      </c>
      <c r="J304" s="418" t="n">
        <v>0.488104080056188</v>
      </c>
    </row>
    <row r="305">
      <c r="D305" s="286" t="inlineStr">
        <is>
          <t>Initial</t>
        </is>
      </c>
      <c r="E305" s="285" t="n">
        <v>45.25</v>
      </c>
      <c r="F305" s="434" t="n">
        <v>0.3281252707882212</v>
      </c>
      <c r="G305" s="434" t="n">
        <v>0.3534590099865351</v>
      </c>
      <c r="H305" s="434" t="n">
        <v>0.3844939801886209</v>
      </c>
      <c r="I305" s="434" t="n">
        <v>0.4236762156017959</v>
      </c>
      <c r="J305" s="418" t="n">
        <v>0.4752682250597036</v>
      </c>
    </row>
    <row r="306">
      <c r="D306" s="286" t="inlineStr">
        <is>
          <t>Offer</t>
        </is>
      </c>
      <c r="E306" s="285" t="n">
        <v>45.5</v>
      </c>
      <c r="F306" s="434" t="n">
        <v>0.322542428040524</v>
      </c>
      <c r="G306" s="434" t="n">
        <v>0.3469724205248608</v>
      </c>
      <c r="H306" s="434" t="n">
        <v>0.3767772861737244</v>
      </c>
      <c r="I306" s="434" t="n">
        <v>0.4141961196694628</v>
      </c>
      <c r="J306" s="418" t="n">
        <v>0.4630692819485509</v>
      </c>
    </row>
    <row r="307">
      <c r="D307" s="286" t="inlineStr">
        <is>
          <t>Price:</t>
        </is>
      </c>
      <c r="E307" s="285" t="n">
        <v>45.75</v>
      </c>
      <c r="F307" s="434" t="n">
        <v>0.3170974972664742</v>
      </c>
      <c r="G307" s="434" t="n">
        <v>0.3406679984195311</v>
      </c>
      <c r="H307" s="434" t="n">
        <v>0.369311668941261</v>
      </c>
      <c r="I307" s="434" t="n">
        <v>0.4050826060064987</v>
      </c>
      <c r="J307" s="418" t="n">
        <v>0.4514516059303442</v>
      </c>
    </row>
    <row r="308">
      <c r="D308" s="286" t="n"/>
      <c r="E308" s="285" t="n">
        <v>46</v>
      </c>
      <c r="F308" s="434" t="n">
        <v>0.3117843584538174</v>
      </c>
      <c r="G308" s="434" t="n">
        <v>0.3345365786265331</v>
      </c>
      <c r="H308" s="434" t="n">
        <v>0.3620825462333435</v>
      </c>
      <c r="I308" s="434" t="n">
        <v>0.3963104963405388</v>
      </c>
      <c r="J308" s="418" t="n">
        <v>0.4403663540732419</v>
      </c>
    </row>
    <row r="310">
      <c r="D310" s="319" t="inlineStr">
        <is>
          <t>Sponsor IRR @ Preferred &amp; Sub Note Equity Kicker Sensitivity</t>
        </is>
      </c>
      <c r="E310" s="207" t="n"/>
      <c r="F310" s="207" t="n"/>
      <c r="G310" s="476" t="n"/>
      <c r="H310" s="207" t="n"/>
      <c r="I310" s="207" t="n"/>
      <c r="J310" s="207" t="n"/>
    </row>
    <row r="311">
      <c r="F311" s="209" t="inlineStr">
        <is>
          <t>Sub Note Equity Kicker</t>
        </is>
      </c>
      <c r="G311" s="211" t="n"/>
      <c r="H311" s="211" t="n"/>
      <c r="I311" s="211" t="n"/>
      <c r="J311" s="211" t="n"/>
    </row>
    <row r="312">
      <c r="E312" s="212" t="n">
        <v>0.3305050828444873</v>
      </c>
      <c r="F312" s="497" t="n">
        <v>0</v>
      </c>
      <c r="G312" s="213" t="n">
        <v>0.02</v>
      </c>
      <c r="H312" s="213" t="n">
        <v>0.04</v>
      </c>
      <c r="I312" s="213" t="n">
        <v>0.06</v>
      </c>
      <c r="J312" s="213" t="n">
        <v>0.08</v>
      </c>
    </row>
    <row r="313">
      <c r="D313" s="286" t="n"/>
      <c r="E313" s="497" t="n">
        <v>0</v>
      </c>
      <c r="F313" s="434" t="n">
        <v>0.3305050799786786</v>
      </c>
      <c r="G313" s="434" t="n">
        <v>0.3251399681067006</v>
      </c>
      <c r="H313" s="434" t="n">
        <v>0.3196865321790505</v>
      </c>
      <c r="I313" s="434" t="n">
        <v>0.3141414345792028</v>
      </c>
      <c r="J313" s="418" t="n">
        <v>0.3085011343441604</v>
      </c>
    </row>
    <row r="314">
      <c r="D314" s="286" t="inlineStr">
        <is>
          <t>Preferred</t>
        </is>
      </c>
      <c r="E314" s="498" t="n">
        <v>0.02</v>
      </c>
      <c r="F314" s="434" t="n">
        <v>0.3251399681732201</v>
      </c>
      <c r="G314" s="434" t="n">
        <v>0.3196865321805167</v>
      </c>
      <c r="H314" s="434" t="n">
        <v>0.3141414345792337</v>
      </c>
      <c r="I314" s="434" t="n">
        <v>0.308501134344161</v>
      </c>
      <c r="J314" s="418" t="n">
        <v>0.3027618729690769</v>
      </c>
    </row>
    <row r="315">
      <c r="D315" s="286" t="inlineStr">
        <is>
          <t>Equity</t>
        </is>
      </c>
      <c r="E315" s="498" t="n">
        <v>0.04</v>
      </c>
      <c r="F315" s="434" t="n">
        <v>0.3196865321805167</v>
      </c>
      <c r="G315" s="434" t="n">
        <v>0.3141414345792337</v>
      </c>
      <c r="H315" s="434" t="n">
        <v>0.308501134344161</v>
      </c>
      <c r="I315" s="434" t="n">
        <v>0.3027618729690769</v>
      </c>
      <c r="J315" s="418" t="n">
        <v>0.2969196559822402</v>
      </c>
    </row>
    <row r="316">
      <c r="D316" s="286" t="inlineStr">
        <is>
          <t>Kicker:</t>
        </is>
      </c>
      <c r="E316" s="498" t="n">
        <v>0.06</v>
      </c>
      <c r="F316" s="434" t="n">
        <v>0.3141414345792337</v>
      </c>
      <c r="G316" s="434" t="n">
        <v>0.308501134344161</v>
      </c>
      <c r="H316" s="434" t="n">
        <v>0.3027618729690769</v>
      </c>
      <c r="I316" s="434" t="n">
        <v>0.2969196559822402</v>
      </c>
      <c r="J316" s="418" t="n">
        <v>0.2909702322912278</v>
      </c>
    </row>
    <row r="317">
      <c r="D317" s="286" t="n"/>
      <c r="E317" s="498" t="n">
        <v>0.08</v>
      </c>
      <c r="F317" s="434" t="n">
        <v>0.308501134344161</v>
      </c>
      <c r="G317" s="434" t="n">
        <v>0.3027618729690769</v>
      </c>
      <c r="H317" s="434" t="n">
        <v>0.2969196559822402</v>
      </c>
      <c r="I317" s="434" t="n">
        <v>0.290970232291228</v>
      </c>
      <c r="J317" s="418"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17" t="n">
        <v>1635.6</v>
      </c>
      <c r="F323" s="417" t="n">
        <v>1581.9</v>
      </c>
      <c r="G323" s="471" t="n">
        <v>-8252.453940000001</v>
      </c>
      <c r="H323" s="471" t="n">
        <v>6850.553940000001</v>
      </c>
      <c r="I323" s="471" t="n"/>
      <c r="J323" s="417" t="n">
        <v>179.9999999999991</v>
      </c>
    </row>
    <row r="324">
      <c r="B324" s="34" t="inlineStr">
        <is>
          <t>Accounts receivable, EOP</t>
        </is>
      </c>
      <c r="E324" s="417" t="n">
        <v>484.8</v>
      </c>
      <c r="F324" s="417" t="n">
        <v>443.7</v>
      </c>
      <c r="G324" s="173" t="n"/>
      <c r="H324" s="471" t="n"/>
      <c r="I324" s="471" t="n"/>
      <c r="J324" s="417" t="n">
        <v>443.7</v>
      </c>
    </row>
    <row r="325">
      <c r="B325" s="34" t="inlineStr">
        <is>
          <t>Other current assets, EOP</t>
        </is>
      </c>
      <c r="E325" s="417" t="n">
        <v>195.1</v>
      </c>
      <c r="F325" s="417" t="n">
        <v>213.1</v>
      </c>
      <c r="G325" s="173" t="n"/>
      <c r="H325" s="471" t="n"/>
      <c r="I325" s="471" t="n"/>
      <c r="J325" s="417" t="n">
        <v>213.1</v>
      </c>
    </row>
    <row r="326">
      <c r="B326" s="34" t="inlineStr">
        <is>
          <t>PP&amp;E</t>
        </is>
      </c>
      <c r="E326" s="417" t="n">
        <v>87.8</v>
      </c>
      <c r="F326" s="417" t="n">
        <v>85.2</v>
      </c>
      <c r="G326" s="173" t="n"/>
      <c r="H326" s="471" t="n"/>
      <c r="I326" s="471" t="n">
        <v>300</v>
      </c>
      <c r="J326" s="417" t="n">
        <v>385.2</v>
      </c>
    </row>
    <row r="327">
      <c r="B327" s="34" t="inlineStr">
        <is>
          <t>Software development costs</t>
        </is>
      </c>
      <c r="E327" s="417" t="n">
        <v>244.7</v>
      </c>
      <c r="F327" s="417" t="n">
        <v>271.4</v>
      </c>
      <c r="G327" s="173" t="n"/>
      <c r="H327" s="471" t="n"/>
      <c r="I327" s="471" t="n"/>
      <c r="J327" s="417" t="n">
        <v>271.4</v>
      </c>
    </row>
    <row r="328">
      <c r="B328" s="34" t="inlineStr">
        <is>
          <t>Intangible assets</t>
        </is>
      </c>
      <c r="E328" s="417" t="n">
        <v>257.5</v>
      </c>
      <c r="F328" s="417" t="n">
        <v>189.8</v>
      </c>
      <c r="G328" s="471" t="n">
        <v>69.68916500000003</v>
      </c>
      <c r="H328" s="471" t="n"/>
      <c r="I328" s="471" t="n">
        <v>200</v>
      </c>
      <c r="J328" s="417" t="n">
        <v>459.4891650000001</v>
      </c>
    </row>
    <row r="329">
      <c r="B329" s="34" t="inlineStr">
        <is>
          <t>Goodwill and other assets</t>
        </is>
      </c>
      <c r="E329" s="428" t="n">
        <v>1940.3</v>
      </c>
      <c r="F329" s="428" t="n">
        <v>1935.2</v>
      </c>
      <c r="G329" s="263" t="n"/>
      <c r="H329" s="499" t="n"/>
      <c r="I329" s="265" t="n">
        <v>5536.653639577004</v>
      </c>
      <c r="J329" s="428" t="n">
        <v>7471.853639577004</v>
      </c>
    </row>
    <row r="330">
      <c r="B330" s="383" t="inlineStr">
        <is>
          <t>Total Assets</t>
        </is>
      </c>
      <c r="E330" s="421" t="n">
        <v>4845.799999999999</v>
      </c>
      <c r="F330" s="421" t="n">
        <v>4720.3</v>
      </c>
      <c r="G330" s="173" t="n"/>
      <c r="H330" s="173" t="n"/>
      <c r="I330" s="173" t="n"/>
      <c r="J330" s="421" t="n">
        <v>9424.742804577003</v>
      </c>
    </row>
    <row r="331">
      <c r="E331" s="140" t="n"/>
      <c r="F331" s="140" t="n"/>
      <c r="G331" s="173" t="n"/>
      <c r="H331" s="173" t="n"/>
      <c r="I331" s="173" t="n"/>
    </row>
    <row r="332">
      <c r="B332" s="34" t="inlineStr">
        <is>
          <t>Accounts payable, EOP</t>
        </is>
      </c>
      <c r="E332" s="417" t="n">
        <v>32.7</v>
      </c>
      <c r="F332" s="417" t="n">
        <v>42.1</v>
      </c>
      <c r="G332" s="173" t="n"/>
      <c r="H332" s="471" t="n"/>
      <c r="I332" s="471" t="n"/>
      <c r="J332" s="417" t="n">
        <v>42.1</v>
      </c>
    </row>
    <row r="333">
      <c r="B333" s="34" t="inlineStr">
        <is>
          <t>Accrued expenses &amp; def revenues, EOP</t>
        </is>
      </c>
      <c r="E333" s="417" t="n">
        <v>2313.3</v>
      </c>
      <c r="F333" s="417" t="n">
        <v>2301.7</v>
      </c>
      <c r="G333" s="173" t="n"/>
      <c r="H333" s="471" t="n"/>
      <c r="I333" s="471" t="n"/>
      <c r="J333" s="417" t="n">
        <v>2301.7</v>
      </c>
    </row>
    <row r="334">
      <c r="B334" s="34" t="inlineStr">
        <is>
          <t>Other liabilities</t>
        </is>
      </c>
      <c r="E334" s="417" t="n">
        <v>232.4</v>
      </c>
      <c r="F334" s="417" t="n">
        <v>252</v>
      </c>
      <c r="G334" s="173" t="n"/>
      <c r="H334" s="471" t="n"/>
      <c r="I334" s="471" t="n">
        <v>113.2273895770039</v>
      </c>
      <c r="J334" s="417" t="n">
        <v>365.2273895770039</v>
      </c>
    </row>
    <row r="335">
      <c r="B335" s="34" t="inlineStr">
        <is>
          <t xml:space="preserve">Debt </t>
        </is>
      </c>
      <c r="E335" s="204" t="n">
        <v>821.6</v>
      </c>
      <c r="F335" s="432" t="n">
        <v>1306</v>
      </c>
      <c r="G335" s="471" t="n">
        <v>-1306</v>
      </c>
      <c r="H335" s="172" t="n">
        <v>5190.276000000002</v>
      </c>
      <c r="I335" s="173" t="n"/>
      <c r="J335" s="417" t="n">
        <v>5190.276000000002</v>
      </c>
    </row>
    <row r="336">
      <c r="B336" s="383" t="inlineStr">
        <is>
          <t>Total Liabilities</t>
        </is>
      </c>
      <c r="E336" s="421" t="n">
        <v>3400</v>
      </c>
      <c r="F336" s="421" t="n">
        <v>3901.8</v>
      </c>
      <c r="G336" s="173" t="n"/>
      <c r="H336" s="173" t="n"/>
      <c r="I336" s="173" t="n"/>
      <c r="J336" s="421"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17" t="n">
        <v>0</v>
      </c>
    </row>
    <row r="339">
      <c r="B339" s="34" t="inlineStr">
        <is>
          <t>Equity</t>
        </is>
      </c>
      <c r="E339" s="432" t="n">
        <v>1445.8</v>
      </c>
      <c r="F339" s="432" t="n">
        <v>818.5</v>
      </c>
      <c r="G339" s="471" t="n">
        <v>-6876.764775000001</v>
      </c>
      <c r="H339" s="172" t="n">
        <v>1660.277939999999</v>
      </c>
      <c r="I339" s="471" t="n">
        <v>5923.42625</v>
      </c>
      <c r="J339" s="417" t="n">
        <v>1525.439414999999</v>
      </c>
    </row>
    <row r="340">
      <c r="B340" s="383" t="inlineStr">
        <is>
          <t>Total equity</t>
        </is>
      </c>
      <c r="E340" s="57" t="n">
        <v>1445.8</v>
      </c>
      <c r="F340" s="57" t="n">
        <v>818.5</v>
      </c>
      <c r="J340" s="421" t="n">
        <v>1525.439414999999</v>
      </c>
    </row>
    <row r="341">
      <c r="B341" s="202" t="inlineStr">
        <is>
          <t>Balance check</t>
        </is>
      </c>
      <c r="E341" s="438" t="n">
        <v>0</v>
      </c>
      <c r="F341" s="438" t="n">
        <v>0</v>
      </c>
      <c r="G341" s="417" t="n"/>
      <c r="H341" s="140" t="n"/>
      <c r="J341" s="438" t="n">
        <v>-1.818989403545856e-12</v>
      </c>
    </row>
    <row r="342">
      <c r="B342" s="100" t="n"/>
      <c r="D342" s="100" t="n"/>
      <c r="E342" s="438" t="n"/>
      <c r="F342" s="438" t="n"/>
      <c r="G342" s="417" t="n"/>
      <c r="H342" s="140" t="n"/>
      <c r="J342" s="438" t="n"/>
    </row>
    <row r="343">
      <c r="B343" s="317" t="inlineStr">
        <is>
          <t>PRO FORMA BALANCE SHEET</t>
        </is>
      </c>
      <c r="D343" s="18" t="n"/>
      <c r="E343" s="500" t="n"/>
      <c r="F343" s="500" t="n"/>
      <c r="G343" s="428" t="n"/>
      <c r="H343" s="142" t="n"/>
      <c r="I343" s="15" t="n"/>
      <c r="J343" s="500"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17" t="n">
        <v>1635.6</v>
      </c>
      <c r="E346" s="417" t="n">
        <v>1581.9</v>
      </c>
      <c r="F346" s="417" t="n">
        <v>179.9999999999991</v>
      </c>
      <c r="G346" s="444" t="n">
        <v>180</v>
      </c>
      <c r="H346" s="444" t="n">
        <v>180</v>
      </c>
      <c r="I346" s="444" t="n">
        <v>180</v>
      </c>
      <c r="J346" s="444" t="n">
        <v>180</v>
      </c>
      <c r="K346" s="444" t="n">
        <v>180.0000000000002</v>
      </c>
    </row>
    <row r="347">
      <c r="B347" s="34" t="inlineStr">
        <is>
          <t>Accounts receivable, EOP</t>
        </is>
      </c>
      <c r="D347" s="417" t="n">
        <v>484.8</v>
      </c>
      <c r="E347" s="417" t="n">
        <v>443.7</v>
      </c>
      <c r="F347" s="417" t="n">
        <v>443.7</v>
      </c>
      <c r="G347" s="444" t="n">
        <v>459.2295</v>
      </c>
      <c r="H347" s="444" t="n">
        <v>484.4871225</v>
      </c>
      <c r="I347" s="444" t="n">
        <v>513.5563498500001</v>
      </c>
      <c r="J347" s="444" t="n">
        <v>539.2341673425001</v>
      </c>
      <c r="K347" s="444" t="n">
        <v>565.1174073749401</v>
      </c>
    </row>
    <row r="348">
      <c r="B348" s="34" t="inlineStr">
        <is>
          <t>Other current assets, EOP</t>
        </is>
      </c>
      <c r="D348" s="417" t="n">
        <v>195.1</v>
      </c>
      <c r="E348" s="417" t="n">
        <v>213.1</v>
      </c>
      <c r="F348" s="417" t="n">
        <v>213.1</v>
      </c>
      <c r="G348" s="444" t="n">
        <v>220.5585</v>
      </c>
      <c r="H348" s="444" t="n">
        <v>232.6892175</v>
      </c>
      <c r="I348" s="444" t="n">
        <v>246.65057055</v>
      </c>
      <c r="J348" s="444" t="n">
        <v>258.9830990775</v>
      </c>
      <c r="K348" s="444" t="n">
        <v>271.41428783322</v>
      </c>
    </row>
    <row r="349">
      <c r="B349" s="34" t="inlineStr">
        <is>
          <t>PP&amp;E</t>
        </is>
      </c>
      <c r="D349" s="417" t="n">
        <v>87.8</v>
      </c>
      <c r="E349" s="417" t="n">
        <v>85.2</v>
      </c>
      <c r="F349" s="417" t="n">
        <v>385.2</v>
      </c>
      <c r="G349" s="444" t="n">
        <v>343.1444897959184</v>
      </c>
      <c r="H349" s="444" t="n">
        <v>303.4073469387755</v>
      </c>
      <c r="I349" s="444" t="n">
        <v>266.4522448979592</v>
      </c>
      <c r="J349" s="444" t="n">
        <v>233.090612244898</v>
      </c>
      <c r="K349" s="444" t="n">
        <v>203.090612244898</v>
      </c>
    </row>
    <row r="350">
      <c r="B350" s="34" t="inlineStr">
        <is>
          <t>Software development costs</t>
        </is>
      </c>
      <c r="D350" s="417" t="n">
        <v>244.7</v>
      </c>
      <c r="E350" s="417" t="n">
        <v>271.4</v>
      </c>
      <c r="F350" s="417" t="n">
        <v>271.4</v>
      </c>
      <c r="G350" s="444" t="n">
        <v>286.5086419753086</v>
      </c>
      <c r="H350" s="444" t="n">
        <v>297.6447530864197</v>
      </c>
      <c r="I350" s="444" t="n">
        <v>305.199074074074</v>
      </c>
      <c r="J350" s="444" t="n">
        <v>309.3669753086419</v>
      </c>
      <c r="K350" s="444" t="n">
        <v>309.3669753086418</v>
      </c>
    </row>
    <row r="351">
      <c r="B351" s="34" t="inlineStr">
        <is>
          <t>Intangible assets</t>
        </is>
      </c>
      <c r="D351" s="417" t="n">
        <v>257.5</v>
      </c>
      <c r="E351" s="417" t="n">
        <v>189.8</v>
      </c>
      <c r="F351" s="417" t="n">
        <v>459.4891650000001</v>
      </c>
      <c r="G351" s="444" t="n">
        <v>436.4918429166667</v>
      </c>
      <c r="H351" s="444" t="n">
        <v>413.4945208333334</v>
      </c>
      <c r="I351" s="444" t="n">
        <v>390.4971987500001</v>
      </c>
      <c r="J351" s="444" t="n">
        <v>367.4998766666666</v>
      </c>
      <c r="K351" s="444" t="n">
        <v>344.5025545833333</v>
      </c>
    </row>
    <row r="352">
      <c r="B352" s="34" t="inlineStr">
        <is>
          <t>Goodwill and other assets</t>
        </is>
      </c>
      <c r="D352" s="428" t="n">
        <v>1940.3</v>
      </c>
      <c r="E352" s="428" t="n">
        <v>1935.2</v>
      </c>
      <c r="F352" s="428" t="n">
        <v>7471.853639577004</v>
      </c>
      <c r="G352" s="501" t="n">
        <v>7471.853639577004</v>
      </c>
      <c r="H352" s="501" t="n">
        <v>7471.853639577004</v>
      </c>
      <c r="I352" s="501" t="n">
        <v>7471.853639577004</v>
      </c>
      <c r="J352" s="501" t="n">
        <v>7471.853639577004</v>
      </c>
      <c r="K352" s="501" t="n">
        <v>7471.853639577004</v>
      </c>
    </row>
    <row r="353">
      <c r="B353" s="193" t="inlineStr">
        <is>
          <t>Total Assets</t>
        </is>
      </c>
      <c r="D353" s="421" t="n">
        <v>4845.799999999999</v>
      </c>
      <c r="E353" s="421" t="n">
        <v>4720.3</v>
      </c>
      <c r="F353" s="421" t="n">
        <v>9424.742804577003</v>
      </c>
      <c r="G353" s="502" t="n">
        <v>9397.786614264898</v>
      </c>
      <c r="H353" s="502" t="n">
        <v>9383.576600435532</v>
      </c>
      <c r="I353" s="502" t="n">
        <v>9374.209077699037</v>
      </c>
      <c r="J353" s="502" t="n">
        <v>9360.028370217211</v>
      </c>
      <c r="K353" s="502" t="n">
        <v>9345.345476922037</v>
      </c>
    </row>
    <row r="354">
      <c r="B354" s="34" t="n"/>
      <c r="D354" s="417" t="n"/>
      <c r="E354" s="417" t="n"/>
      <c r="F354" s="417" t="n"/>
      <c r="G354" s="444" t="n"/>
      <c r="H354" s="444" t="n"/>
      <c r="I354" s="444" t="n"/>
      <c r="J354" s="444" t="n"/>
      <c r="K354" s="444" t="n"/>
    </row>
    <row r="355">
      <c r="B355" s="34" t="inlineStr">
        <is>
          <t>Accounts payable, EOP</t>
        </is>
      </c>
      <c r="D355" s="417" t="n">
        <v>32.7</v>
      </c>
      <c r="E355" s="417" t="n">
        <v>42.1</v>
      </c>
      <c r="F355" s="417" t="n">
        <v>42.1</v>
      </c>
      <c r="G355" s="444" t="n">
        <v>41.35985068829212</v>
      </c>
      <c r="H355" s="444" t="n">
        <v>42.77992582446322</v>
      </c>
      <c r="I355" s="444" t="n">
        <v>44.44072172314495</v>
      </c>
      <c r="J355" s="444" t="n">
        <v>45.71145817597682</v>
      </c>
      <c r="K355" s="444" t="n">
        <v>46.90864615269874</v>
      </c>
    </row>
    <row r="356">
      <c r="B356" s="34" t="inlineStr">
        <is>
          <t>Accrued expenses &amp; def revenues, EOP</t>
        </is>
      </c>
      <c r="D356" s="417" t="n">
        <v>2313.3</v>
      </c>
      <c r="E356" s="417" t="n">
        <v>2301.7</v>
      </c>
      <c r="F356" s="417" t="n">
        <v>2301.7</v>
      </c>
      <c r="G356" s="444" t="n">
        <v>2382.2595</v>
      </c>
      <c r="H356" s="444" t="n">
        <v>2513.283772499999</v>
      </c>
      <c r="I356" s="444" t="n">
        <v>2664.08079885</v>
      </c>
      <c r="J356" s="444" t="n">
        <v>2797.2848387925</v>
      </c>
      <c r="K356" s="444" t="n">
        <v>2931.55451105454</v>
      </c>
    </row>
    <row r="357">
      <c r="B357" s="34" t="inlineStr">
        <is>
          <t>Other liabilities</t>
        </is>
      </c>
      <c r="D357" s="417" t="n">
        <v>232.4</v>
      </c>
      <c r="E357" s="417" t="n">
        <v>252</v>
      </c>
      <c r="F357" s="417" t="n">
        <v>365.2273895770039</v>
      </c>
      <c r="G357" s="444" t="n">
        <v>355.4143491469969</v>
      </c>
      <c r="H357" s="444" t="n">
        <v>345.6013087169899</v>
      </c>
      <c r="I357" s="444" t="n">
        <v>335.7882682869829</v>
      </c>
      <c r="J357" s="444" t="n">
        <v>325.9752278569759</v>
      </c>
      <c r="K357" s="444" t="n">
        <v>316.1621874269689</v>
      </c>
    </row>
    <row r="358">
      <c r="B358" s="34" t="inlineStr">
        <is>
          <t xml:space="preserve">Debt </t>
        </is>
      </c>
      <c r="D358" s="417" t="n">
        <v>821.6</v>
      </c>
      <c r="E358" s="417" t="n">
        <v>1306</v>
      </c>
      <c r="F358" s="417" t="n">
        <v>5190.276000000002</v>
      </c>
      <c r="G358" s="444" t="n">
        <v>4779.353838835204</v>
      </c>
      <c r="H358" s="444" t="n">
        <v>4260.14190032703</v>
      </c>
      <c r="I358" s="444" t="n">
        <v>3651.402983170007</v>
      </c>
      <c r="J358" s="444" t="n">
        <v>2978.254961822547</v>
      </c>
      <c r="K358" s="444" t="n">
        <v>2213.672731091117</v>
      </c>
    </row>
    <row r="359">
      <c r="B359" s="34" t="inlineStr">
        <is>
          <t>Total Liabilities</t>
        </is>
      </c>
      <c r="D359" s="421" t="n">
        <v>3400</v>
      </c>
      <c r="E359" s="421" t="n">
        <v>3901.8</v>
      </c>
      <c r="F359" s="421" t="n">
        <v>7899.303389577006</v>
      </c>
      <c r="G359" s="502" t="n">
        <v>7558.387538670493</v>
      </c>
      <c r="H359" s="502" t="n">
        <v>7161.806907368483</v>
      </c>
      <c r="I359" s="502" t="n">
        <v>6695.712772030135</v>
      </c>
      <c r="J359" s="502" t="n">
        <v>6147.226486648</v>
      </c>
      <c r="K359" s="502" t="n">
        <v>5508.298075725324</v>
      </c>
    </row>
    <row r="360">
      <c r="B360" s="34" t="n"/>
      <c r="D360" s="417" t="n"/>
      <c r="E360" s="417" t="n"/>
      <c r="F360" s="417" t="n"/>
      <c r="G360" s="444" t="n"/>
      <c r="H360" s="444" t="n"/>
      <c r="I360" s="444" t="n"/>
      <c r="J360" s="444" t="n"/>
      <c r="K360" s="444" t="n"/>
    </row>
    <row r="361">
      <c r="B361" s="34" t="inlineStr">
        <is>
          <t>LBO Preferred stock</t>
        </is>
      </c>
      <c r="D361" s="503" t="inlineStr">
        <is>
          <t>NM</t>
        </is>
      </c>
      <c r="E361" s="503" t="inlineStr">
        <is>
          <t>NM</t>
        </is>
      </c>
      <c r="F361" s="417" t="n">
        <v>0</v>
      </c>
      <c r="G361" s="444" t="n">
        <v>0</v>
      </c>
      <c r="H361" s="444" t="n">
        <v>0</v>
      </c>
      <c r="I361" s="444" t="n">
        <v>0</v>
      </c>
      <c r="J361" s="444" t="n">
        <v>0</v>
      </c>
      <c r="K361" s="444" t="n">
        <v>0</v>
      </c>
    </row>
    <row r="362">
      <c r="B362" s="34" t="inlineStr">
        <is>
          <t>Equity</t>
        </is>
      </c>
      <c r="D362" s="503" t="n">
        <v>1445.8</v>
      </c>
      <c r="E362" s="503" t="n">
        <v>818.5</v>
      </c>
      <c r="F362" s="417" t="n">
        <v>1525.439414999999</v>
      </c>
      <c r="G362" s="444" t="n">
        <v>1839.399075594405</v>
      </c>
      <c r="H362" s="444" t="n">
        <v>2221.76969306705</v>
      </c>
      <c r="I362" s="444" t="n">
        <v>2678.496305668903</v>
      </c>
      <c r="J362" s="444" t="n">
        <v>3212.801883569212</v>
      </c>
      <c r="K362" s="444" t="n">
        <v>3837.047401196713</v>
      </c>
    </row>
    <row r="363">
      <c r="B363" s="34" t="inlineStr">
        <is>
          <t>Total equity</t>
        </is>
      </c>
      <c r="D363" s="421" t="n">
        <v>1445.8</v>
      </c>
      <c r="E363" s="421" t="n">
        <v>818.5</v>
      </c>
      <c r="F363" s="421" t="n">
        <v>1525.439414999999</v>
      </c>
      <c r="G363" s="421" t="n">
        <v>1839.399075594405</v>
      </c>
      <c r="H363" s="421" t="n">
        <v>2221.76969306705</v>
      </c>
      <c r="I363" s="421" t="n">
        <v>2678.496305668903</v>
      </c>
      <c r="J363" s="421" t="n">
        <v>3212.801883569212</v>
      </c>
      <c r="K363" s="421" t="n">
        <v>3837.047401196713</v>
      </c>
    </row>
    <row r="364">
      <c r="B364" s="34" t="inlineStr">
        <is>
          <t>Balance check</t>
        </is>
      </c>
      <c r="D364" s="417" t="n">
        <v>0</v>
      </c>
      <c r="E364" s="417" t="n">
        <v>0</v>
      </c>
      <c r="F364" s="417" t="n">
        <v>-1.818989403545856e-12</v>
      </c>
      <c r="G364" s="417" t="n">
        <v>0</v>
      </c>
      <c r="H364" s="417" t="n">
        <v>0</v>
      </c>
      <c r="I364" s="417" t="n">
        <v>0</v>
      </c>
      <c r="J364" s="417" t="n">
        <v>0</v>
      </c>
      <c r="K364" s="417" t="n">
        <v>0</v>
      </c>
    </row>
    <row r="365">
      <c r="G365" s="417" t="n"/>
      <c r="H365" s="417" t="n"/>
      <c r="I365" s="417" t="n"/>
      <c r="J365" s="417" t="n"/>
    </row>
    <row r="366">
      <c r="B366" s="383" t="inlineStr">
        <is>
          <t>Equity, BOP</t>
        </is>
      </c>
      <c r="C366" s="383" t="n"/>
      <c r="D366" s="383" t="n"/>
      <c r="E366" s="383" t="n"/>
      <c r="F366" s="383" t="n"/>
      <c r="G366" s="421" t="n">
        <v>1525.439414999999</v>
      </c>
      <c r="H366" s="421" t="n">
        <v>1839.399075594405</v>
      </c>
      <c r="I366" s="421" t="n">
        <v>2221.76969306705</v>
      </c>
      <c r="J366" s="421" t="n">
        <v>2678.496305668903</v>
      </c>
      <c r="K366" s="421" t="n">
        <v>3212.801883569212</v>
      </c>
    </row>
    <row r="367">
      <c r="B367" s="34" t="inlineStr">
        <is>
          <t>Plus: Net income</t>
        </is>
      </c>
      <c r="G367" s="417" t="n">
        <v>152.9049237669344</v>
      </c>
      <c r="H367" s="417" t="n">
        <v>220.2885263074797</v>
      </c>
      <c r="I367" s="417" t="n">
        <v>293.02899231211</v>
      </c>
      <c r="J367" s="417" t="n">
        <v>370.7372885842398</v>
      </c>
      <c r="K367" s="417" t="n">
        <v>461.3289590130379</v>
      </c>
    </row>
    <row r="368">
      <c r="B368" s="34" t="inlineStr">
        <is>
          <t>Less: Dividends</t>
        </is>
      </c>
      <c r="G368" s="417" t="n">
        <v>0</v>
      </c>
      <c r="H368" s="417" t="n">
        <v>0</v>
      </c>
      <c r="I368" s="417" t="n">
        <v>0</v>
      </c>
      <c r="J368" s="417" t="n">
        <v>0</v>
      </c>
      <c r="K368" s="417" t="n">
        <v>0</v>
      </c>
    </row>
    <row r="369">
      <c r="B369" s="34" t="inlineStr">
        <is>
          <t>Plus: SBC</t>
        </is>
      </c>
      <c r="G369" s="417" t="n">
        <v>161.0547368274718</v>
      </c>
      <c r="H369" s="417" t="n">
        <v>162.0820911651659</v>
      </c>
      <c r="I369" s="417" t="n">
        <v>163.6976202897424</v>
      </c>
      <c r="J369" s="417" t="n">
        <v>163.5682893160696</v>
      </c>
      <c r="K369" s="417" t="n">
        <v>162.9165586144626</v>
      </c>
    </row>
    <row r="370">
      <c r="B370" s="193" t="inlineStr">
        <is>
          <t>Equity, EOP</t>
        </is>
      </c>
      <c r="C370" s="383" t="n"/>
      <c r="D370" s="383" t="n"/>
      <c r="E370" s="383" t="n"/>
      <c r="F370" s="383" t="n"/>
      <c r="G370" s="421" t="n">
        <v>1839.399075594405</v>
      </c>
      <c r="H370" s="421" t="n">
        <v>2221.76969306705</v>
      </c>
      <c r="I370" s="421" t="n">
        <v>2678.496305668903</v>
      </c>
      <c r="J370" s="421" t="n">
        <v>3212.801883569212</v>
      </c>
      <c r="K370" s="421"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02" t="n"/>
    </row>
    <row r="378">
      <c r="B378" s="73" t="inlineStr">
        <is>
          <t>Book value of equity</t>
        </is>
      </c>
      <c r="C378" s="417" t="n">
        <v>818.5</v>
      </c>
      <c r="D378" s="380" t="inlineStr">
        <is>
          <t>Input write-up</t>
        </is>
      </c>
      <c r="E378" s="380" t="inlineStr">
        <is>
          <t>Useful life</t>
        </is>
      </c>
      <c r="G378" s="140" t="n"/>
    </row>
    <row r="379">
      <c r="B379" s="34" t="inlineStr">
        <is>
          <t>PP&amp;E write up</t>
        </is>
      </c>
      <c r="C379" s="504" t="n">
        <v>300</v>
      </c>
      <c r="D379" s="505" t="n">
        <v>300</v>
      </c>
      <c r="E379" s="506" t="n">
        <v>10</v>
      </c>
    </row>
    <row r="380">
      <c r="B380" s="34" t="inlineStr">
        <is>
          <t>Intangible asset write up</t>
        </is>
      </c>
      <c r="C380" s="507" t="n">
        <v>200</v>
      </c>
      <c r="D380" s="505" t="n">
        <v>200</v>
      </c>
      <c r="E380" s="506" t="n">
        <v>15</v>
      </c>
    </row>
    <row r="381">
      <c r="B381" s="34" t="inlineStr">
        <is>
          <t>Total write-ups</t>
        </is>
      </c>
      <c r="C381" s="444" t="n">
        <v>500</v>
      </c>
      <c r="E381" s="508" t="n"/>
    </row>
    <row r="382">
      <c r="B382" s="34" t="inlineStr">
        <is>
          <t xml:space="preserve">DTLs created </t>
        </is>
      </c>
      <c r="C382" s="447" t="n">
        <v>113.2273895770039</v>
      </c>
    </row>
    <row r="383">
      <c r="B383" t="inlineStr">
        <is>
          <t>Fari market value</t>
        </is>
      </c>
      <c r="C383" s="417"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09" t="n">
        <v>30</v>
      </c>
      <c r="G391" s="417" t="n">
        <v>270</v>
      </c>
      <c r="H391" s="417" t="n">
        <v>240</v>
      </c>
      <c r="I391" s="417" t="n">
        <v>210</v>
      </c>
      <c r="J391" s="417" t="n">
        <v>180</v>
      </c>
      <c r="K391" s="417" t="n">
        <v>150</v>
      </c>
    </row>
    <row r="392">
      <c r="B392" t="inlineStr">
        <is>
          <t>Intangible assets</t>
        </is>
      </c>
      <c r="D392" s="384" t="inlineStr">
        <is>
          <t>Incremental amort:</t>
        </is>
      </c>
      <c r="E392" s="509" t="n">
        <v>13.33333333333333</v>
      </c>
      <c r="G392" s="417" t="n">
        <v>186.6666666666667</v>
      </c>
      <c r="H392" s="417" t="n">
        <v>173.3333333333333</v>
      </c>
      <c r="I392" s="417" t="n">
        <v>160</v>
      </c>
      <c r="J392" s="417" t="n">
        <v>146.6666666666666</v>
      </c>
      <c r="K392" s="417" t="n">
        <v>133.3333333333333</v>
      </c>
    </row>
    <row r="393">
      <c r="B393" t="inlineStr">
        <is>
          <t>Deferred tax liabilities</t>
        </is>
      </c>
      <c r="D393" s="384" t="inlineStr">
        <is>
          <t>Annual reduction:</t>
        </is>
      </c>
      <c r="E393" s="510" t="n">
        <v>9.813040430007005</v>
      </c>
      <c r="G393" s="417" t="n">
        <v>103.4143491469969</v>
      </c>
      <c r="H393" s="417" t="n">
        <v>93.60130871698989</v>
      </c>
      <c r="I393" s="417" t="n">
        <v>83.78826828698288</v>
      </c>
      <c r="J393" s="417" t="n">
        <v>73.97522785697588</v>
      </c>
      <c r="K393" s="417"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ZoomInfo (GTM) — LBOMODEL1</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11" t="n">
        <v>5.3875</v>
      </c>
    </row>
    <row r="7">
      <c r="B7" s="84" t="inlineStr">
        <is>
          <t>Latest closing share price date</t>
        </is>
      </c>
      <c r="C7" s="84" t="n">
        <v>46246</v>
      </c>
    </row>
    <row r="8">
      <c r="B8" s="84" t="inlineStr">
        <is>
          <t>Latest basic share count</t>
        </is>
      </c>
      <c r="C8" s="512" t="n">
        <v>292.312</v>
      </c>
    </row>
    <row r="9">
      <c r="B9" s="84" t="inlineStr">
        <is>
          <t>Weighted average cost of capital</t>
        </is>
      </c>
      <c r="C9" s="513" t="n">
        <v>0.0815</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2023</v>
      </c>
      <c r="D12" s="270" t="n">
        <v>2024</v>
      </c>
      <c r="E12" s="270" t="n">
        <v>2025</v>
      </c>
      <c r="F12" s="157" t="n">
        <v>2026</v>
      </c>
      <c r="G12" s="157" t="n">
        <v>2027</v>
      </c>
      <c r="H12" s="157" t="n">
        <v>2028</v>
      </c>
      <c r="I12" s="157" t="n">
        <v>2029</v>
      </c>
      <c r="J12" s="157" t="n">
        <v>2030</v>
      </c>
    </row>
    <row r="13">
      <c r="B13" s="18" t="inlineStr">
        <is>
          <t>Fiscal year end date</t>
        </is>
      </c>
      <c r="C13" s="39" t="n">
        <v>45291</v>
      </c>
      <c r="D13" s="39" t="n">
        <v>45657</v>
      </c>
      <c r="E13" s="39" t="n">
        <v>46022</v>
      </c>
      <c r="F13" s="39" t="n">
        <v>46387</v>
      </c>
      <c r="G13" s="39" t="n">
        <v>46752</v>
      </c>
      <c r="H13" s="39" t="n">
        <v>47118</v>
      </c>
      <c r="I13" s="39" t="n">
        <v>47483</v>
      </c>
      <c r="J13" s="39" t="n">
        <v>47848</v>
      </c>
    </row>
    <row r="14">
      <c r="B14" s="70" t="n"/>
      <c r="F14" s="418" t="n"/>
      <c r="G14" s="418" t="n"/>
      <c r="H14" s="418" t="n"/>
      <c r="I14" s="418" t="n"/>
      <c r="J14" s="418" t="n"/>
    </row>
    <row r="15">
      <c r="B15" t="inlineStr">
        <is>
          <t>EBITDA</t>
        </is>
      </c>
      <c r="C15" s="162" t="n">
        <v>340.1</v>
      </c>
      <c r="D15" s="162" t="n">
        <v>183.1</v>
      </c>
      <c r="E15" s="162" t="n">
        <v>314.5</v>
      </c>
      <c r="F15" s="162" t="n">
        <v>359.6</v>
      </c>
      <c r="G15" s="162" t="n">
        <v>398</v>
      </c>
      <c r="H15" s="162" t="n">
        <v>439.4</v>
      </c>
      <c r="I15" s="162" t="n">
        <v>464.4</v>
      </c>
      <c r="J15" s="162" t="n">
        <v>478.4</v>
      </c>
    </row>
    <row r="16">
      <c r="B16" t="inlineStr">
        <is>
          <t>EBIT</t>
        </is>
      </c>
      <c r="C16" s="162" t="n">
        <v>259.5</v>
      </c>
      <c r="D16" s="162" t="n">
        <v>97.40000000000001</v>
      </c>
      <c r="E16" s="162" t="n">
        <v>225.7</v>
      </c>
      <c r="F16" s="162" t="n">
        <v>267.2</v>
      </c>
      <c r="G16" s="162" t="n">
        <v>301</v>
      </c>
      <c r="H16" s="162" t="n">
        <v>337.6</v>
      </c>
      <c r="I16" s="162" t="n">
        <v>358.5</v>
      </c>
      <c r="J16" s="162" t="n">
        <v>369.3</v>
      </c>
    </row>
    <row r="17">
      <c r="B17" t="inlineStr">
        <is>
          <t>tax rate</t>
        </is>
      </c>
      <c r="C17" s="514" t="n">
        <v>0.21</v>
      </c>
      <c r="D17" s="514" t="n">
        <v>0.21</v>
      </c>
      <c r="E17" s="514" t="n">
        <v>0.21</v>
      </c>
      <c r="F17" s="514" t="n">
        <v>0.21</v>
      </c>
      <c r="G17" s="514" t="n">
        <v>0.21</v>
      </c>
      <c r="H17" s="514" t="n">
        <v>0.21</v>
      </c>
      <c r="I17" s="514" t="n">
        <v>0.21</v>
      </c>
      <c r="J17" s="514" t="n">
        <v>0.21</v>
      </c>
    </row>
    <row r="18">
      <c r="B18" s="383" t="inlineStr">
        <is>
          <t>EBIAT (NOPAT)</t>
        </is>
      </c>
      <c r="C18" s="71" t="n">
        <v>205</v>
      </c>
      <c r="D18" s="71" t="n">
        <v>76.90000000000001</v>
      </c>
      <c r="E18" s="71" t="n">
        <v>178.3</v>
      </c>
      <c r="F18" s="71" t="n">
        <v>211.1</v>
      </c>
      <c r="G18" s="71" t="n">
        <v>237.8</v>
      </c>
      <c r="H18" s="71" t="n">
        <v>266.7</v>
      </c>
      <c r="I18" s="71" t="n">
        <v>283.2</v>
      </c>
      <c r="J18" s="71" t="n">
        <v>291.7</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18" t="n">
        <v>0.1542705605176367</v>
      </c>
      <c r="H28" s="418" t="n">
        <v>0.1085888635914201</v>
      </c>
      <c r="I28" s="418" t="n">
        <v>0.05807701376842789</v>
      </c>
      <c r="J28" s="418" t="n">
        <v>0.07634536632355293</v>
      </c>
    </row>
    <row r="29">
      <c r="B29" s="202" t="n"/>
      <c r="G29" s="418" t="n"/>
      <c r="H29" s="418" t="n"/>
      <c r="I29" s="418" t="n"/>
      <c r="J29" s="418" t="n"/>
    </row>
    <row r="30">
      <c r="B30" s="73" t="inlineStr">
        <is>
          <t>Discount factor</t>
        </is>
      </c>
      <c r="F30" s="420" t="n">
        <v>0.9027777777777778</v>
      </c>
      <c r="G30" s="420" t="n">
        <v>1.902777777777778</v>
      </c>
      <c r="H30" s="420" t="n">
        <v>2.902777777777778</v>
      </c>
      <c r="I30" s="420" t="n">
        <v>3.902777777777778</v>
      </c>
      <c r="J30" s="420" t="n">
        <v>4.902777777777778</v>
      </c>
    </row>
    <row r="31">
      <c r="B31" t="inlineStr">
        <is>
          <t>Assume cash flows are generated at:</t>
        </is>
      </c>
      <c r="C31" s="97" t="inlineStr">
        <is>
          <t>Middle of period</t>
        </is>
      </c>
      <c r="G31" s="420" t="n"/>
      <c r="H31" s="420" t="n"/>
      <c r="I31" s="420" t="n"/>
      <c r="J31" s="420" t="n"/>
    </row>
    <row r="32">
      <c r="B32" t="inlineStr">
        <is>
          <t>Midperiod adjustment factor</t>
        </is>
      </c>
      <c r="C32" s="515"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18"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478.4</v>
      </c>
    </row>
    <row r="37">
      <c r="B37" t="inlineStr">
        <is>
          <t>Long term growth rate (g)</t>
        </is>
      </c>
      <c r="C37" s="53" t="n">
        <v>0</v>
      </c>
      <c r="E37" t="inlineStr">
        <is>
          <t>Terminal value EBITDA multiple</t>
        </is>
      </c>
      <c r="J37" s="412" t="n">
        <v>8</v>
      </c>
      <c r="K37" s="411"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16" t="n">
        <v>10.13968430553018</v>
      </c>
      <c r="E42" s="100" t="inlineStr">
        <is>
          <t>Implied TV perpetual growth rate</t>
        </is>
      </c>
      <c r="F42" s="100" t="n"/>
      <c r="G42" s="100" t="n"/>
      <c r="H42" s="100" t="n"/>
      <c r="I42" s="100" t="n"/>
      <c r="J42" s="441" t="n">
        <v>-0.02719181716452775</v>
      </c>
    </row>
    <row r="43">
      <c r="C43" s="57" t="n"/>
      <c r="J43" s="418"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75</v>
      </c>
      <c r="H45" s="400" t="inlineStr">
        <is>
          <t>LBO Offer</t>
        </is>
      </c>
      <c r="I45" s="400" t="inlineStr">
        <is>
          <t>Perpetuity</t>
        </is>
      </c>
      <c r="J45" s="400" t="inlineStr">
        <is>
          <t>EBITDA</t>
        </is>
      </c>
    </row>
    <row r="46">
      <c r="B46" t="inlineStr">
        <is>
          <t xml:space="preserve">Long term debt </t>
        </is>
      </c>
      <c r="C46" s="162" t="n">
        <v>1572.5</v>
      </c>
      <c r="E46" t="inlineStr">
        <is>
          <t>Enterprise value</t>
        </is>
      </c>
      <c r="H46" s="140" t="n"/>
      <c r="I46" s="140" t="n">
        <v>12383.20908684557</v>
      </c>
      <c r="J46" s="140" t="n">
        <v>9795.743710868554</v>
      </c>
    </row>
    <row r="47">
      <c r="B47" s="383" t="inlineStr">
        <is>
          <t>Net debt</t>
        </is>
      </c>
      <c r="C47" s="71" t="n">
        <v>1497.5</v>
      </c>
      <c r="E47" t="inlineStr">
        <is>
          <t>Less: Net debt</t>
        </is>
      </c>
      <c r="I47" s="140" t="n">
        <v>-5010.276000000003</v>
      </c>
      <c r="J47" s="140" t="n">
        <v>-5010.276000000003</v>
      </c>
    </row>
    <row r="48">
      <c r="C48" s="228" t="n"/>
      <c r="E48" s="383" t="inlineStr">
        <is>
          <t>Equity value</t>
        </is>
      </c>
      <c r="F48" s="383" t="n"/>
      <c r="G48" s="383" t="n"/>
      <c r="H48" s="399" t="n">
        <v>1574.8</v>
      </c>
      <c r="I48" s="57" t="n">
        <v>7372.933086845563</v>
      </c>
      <c r="J48" s="57" t="n">
        <v>4785.467710868551</v>
      </c>
    </row>
    <row r="49" ht="15.75" customHeight="1" s="244" thickBot="1">
      <c r="B49" s="63" t="inlineStr">
        <is>
          <t>Cost of capital assumptions</t>
        </is>
      </c>
      <c r="C49" s="93" t="n"/>
      <c r="E49" t="inlineStr">
        <is>
          <t>Diluted shares</t>
        </is>
      </c>
      <c r="H49" s="512" t="n">
        <v>292.312</v>
      </c>
      <c r="I49" s="517" t="n">
        <v>292.312</v>
      </c>
      <c r="J49" s="517" t="n">
        <v>292.312</v>
      </c>
    </row>
    <row r="50">
      <c r="B50" s="76" t="inlineStr">
        <is>
          <t>Cost of debt</t>
        </is>
      </c>
      <c r="C50" s="518" t="n">
        <v>0.07000000000000001</v>
      </c>
      <c r="E50" s="383" t="inlineStr">
        <is>
          <t>Equity value per share</t>
        </is>
      </c>
      <c r="H50" s="519" t="n">
        <v>5.3875</v>
      </c>
      <c r="I50" s="519" t="n">
        <v>50.57874302119625</v>
      </c>
      <c r="J50" s="519" t="n">
        <v>32.82858242889715</v>
      </c>
    </row>
    <row r="51">
      <c r="B51" t="inlineStr">
        <is>
          <t>Tax rate</t>
        </is>
      </c>
      <c r="C51" s="418" t="n">
        <v>0.21</v>
      </c>
      <c r="E51" s="100" t="inlineStr">
        <is>
          <t>Premium (discount) to LBO offer</t>
        </is>
      </c>
      <c r="H51" s="520" t="inlineStr">
        <is>
          <t>NM</t>
        </is>
      </c>
      <c r="I51" s="418" t="n">
        <v>0.09359444370154035</v>
      </c>
      <c r="J51" s="418" t="n">
        <v>-0.2901928123481697</v>
      </c>
    </row>
    <row r="52">
      <c r="B52" t="inlineStr">
        <is>
          <t>Debt and equivalents</t>
        </is>
      </c>
      <c r="C52" s="140" t="n">
        <v>1497.5</v>
      </c>
    </row>
    <row r="53">
      <c r="B53" t="inlineStr">
        <is>
          <t xml:space="preserve">Debt as a % of total capital </t>
        </is>
      </c>
      <c r="C53" s="521" t="n">
        <v>0.45</v>
      </c>
    </row>
    <row r="55">
      <c r="B55" t="inlineStr">
        <is>
          <t>Risk free rate</t>
        </is>
      </c>
      <c r="C55" s="414" t="n">
        <v>0.043</v>
      </c>
    </row>
    <row r="56">
      <c r="B56" t="inlineStr">
        <is>
          <t>Beta</t>
        </is>
      </c>
      <c r="C56" s="135" t="n">
        <v>1.2</v>
      </c>
    </row>
    <row r="57">
      <c r="B57" t="inlineStr">
        <is>
          <t>Market risk premium</t>
        </is>
      </c>
      <c r="C57" s="414" t="n">
        <v>0.05</v>
      </c>
    </row>
    <row r="58">
      <c r="B58" t="inlineStr">
        <is>
          <t xml:space="preserve">Equity as % of total capital structure </t>
        </is>
      </c>
      <c r="C58" s="418" t="n">
        <v>0.55</v>
      </c>
    </row>
    <row r="59">
      <c r="B59" t="inlineStr">
        <is>
          <t>Cost of capital (WACC)</t>
        </is>
      </c>
      <c r="C59" s="418" t="n">
        <v>0.0815</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22" t="n">
        <v>50.57874302119625</v>
      </c>
      <c r="D65" s="523" t="n">
        <v>0.02</v>
      </c>
      <c r="E65" s="524" t="n">
        <v>0.025</v>
      </c>
      <c r="F65" s="525" t="n">
        <v>0.03</v>
      </c>
      <c r="G65" s="524" t="n">
        <v>0.035</v>
      </c>
      <c r="H65" s="526" t="n">
        <v>0.03999999999999999</v>
      </c>
    </row>
    <row r="66">
      <c r="C66" s="117" t="n">
        <v>0.13</v>
      </c>
      <c r="D66" s="527" t="n">
        <v>16.21484649892585</v>
      </c>
      <c r="E66" s="527" t="n">
        <v>17.72262878709584</v>
      </c>
      <c r="F66" s="527" t="n">
        <v>19.38118930408283</v>
      </c>
      <c r="G66" s="527" t="n">
        <v>21.21433513864741</v>
      </c>
      <c r="H66" s="527" t="n">
        <v>23.25116384371916</v>
      </c>
    </row>
    <row r="67">
      <c r="C67" s="118" t="n">
        <v>0.12</v>
      </c>
      <c r="D67" s="527" t="n">
        <v>21.17084407877228</v>
      </c>
      <c r="E67" s="527" t="n">
        <v>23.07715436501025</v>
      </c>
      <c r="F67" s="527" t="n">
        <v>25.19527690527467</v>
      </c>
      <c r="G67" s="527" t="n">
        <v>27.562590332629</v>
      </c>
      <c r="H67" s="527" t="n">
        <v>30.22581793840264</v>
      </c>
    </row>
    <row r="68">
      <c r="B68" s="378" t="inlineStr">
        <is>
          <t>WACC:</t>
        </is>
      </c>
      <c r="C68" s="118" t="n">
        <v>0.11</v>
      </c>
      <c r="D68" s="527" t="n">
        <v>27.23096234006731</v>
      </c>
      <c r="E68" s="527" t="n">
        <v>29.69362414158428</v>
      </c>
      <c r="F68" s="527" t="n">
        <v>32.46411866829089</v>
      </c>
      <c r="G68" s="527" t="n">
        <v>35.60401246522503</v>
      </c>
      <c r="H68" s="527" t="n">
        <v>39.19246251886405</v>
      </c>
    </row>
    <row r="69">
      <c r="C69" s="118" t="n">
        <v>0.1</v>
      </c>
      <c r="D69" s="527" t="n">
        <v>34.80938263855841</v>
      </c>
      <c r="E69" s="527" t="n">
        <v>38.07690951359217</v>
      </c>
      <c r="F69" s="527" t="n">
        <v>41.81122594220219</v>
      </c>
      <c r="G69" s="527" t="n">
        <v>46.12005259059837</v>
      </c>
      <c r="H69" s="527" t="n">
        <v>51.14701701372724</v>
      </c>
    </row>
    <row r="70">
      <c r="C70" s="118" t="n">
        <v>0.09000000000000002</v>
      </c>
      <c r="D70" s="527" t="n">
        <v>44.55696853151758</v>
      </c>
      <c r="E70" s="527" t="n">
        <v>49.04257596668177</v>
      </c>
      <c r="F70" s="527" t="n">
        <v>54.27578464103998</v>
      </c>
      <c r="G70" s="527" t="n">
        <v>60.46048580164512</v>
      </c>
      <c r="H70" s="527" t="n">
        <v>67.88212719437132</v>
      </c>
    </row>
    <row r="71">
      <c r="C71" s="119" t="n">
        <v>0.08000000000000003</v>
      </c>
      <c r="D71" s="527" t="n">
        <v>57.55850136891461</v>
      </c>
      <c r="E71" s="527" t="n">
        <v>63.99933238889363</v>
      </c>
      <c r="F71" s="527" t="n">
        <v>71.72832961286849</v>
      </c>
      <c r="G71" s="527" t="n">
        <v>81.17488177550437</v>
      </c>
      <c r="H71" s="527" t="n">
        <v>92.98307197879927</v>
      </c>
    </row>
    <row r="72">
      <c r="D72" s="527" t="n"/>
      <c r="E72" s="527" t="n"/>
      <c r="F72" s="527" t="n"/>
      <c r="G72" s="527" t="n"/>
      <c r="H72" s="527"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28" t="n">
        <v>32.82858242889715</v>
      </c>
      <c r="D75" s="529" t="n">
        <v>6.3</v>
      </c>
      <c r="E75" s="529" t="n">
        <v>6.8</v>
      </c>
      <c r="F75" s="530" t="n">
        <v>7.3</v>
      </c>
      <c r="G75" s="529" t="n">
        <v>7.8</v>
      </c>
      <c r="H75" s="531" t="n">
        <v>8.300000000000001</v>
      </c>
    </row>
    <row r="76">
      <c r="C76" s="123" t="n">
        <v>0.13</v>
      </c>
      <c r="D76" s="527" t="n">
        <v>15.50961852638511</v>
      </c>
      <c r="E76" s="527" t="n">
        <v>17.96661853265726</v>
      </c>
      <c r="F76" s="527" t="n">
        <v>20.4236185389294</v>
      </c>
      <c r="G76" s="527" t="n">
        <v>22.88061854520155</v>
      </c>
      <c r="H76" s="527" t="n">
        <v>25.33761855147371</v>
      </c>
    </row>
    <row r="77">
      <c r="C77" s="124" t="n">
        <v>0.12</v>
      </c>
      <c r="D77" s="527" t="n">
        <v>17.14475130521146</v>
      </c>
      <c r="E77" s="527" t="n">
        <v>19.69981500877978</v>
      </c>
      <c r="F77" s="527" t="n">
        <v>22.25487871234807</v>
      </c>
      <c r="G77" s="527" t="n">
        <v>24.80994241591637</v>
      </c>
      <c r="H77" s="527" t="n">
        <v>27.36500611948468</v>
      </c>
    </row>
    <row r="78">
      <c r="B78" s="378" t="inlineStr">
        <is>
          <t>WACC:</t>
        </is>
      </c>
      <c r="C78" s="124" t="n">
        <v>0.11</v>
      </c>
      <c r="D78" s="527" t="n">
        <v>18.85618541009948</v>
      </c>
      <c r="E78" s="527" t="n">
        <v>21.51415951294241</v>
      </c>
      <c r="F78" s="527" t="n">
        <v>24.17213361578533</v>
      </c>
      <c r="G78" s="527" t="n">
        <v>26.83010771862826</v>
      </c>
      <c r="H78" s="527" t="n">
        <v>29.48808182147118</v>
      </c>
    </row>
    <row r="79">
      <c r="C79" s="124" t="n">
        <v>0.1</v>
      </c>
      <c r="D79" s="527" t="n">
        <v>20.64830251596892</v>
      </c>
      <c r="E79" s="527" t="n">
        <v>23.41432021461313</v>
      </c>
      <c r="F79" s="527" t="n">
        <v>26.18033791325734</v>
      </c>
      <c r="G79" s="527" t="n">
        <v>28.94635561190155</v>
      </c>
      <c r="H79" s="527" t="n">
        <v>31.71237331054576</v>
      </c>
    </row>
    <row r="80">
      <c r="C80" s="124" t="n">
        <v>0.09000000000000002</v>
      </c>
      <c r="D80" s="527" t="n">
        <v>22.52578129267701</v>
      </c>
      <c r="E80" s="527" t="n">
        <v>25.40528204016064</v>
      </c>
      <c r="F80" s="527" t="n">
        <v>28.28478278764427</v>
      </c>
      <c r="G80" s="527" t="n">
        <v>31.16428353512789</v>
      </c>
      <c r="H80" s="527" t="n">
        <v>34.04378428261153</v>
      </c>
    </row>
    <row r="81">
      <c r="C81" s="125" t="n">
        <v>0.08000000000000003</v>
      </c>
      <c r="D81" s="527" t="n">
        <v>24.49362060261981</v>
      </c>
      <c r="E81" s="527" t="n">
        <v>27.49237143226065</v>
      </c>
      <c r="F81" s="527" t="n">
        <v>30.49112226190149</v>
      </c>
      <c r="G81" s="527" t="n">
        <v>33.48987309154233</v>
      </c>
      <c r="H81" s="527"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32" t="n">
        <v>32.82858242889715</v>
      </c>
      <c r="E85" s="533" t="n">
        <v>6.3</v>
      </c>
      <c r="F85" s="529" t="n">
        <v>6.8</v>
      </c>
      <c r="G85" s="530" t="n">
        <v>7.3</v>
      </c>
      <c r="H85" s="531" t="n">
        <v>7.8</v>
      </c>
    </row>
    <row r="86">
      <c r="C86" s="132" t="n">
        <v>0.8</v>
      </c>
      <c r="D86" s="127" t="n">
        <v>981.7144138269495</v>
      </c>
      <c r="E86" s="527" t="n">
        <v>47.84757390464826</v>
      </c>
      <c r="F86" s="527" t="n">
        <v>49.91146747628064</v>
      </c>
      <c r="G86" s="527" t="n">
        <v>51.97536104791303</v>
      </c>
      <c r="H86" s="527" t="n">
        <v>54.03925461954542</v>
      </c>
    </row>
    <row r="87">
      <c r="C87" s="133" t="n">
        <v>0.9</v>
      </c>
      <c r="D87" s="128" t="n">
        <v>1104.428715555318</v>
      </c>
      <c r="E87" s="527" t="n">
        <v>51.09820627996928</v>
      </c>
      <c r="F87" s="527" t="n">
        <v>53.42008654805571</v>
      </c>
      <c r="G87" s="527" t="n">
        <v>55.74196681614215</v>
      </c>
      <c r="H87" s="527" t="n">
        <v>58.06384708422858</v>
      </c>
    </row>
    <row r="88">
      <c r="C88" s="133" t="n">
        <v>1</v>
      </c>
      <c r="D88" s="129" t="n">
        <v>1227.143017283687</v>
      </c>
      <c r="E88" s="527" t="n">
        <v>54.34883865529027</v>
      </c>
      <c r="F88" s="527" t="n">
        <v>56.92870561983077</v>
      </c>
      <c r="G88" s="527" t="n">
        <v>59.50857258437125</v>
      </c>
      <c r="H88" s="527" t="n">
        <v>62.08843954891173</v>
      </c>
    </row>
    <row r="89">
      <c r="C89" s="133" t="n">
        <v>1.1</v>
      </c>
      <c r="D89" s="128" t="n">
        <v>1349.857319012056</v>
      </c>
      <c r="E89" s="527" t="n">
        <v>57.59947103061128</v>
      </c>
      <c r="F89" s="527" t="n">
        <v>60.43732469160583</v>
      </c>
      <c r="G89" s="527" t="n">
        <v>63.27517835260036</v>
      </c>
      <c r="H89" s="527" t="n">
        <v>66.1130320135949</v>
      </c>
    </row>
    <row r="90">
      <c r="C90" s="133" t="n">
        <v>1.2</v>
      </c>
      <c r="D90" s="128" t="n">
        <v>1472.571620740424</v>
      </c>
      <c r="E90" s="527" t="n">
        <v>60.85010340593232</v>
      </c>
      <c r="F90" s="527" t="n">
        <v>63.9459437633809</v>
      </c>
      <c r="G90" s="527" t="n">
        <v>67.04178412082949</v>
      </c>
      <c r="H90" s="527" t="n">
        <v>70.13762447827806</v>
      </c>
    </row>
    <row r="91">
      <c r="C91" s="133" t="n">
        <v>1.3</v>
      </c>
      <c r="D91" s="130" t="n">
        <v>1595.285922468793</v>
      </c>
      <c r="E91" s="527" t="n">
        <v>1472.571620740424</v>
      </c>
      <c r="F91" s="527" t="n">
        <v>1472.571620740424</v>
      </c>
      <c r="G91" s="527" t="n">
        <v>1472.571620740424</v>
      </c>
      <c r="H91" s="527"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27" t="n">
        <v>20.64830251596892</v>
      </c>
      <c r="D115" s="527" t="n">
        <v>11.06407079457684</v>
      </c>
      <c r="E115" s="534" t="n">
        <v>31.71237331054576</v>
      </c>
    </row>
    <row r="116">
      <c r="B116" s="102" t="inlineStr">
        <is>
          <t>DCF Value at 2.0%-4.0% Perpetuity Range</t>
        </is>
      </c>
      <c r="C116" s="527" t="n">
        <v>34.80938263855841</v>
      </c>
      <c r="D116" s="527" t="n">
        <v>16.33763437516883</v>
      </c>
      <c r="E116" s="534" t="n">
        <v>51.14701701372724</v>
      </c>
    </row>
    <row r="117">
      <c r="B117" s="102" t="inlineStr">
        <is>
          <t>LBO Value at 15.0%-35.0% Sponsor Hurdle Rate</t>
        </is>
      </c>
      <c r="C117" s="527" t="n">
        <v>45.45104265824024</v>
      </c>
      <c r="D117" s="527" t="n">
        <v>13.0196839013479</v>
      </c>
      <c r="E117" s="534" t="n">
        <v>58.47072655958814</v>
      </c>
    </row>
    <row r="118">
      <c r="B118" s="106" t="inlineStr">
        <is>
          <t>52 Week Market High/Low</t>
        </is>
      </c>
      <c r="C118" s="535" t="n">
        <v>37.51</v>
      </c>
      <c r="D118" s="535" t="n">
        <v>8.82</v>
      </c>
      <c r="E118" s="536"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ZoomInfo (GTM) — LBOMODEL1</t>
        </is>
      </c>
      <c r="C2" s="305" t="n"/>
      <c r="D2" s="305" t="n"/>
      <c r="E2" s="305" t="n"/>
    </row>
    <row r="3">
      <c r="B3" s="302" t="inlineStr">
        <is>
          <t>$ mm except per share</t>
        </is>
      </c>
    </row>
    <row r="4">
      <c r="B4" s="34" t="n"/>
    </row>
    <row r="5">
      <c r="B5" s="34" t="inlineStr">
        <is>
          <t>Offer price</t>
        </is>
      </c>
      <c r="E5" s="496" t="n">
        <v>5.3875</v>
      </c>
    </row>
    <row r="6">
      <c r="B6" s="304" t="inlineStr">
        <is>
          <t>Model-derived offer value sanity check</t>
        </is>
      </c>
      <c r="E6" s="537" t="n">
        <v>5.3875</v>
      </c>
    </row>
    <row r="7">
      <c r="B7" s="159" t="inlineStr">
        <is>
          <t>Basic shares outstanding (latest filing)</t>
        </is>
      </c>
      <c r="E7" s="505" t="n">
        <v>292.312</v>
      </c>
    </row>
    <row r="8">
      <c r="B8" s="34" t="inlineStr">
        <is>
          <t>In-the-money exercisable options</t>
        </is>
      </c>
      <c r="E8" s="504" t="n">
        <v>0</v>
      </c>
    </row>
    <row r="9">
      <c r="B9" s="34" t="inlineStr">
        <is>
          <t>Total proceeds ($mm)</t>
        </is>
      </c>
      <c r="E9" s="444" t="n">
        <v>0</v>
      </c>
    </row>
    <row r="10">
      <c r="B10" s="34" t="inlineStr">
        <is>
          <t>Total shares repurchased (mm)</t>
        </is>
      </c>
      <c r="E10" s="444" t="n">
        <v>0</v>
      </c>
    </row>
    <row r="11">
      <c r="B11" s="34" t="inlineStr">
        <is>
          <t>Net dilutive options</t>
        </is>
      </c>
      <c r="E11" s="444" t="n">
        <v>0</v>
      </c>
    </row>
    <row r="12">
      <c r="B12" s="34" t="inlineStr">
        <is>
          <t xml:space="preserve">Dilutive impact of shares from other securities </t>
        </is>
      </c>
      <c r="E12" s="505" t="n">
        <v>0</v>
      </c>
    </row>
    <row r="13">
      <c r="B13" s="34" t="n"/>
      <c r="E13" s="505" t="n"/>
    </row>
    <row r="14">
      <c r="B14" s="147" t="inlineStr">
        <is>
          <t>Net diluted shares outstanding</t>
        </is>
      </c>
      <c r="D14" s="417" t="n"/>
      <c r="E14" s="444" t="n">
        <v>292.312</v>
      </c>
    </row>
    <row r="15">
      <c r="B15" s="147" t="n"/>
      <c r="D15" s="417" t="n"/>
      <c r="E15" s="444" t="n"/>
    </row>
    <row r="16">
      <c r="B16" s="312" t="inlineStr">
        <is>
          <t>Options outstanding</t>
        </is>
      </c>
      <c r="C16" s="15" t="n"/>
      <c r="D16" s="428" t="n"/>
      <c r="E16" s="501" t="n"/>
    </row>
    <row r="17">
      <c r="C17" s="242" t="inlineStr">
        <is>
          <t>Out. shares</t>
        </is>
      </c>
      <c r="D17" s="242" t="inlineStr">
        <is>
          <t>Exercise price</t>
        </is>
      </c>
      <c r="E17" s="242" t="inlineStr">
        <is>
          <t>In-the-$-shares</t>
        </is>
      </c>
    </row>
    <row r="18">
      <c r="B18" s="538" t="n">
        <v>1</v>
      </c>
      <c r="C18" s="298" t="n">
        <v>0</v>
      </c>
      <c r="D18" s="298" t="n">
        <v>15</v>
      </c>
      <c r="E18" s="299" t="n">
        <v>0</v>
      </c>
    </row>
    <row r="19">
      <c r="B19" s="538" t="n">
        <v>2</v>
      </c>
      <c r="C19" s="298" t="n">
        <v>0</v>
      </c>
      <c r="D19" s="298" t="n">
        <v>18</v>
      </c>
      <c r="E19" s="299" t="n">
        <v>0</v>
      </c>
    </row>
    <row r="20">
      <c r="B20" s="538" t="n">
        <v>3</v>
      </c>
      <c r="C20" s="298" t="n">
        <v>0</v>
      </c>
      <c r="D20" s="298" t="n">
        <v>22</v>
      </c>
      <c r="E20" s="299" t="n">
        <v>0</v>
      </c>
    </row>
    <row r="21">
      <c r="B21" s="538" t="n">
        <v>4</v>
      </c>
      <c r="C21" s="298" t="n">
        <v>0</v>
      </c>
      <c r="D21" s="298" t="n">
        <v>28</v>
      </c>
      <c r="E21" s="299" t="n">
        <v>0</v>
      </c>
    </row>
    <row r="22">
      <c r="B22" s="538" t="n">
        <v>5</v>
      </c>
      <c r="C22" s="298" t="n">
        <v>0</v>
      </c>
      <c r="D22" s="298" t="n">
        <v>32</v>
      </c>
      <c r="E22" s="299" t="n">
        <v>0</v>
      </c>
    </row>
    <row r="23">
      <c r="B23" s="538" t="n">
        <v>6</v>
      </c>
      <c r="C23" s="298" t="n">
        <v>0</v>
      </c>
      <c r="D23" s="298" t="n">
        <v>36</v>
      </c>
      <c r="E23" s="299" t="n">
        <v>0</v>
      </c>
    </row>
    <row r="24">
      <c r="B24" s="538" t="n">
        <v>7</v>
      </c>
      <c r="C24" s="298" t="n">
        <v>0</v>
      </c>
      <c r="D24" s="298" t="n">
        <v>39</v>
      </c>
      <c r="E24" s="299" t="n">
        <v>0</v>
      </c>
    </row>
    <row r="25">
      <c r="B25" s="538" t="n">
        <v>8</v>
      </c>
      <c r="C25" s="298" t="n">
        <v>0</v>
      </c>
      <c r="D25" s="298" t="n">
        <v>42</v>
      </c>
      <c r="E25" s="299" t="n">
        <v>0</v>
      </c>
    </row>
    <row r="26">
      <c r="B26" s="538" t="n">
        <v>9</v>
      </c>
      <c r="C26" s="298" t="n">
        <v>0</v>
      </c>
      <c r="D26" s="298" t="n"/>
      <c r="E26" s="299" t="n">
        <v>0</v>
      </c>
    </row>
    <row r="27">
      <c r="B27" s="538" t="n">
        <v>10</v>
      </c>
      <c r="C27" s="298" t="n">
        <v>0</v>
      </c>
      <c r="D27" s="298" t="n"/>
      <c r="E27" s="300" t="n">
        <v>0</v>
      </c>
    </row>
    <row r="28">
      <c r="E28" s="301" t="n">
        <v>0</v>
      </c>
    </row>
  </sheetData>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 — NOTE: tape still sample/legacy; LBOMODEL1 uses GTM $4.31 spot on LBO!D8</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B2:C22"/>
  <sheetViews>
    <sheetView workbookViewId="0">
      <selection activeCell="A1" sqref="A1"/>
    </sheetView>
  </sheetViews>
  <sheetFormatPr baseColWidth="8" defaultRowHeight="15" outlineLevelCol="0"/>
  <cols>
    <col width="22" customWidth="1" style="244" min="2" max="2"/>
    <col width="100" customWidth="1" style="244" min="3" max="3"/>
  </cols>
  <sheetData>
    <row r="2">
      <c r="B2" s="539" t="inlineStr">
        <is>
          <t>ZoomInfo (GTM/ZI) — S&amp;M → AI SDR Margin Expansion</t>
        </is>
      </c>
    </row>
    <row r="3">
      <c r="B3" t="inlineStr">
        <is>
          <t>Educational ops / LBO model from FY2025 Form 10-K. Open in Excel to recalculate.</t>
        </is>
      </c>
    </row>
    <row r="5">
      <c r="B5" t="inlineStr">
        <is>
          <t>Thesis</t>
        </is>
      </c>
      <c r="C5" t="inlineStr">
        <is>
          <t>Replace outbound SDRs with AI agents; expand EBITDA margin ≥500 bps</t>
        </is>
      </c>
    </row>
    <row r="6">
      <c r="B6" t="inlineStr">
        <is>
          <t>Issuer</t>
        </is>
      </c>
      <c r="C6" t="inlineStr">
        <is>
          <t>ZoomInfo Technologies Inc. (ticker GTM / legacy ZI)</t>
        </is>
      </c>
    </row>
    <row r="7">
      <c r="B7" t="inlineStr">
        <is>
          <t>CIK</t>
        </is>
      </c>
      <c r="C7" t="inlineStr">
        <is>
          <t>0001794515</t>
        </is>
      </c>
    </row>
    <row r="8">
      <c r="B8" t="inlineStr">
        <is>
          <t>Source 10-K</t>
        </is>
      </c>
      <c r="C8" s="540" t="inlineStr">
        <is>
          <t>https://www.sec.gov/Archives/edgar/data/1794515/000179451526000012/zi-20251231.htm</t>
        </is>
      </c>
    </row>
    <row r="9">
      <c r="B9" t="inlineStr">
        <is>
          <t>Filed</t>
        </is>
      </c>
      <c r="C9" t="inlineStr">
        <is>
          <t>2026-02-12 (FY ended 2025-12-31)</t>
        </is>
      </c>
    </row>
    <row r="10">
      <c r="B10" t="inlineStr">
        <is>
          <t>Companyfacts</t>
        </is>
      </c>
      <c r="C10" s="540" t="inlineStr">
        <is>
          <t>https://data.sec.gov/api/xbrl/companyfacts/CIK0001794515.json</t>
        </is>
      </c>
    </row>
    <row r="12">
      <c r="B12" t="inlineStr">
        <is>
          <t>Sheets</t>
        </is>
      </c>
    </row>
    <row r="13">
      <c r="B13" t="inlineStr">
        <is>
          <t>01_10K_Source — SEC XBRL + human capital extract</t>
        </is>
      </c>
    </row>
    <row r="14">
      <c r="B14" t="inlineStr">
        <is>
          <t>02_SM_Isolation — S&amp;M bloat vs target % of revenue</t>
        </is>
      </c>
    </row>
    <row r="15">
      <c r="B15" t="inlineStr">
        <is>
          <t>03_Headcount_AI — SDR reduction schedule + AI agent ramp</t>
        </is>
      </c>
    </row>
    <row r="16">
      <c r="B16" t="inlineStr">
        <is>
          <t>04_EBITDA_Bridge — margin expansion to 500+ bps</t>
        </is>
      </c>
    </row>
    <row r="17">
      <c r="B17" t="inlineStr">
        <is>
          <t>05_Sensitivity — SDR cut % × AI cost → bps grid</t>
        </is>
      </c>
    </row>
    <row r="19">
      <c r="B19" t="inlineStr">
        <is>
          <t>Disclaimer</t>
        </is>
      </c>
      <c r="C19" t="inlineStr">
        <is>
          <t>SDR % of S&amp;M and AI unit costs are yellow assumptions. Illustrative — not investment advice.</t>
        </is>
      </c>
    </row>
    <row r="22">
      <c r="B22" t="inlineStr">
        <is>
          <t>LBOMODEL1: core LBO sheet inputs now use these ZoomInfo figures (see LBO tab).</t>
        </is>
      </c>
    </row>
  </sheetData>
  <hyperlinks>
    <hyperlink xmlns:r="http://schemas.openxmlformats.org/officeDocument/2006/relationships" ref="C8" r:id="rId1"/>
    <hyperlink xmlns:r="http://schemas.openxmlformats.org/officeDocument/2006/relationships" ref="C10" r:id="rId2"/>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B2:F38"/>
  <sheetViews>
    <sheetView workbookViewId="0">
      <selection activeCell="A1" sqref="A1"/>
    </sheetView>
  </sheetViews>
  <sheetFormatPr baseColWidth="8" defaultRowHeight="15" outlineLevelCol="0"/>
  <cols>
    <col width="42" customWidth="1" style="244" min="2" max="2"/>
    <col width="12" customWidth="1" style="244" min="3" max="3"/>
    <col width="12" customWidth="1" style="244" min="4" max="4"/>
    <col width="14" customWidth="1" style="244" min="5" max="5"/>
    <col width="70" customWidth="1" style="244" min="6" max="6"/>
  </cols>
  <sheetData>
    <row r="2">
      <c r="B2" s="539" t="inlineStr">
        <is>
          <t>FY2025 10-K source financials ($ millions unless noted)</t>
        </is>
      </c>
    </row>
    <row r="4">
      <c r="B4" s="541" t="inlineStr">
        <is>
          <t>Line item</t>
        </is>
      </c>
      <c r="C4" s="541" t="inlineStr">
        <is>
          <t>FY2023</t>
        </is>
      </c>
      <c r="D4" s="541" t="inlineStr">
        <is>
          <t>FY2024</t>
        </is>
      </c>
      <c r="E4" s="541" t="inlineStr">
        <is>
          <t>FY2025</t>
        </is>
      </c>
      <c r="F4" s="541" t="inlineStr">
        <is>
          <t>XBRL / note</t>
        </is>
      </c>
    </row>
    <row r="5">
      <c r="B5" s="542" t="inlineStr">
        <is>
          <t>Revenue</t>
        </is>
      </c>
      <c r="C5" s="556" t="n">
        <v>1239.5</v>
      </c>
      <c r="D5" s="556" t="n">
        <v>1214.3</v>
      </c>
      <c r="E5" s="556" t="n">
        <v>1249.5</v>
      </c>
      <c r="F5" s="542" t="inlineStr">
        <is>
          <t>RevenueFromContractWithCustomerExcludingAssessedTax</t>
        </is>
      </c>
    </row>
    <row r="6">
      <c r="B6" s="542" t="inlineStr">
        <is>
          <t>Selling &amp; Marketing</t>
        </is>
      </c>
      <c r="C6" s="556" t="n">
        <v>408.5</v>
      </c>
      <c r="D6" s="556" t="n">
        <v>414.1</v>
      </c>
      <c r="E6" s="556" t="n">
        <v>414.6</v>
      </c>
      <c r="F6" s="542" t="inlineStr">
        <is>
          <t>SellingAndMarketingExpense</t>
        </is>
      </c>
    </row>
    <row r="7">
      <c r="B7" s="542" t="inlineStr">
        <is>
          <t>Research &amp; Development</t>
        </is>
      </c>
      <c r="C7" s="556" t="n">
        <v>191.5</v>
      </c>
      <c r="D7" s="556" t="n">
        <v>196.1</v>
      </c>
      <c r="E7" s="556" t="n">
        <v>182</v>
      </c>
      <c r="F7" s="542" t="inlineStr">
        <is>
          <t>ResearchAndDevelopmentExpense</t>
        </is>
      </c>
    </row>
    <row r="8">
      <c r="B8" s="542" t="inlineStr">
        <is>
          <t>General &amp; Administrative</t>
        </is>
      </c>
      <c r="C8" s="556" t="n">
        <v>179.6</v>
      </c>
      <c r="D8" s="556" t="n">
        <v>295.3</v>
      </c>
      <c r="E8" s="556" t="n">
        <v>206.7</v>
      </c>
      <c r="F8" s="542" t="inlineStr">
        <is>
          <t>GeneralAndAdministrativeExpense</t>
        </is>
      </c>
    </row>
    <row r="9">
      <c r="B9" s="542" t="inlineStr">
        <is>
          <t>Operating expenses (ex-COGS)</t>
        </is>
      </c>
      <c r="E9" s="556" t="n">
        <v>824.2</v>
      </c>
      <c r="F9" s="542" t="inlineStr">
        <is>
          <t>OperatingExpenses</t>
        </is>
      </c>
    </row>
    <row r="10">
      <c r="B10" s="542" t="inlineStr">
        <is>
          <t>Operating income</t>
        </is>
      </c>
      <c r="C10" s="556" t="n">
        <v>259.5</v>
      </c>
      <c r="D10" s="556" t="n">
        <v>97.40000000000001</v>
      </c>
      <c r="E10" s="556" t="n">
        <v>225.7</v>
      </c>
      <c r="F10" s="542" t="inlineStr">
        <is>
          <t>OperatingIncomeLoss</t>
        </is>
      </c>
    </row>
    <row r="11">
      <c r="B11" s="542" t="inlineStr">
        <is>
          <t>Depreciation</t>
        </is>
      </c>
      <c r="C11" s="556" t="n">
        <v>19.6</v>
      </c>
      <c r="D11" s="556" t="n">
        <v>25.9</v>
      </c>
      <c r="E11" s="556" t="n">
        <v>30.3</v>
      </c>
      <c r="F11" s="542" t="inlineStr">
        <is>
          <t>Depreciation</t>
        </is>
      </c>
    </row>
    <row r="12">
      <c r="B12" s="542" t="inlineStr">
        <is>
          <t>Amort. of intangibles</t>
        </is>
      </c>
      <c r="C12" s="556" t="n">
        <v>61</v>
      </c>
      <c r="D12" s="556" t="n">
        <v>59.8</v>
      </c>
      <c r="E12" s="556" t="n">
        <v>58.5</v>
      </c>
      <c r="F12" s="542" t="inlineStr">
        <is>
          <t>AmortizationOfIntangibleAssets</t>
        </is>
      </c>
    </row>
    <row r="13">
      <c r="B13" s="542" t="inlineStr">
        <is>
          <t>Total D&amp;A (dep+intang)</t>
        </is>
      </c>
      <c r="C13" s="556" t="n">
        <v>80.59999999999999</v>
      </c>
      <c r="D13" s="556" t="n">
        <v>85.7</v>
      </c>
      <c r="E13" s="556" t="n">
        <v>88.8</v>
      </c>
      <c r="F13" s="542" t="inlineStr">
        <is>
          <t>OtherDepreciationAndAmortization</t>
        </is>
      </c>
    </row>
    <row r="14">
      <c r="B14" s="542" t="inlineStr">
        <is>
          <t>Share-based compensation</t>
        </is>
      </c>
      <c r="C14" s="556" t="n">
        <v>167.6</v>
      </c>
      <c r="D14" s="556" t="n">
        <v>138</v>
      </c>
      <c r="E14" s="556" t="n">
        <v>116.2</v>
      </c>
      <c r="F14" s="542" t="inlineStr">
        <is>
          <t>ShareBasedCompensation</t>
        </is>
      </c>
    </row>
    <row r="15">
      <c r="B15" s="542" t="inlineStr">
        <is>
          <t>Advertising expense</t>
        </is>
      </c>
      <c r="E15" s="556" t="n">
        <v>37.3</v>
      </c>
      <c r="F15" s="542" t="inlineStr">
        <is>
          <t>AdvertisingExpense</t>
        </is>
      </c>
    </row>
    <row r="16">
      <c r="B16" s="542" t="inlineStr">
        <is>
          <t>Amort. deferred commissions</t>
        </is>
      </c>
      <c r="C16" s="556" t="n">
        <v>75.3</v>
      </c>
      <c r="D16" s="556" t="n">
        <v>67.59999999999999</v>
      </c>
      <c r="E16" s="556" t="n">
        <v>90.2</v>
      </c>
      <c r="F16" s="542" t="inlineStr">
        <is>
          <t>AmortizationOfDeferredSalesCommissions</t>
        </is>
      </c>
    </row>
    <row r="17">
      <c r="B17" s="542" t="inlineStr">
        <is>
          <t>Net income</t>
        </is>
      </c>
      <c r="C17" s="556" t="n">
        <v>107.3</v>
      </c>
      <c r="D17" s="556" t="n">
        <v>29.1</v>
      </c>
      <c r="E17" s="556" t="n">
        <v>124.2</v>
      </c>
      <c r="F17" s="542" t="inlineStr">
        <is>
          <t>NetIncomeLoss</t>
        </is>
      </c>
    </row>
    <row r="19">
      <c r="B19" s="544" t="inlineStr">
        <is>
          <t>Implied COGS (Rev − OpEx − OpInc)</t>
        </is>
      </c>
      <c r="E19" s="557">
        <f>E5-E9-E10</f>
        <v/>
      </c>
    </row>
    <row r="20">
      <c r="B20" s="544" t="inlineStr">
        <is>
          <t>GAAP EBITDA proxy (OpInc + D&amp;A)</t>
        </is>
      </c>
      <c r="E20" s="557">
        <f>E10+E13</f>
        <v/>
      </c>
    </row>
    <row r="21">
      <c r="B21" s="542" t="inlineStr">
        <is>
          <t>GAAP EBITDA margin</t>
        </is>
      </c>
      <c r="E21" s="546">
        <f>E20/E5</f>
        <v/>
      </c>
    </row>
    <row r="22">
      <c r="B22" s="544" t="inlineStr">
        <is>
          <t>Adj. EBITDA proxy (+SBC)</t>
        </is>
      </c>
      <c r="E22" s="557">
        <f>E20+E14</f>
        <v/>
      </c>
    </row>
    <row r="23">
      <c r="B23" s="542" t="inlineStr">
        <is>
          <t>Adj. EBITDA margin</t>
        </is>
      </c>
      <c r="E23" s="546">
        <f>E22/E5</f>
        <v/>
      </c>
    </row>
    <row r="25">
      <c r="B25" s="547" t="inlineStr">
        <is>
          <t>HUMAN CAPITAL (10-K Item 1)</t>
        </is>
      </c>
    </row>
    <row r="26">
      <c r="B26" s="542" t="inlineStr">
        <is>
          <t>Total employees (12/31/2025)</t>
        </is>
      </c>
      <c r="E26" s="548" t="n">
        <v>3180</v>
      </c>
    </row>
    <row r="27">
      <c r="B27" s="542" t="inlineStr">
        <is>
          <t>Cost of service employees</t>
        </is>
      </c>
      <c r="E27" s="548" t="n">
        <v>662</v>
      </c>
    </row>
    <row r="28">
      <c r="B28" s="542" t="inlineStr">
        <is>
          <t>Sales &amp; Marketing employees</t>
        </is>
      </c>
      <c r="E28" s="548" t="n">
        <v>1370</v>
      </c>
    </row>
    <row r="29">
      <c r="B29" s="542" t="inlineStr">
        <is>
          <t>R&amp;D employees</t>
        </is>
      </c>
      <c r="E29" s="548" t="n">
        <v>763</v>
      </c>
    </row>
    <row r="30">
      <c r="B30" s="542" t="inlineStr">
        <is>
          <t>G&amp;A employees</t>
        </is>
      </c>
      <c r="E30" s="548" t="n">
        <v>385</v>
      </c>
    </row>
    <row r="31">
      <c r="B31" s="542" t="inlineStr">
        <is>
          <t>Headcount check (sum)</t>
        </is>
      </c>
      <c r="E31" s="549">
        <f>E27+E28+E29+E30</f>
        <v/>
      </c>
    </row>
    <row r="32">
      <c r="B32" s="542" t="inlineStr">
        <is>
          <t>S&amp;M $ / S&amp;M employee ($000s)</t>
        </is>
      </c>
      <c r="E32" s="557">
        <f>E6*1000/E28</f>
        <v/>
      </c>
    </row>
    <row r="33">
      <c r="B33" s="542" t="inlineStr">
        <is>
          <t>S&amp;M % of revenue</t>
        </is>
      </c>
      <c r="E33" s="546">
        <f>E6/E5</f>
        <v/>
      </c>
    </row>
    <row r="35">
      <c r="B35" s="542" t="inlineStr">
        <is>
          <t>Quote — Human Capital</t>
        </is>
      </c>
    </row>
    <row r="36">
      <c r="B36" s="550" t="inlineStr">
        <is>
          <t>As of December 31, 2025, we had 3,180 employees, consisting of 662 in cost of service, 1,370 in sales and marketing, 763 in research and development, and 385 in general and administrative.</t>
        </is>
      </c>
    </row>
    <row r="37"/>
    <row r="38"/>
  </sheetData>
  <mergeCells count="1">
    <mergeCell ref="B36:F3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B2:C21"/>
  <sheetViews>
    <sheetView workbookViewId="0">
      <selection activeCell="A1" sqref="A1"/>
    </sheetView>
  </sheetViews>
  <sheetFormatPr baseColWidth="8" defaultRowHeight="15" outlineLevelCol="0"/>
  <cols>
    <col width="48" customWidth="1" style="244" min="2" max="2"/>
    <col width="14" customWidth="1" style="244" min="3" max="3"/>
  </cols>
  <sheetData>
    <row r="2">
      <c r="B2" s="539" t="inlineStr">
        <is>
          <t>Isolate bloated Sales &amp; Marketing</t>
        </is>
      </c>
    </row>
    <row r="4">
      <c r="B4" s="542" t="inlineStr">
        <is>
          <t>FY2025 Revenue ($m)</t>
        </is>
      </c>
      <c r="C4" s="557">
        <f>'ZI_01_10K_Source'!E5</f>
        <v/>
      </c>
    </row>
    <row r="5">
      <c r="B5" s="542" t="inlineStr">
        <is>
          <t>FY2025 S&amp;M ($m)</t>
        </is>
      </c>
      <c r="C5" s="557">
        <f>'ZI_01_10K_Source'!E6</f>
        <v/>
      </c>
    </row>
    <row r="6">
      <c r="B6" s="542" t="inlineStr">
        <is>
          <t>S&amp;M % revenue</t>
        </is>
      </c>
      <c r="C6" s="546">
        <f>C5/C4</f>
        <v/>
      </c>
    </row>
    <row r="8">
      <c r="B8" s="547" t="inlineStr">
        <is>
          <t>S&amp;M STACK (FY2025)</t>
        </is>
      </c>
    </row>
    <row r="9">
      <c r="B9" s="542" t="inlineStr">
        <is>
          <t>Advertising</t>
        </is>
      </c>
      <c r="C9" s="557">
        <f>'ZI_01_10K_Source'!E15</f>
        <v/>
      </c>
    </row>
    <row r="10">
      <c r="B10" s="542" t="inlineStr">
        <is>
          <t>Deferred commission amortization</t>
        </is>
      </c>
      <c r="C10" s="557">
        <f>'ZI_01_10K_Source'!E16</f>
        <v/>
      </c>
    </row>
    <row r="11">
      <c r="B11" s="542" t="inlineStr">
        <is>
          <t>Residual S&amp;M (people + other)</t>
        </is>
      </c>
      <c r="C11" s="557">
        <f>C5-C9-C10</f>
        <v/>
      </c>
    </row>
    <row r="12">
      <c r="B12" s="542" t="inlineStr">
        <is>
          <t>Residual as % of S&amp;M</t>
        </is>
      </c>
      <c r="C12" s="546">
        <f>C11/C5</f>
        <v/>
      </c>
    </row>
    <row r="13">
      <c r="B13" s="542" t="inlineStr">
        <is>
          <t>Residual $ / S&amp;M employee ($000s)</t>
        </is>
      </c>
      <c r="C13" s="557">
        <f>C11*1000/'ZI_01_10K_Source'!E28</f>
        <v/>
      </c>
    </row>
    <row r="15">
      <c r="B15" s="547" t="inlineStr">
        <is>
          <t>BENCHMARK / THESIS INPUTS (edit yellow)</t>
        </is>
      </c>
    </row>
    <row r="16">
      <c r="B16" s="542" t="inlineStr">
        <is>
          <t>Target mature SaaS S&amp;M % rev</t>
        </is>
      </c>
      <c r="C16" s="551" t="n">
        <v>0.22</v>
      </c>
    </row>
    <row r="17">
      <c r="B17" s="542" t="inlineStr">
        <is>
          <t>S&amp;M bloat vs target ($m)</t>
        </is>
      </c>
      <c r="C17" s="557">
        <f>MAX(0,C5-C4*C16)</f>
        <v/>
      </c>
    </row>
    <row r="18">
      <c r="B18" s="542" t="inlineStr">
        <is>
          <t>Bloat as % of revenue</t>
        </is>
      </c>
      <c r="C18" s="546">
        <f>C17/C4</f>
        <v/>
      </c>
    </row>
    <row r="19">
      <c r="B19" s="542" t="inlineStr">
        <is>
          <t>Bloat in basis points</t>
        </is>
      </c>
      <c r="C19" s="549">
        <f>C18*10000</f>
        <v/>
      </c>
    </row>
    <row r="21">
      <c r="B21" t="inlineStr">
        <is>
          <t>10-K: 1,370 S&amp;M employees; S&amp;M is ~33% of revenue. Model treats outbound SDR/BDR capacity as the AI-replaceable slice (yellow % on next sheet).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B2:E40"/>
  <sheetViews>
    <sheetView workbookViewId="0">
      <selection activeCell="A1" sqref="A1"/>
    </sheetView>
  </sheetViews>
  <sheetFormatPr baseColWidth="8" defaultRowHeight="15" outlineLevelCol="0"/>
  <cols>
    <col width="48" customWidth="1" style="244" min="2" max="2"/>
    <col width="12" customWidth="1" style="244" min="3" max="3"/>
    <col width="12" customWidth="1" style="244" min="4" max="4"/>
    <col width="12" customWidth="1" style="244" min="5" max="5"/>
  </cols>
  <sheetData>
    <row r="2">
      <c r="B2" s="539" t="inlineStr">
        <is>
          <t>Headcount reduction: outbound SDRs → AI agents</t>
        </is>
      </c>
    </row>
    <row r="4">
      <c r="B4" s="547" t="inlineStr">
        <is>
          <t>BASELINE</t>
        </is>
      </c>
    </row>
    <row r="5">
      <c r="B5" s="542" t="inlineStr">
        <is>
          <t>S&amp;M employees (10-K)</t>
        </is>
      </c>
      <c r="C5" s="549">
        <f>'ZI_01_10K_Source'!E28</f>
        <v/>
      </c>
    </row>
    <row r="6">
      <c r="B6" s="542" t="inlineStr">
        <is>
          <t>% of S&amp;M that are outbound SDR/BDR</t>
        </is>
      </c>
      <c r="C6" s="551" t="n">
        <v>0.4</v>
      </c>
    </row>
    <row r="7">
      <c r="B7" s="542" t="inlineStr">
        <is>
          <t>Outbound SDR headcount (Y0)</t>
        </is>
      </c>
      <c r="C7" s="549">
        <f>ROUND(C5*C6,0)</f>
        <v/>
      </c>
    </row>
    <row r="8">
      <c r="B8" s="542" t="inlineStr">
        <is>
          <t>Fully loaded cost / SDR / yr ($000s)</t>
        </is>
      </c>
      <c r="C8" s="556" t="n">
        <v>155</v>
      </c>
    </row>
    <row r="9">
      <c r="B9" s="542" t="inlineStr">
        <is>
          <t>Addressable SDR cost pool ($m)</t>
        </is>
      </c>
      <c r="C9" s="557">
        <f>C7*C8/1000</f>
        <v/>
      </c>
    </row>
    <row r="11">
      <c r="B11" s="547" t="inlineStr">
        <is>
          <t>AI AGENT UNIT ECONOMICS</t>
        </is>
      </c>
    </row>
    <row r="12">
      <c r="B12" s="542" t="inlineStr">
        <is>
          <t>AI agent seats per SDR replaced</t>
        </is>
      </c>
      <c r="C12" s="552" t="n">
        <v>1</v>
      </c>
    </row>
    <row r="13">
      <c r="B13" s="542" t="inlineStr">
        <is>
          <t>AI platform + compute / seat / yr ($000s)</t>
        </is>
      </c>
      <c r="C13" s="556" t="n">
        <v>15</v>
      </c>
    </row>
    <row r="14">
      <c r="B14" s="542" t="inlineStr">
        <is>
          <t>Human oversight FTE per 20 AI seats</t>
        </is>
      </c>
      <c r="C14" s="552" t="n">
        <v>1</v>
      </c>
    </row>
    <row r="15">
      <c r="B15" s="542" t="inlineStr">
        <is>
          <t>Oversight fully loaded / FTE / yr ($000s)</t>
        </is>
      </c>
      <c r="C15" s="556" t="n">
        <v>150</v>
      </c>
    </row>
    <row r="16">
      <c r="B16" s="542" t="inlineStr">
        <is>
          <t>One-time severance / SDR ($000s)</t>
        </is>
      </c>
      <c r="C16" s="556" t="n">
        <v>25</v>
      </c>
    </row>
    <row r="17">
      <c r="B17" s="542" t="inlineStr">
        <is>
          <t>One-time AI build / integration ($m) in Y1</t>
        </is>
      </c>
      <c r="C17" s="556" t="n">
        <v>8</v>
      </c>
    </row>
    <row r="19">
      <c r="B19" s="547" t="inlineStr">
        <is>
          <t>REDUCTION SCHEDULE (% of Y0 SDRs exited by year-end)</t>
        </is>
      </c>
    </row>
    <row r="20">
      <c r="B20" s="542" t="inlineStr">
        <is>
          <t>Year</t>
        </is>
      </c>
      <c r="C20" s="541" t="n">
        <v>2026</v>
      </c>
      <c r="D20" s="541" t="n">
        <v>2027</v>
      </c>
      <c r="E20" s="541" t="n">
        <v>2028</v>
      </c>
    </row>
    <row r="21">
      <c r="B21" s="542" t="inlineStr">
        <is>
          <t>Cumulative % SDRs replaced</t>
        </is>
      </c>
      <c r="C21" s="553" t="n">
        <v>0.45</v>
      </c>
      <c r="D21" s="553" t="n">
        <v>0.8</v>
      </c>
      <c r="E21" s="553" t="n">
        <v>0.95</v>
      </c>
    </row>
    <row r="22">
      <c r="B22" s="542" t="inlineStr">
        <is>
          <t>SDRs remaining</t>
        </is>
      </c>
      <c r="C22" s="549">
        <f>ROUND($C$7*(1-C21),0)</f>
        <v/>
      </c>
      <c r="D22" s="549">
        <f>ROUND($C$7*(1-D21),0)</f>
        <v/>
      </c>
      <c r="E22" s="549">
        <f>ROUND($C$7*(1-E21),0)</f>
        <v/>
      </c>
    </row>
    <row r="23">
      <c r="B23" s="542" t="inlineStr">
        <is>
          <t>SDRs exited (cumulative)</t>
        </is>
      </c>
      <c r="C23" s="549">
        <f>$C$7-C22</f>
        <v/>
      </c>
      <c r="D23" s="549">
        <f>$C$7-D22</f>
        <v/>
      </c>
      <c r="E23" s="549">
        <f>$C$7-E22</f>
        <v/>
      </c>
    </row>
    <row r="24">
      <c r="B24" s="542" t="inlineStr">
        <is>
          <t>SDRs exited this year</t>
        </is>
      </c>
      <c r="C24" s="549">
        <f>C23</f>
        <v/>
      </c>
      <c r="D24" s="549">
        <f>D23-C23</f>
        <v/>
      </c>
      <c r="E24" s="549">
        <f>E23-D23</f>
        <v/>
      </c>
    </row>
    <row r="25">
      <c r="B25" s="542" t="inlineStr">
        <is>
          <t>Avg SDRs during year</t>
        </is>
      </c>
      <c r="C25" s="557">
        <f>($C$7+C22)/2</f>
        <v/>
      </c>
      <c r="D25" s="557">
        <f>(C22+D22)/2</f>
        <v/>
      </c>
      <c r="E25" s="557">
        <f>(D22+E22)/2</f>
        <v/>
      </c>
    </row>
    <row r="27">
      <c r="B27" s="547" t="inlineStr">
        <is>
          <t>AI SEATS &amp; OVERSIGHT</t>
        </is>
      </c>
    </row>
    <row r="28">
      <c r="B28" s="542" t="inlineStr">
        <is>
          <t>AI seats (cum.)</t>
        </is>
      </c>
      <c r="C28" s="557">
        <f>C23*$C$12</f>
        <v/>
      </c>
      <c r="D28" s="557">
        <f>D23*$C$12</f>
        <v/>
      </c>
      <c r="E28" s="557">
        <f>E23*$C$12</f>
        <v/>
      </c>
    </row>
    <row r="29">
      <c r="B29" s="542" t="inlineStr">
        <is>
          <t>Oversight FTEs</t>
        </is>
      </c>
      <c r="C29" s="549">
        <f>ROUNDUP(C28/(20/$C$14),0)</f>
        <v/>
      </c>
      <c r="D29" s="549">
        <f>ROUNDUP(D28/(20/$C$14),0)</f>
        <v/>
      </c>
      <c r="E29" s="549">
        <f>ROUNDUP(E28/(20/$C$14),0)</f>
        <v/>
      </c>
    </row>
    <row r="31">
      <c r="B31" s="547" t="inlineStr">
        <is>
          <t>P&amp;L IMPACT ($m)</t>
        </is>
      </c>
    </row>
    <row r="32">
      <c r="B32" s="542" t="inlineStr">
        <is>
          <t>SDR cash cost (avg HC × cost)</t>
        </is>
      </c>
      <c r="C32" s="557">
        <f>C25*$C$8/1000</f>
        <v/>
      </c>
      <c r="D32" s="557">
        <f>D25*$C$8/1000</f>
        <v/>
      </c>
      <c r="E32" s="557">
        <f>E25*$C$8/1000</f>
        <v/>
      </c>
    </row>
    <row r="33">
      <c r="B33" s="542" t="inlineStr">
        <is>
          <t>Baseline SDR cost if no program</t>
        </is>
      </c>
      <c r="C33" s="557">
        <f>$C$9</f>
        <v/>
      </c>
      <c r="D33" s="557">
        <f>$C$9</f>
        <v/>
      </c>
      <c r="E33" s="557">
        <f>$C$9</f>
        <v/>
      </c>
    </row>
    <row r="34">
      <c r="B34" s="542" t="inlineStr">
        <is>
          <t>Gross SDR savings vs baseline</t>
        </is>
      </c>
      <c r="C34" s="557">
        <f>C33-C32</f>
        <v/>
      </c>
      <c r="D34" s="557">
        <f>D33-D32</f>
        <v/>
      </c>
      <c r="E34" s="557">
        <f>E33-E32</f>
        <v/>
      </c>
    </row>
    <row r="35">
      <c r="B35" s="542" t="inlineStr">
        <is>
          <t>AI seat opex</t>
        </is>
      </c>
      <c r="C35" s="557">
        <f>C28*$C$13/1000</f>
        <v/>
      </c>
      <c r="D35" s="557">
        <f>D28*$C$13/1000</f>
        <v/>
      </c>
      <c r="E35" s="557">
        <f>E28*$C$13/1000</f>
        <v/>
      </c>
    </row>
    <row r="36">
      <c r="B36" s="542" t="inlineStr">
        <is>
          <t>Oversight opex</t>
        </is>
      </c>
      <c r="C36" s="557">
        <f>C29*$C$15/1000</f>
        <v/>
      </c>
      <c r="D36" s="557">
        <f>D29*$C$15/1000</f>
        <v/>
      </c>
      <c r="E36" s="557">
        <f>E29*$C$15/1000</f>
        <v/>
      </c>
    </row>
    <row r="37">
      <c r="B37" s="542" t="inlineStr">
        <is>
          <t>Severance (this year's exits)</t>
        </is>
      </c>
      <c r="C37" s="557">
        <f>C24*$C$16/1000</f>
        <v/>
      </c>
      <c r="D37" s="557">
        <f>D24*$C$16/1000</f>
        <v/>
      </c>
      <c r="E37" s="557">
        <f>E24*$C$16/1000</f>
        <v/>
      </c>
    </row>
    <row r="38">
      <c r="B38" s="542" t="inlineStr">
        <is>
          <t>AI build (Y1 only)</t>
        </is>
      </c>
      <c r="C38" s="557">
        <f>$C$17</f>
        <v/>
      </c>
      <c r="D38" s="556" t="n">
        <v>0</v>
      </c>
      <c r="E38" s="556" t="n">
        <v>0</v>
      </c>
    </row>
    <row r="39">
      <c r="B39" s="544" t="inlineStr">
        <is>
          <t>Net EBITDA benefit (in-year, after one-time)</t>
        </is>
      </c>
      <c r="C39" s="557">
        <f>C34-C35-C36-C37-C38</f>
        <v/>
      </c>
      <c r="D39" s="557">
        <f>D34-D35-D36-D37-D38</f>
        <v/>
      </c>
      <c r="E39" s="557">
        <f>E34-E35-E36-E37-E38</f>
        <v/>
      </c>
    </row>
    <row r="40">
      <c r="B40" s="544" t="inlineStr">
        <is>
          <t>Year-end run-rate benefit (ex one-time)</t>
        </is>
      </c>
      <c r="C40" s="557">
        <f>(C23*$C$8/1000)-(C28*$C$13/1000)-(C29*$C$15/1000)</f>
        <v/>
      </c>
      <c r="D40" s="557">
        <f>(D23*$C$8/1000)-(D28*$C$13/1000)-(D29*$C$15/1000)</f>
        <v/>
      </c>
      <c r="E40" s="557">
        <f>(E23*$C$8/1000)-(E28*$C$13/1000)-(E29*$C$15/1000)</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2:E25"/>
  <sheetViews>
    <sheetView workbookViewId="0">
      <selection activeCell="A1" sqref="A1"/>
    </sheetView>
  </sheetViews>
  <sheetFormatPr baseColWidth="8" defaultRowHeight="15" outlineLevelCol="0"/>
  <cols>
    <col width="55" customWidth="1" style="244" min="2" max="2"/>
    <col width="12" customWidth="1" style="244" min="3" max="3"/>
    <col width="12" customWidth="1" style="244" min="4" max="4"/>
    <col width="12" customWidth="1" style="244" min="5" max="5"/>
  </cols>
  <sheetData>
    <row r="2">
      <c r="B2" s="539" t="inlineStr">
        <is>
          <t>EBITDA margin expansion bridge (target ≥500 bps)</t>
        </is>
      </c>
    </row>
    <row r="4">
      <c r="B4" s="542" t="inlineStr">
        <is>
          <t>FY2025 baseline Revenue ($m)</t>
        </is>
      </c>
      <c r="C4" s="557">
        <f>'ZI_01_10K_Source'!E5</f>
        <v/>
      </c>
    </row>
    <row r="5">
      <c r="B5" s="542" t="inlineStr">
        <is>
          <t>FY2025 GAAP EBITDA proxy ($m)</t>
        </is>
      </c>
      <c r="C5" s="557">
        <f>'ZI_01_10K_Source'!E20</f>
        <v/>
      </c>
    </row>
    <row r="6">
      <c r="B6" s="542" t="inlineStr">
        <is>
          <t>Baseline EBITDA margin</t>
        </is>
      </c>
      <c r="C6" s="546">
        <f>C5/C4</f>
        <v/>
      </c>
    </row>
    <row r="7">
      <c r="B7" s="542" t="inlineStr">
        <is>
          <t>Target margin expansion (bps)</t>
        </is>
      </c>
      <c r="C7" s="548" t="n">
        <v>500</v>
      </c>
    </row>
    <row r="8">
      <c r="B8" s="542" t="inlineStr">
        <is>
          <t>Required incremental EBITDA ($m)</t>
        </is>
      </c>
      <c r="C8" s="557">
        <f>C4*C7/10000</f>
        <v/>
      </c>
    </row>
    <row r="10">
      <c r="B10" s="542" t="inlineStr">
        <is>
          <t>Year</t>
        </is>
      </c>
      <c r="C10" s="541" t="n">
        <v>2026</v>
      </c>
      <c r="D10" s="541" t="n">
        <v>2027</v>
      </c>
      <c r="E10" s="541" t="n">
        <v>2028</v>
      </c>
    </row>
    <row r="11">
      <c r="B11" s="542" t="inlineStr">
        <is>
          <t>Revenue (flat case for margin math)</t>
        </is>
      </c>
      <c r="C11" s="557">
        <f>$C$4</f>
        <v/>
      </c>
      <c r="D11" s="557">
        <f>$C$4</f>
        <v/>
      </c>
      <c r="E11" s="557">
        <f>$C$4</f>
        <v/>
      </c>
    </row>
    <row r="12">
      <c r="B12" s="542" t="inlineStr">
        <is>
          <t>Net EBITDA benefit from program</t>
        </is>
      </c>
      <c r="C12" s="557">
        <f>'ZI_03_Headcount_AI'!C39</f>
        <v/>
      </c>
      <c r="D12" s="557">
        <f>'ZI_03_Headcount_AI'!D39</f>
        <v/>
      </c>
      <c r="E12" s="557">
        <f>'ZI_03_Headcount_AI'!E39</f>
        <v/>
      </c>
    </row>
    <row r="13">
      <c r="B13" s="542" t="inlineStr">
        <is>
          <t>Run-rate benefit (ex one-time)</t>
        </is>
      </c>
      <c r="C13" s="557">
        <f>'ZI_03_Headcount_AI'!C40</f>
        <v/>
      </c>
      <c r="D13" s="557">
        <f>'ZI_03_Headcount_AI'!D40</f>
        <v/>
      </c>
      <c r="E13" s="557">
        <f>'ZI_03_Headcount_AI'!E40</f>
        <v/>
      </c>
    </row>
    <row r="14">
      <c r="B14" s="542" t="inlineStr">
        <is>
          <t>Pro forma EBITDA</t>
        </is>
      </c>
      <c r="C14" s="557">
        <f>$C$5+C12</f>
        <v/>
      </c>
      <c r="D14" s="557">
        <f>$C$5+D12</f>
        <v/>
      </c>
      <c r="E14" s="557">
        <f>$C$5+E12</f>
        <v/>
      </c>
    </row>
    <row r="15">
      <c r="B15" s="542" t="inlineStr">
        <is>
          <t>Pro forma EBITDA margin</t>
        </is>
      </c>
      <c r="C15" s="546">
        <f>C14/C11</f>
        <v/>
      </c>
      <c r="D15" s="546">
        <f>D14/D11</f>
        <v/>
      </c>
      <c r="E15" s="546">
        <f>E14/E11</f>
        <v/>
      </c>
    </row>
    <row r="16">
      <c r="B16" s="544" t="inlineStr">
        <is>
          <t>Margin expansion (bps)</t>
        </is>
      </c>
      <c r="C16" s="557">
        <f>(C15-$C$6)*10000</f>
        <v/>
      </c>
      <c r="D16" s="557">
        <f>(D15-$C$6)*10000</f>
        <v/>
      </c>
      <c r="E16" s="557">
        <f>(E15-$C$6)*10000</f>
        <v/>
      </c>
    </row>
    <row r="17">
      <c r="B17" s="544" t="inlineStr">
        <is>
          <t>Run-rate expansion (bps)</t>
        </is>
      </c>
      <c r="C17" s="557">
        <f>(C13/$C$4)*10000</f>
        <v/>
      </c>
      <c r="D17" s="557">
        <f>(D13/$C$4)*10000</f>
        <v/>
      </c>
      <c r="E17" s="557">
        <f>(E13/$C$4)*10000</f>
        <v/>
      </c>
    </row>
    <row r="18">
      <c r="B18" s="542" t="inlineStr">
        <is>
          <t>Hits ≥500 bps run-rate?</t>
        </is>
      </c>
      <c r="C18" s="554">
        <f>IF(C17&gt;=$C$7,"YES","NO")</f>
        <v/>
      </c>
      <c r="D18" s="554">
        <f>IF(D17&gt;=$C$7,"YES","NO")</f>
        <v/>
      </c>
      <c r="E18" s="554">
        <f>IF(E17&gt;=$C$7,"YES","NO")</f>
        <v/>
      </c>
    </row>
    <row r="20">
      <c r="B20" s="542" t="inlineStr">
        <is>
          <t>S&amp;M % revenue bridge</t>
        </is>
      </c>
    </row>
    <row r="21">
      <c r="B21" s="542" t="inlineStr">
        <is>
          <t>Baseline S&amp;M %</t>
        </is>
      </c>
      <c r="C21" s="546">
        <f>'ZI_02_SM_Isolation'!C6</f>
        <v/>
      </c>
    </row>
    <row r="22">
      <c r="B22" s="542" t="inlineStr">
        <is>
          <t>PF S&amp;M $ (baseline − SDR save + AI/oversight)</t>
        </is>
      </c>
      <c r="C22" s="557">
        <f>'ZI_01_10K_Source'!E6-'ZI_03_Headcount_AI'!C34+'ZI_03_Headcount_AI'!C35+'ZI_03_Headcount_AI'!C36</f>
        <v/>
      </c>
      <c r="D22" s="557">
        <f>'ZI_01_10K_Source'!E6-'ZI_03_Headcount_AI'!D34+'ZI_03_Headcount_AI'!D35+'ZI_03_Headcount_AI'!D36</f>
        <v/>
      </c>
      <c r="E22" s="557">
        <f>'ZI_01_10K_Source'!E6-'ZI_03_Headcount_AI'!E34+'ZI_03_Headcount_AI'!E35+'ZI_03_Headcount_AI'!E36</f>
        <v/>
      </c>
    </row>
    <row r="23">
      <c r="B23" s="542" t="inlineStr">
        <is>
          <t>PF S&amp;M % revenue</t>
        </is>
      </c>
      <c r="C23" s="546">
        <f>C22/$C$4</f>
        <v/>
      </c>
      <c r="D23" s="546">
        <f>D22/$C$4</f>
        <v/>
      </c>
      <c r="E23" s="546">
        <f>E22/$C$4</f>
        <v/>
      </c>
    </row>
    <row r="25">
      <c r="B25" t="inlineStr">
        <is>
          <t>Yellow cells on 03_Headcount_AI drive the bridge. Base case sized to clear 500 bps by Y3 run-rate: 40% of S&amp;M = outbound SDRs; 95% replaced; $155k/SDR vs $15k AI seat + oversight. 500 bps on $1,249.5m revenue needs ~$62.5m run-rate EBITDA.</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B2:H20"/>
  <sheetViews>
    <sheetView workbookViewId="0">
      <selection activeCell="A1" sqref="A1"/>
    </sheetView>
  </sheetViews>
  <sheetFormatPr baseColWidth="8" defaultRowHeight="15" outlineLevelCol="0"/>
  <cols>
    <col width="18" customWidth="1" style="244" min="2" max="2"/>
    <col width="10" customWidth="1" style="244" min="3" max="3"/>
    <col width="10" customWidth="1" style="244" min="4" max="4"/>
    <col width="10" customWidth="1" style="244" min="5" max="5"/>
    <col width="10" customWidth="1" style="244" min="6" max="6"/>
    <col width="10" customWidth="1" style="244" min="7" max="7"/>
    <col width="10" customWidth="1" style="244" min="8" max="8"/>
  </cols>
  <sheetData>
    <row r="2">
      <c r="B2" s="539" t="inlineStr">
        <is>
          <t>Sensitivity — Y3 run-rate margin expansion (bps)</t>
        </is>
      </c>
    </row>
    <row r="3">
      <c r="B3" t="inlineStr">
        <is>
          <t>Rows = cumulative % SDRs replaced; Cols = AI $/seat-yr ($000s). Other inputs from 03_Headcount_AI.</t>
        </is>
      </c>
    </row>
    <row r="5">
      <c r="B5" s="542" t="inlineStr">
        <is>
          <t>SDR0</t>
        </is>
      </c>
      <c r="C5" s="549">
        <f>'ZI_03_Headcount_AI'!C7</f>
        <v/>
      </c>
    </row>
    <row r="6">
      <c r="B6" s="542" t="inlineStr">
        <is>
          <t>SDR cost $k</t>
        </is>
      </c>
      <c r="C6" s="557">
        <f>'ZI_03_Headcount_AI'!C8</f>
        <v/>
      </c>
    </row>
    <row r="7">
      <c r="B7" s="542" t="inlineStr">
        <is>
          <t>Seats/SDR</t>
        </is>
      </c>
      <c r="C7" s="555">
        <f>'ZI_03_Headcount_AI'!C12</f>
        <v/>
      </c>
    </row>
    <row r="8">
      <c r="B8" s="542" t="inlineStr">
        <is>
          <t>Oversight $k</t>
        </is>
      </c>
      <c r="C8" s="557">
        <f>'ZI_03_Headcount_AI'!C15</f>
        <v/>
      </c>
    </row>
    <row r="9">
      <c r="B9" s="542" t="inlineStr">
        <is>
          <t>Revenue $m</t>
        </is>
      </c>
      <c r="C9" s="557">
        <f>'ZI_01_10K_Source'!E5</f>
        <v/>
      </c>
    </row>
    <row r="11">
      <c r="B11" t="inlineStr">
        <is>
          <t>bps \ AI $k</t>
        </is>
      </c>
      <c r="C11" s="548" t="n">
        <v>8</v>
      </c>
      <c r="D11" s="548" t="n">
        <v>12</v>
      </c>
      <c r="E11" s="548" t="n">
        <v>18</v>
      </c>
      <c r="F11" s="548" t="n">
        <v>24</v>
      </c>
      <c r="G11" s="548" t="n">
        <v>30</v>
      </c>
      <c r="H11" s="548" t="n">
        <v>40</v>
      </c>
    </row>
    <row r="12">
      <c r="B12" s="553" t="n">
        <v>0.5</v>
      </c>
      <c r="C12" s="549">
        <f>(($C$5*0.5)*$C$6/1000-($C$5*0.5)*$C$7*8/1000-ROUNDUP(($C$5*0.5)*$C$7/20,0)*$C$8/1000)/$C$9*10000</f>
        <v/>
      </c>
      <c r="D12" s="549">
        <f>(($C$5*0.5)*$C$6/1000-($C$5*0.5)*$C$7*12/1000-ROUNDUP(($C$5*0.5)*$C$7/20,0)*$C$8/1000)/$C$9*10000</f>
        <v/>
      </c>
      <c r="E12" s="549">
        <f>(($C$5*0.5)*$C$6/1000-($C$5*0.5)*$C$7*18/1000-ROUNDUP(($C$5*0.5)*$C$7/20,0)*$C$8/1000)/$C$9*10000</f>
        <v/>
      </c>
      <c r="F12" s="549">
        <f>(($C$5*0.5)*$C$6/1000-($C$5*0.5)*$C$7*24/1000-ROUNDUP(($C$5*0.5)*$C$7/20,0)*$C$8/1000)/$C$9*10000</f>
        <v/>
      </c>
      <c r="G12" s="549">
        <f>(($C$5*0.5)*$C$6/1000-($C$5*0.5)*$C$7*30/1000-ROUNDUP(($C$5*0.5)*$C$7/20,0)*$C$8/1000)/$C$9*10000</f>
        <v/>
      </c>
      <c r="H12" s="549">
        <f>(($C$5*0.5)*$C$6/1000-($C$5*0.5)*$C$7*40/1000-ROUNDUP(($C$5*0.5)*$C$7/20,0)*$C$8/1000)/$C$9*10000</f>
        <v/>
      </c>
    </row>
    <row r="13">
      <c r="B13" s="553" t="n">
        <v>0.6</v>
      </c>
      <c r="C13" s="549">
        <f>(($C$5*0.6)*$C$6/1000-($C$5*0.6)*$C$7*8/1000-ROUNDUP(($C$5*0.6)*$C$7/20,0)*$C$8/1000)/$C$9*10000</f>
        <v/>
      </c>
      <c r="D13" s="549">
        <f>(($C$5*0.6)*$C$6/1000-($C$5*0.6)*$C$7*12/1000-ROUNDUP(($C$5*0.6)*$C$7/20,0)*$C$8/1000)/$C$9*10000</f>
        <v/>
      </c>
      <c r="E13" s="549">
        <f>(($C$5*0.6)*$C$6/1000-($C$5*0.6)*$C$7*18/1000-ROUNDUP(($C$5*0.6)*$C$7/20,0)*$C$8/1000)/$C$9*10000</f>
        <v/>
      </c>
      <c r="F13" s="549">
        <f>(($C$5*0.6)*$C$6/1000-($C$5*0.6)*$C$7*24/1000-ROUNDUP(($C$5*0.6)*$C$7/20,0)*$C$8/1000)/$C$9*10000</f>
        <v/>
      </c>
      <c r="G13" s="549">
        <f>(($C$5*0.6)*$C$6/1000-($C$5*0.6)*$C$7*30/1000-ROUNDUP(($C$5*0.6)*$C$7/20,0)*$C$8/1000)/$C$9*10000</f>
        <v/>
      </c>
      <c r="H13" s="549">
        <f>(($C$5*0.6)*$C$6/1000-($C$5*0.6)*$C$7*40/1000-ROUNDUP(($C$5*0.6)*$C$7/20,0)*$C$8/1000)/$C$9*10000</f>
        <v/>
      </c>
    </row>
    <row r="14">
      <c r="B14" s="553" t="n">
        <v>0.7</v>
      </c>
      <c r="C14" s="549">
        <f>(($C$5*0.7)*$C$6/1000-($C$5*0.7)*$C$7*8/1000-ROUNDUP(($C$5*0.7)*$C$7/20,0)*$C$8/1000)/$C$9*10000</f>
        <v/>
      </c>
      <c r="D14" s="549">
        <f>(($C$5*0.7)*$C$6/1000-($C$5*0.7)*$C$7*12/1000-ROUNDUP(($C$5*0.7)*$C$7/20,0)*$C$8/1000)/$C$9*10000</f>
        <v/>
      </c>
      <c r="E14" s="549">
        <f>(($C$5*0.7)*$C$6/1000-($C$5*0.7)*$C$7*18/1000-ROUNDUP(($C$5*0.7)*$C$7/20,0)*$C$8/1000)/$C$9*10000</f>
        <v/>
      </c>
      <c r="F14" s="549">
        <f>(($C$5*0.7)*$C$6/1000-($C$5*0.7)*$C$7*24/1000-ROUNDUP(($C$5*0.7)*$C$7/20,0)*$C$8/1000)/$C$9*10000</f>
        <v/>
      </c>
      <c r="G14" s="549">
        <f>(($C$5*0.7)*$C$6/1000-($C$5*0.7)*$C$7*30/1000-ROUNDUP(($C$5*0.7)*$C$7/20,0)*$C$8/1000)/$C$9*10000</f>
        <v/>
      </c>
      <c r="H14" s="549">
        <f>(($C$5*0.7)*$C$6/1000-($C$5*0.7)*$C$7*40/1000-ROUNDUP(($C$5*0.7)*$C$7/20,0)*$C$8/1000)/$C$9*10000</f>
        <v/>
      </c>
    </row>
    <row r="15">
      <c r="B15" s="553" t="n">
        <v>0.8</v>
      </c>
      <c r="C15" s="549">
        <f>(($C$5*0.8)*$C$6/1000-($C$5*0.8)*$C$7*8/1000-ROUNDUP(($C$5*0.8)*$C$7/20,0)*$C$8/1000)/$C$9*10000</f>
        <v/>
      </c>
      <c r="D15" s="549">
        <f>(($C$5*0.8)*$C$6/1000-($C$5*0.8)*$C$7*12/1000-ROUNDUP(($C$5*0.8)*$C$7/20,0)*$C$8/1000)/$C$9*10000</f>
        <v/>
      </c>
      <c r="E15" s="549">
        <f>(($C$5*0.8)*$C$6/1000-($C$5*0.8)*$C$7*18/1000-ROUNDUP(($C$5*0.8)*$C$7/20,0)*$C$8/1000)/$C$9*10000</f>
        <v/>
      </c>
      <c r="F15" s="549">
        <f>(($C$5*0.8)*$C$6/1000-($C$5*0.8)*$C$7*24/1000-ROUNDUP(($C$5*0.8)*$C$7/20,0)*$C$8/1000)/$C$9*10000</f>
        <v/>
      </c>
      <c r="G15" s="549">
        <f>(($C$5*0.8)*$C$6/1000-($C$5*0.8)*$C$7*30/1000-ROUNDUP(($C$5*0.8)*$C$7/20,0)*$C$8/1000)/$C$9*10000</f>
        <v/>
      </c>
      <c r="H15" s="549">
        <f>(($C$5*0.8)*$C$6/1000-($C$5*0.8)*$C$7*40/1000-ROUNDUP(($C$5*0.8)*$C$7/20,0)*$C$8/1000)/$C$9*10000</f>
        <v/>
      </c>
    </row>
    <row r="16">
      <c r="B16" s="553" t="n">
        <v>0.9</v>
      </c>
      <c r="C16" s="549">
        <f>(($C$5*0.9)*$C$6/1000-($C$5*0.9)*$C$7*8/1000-ROUNDUP(($C$5*0.9)*$C$7/20,0)*$C$8/1000)/$C$9*10000</f>
        <v/>
      </c>
      <c r="D16" s="549">
        <f>(($C$5*0.9)*$C$6/1000-($C$5*0.9)*$C$7*12/1000-ROUNDUP(($C$5*0.9)*$C$7/20,0)*$C$8/1000)/$C$9*10000</f>
        <v/>
      </c>
      <c r="E16" s="549">
        <f>(($C$5*0.9)*$C$6/1000-($C$5*0.9)*$C$7*18/1000-ROUNDUP(($C$5*0.9)*$C$7/20,0)*$C$8/1000)/$C$9*10000</f>
        <v/>
      </c>
      <c r="F16" s="549">
        <f>(($C$5*0.9)*$C$6/1000-($C$5*0.9)*$C$7*24/1000-ROUNDUP(($C$5*0.9)*$C$7/20,0)*$C$8/1000)/$C$9*10000</f>
        <v/>
      </c>
      <c r="G16" s="549">
        <f>(($C$5*0.9)*$C$6/1000-($C$5*0.9)*$C$7*30/1000-ROUNDUP(($C$5*0.9)*$C$7/20,0)*$C$8/1000)/$C$9*10000</f>
        <v/>
      </c>
      <c r="H16" s="549">
        <f>(($C$5*0.9)*$C$6/1000-($C$5*0.9)*$C$7*40/1000-ROUNDUP(($C$5*0.9)*$C$7/20,0)*$C$8/1000)/$C$9*10000</f>
        <v/>
      </c>
    </row>
    <row r="17">
      <c r="B17" s="553" t="n">
        <v>1</v>
      </c>
      <c r="C17" s="549">
        <f>(($C$5*1.0)*$C$6/1000-($C$5*1.0)*$C$7*8/1000-ROUNDUP(($C$5*1.0)*$C$7/20,0)*$C$8/1000)/$C$9*10000</f>
        <v/>
      </c>
      <c r="D17" s="549">
        <f>(($C$5*1.0)*$C$6/1000-($C$5*1.0)*$C$7*12/1000-ROUNDUP(($C$5*1.0)*$C$7/20,0)*$C$8/1000)/$C$9*10000</f>
        <v/>
      </c>
      <c r="E17" s="549">
        <f>(($C$5*1.0)*$C$6/1000-($C$5*1.0)*$C$7*18/1000-ROUNDUP(($C$5*1.0)*$C$7/20,0)*$C$8/1000)/$C$9*10000</f>
        <v/>
      </c>
      <c r="F17" s="549">
        <f>(($C$5*1.0)*$C$6/1000-($C$5*1.0)*$C$7*24/1000-ROUNDUP(($C$5*1.0)*$C$7/20,0)*$C$8/1000)/$C$9*10000</f>
        <v/>
      </c>
      <c r="G17" s="549">
        <f>(($C$5*1.0)*$C$6/1000-($C$5*1.0)*$C$7*30/1000-ROUNDUP(($C$5*1.0)*$C$7/20,0)*$C$8/1000)/$C$9*10000</f>
        <v/>
      </c>
      <c r="H17" s="549">
        <f>(($C$5*1.0)*$C$6/1000-($C$5*1.0)*$C$7*40/1000-ROUNDUP(($C$5*1.0)*$C$7/20,0)*$C$8/1000)/$C$9*10000</f>
        <v/>
      </c>
    </row>
    <row r="20">
      <c r="B20" s="542" t="inlineStr">
        <is>
          <t>Base case Y3 run-rate bps (from bridge)</t>
        </is>
      </c>
      <c r="C20" s="557">
        <f>'ZI_04_EBITDA_Bridge'!E17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2026-08-13T20:32:43Z</dcterms:modified>
  <cp:lastModifiedBy>scottmccarthy</cp:lastModifiedBy>
  <cp:lastPrinted>2014-05-30T16:55:05Z</cp:lastPrinted>
</cp:coreProperties>
</file>