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910" tabRatio="600" firstSheet="0" activeTab="0" autoFilterDateGrouping="1"/>
  </bookViews>
  <sheets>
    <sheet name="Strategy_Summary" sheetId="1" state="visible" r:id="rId1"/>
    <sheet name="00_Assumptions_List" sheetId="2" state="visible" r:id="rId2"/>
    <sheet name="Debt_Sweep_AI" sheetId="3" state="visible" r:id="rId3"/>
    <sheet name="Base_Operating" sheetId="4" state="visible" r:id="rId4"/>
    <sheet name="AI_Operating" sheetId="5" state="visible" r:id="rId5"/>
    <sheet name="Coversheet" sheetId="6" state="visible" r:id="rId6"/>
    <sheet name="LBO" sheetId="7" state="visible" r:id="rId7"/>
    <sheet name="DCF" sheetId="8" state="visible" r:id="rId8"/>
    <sheet name="Shares" sheetId="9" state="visible" r:id="rId9"/>
    <sheet name="52wkHL" sheetId="10" state="visible" r:id="rId10"/>
  </sheets>
  <externalReferences>
    <externalReference r:id="rId11"/>
    <externalReference r:id="rId12"/>
  </externalReferences>
  <definedNames>
    <definedName name="CIQWBGuid" hidden="1">"a611639b-bab1-425e-aaa5-008c326fdfdb"</definedName>
    <definedName name="Inv_Cap">[1]Results!$E$182:$AD$182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41451.5654050926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OPLAT">[1]Results!$E$145:$AD$145</definedName>
    <definedName name="One">'[1]Forecast Drivers'!$D$330</definedName>
    <definedName name="Products">[2]Array0!$B$5:$C$7</definedName>
    <definedName name="Rev">'[1]Forecast Drivers'!$E$25:$S$25</definedName>
    <definedName name="CIQWBGuid" localSheetId="5" hidden="1">"ab508404-a108-4d4f-b84c-e5fce791e559"</definedName>
  </definedNames>
  <calcPr calcId="152511" calcMode="autoNoTable" fullCalcOnLoad="1" iterate="1"/>
</workbook>
</file>

<file path=xl/styles.xml><?xml version="1.0" encoding="utf-8"?>
<styleSheet xmlns="http://schemas.openxmlformats.org/spreadsheetml/2006/main">
  <numFmts count="82">
    <numFmt numFmtId="164" formatCode="#,##0.0_);\(#,##0.0\);@_)"/>
    <numFmt numFmtId="165" formatCode="0.0%_);\(0.0%\);@_)"/>
    <numFmt numFmtId="166" formatCode="0\A;[Red]0\A"/>
    <numFmt numFmtId="167" formatCode="0\P_);\(0\P\)"/>
    <numFmt numFmtId="168" formatCode="m/d/yy;@"/>
    <numFmt numFmtId="169" formatCode="&quot;$&quot;#,##0.0_);\(&quot;$&quot;#,##0.0\)"/>
    <numFmt numFmtId="170" formatCode="0%_);\(0%\);@_)"/>
    <numFmt numFmtId="171" formatCode="0.0\x_);\(0.0\x\);@_)"/>
    <numFmt numFmtId="172" formatCode="&quot;$&quot;#,##0.00_);\(&quot;$&quot;#,##0.00\);@_)"/>
    <numFmt numFmtId="173" formatCode="0.0%"/>
    <numFmt numFmtId="174" formatCode="#,##0.0_);\(#,##0.0\);\-_);@_)"/>
    <numFmt numFmtId="175" formatCode="#,##0.0_);\(#,##0.0\)"/>
    <numFmt numFmtId="176" formatCode="0.00\x_);\(0.00\x\);@_)"/>
    <numFmt numFmtId="177" formatCode="0.00%_);\(0.00%\);@_)"/>
    <numFmt numFmtId="178" formatCode="\L\ \+\ 0%"/>
    <numFmt numFmtId="179" formatCode="0.000%_);\(0.000%\);@_)"/>
    <numFmt numFmtId="180" formatCode="#,##0.000"/>
    <numFmt numFmtId="181" formatCode="&quot;Approach&quot;\ 0"/>
    <numFmt numFmtId="182" formatCode="0.0"/>
    <numFmt numFmtId="183" formatCode="&quot;Tranche&quot;\ 0"/>
    <numFmt numFmtId="184" formatCode="0\ &quot;yrs&quot;"/>
    <numFmt numFmtId="185" formatCode="0.00\x__"/>
    <numFmt numFmtId="186" formatCode="&quot;Assumed exit on &quot;[$-409]mmmm\ d\,\ yyyy;@"/>
    <numFmt numFmtId="187" formatCode="0\A"/>
    <numFmt numFmtId="188" formatCode="General\ &quot;yrs&quot;"/>
    <numFmt numFmtId="189" formatCode="0.000%"/>
    <numFmt numFmtId="190" formatCode="#,##0.0"/>
    <numFmt numFmtId="191" formatCode="0.00x"/>
    <numFmt numFmtId="192" formatCode="#,##0.00_);\(#,##0\)"/>
    <numFmt numFmtId="193" formatCode="#,##0.0%_);\(#,##0.0%\)"/>
    <numFmt numFmtId="194" formatCode="0.0\ \x"/>
    <numFmt numFmtId="195" formatCode="#,##0.00\ ;\(#,##0.00\)"/>
    <numFmt numFmtId="196" formatCode="&quot;$&quot;#,##0.00\ ;\(&quot;$&quot;#,##0.00\)"/>
    <numFmt numFmtId="197" formatCode="0.0%_);\(0.0%\)"/>
    <numFmt numFmtId="198" formatCode="0.000\ \x&quot;rate&quot;"/>
    <numFmt numFmtId="199" formatCode="#,##0.000_);[Red]\(#,##0.000\)"/>
    <numFmt numFmtId="200" formatCode="0.00_);\(0.00\);0.00"/>
    <numFmt numFmtId="201" formatCode="\C&quot;$&quot;#,##0.00_);[Red]\(&quot;$&quot;#,##0.00\)"/>
    <numFmt numFmtId="202" formatCode="#,##0%_);\(#,##0.0%\)"/>
    <numFmt numFmtId="203" formatCode="_(* #,##0.00000000_);_(* \(#,##0.00000000\);_(* &quot;-&quot;?_);_(@_)"/>
    <numFmt numFmtId="204" formatCode="mmm\-d\-yyyy"/>
    <numFmt numFmtId="205" formatCode="mmm\-yyyy"/>
    <numFmt numFmtId="206" formatCode="yyyy"/>
    <numFmt numFmtId="207" formatCode="0.00\x&quot;rate&quot;"/>
    <numFmt numFmtId="208" formatCode="0.0&quot;  &quot;"/>
    <numFmt numFmtId="209" formatCode="&quot;$&quot;#,##0.0\ ;[Red]\(&quot;$&quot;#,##0\)"/>
    <numFmt numFmtId="210" formatCode="_(&quot;$&quot;* #,##0.00_);_(&quot;$&quot;* \(#,##0.00\);_(&quot;$&quot;* &quot;-&quot;?_);_(@_)"/>
    <numFmt numFmtId="211" formatCode="&quot;$&quot;#,##0.000_);[Red]\(&quot;$&quot;#,##0.000\)"/>
    <numFmt numFmtId="212" formatCode="&quot;$&quot;#,##0.00&quot;A&quot;;[Red]\(&quot;$&quot;#,##0.00\)&quot;A&quot;"/>
    <numFmt numFmtId="213" formatCode="#,##0.0\ ;[Red]\(&quot;$&quot;#,##0\)"/>
    <numFmt numFmtId="214" formatCode="&quot;$&quot;#,##0.00&quot;E&quot;;[Red]\(&quot;$&quot;#,##0.00\)&quot;E&quot;"/>
    <numFmt numFmtId="215" formatCode="_([$€-2]* #,##0.00_);_([$€-2]* \(#,##0.00\);_([$€-2]* &quot;-&quot;??_)"/>
    <numFmt numFmtId="216" formatCode="#,##0.00;\(#,##0.00\)"/>
    <numFmt numFmtId="217" formatCode=".%\,\(0.0%%;\t"/>
    <numFmt numFmtId="218" formatCode="#,##0.0_);[Red]\(#,##0.0\)"/>
    <numFmt numFmtId="219" formatCode="0.0%_);[Red]\(0.0%\)"/>
    <numFmt numFmtId="220" formatCode="0.00_);\(0.00\);0.00_)"/>
    <numFmt numFmtId="221" formatCode="#,##0\x"/>
    <numFmt numFmtId="222" formatCode="&quot;TKR&quot;\ 0"/>
    <numFmt numFmtId="223" formatCode=".%\,\(0.%%;\t"/>
    <numFmt numFmtId="224" formatCode="&quot;$&quot;#,###.0\ \ "/>
    <numFmt numFmtId="225" formatCode="#,##0.00\x_);[Red]\(#,##0.00\x\)"/>
    <numFmt numFmtId="226" formatCode="#,##0.000_);\(#,##0.000\)"/>
    <numFmt numFmtId="227" formatCode="#,##0.00\x_);[Red]\(#,##0.00\x\);&quot;--  &quot;"/>
    <numFmt numFmtId="228" formatCode="_(* #,##0.0_);_(* \(#,##0.0\);_(* &quot;-&quot;??_);_(@_)"/>
    <numFmt numFmtId="229" formatCode="0.0\x_);[Red]\(0.0\x\)"/>
    <numFmt numFmtId="230" formatCode="0.0\ "/>
    <numFmt numFmtId="231" formatCode="&quot;$&quot;#,##0.0;\(&quot;$&quot;#,##0.00\)"/>
    <numFmt numFmtId="232" formatCode="#,##0.00%_);\(#,##0.00%\)"/>
    <numFmt numFmtId="233" formatCode="0.00\%;\-0.00\%;0.00\%"/>
    <numFmt numFmtId="234" formatCode="0.0%\ ;\(0.0%\)"/>
    <numFmt numFmtId="235" formatCode="_(&quot;$&quot;* #,##0_);_(&quot;$&quot;* \(#,##0\);_(&quot;$&quot;* &quot;-&quot;??_);_(@_)"/>
    <numFmt numFmtId="236" formatCode="&quot;$&quot;0.00\ "/>
    <numFmt numFmtId="237" formatCode="0.0\ \ \ \ \ "/>
    <numFmt numFmtId="238" formatCode="0.00\x;\-0.00\x;0.00\x"/>
    <numFmt numFmtId="239" formatCode="&quot;$&quot;#,##0.000_);\(&quot;$&quot;#,##0.000\)"/>
    <numFmt numFmtId="240" formatCode="#,##0.0_);\(#,##0.0\);_(* &quot;-&quot;_)"/>
    <numFmt numFmtId="241" formatCode="_(&quot;$&quot;* #,##0.00_);_(&quot;$&quot;* \(#,##0.00\);_(* &quot;-&quot;_);_(@_)"/>
    <numFmt numFmtId="242" formatCode="0.00%_);[Red]\(0.00%\)"/>
    <numFmt numFmtId="243" formatCode="#,##0.0\x_);\(#,##0.0\x\)"/>
    <numFmt numFmtId="244" formatCode="#,##0.00\x_);\(#,##0.00\x\)"/>
    <numFmt numFmtId="245" formatCode="###0&quot;E&quot;_)"/>
  </numFmts>
  <fonts count="107">
    <font>
      <name val="Calibri"/>
      <family val="2"/>
      <color theme="1"/>
      <sz val="11"/>
      <scheme val="minor"/>
    </font>
    <font>
      <name val="Calibri"/>
      <family val="2"/>
      <b val="1"/>
      <color theme="1"/>
      <sz val="11"/>
      <scheme val="minor"/>
    </font>
    <font>
      <name val="Calibri"/>
      <family val="2"/>
      <b val="1"/>
      <color theme="1"/>
      <sz val="20"/>
      <scheme val="minor"/>
    </font>
    <font>
      <name val="Calibri"/>
      <family val="2"/>
      <i val="1"/>
      <color rgb="FF000000"/>
      <sz val="11"/>
      <scheme val="minor"/>
    </font>
    <font>
      <name val="Calibri"/>
      <family val="2"/>
      <color rgb="FF000000"/>
      <sz val="11"/>
      <scheme val="minor"/>
    </font>
    <font>
      <name val="Calibri"/>
      <family val="2"/>
      <color rgb="FF0000FF"/>
      <sz val="11"/>
      <scheme val="minor"/>
    </font>
    <font>
      <name val="Calibri"/>
      <family val="2"/>
      <b val="1"/>
      <color rgb="FF000000"/>
      <sz val="11"/>
      <scheme val="minor"/>
    </font>
    <font>
      <name val="Calibri"/>
      <family val="2"/>
      <b val="1"/>
      <color rgb="FF0000FF"/>
      <sz val="11"/>
      <scheme val="minor"/>
    </font>
    <font>
      <name val="Tahoma"/>
      <family val="2"/>
      <b val="1"/>
      <color indexed="81"/>
      <sz val="9"/>
    </font>
    <font>
      <name val="Tahoma"/>
      <family val="2"/>
      <color indexed="81"/>
      <sz val="9"/>
    </font>
    <font>
      <name val="GillSans"/>
      <sz val="10"/>
    </font>
    <font>
      <name val="Times New Roman"/>
      <family val="1"/>
      <color indexed="49"/>
      <sz val="8"/>
    </font>
    <font>
      <name val="Arial"/>
      <family val="2"/>
      <sz val="10"/>
    </font>
    <font>
      <name val="Trebuchet MS"/>
      <family val="2"/>
      <sz val="10"/>
    </font>
    <font>
      <name val="Calibri"/>
      <family val="2"/>
      <color indexed="8"/>
      <sz val="11"/>
    </font>
    <font>
      <name val="Calibri"/>
      <family val="2"/>
      <color indexed="9"/>
      <sz val="11"/>
    </font>
    <font>
      <name val="Calibri"/>
      <family val="2"/>
      <color indexed="20"/>
      <sz val="11"/>
    </font>
    <font>
      <name val="Times New Roman"/>
      <family val="1"/>
      <sz val="8"/>
    </font>
    <font>
      <name val="Times New Roman"/>
      <family val="1"/>
      <sz val="10"/>
    </font>
    <font>
      <name val="Tms Rmn"/>
      <b val="1"/>
      <sz val="18"/>
    </font>
    <font>
      <name val="Calibri"/>
      <family val="2"/>
      <b val="1"/>
      <color indexed="52"/>
      <sz val="11"/>
    </font>
    <font>
      <name val="Calibri"/>
      <family val="2"/>
      <b val="1"/>
      <color indexed="9"/>
      <sz val="11"/>
    </font>
    <font>
      <name val="GillSans"/>
      <b val="1"/>
      <sz val="7"/>
    </font>
    <font>
      <name val="Geneva"/>
      <sz val="10"/>
    </font>
    <font>
      <name val="Arial"/>
      <family val="2"/>
      <sz val="24"/>
    </font>
    <font>
      <name val="Arial"/>
      <family val="2"/>
      <sz val="8"/>
    </font>
    <font>
      <name val="Helvetica"/>
      <family val="2"/>
      <sz val="10"/>
    </font>
    <font>
      <name val="Arial"/>
      <family val="2"/>
      <b val="1"/>
      <sz val="8"/>
    </font>
    <font>
      <name val="Times New Roman"/>
      <family val="1"/>
      <b val="1"/>
      <sz val="8"/>
    </font>
    <font>
      <name val="Calibri"/>
      <family val="2"/>
      <i val="1"/>
      <color indexed="23"/>
      <sz val="11"/>
    </font>
    <font>
      <name val="Calibri"/>
      <family val="2"/>
      <color indexed="17"/>
      <sz val="11"/>
    </font>
    <font>
      <name val="Times New Roman"/>
      <family val="1"/>
      <i val="1"/>
      <color indexed="17"/>
      <sz val="8"/>
    </font>
    <font>
      <name val="Arial"/>
      <family val="2"/>
      <color indexed="21"/>
      <sz val="8"/>
    </font>
    <font>
      <name val="Calibri"/>
      <family val="2"/>
      <b val="1"/>
      <color indexed="56"/>
      <sz val="15"/>
    </font>
    <font>
      <name val="Calibri"/>
      <family val="2"/>
      <b val="1"/>
      <color indexed="56"/>
      <sz val="13"/>
    </font>
    <font>
      <name val="Calibri"/>
      <family val="2"/>
      <b val="1"/>
      <color indexed="56"/>
      <sz val="11"/>
    </font>
    <font>
      <name val="Trebuchet MS"/>
      <family val="2"/>
      <color indexed="12"/>
      <sz val="10"/>
    </font>
    <font>
      <name val="MS Sans Serif"/>
      <family val="2"/>
      <sz val="10"/>
    </font>
    <font>
      <name val="Calibri"/>
      <family val="2"/>
      <color indexed="62"/>
      <sz val="11"/>
    </font>
    <font>
      <name val="Tms Rmn"/>
      <b val="1"/>
      <color indexed="9"/>
      <sz val="10"/>
    </font>
    <font>
      <name val="Arial"/>
      <family val="2"/>
      <b val="1"/>
      <sz val="10"/>
    </font>
    <font>
      <name val="Calibri"/>
      <family val="2"/>
      <color indexed="52"/>
      <sz val="11"/>
    </font>
    <font>
      <name val="Times New Roman"/>
      <family val="1"/>
      <color indexed="18"/>
      <sz val="8"/>
    </font>
    <font>
      <name val="Calibri"/>
      <family val="2"/>
      <color indexed="60"/>
      <sz val="11"/>
    </font>
    <font>
      <name val="Calibri"/>
      <family val="2"/>
      <b val="1"/>
      <color indexed="63"/>
      <sz val="11"/>
    </font>
    <font>
      <name val="Palatino"/>
      <sz val="10"/>
    </font>
    <font>
      <name val="Baskerville MT"/>
      <sz val="12"/>
    </font>
    <font>
      <name val="GillSans"/>
      <family val="2"/>
      <sz val="10"/>
      <u val="single"/>
    </font>
    <font>
      <name val="GillSans Light"/>
      <sz val="10"/>
    </font>
    <font>
      <name val="Arial"/>
      <family val="2"/>
      <b val="1"/>
      <sz val="12"/>
    </font>
    <font>
      <name val="Arial"/>
      <family val="2"/>
      <b val="1"/>
      <sz val="16"/>
    </font>
    <font>
      <name val="MS Sans Serif"/>
      <family val="2"/>
      <sz val="8"/>
    </font>
    <font>
      <name val="Arial"/>
      <family val="2"/>
      <color indexed="8"/>
      <sz val="8.25"/>
    </font>
    <font>
      <name val="Arial"/>
      <family val="2"/>
      <b val="1"/>
      <color indexed="8"/>
      <sz val="8"/>
      <u val="singleAccounting"/>
    </font>
    <font>
      <name val="Arial"/>
      <family val="2"/>
      <color indexed="8"/>
      <sz val="8"/>
    </font>
    <font>
      <name val="Arial"/>
      <family val="2"/>
      <color indexed="39"/>
      <sz val="8"/>
    </font>
    <font>
      <name val="Times New Roman"/>
      <family val="1"/>
      <sz val="7"/>
    </font>
    <font>
      <name val="Times New Roman"/>
      <family val="1"/>
      <color indexed="17"/>
      <sz val="7"/>
    </font>
    <font>
      <name val="Times New Roman"/>
      <family val="1"/>
      <color indexed="18"/>
      <sz val="7"/>
    </font>
    <font>
      <name val="GillSans"/>
      <family val="2"/>
      <b val="1"/>
      <sz val="12"/>
    </font>
    <font>
      <name val="Cambria"/>
      <family val="2"/>
      <b val="1"/>
      <color indexed="56"/>
      <sz val="18"/>
    </font>
    <font>
      <name val="GillSans"/>
      <b val="1"/>
      <sz val="11"/>
    </font>
    <font>
      <name val="Times New Roman"/>
      <family val="1"/>
      <b val="1"/>
      <color indexed="18"/>
      <sz val="8"/>
    </font>
    <font>
      <name val="Times New Roman"/>
      <family val="1"/>
      <i val="1"/>
      <sz val="8"/>
    </font>
    <font>
      <name val="GillSans"/>
      <family val="2"/>
      <sz val="11"/>
      <u val="single"/>
    </font>
    <font>
      <name val="Calibri"/>
      <family val="2"/>
      <b val="1"/>
      <color indexed="8"/>
      <sz val="11"/>
    </font>
    <font>
      <name val="Calibri"/>
      <family val="2"/>
      <color indexed="10"/>
      <sz val="11"/>
    </font>
    <font>
      <name val="Calibri"/>
      <family val="2"/>
      <b val="1"/>
      <color rgb="FF008000"/>
      <sz val="11"/>
      <scheme val="minor"/>
    </font>
    <font>
      <name val="Calibri"/>
      <family val="2"/>
      <i val="1"/>
      <color theme="1"/>
      <sz val="11"/>
      <scheme val="minor"/>
    </font>
    <font>
      <name val="Calibri"/>
      <family val="2"/>
      <i val="1"/>
      <color rgb="FF0000FF"/>
      <sz val="11"/>
      <scheme val="minor"/>
    </font>
    <font>
      <name val="Calibri"/>
      <family val="2"/>
      <color theme="1"/>
      <sz val="11"/>
      <u val="single"/>
      <scheme val="minor"/>
    </font>
    <font>
      <name val="Calibri"/>
      <family val="2"/>
      <sz val="11"/>
      <scheme val="minor"/>
    </font>
    <font>
      <name val="Calibri"/>
      <family val="2"/>
      <color rgb="FF008000"/>
      <sz val="11"/>
      <scheme val="minor"/>
    </font>
    <font>
      <name val="Calibri"/>
      <family val="2"/>
      <b val="1"/>
      <color indexed="8"/>
      <sz val="11"/>
      <scheme val="minor"/>
    </font>
    <font>
      <name val="Calibri"/>
      <family val="2"/>
      <color theme="1"/>
      <sz val="11"/>
      <vertAlign val="superscript"/>
      <scheme val="minor"/>
    </font>
    <font>
      <name val="Calibri"/>
      <family val="2"/>
      <color indexed="12"/>
      <sz val="11"/>
      <scheme val="minor"/>
    </font>
    <font>
      <name val="Calibri"/>
      <family val="2"/>
      <i val="1"/>
      <color rgb="FF008000"/>
      <sz val="11"/>
      <scheme val="minor"/>
    </font>
    <font>
      <name val="Calibri"/>
      <family val="2"/>
      <color theme="1"/>
      <sz val="11"/>
      <u val="singleAccounting"/>
      <scheme val="minor"/>
    </font>
    <font>
      <name val="Calibri"/>
      <family val="2"/>
      <color theme="1"/>
      <sz val="8"/>
      <scheme val="minor"/>
    </font>
    <font>
      <name val="Calibri"/>
      <family val="2"/>
      <b val="1"/>
      <color rgb="FF0000FF"/>
      <sz val="8"/>
      <scheme val="minor"/>
    </font>
    <font>
      <name val="Calibri"/>
      <family val="2"/>
      <i val="1"/>
      <color rgb="FF0000FF"/>
      <sz val="10"/>
      <scheme val="minor"/>
    </font>
    <font>
      <name val="Calibri"/>
      <family val="2"/>
      <i val="1"/>
      <color rgb="FF000000"/>
      <sz val="10"/>
      <scheme val="minor"/>
    </font>
    <font>
      <name val="Calibri"/>
      <family val="2"/>
      <b val="1"/>
      <color theme="1"/>
      <sz val="13"/>
      <scheme val="minor"/>
    </font>
    <font>
      <name val="Calibri"/>
      <family val="2"/>
      <i val="1"/>
      <color theme="1"/>
      <sz val="11"/>
      <u val="single"/>
      <scheme val="minor"/>
    </font>
    <font>
      <name val="Calibri"/>
      <family val="2"/>
      <color theme="1"/>
      <sz val="10"/>
      <u val="singleAccounting"/>
      <scheme val="minor"/>
    </font>
    <font>
      <name val="Calibri"/>
      <family val="2"/>
      <color rgb="FF000000"/>
      <sz val="11"/>
      <u val="single"/>
      <scheme val="minor"/>
    </font>
    <font>
      <name val="Calibri"/>
      <family val="2"/>
      <b val="1"/>
      <i val="1"/>
      <color theme="1"/>
      <sz val="11"/>
      <scheme val="minor"/>
    </font>
    <font>
      <name val="Calibri"/>
      <family val="2"/>
      <i val="1"/>
      <color indexed="12"/>
      <sz val="11"/>
      <scheme val="minor"/>
    </font>
    <font>
      <name val="Calibri"/>
      <family val="2"/>
      <color theme="1"/>
      <sz val="10"/>
      <scheme val="minor"/>
    </font>
    <font>
      <name val="Calibri"/>
      <family val="2"/>
      <i val="1"/>
      <color theme="1"/>
      <sz val="10"/>
      <scheme val="minor"/>
    </font>
    <font>
      <name val="Calibri"/>
      <family val="2"/>
      <color theme="1"/>
      <sz val="10"/>
      <u val="single"/>
      <scheme val="minor"/>
    </font>
    <font>
      <name val="Calibri"/>
      <family val="2"/>
      <b val="1"/>
      <color rgb="FFFF0000"/>
      <sz val="11"/>
      <scheme val="minor"/>
    </font>
    <font>
      <name val="Tahoma"/>
      <family val="2"/>
      <i val="1"/>
      <color indexed="81"/>
      <sz val="9"/>
    </font>
    <font>
      <name val="Calibri"/>
      <family val="2"/>
      <i val="1"/>
      <color indexed="8"/>
      <sz val="11"/>
      <scheme val="minor"/>
    </font>
    <font>
      <name val="Calibri"/>
      <family val="2"/>
      <b val="1"/>
      <i val="1"/>
      <color indexed="8"/>
      <sz val="11"/>
      <scheme val="minor"/>
    </font>
    <font>
      <name val="Tahoma"/>
      <family val="2"/>
      <color indexed="81"/>
      <sz val="9"/>
      <u val="single"/>
    </font>
    <font>
      <name val="Calibri"/>
      <family val="2"/>
      <b val="1"/>
      <i val="1"/>
      <color theme="1"/>
      <sz val="10"/>
      <scheme val="minor"/>
    </font>
    <font>
      <name val="Calibri"/>
      <family val="2"/>
      <color indexed="8"/>
      <sz val="11"/>
      <scheme val="minor"/>
    </font>
    <font>
      <name val="Calibri"/>
      <family val="2"/>
      <b val="1"/>
      <color rgb="FFC00000"/>
      <sz val="11"/>
      <scheme val="minor"/>
    </font>
    <font>
      <name val="Calibri"/>
      <b val="1"/>
      <color rgb="001F4E79"/>
      <sz val="16"/>
    </font>
    <font>
      <name val="Calibri"/>
      <b val="1"/>
    </font>
    <font>
      <name val="Calibri"/>
      <color rgb="00000000"/>
    </font>
    <font>
      <name val="Calibri"/>
      <b val="1"/>
      <color rgb="00FFFFFF"/>
    </font>
    <font>
      <name val="Calibri"/>
      <color rgb="000563C1"/>
      <u val="single"/>
    </font>
    <font>
      <name val="Calibri"/>
      <color rgb="000000FF"/>
    </font>
    <font>
      <name val="Calibri"/>
      <sz val="10"/>
    </font>
    <font>
      <name val="Calibri"/>
      <i val="1"/>
      <sz val="10"/>
    </font>
  </fonts>
  <fills count="38">
    <fill>
      <patternFill/>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rgb="FFFFFF99"/>
        <bgColor indexed="64"/>
      </patternFill>
    </fill>
    <fill>
      <patternFill patternType="solid">
        <fgColor rgb="FFCCFFFF"/>
        <bgColor indexed="64"/>
      </patternFill>
    </fill>
    <fill>
      <patternFill patternType="solid">
        <fgColor rgb="00D6DCE4"/>
      </patternFill>
    </fill>
    <fill>
      <patternFill patternType="solid">
        <fgColor rgb="00E2EFDA"/>
      </patternFill>
    </fill>
    <fill>
      <patternFill patternType="solid">
        <fgColor rgb="001F4E79"/>
      </patternFill>
    </fill>
    <fill>
      <patternFill patternType="solid">
        <fgColor rgb="00C6EFCE"/>
      </patternFill>
    </fill>
    <fill>
      <patternFill patternType="solid">
        <fgColor rgb="00FFF2CC"/>
      </patternFill>
    </fill>
  </fills>
  <borders count="36">
    <border>
      <left/>
      <right/>
      <top/>
      <bottom/>
      <diagonal/>
    </border>
    <border>
      <left/>
      <right/>
      <top style="medium">
        <color rgb="FF000000"/>
      </top>
      <bottom style="medium">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thick">
        <color indexed="64"/>
      </bottom>
      <diagonal/>
    </border>
    <border>
      <left/>
      <right/>
      <top style="thin">
        <color indexed="62"/>
      </top>
      <bottom style="double">
        <color indexed="62"/>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00B0B0B0"/>
      </left>
      <right style="thin">
        <color rgb="00B0B0B0"/>
      </right>
      <top style="thin">
        <color rgb="00B0B0B0"/>
      </top>
      <bottom style="thin">
        <color rgb="00B0B0B0"/>
      </bottom>
    </border>
  </borders>
  <cellStyleXfs count="187">
    <xf numFmtId="0" fontId="0" fillId="0" borderId="0"/>
    <xf numFmtId="0" fontId="10" fillId="0" borderId="0"/>
    <xf numFmtId="192" fontId="10" fillId="0" borderId="0" applyAlignment="1">
      <alignment horizontal="right"/>
    </xf>
    <xf numFmtId="193" fontId="10" fillId="2" borderId="0"/>
    <xf numFmtId="194" fontId="10" fillId="2" borderId="0"/>
    <xf numFmtId="193" fontId="10" fillId="2" borderId="0"/>
    <xf numFmtId="195" fontId="10" fillId="2" borderId="0"/>
    <xf numFmtId="196" fontId="10" fillId="2" borderId="0" applyAlignment="1">
      <alignment horizontal="right"/>
    </xf>
    <xf numFmtId="197" fontId="11" fillId="0" borderId="0"/>
    <xf numFmtId="0" fontId="12" fillId="0" borderId="0"/>
    <xf numFmtId="198" fontId="13" fillId="0" borderId="0"/>
    <xf numFmtId="0" fontId="14" fillId="3" borderId="0"/>
    <xf numFmtId="0" fontId="14" fillId="4" borderId="0"/>
    <xf numFmtId="0" fontId="14" fillId="5" borderId="0"/>
    <xf numFmtId="0" fontId="14" fillId="6" borderId="0"/>
    <xf numFmtId="0" fontId="14" fillId="7" borderId="0"/>
    <xf numFmtId="0" fontId="14" fillId="8" borderId="0"/>
    <xf numFmtId="0" fontId="14" fillId="9" borderId="0"/>
    <xf numFmtId="0" fontId="14" fillId="10" borderId="0"/>
    <xf numFmtId="0" fontId="14" fillId="11" borderId="0"/>
    <xf numFmtId="0" fontId="14" fillId="6" borderId="0"/>
    <xf numFmtId="0" fontId="14" fillId="9" borderId="0"/>
    <xf numFmtId="0" fontId="14" fillId="12" borderId="0"/>
    <xf numFmtId="0" fontId="15" fillId="13" borderId="0"/>
    <xf numFmtId="0" fontId="15" fillId="10" borderId="0"/>
    <xf numFmtId="0" fontId="15" fillId="11" borderId="0"/>
    <xf numFmtId="0" fontId="15" fillId="14" borderId="0"/>
    <xf numFmtId="0" fontId="15" fillId="15" borderId="0"/>
    <xf numFmtId="0" fontId="15" fillId="16" borderId="0"/>
    <xf numFmtId="0" fontId="15" fillId="17" borderId="0"/>
    <xf numFmtId="0" fontId="15" fillId="18" borderId="0"/>
    <xf numFmtId="0" fontId="15" fillId="19" borderId="0"/>
    <xf numFmtId="0" fontId="15" fillId="14" borderId="0"/>
    <xf numFmtId="0" fontId="15" fillId="15" borderId="0"/>
    <xf numFmtId="0" fontId="15" fillId="20" borderId="0"/>
    <xf numFmtId="0" fontId="13" fillId="0" borderId="0"/>
    <xf numFmtId="0" fontId="16" fillId="4" borderId="0"/>
    <xf numFmtId="199" fontId="17" fillId="0" borderId="0"/>
    <xf numFmtId="38" fontId="17" fillId="0" borderId="0" applyProtection="1">
      <protection locked="0" hidden="0"/>
    </xf>
    <xf numFmtId="0" fontId="18" fillId="0" borderId="0"/>
    <xf numFmtId="37" fontId="19" fillId="0" borderId="0" applyAlignment="1">
      <alignment horizontal="centerContinuous"/>
    </xf>
    <xf numFmtId="0" fontId="20" fillId="21" borderId="5"/>
    <xf numFmtId="199" fontId="17" fillId="0" borderId="0" applyProtection="1">
      <protection locked="0" hidden="0"/>
    </xf>
    <xf numFmtId="199" fontId="17" fillId="0" borderId="6"/>
    <xf numFmtId="0" fontId="21" fillId="22" borderId="7"/>
    <xf numFmtId="0" fontId="12" fillId="0" borderId="0" applyAlignment="1" applyProtection="1">
      <alignment horizontal="center" wrapText="1"/>
      <protection locked="1" hidden="1"/>
    </xf>
    <xf numFmtId="0" fontId="22" fillId="0" borderId="8" applyAlignment="1">
      <alignment horizontal="left" vertical="center"/>
    </xf>
    <xf numFmtId="0" fontId="22" fillId="0" borderId="8" applyAlignment="1">
      <alignment horizontal="right" vertical="center"/>
    </xf>
    <xf numFmtId="43" fontId="12" fillId="0" borderId="0"/>
    <xf numFmtId="37" fontId="23" fillId="0" borderId="0"/>
    <xf numFmtId="39" fontId="23" fillId="0" borderId="0"/>
    <xf numFmtId="0" fontId="24" fillId="23" borderId="0" applyAlignment="1">
      <alignment horizontal="center" vertical="center" wrapText="1"/>
    </xf>
    <xf numFmtId="200" fontId="12" fillId="0" borderId="0" applyAlignment="1" applyProtection="1">
      <alignment horizontal="right"/>
      <protection locked="0" hidden="0"/>
    </xf>
    <xf numFmtId="0" fontId="25" fillId="0" borderId="0"/>
    <xf numFmtId="7" fontId="26" fillId="0" borderId="0"/>
    <xf numFmtId="5" fontId="23" fillId="0" borderId="0"/>
    <xf numFmtId="201" fontId="13" fillId="0" borderId="0" applyAlignment="1">
      <alignment horizontal="right"/>
    </xf>
    <xf numFmtId="202" fontId="10" fillId="2" borderId="9" applyAlignment="1">
      <alignment horizontal="right"/>
    </xf>
    <xf numFmtId="203" fontId="10" fillId="2" borderId="9" applyAlignment="1">
      <alignment horizontal="right"/>
    </xf>
    <xf numFmtId="202" fontId="10" fillId="2" borderId="9" applyAlignment="1">
      <alignment horizontal="right"/>
    </xf>
    <xf numFmtId="15" fontId="27" fillId="0" borderId="0"/>
    <xf numFmtId="204" fontId="25" fillId="24" borderId="0"/>
    <xf numFmtId="205" fontId="27" fillId="0" borderId="8"/>
    <xf numFmtId="14" fontId="28" fillId="0" borderId="0" applyAlignment="1">
      <alignment horizontal="center"/>
    </xf>
    <xf numFmtId="206" fontId="28" fillId="0" borderId="0" applyAlignment="1">
      <alignment horizontal="center"/>
    </xf>
    <xf numFmtId="207" fontId="13" fillId="0" borderId="0"/>
    <xf numFmtId="8" fontId="17" fillId="0" borderId="0"/>
    <xf numFmtId="6" fontId="17" fillId="0" borderId="0" applyAlignment="1">
      <alignment horizontal="right"/>
    </xf>
    <xf numFmtId="6" fontId="17" fillId="0" borderId="0"/>
    <xf numFmtId="39" fontId="10" fillId="25" borderId="0"/>
    <xf numFmtId="7" fontId="10" fillId="25" borderId="0"/>
    <xf numFmtId="208" fontId="10" fillId="25" borderId="0"/>
    <xf numFmtId="209" fontId="10" fillId="0" borderId="0"/>
    <xf numFmtId="210" fontId="10" fillId="25" borderId="0"/>
    <xf numFmtId="211" fontId="10" fillId="25" borderId="0"/>
    <xf numFmtId="212" fontId="18" fillId="0" borderId="0" applyAlignment="1" applyProtection="1">
      <alignment horizontal="left"/>
      <protection locked="0" hidden="0"/>
    </xf>
    <xf numFmtId="213" fontId="10" fillId="0" borderId="0"/>
    <xf numFmtId="214" fontId="18" fillId="0" borderId="0" applyAlignment="1" applyProtection="1">
      <alignment horizontal="left"/>
      <protection locked="0" hidden="0"/>
    </xf>
    <xf numFmtId="215" fontId="12" fillId="0" borderId="0"/>
    <xf numFmtId="0" fontId="29" fillId="0" borderId="0"/>
    <xf numFmtId="197" fontId="10" fillId="0" borderId="10"/>
    <xf numFmtId="216" fontId="10" fillId="2" borderId="9" applyAlignment="1">
      <alignment horizontal="right"/>
    </xf>
    <xf numFmtId="217" fontId="10" fillId="2" borderId="9" applyAlignment="1">
      <alignment horizontal="right"/>
    </xf>
    <xf numFmtId="216" fontId="10" fillId="2" borderId="9" applyAlignment="1">
      <alignment horizontal="right"/>
    </xf>
    <xf numFmtId="218" fontId="17" fillId="0" borderId="0" applyProtection="1">
      <protection locked="0" hidden="0"/>
    </xf>
    <xf numFmtId="0" fontId="30" fillId="5" borderId="0"/>
    <xf numFmtId="219" fontId="31" fillId="0" borderId="0"/>
    <xf numFmtId="197" fontId="32" fillId="0" borderId="0" applyAlignment="1" applyProtection="1">
      <alignment horizontal="left"/>
      <protection locked="0" hidden="0"/>
    </xf>
    <xf numFmtId="218" fontId="13" fillId="26" borderId="11"/>
    <xf numFmtId="0" fontId="33" fillId="0" borderId="12"/>
    <xf numFmtId="0" fontId="34" fillId="0" borderId="13"/>
    <xf numFmtId="0" fontId="35" fillId="0" borderId="14"/>
    <xf numFmtId="0" fontId="35" fillId="0" borderId="0"/>
    <xf numFmtId="218" fontId="36" fillId="0" borderId="0"/>
    <xf numFmtId="0" fontId="37" fillId="0" borderId="0"/>
    <xf numFmtId="199" fontId="17" fillId="0" borderId="0"/>
    <xf numFmtId="38" fontId="17" fillId="0" borderId="0" applyAlignment="1" applyProtection="1">
      <alignment horizontal="right"/>
      <protection locked="0" hidden="0"/>
    </xf>
    <xf numFmtId="0" fontId="38" fillId="8" borderId="5"/>
    <xf numFmtId="0" fontId="25" fillId="24" borderId="0" applyProtection="1">
      <protection locked="0" hidden="0"/>
    </xf>
    <xf numFmtId="0" fontId="12" fillId="0" borderId="0" applyAlignment="1" applyProtection="1">
      <alignment horizontal="right"/>
      <protection locked="0" hidden="0"/>
    </xf>
    <xf numFmtId="17" fontId="39" fillId="27" borderId="0"/>
    <xf numFmtId="220" fontId="12" fillId="0" borderId="0" applyAlignment="1" applyProtection="1">
      <alignment horizontal="right"/>
      <protection locked="0" hidden="0"/>
    </xf>
    <xf numFmtId="0" fontId="40" fillId="28" borderId="15" applyAlignment="1">
      <alignment horizontal="left" vertical="center" wrapText="1"/>
    </xf>
    <xf numFmtId="0" fontId="41" fillId="0" borderId="16"/>
    <xf numFmtId="173" fontId="17" fillId="0" borderId="0" applyAlignment="1">
      <alignment horizontal="right"/>
    </xf>
    <xf numFmtId="221" fontId="10" fillId="0" borderId="0" applyAlignment="1">
      <alignment horizontal="right"/>
    </xf>
    <xf numFmtId="222" fontId="10" fillId="25" borderId="0" applyAlignment="1">
      <alignment horizontal="right"/>
    </xf>
    <xf numFmtId="223" fontId="10" fillId="0" borderId="0" applyAlignment="1">
      <alignment horizontal="right"/>
    </xf>
    <xf numFmtId="221" fontId="10" fillId="0" borderId="0" applyAlignment="1">
      <alignment horizontal="right"/>
    </xf>
    <xf numFmtId="197" fontId="42" fillId="0" borderId="0" applyAlignment="1">
      <alignment horizontal="right"/>
    </xf>
    <xf numFmtId="197" fontId="42" fillId="0" borderId="0"/>
    <xf numFmtId="224" fontId="10" fillId="2" borderId="9" applyAlignment="1">
      <alignment horizontal="right"/>
    </xf>
    <xf numFmtId="225" fontId="17" fillId="0" borderId="0"/>
    <xf numFmtId="0" fontId="23" fillId="2" borderId="0" applyAlignment="1" applyProtection="1">
      <alignment horizontal="right"/>
      <protection locked="1" hidden="1"/>
    </xf>
    <xf numFmtId="0" fontId="43" fillId="26" borderId="0"/>
    <xf numFmtId="37" fontId="26" fillId="0" borderId="0"/>
    <xf numFmtId="175" fontId="12" fillId="0" borderId="0"/>
    <xf numFmtId="39" fontId="12" fillId="0" borderId="0"/>
    <xf numFmtId="226" fontId="12" fillId="0" borderId="0"/>
    <xf numFmtId="0" fontId="12" fillId="0" borderId="0"/>
    <xf numFmtId="0" fontId="27" fillId="0" borderId="0"/>
    <xf numFmtId="0" fontId="25" fillId="0" borderId="0"/>
    <xf numFmtId="227" fontId="25" fillId="0" borderId="0"/>
    <xf numFmtId="0" fontId="14" fillId="29" borderId="17"/>
    <xf numFmtId="0" fontId="23" fillId="0" borderId="0"/>
    <xf numFmtId="228" fontId="12" fillId="0" borderId="0"/>
    <xf numFmtId="0" fontId="23" fillId="0" borderId="0"/>
    <xf numFmtId="0" fontId="44" fillId="21" borderId="18"/>
    <xf numFmtId="229" fontId="17" fillId="0" borderId="0" applyAlignment="1">
      <alignment horizontal="right"/>
    </xf>
    <xf numFmtId="0" fontId="45" fillId="0" borderId="0"/>
    <xf numFmtId="0" fontId="25" fillId="0" borderId="0"/>
    <xf numFmtId="230" fontId="10" fillId="25" borderId="0"/>
    <xf numFmtId="9" fontId="17" fillId="0" borderId="0" applyAlignment="1">
      <alignment horizontal="right"/>
    </xf>
    <xf numFmtId="231" fontId="10" fillId="0" borderId="0"/>
    <xf numFmtId="0" fontId="12" fillId="0" borderId="0"/>
    <xf numFmtId="193" fontId="12" fillId="0" borderId="0"/>
    <xf numFmtId="232" fontId="12" fillId="0" borderId="0"/>
    <xf numFmtId="233" fontId="12" fillId="0" borderId="0" applyAlignment="1" applyProtection="1">
      <alignment horizontal="right"/>
      <protection locked="0" hidden="0"/>
    </xf>
    <xf numFmtId="219" fontId="17" fillId="0" borderId="0"/>
    <xf numFmtId="8" fontId="17" fillId="0" borderId="0"/>
    <xf numFmtId="199" fontId="17" fillId="0" borderId="0" applyProtection="1">
      <protection locked="0" hidden="0"/>
    </xf>
    <xf numFmtId="218" fontId="17" fillId="0" borderId="0"/>
    <xf numFmtId="38" fontId="17" fillId="0" borderId="0"/>
    <xf numFmtId="195" fontId="10" fillId="2" borderId="19" applyAlignment="1">
      <alignment horizontal="right"/>
    </xf>
    <xf numFmtId="234" fontId="46" fillId="2" borderId="0"/>
    <xf numFmtId="235" fontId="10" fillId="2" borderId="0"/>
    <xf numFmtId="0" fontId="47" fillId="0" borderId="0" applyAlignment="1">
      <alignment horizontal="center"/>
    </xf>
    <xf numFmtId="0" fontId="10" fillId="0" borderId="8" applyAlignment="1">
      <alignment horizontal="centerContinuous"/>
    </xf>
    <xf numFmtId="236" fontId="10" fillId="2" borderId="0" applyAlignment="1">
      <alignment horizontal="right"/>
    </xf>
    <xf numFmtId="237" fontId="10" fillId="2" borderId="9" applyAlignment="1">
      <alignment horizontal="right"/>
    </xf>
    <xf numFmtId="238" fontId="12" fillId="0" borderId="0" applyAlignment="1" applyProtection="1">
      <alignment horizontal="right"/>
      <protection locked="0" hidden="0"/>
    </xf>
    <xf numFmtId="218" fontId="28" fillId="0" borderId="0"/>
    <xf numFmtId="0" fontId="48" fillId="0" borderId="0" applyAlignment="1">
      <alignment horizontal="right" vertical="center"/>
    </xf>
    <xf numFmtId="0" fontId="49" fillId="23" borderId="11" applyAlignment="1" applyProtection="1">
      <alignment horizontal="center" vertical="center" wrapText="1"/>
      <protection locked="1" hidden="1"/>
    </xf>
    <xf numFmtId="199" fontId="17" fillId="0" borderId="0" applyProtection="1">
      <protection locked="0" hidden="0"/>
    </xf>
    <xf numFmtId="239" fontId="28" fillId="0" borderId="0" applyAlignment="1">
      <alignment horizontal="right"/>
    </xf>
    <xf numFmtId="38" fontId="12" fillId="0" borderId="0"/>
    <xf numFmtId="0" fontId="50" fillId="0" borderId="20" applyAlignment="1">
      <alignment horizontal="left" vertical="top" wrapText="1"/>
    </xf>
    <xf numFmtId="0" fontId="37" fillId="0" borderId="0" applyAlignment="1">
      <alignment horizontal="left" vertical="top" wrapText="1"/>
    </xf>
    <xf numFmtId="0" fontId="51" fillId="0" borderId="0" applyAlignment="1">
      <alignment horizontal="left" vertical="top" wrapText="1"/>
    </xf>
    <xf numFmtId="0" fontId="52" fillId="0" borderId="0"/>
    <xf numFmtId="0" fontId="53" fillId="30" borderId="0"/>
    <xf numFmtId="0" fontId="54" fillId="0" borderId="0" applyAlignment="1">
      <alignment vertical="top"/>
    </xf>
    <xf numFmtId="240" fontId="55" fillId="0" borderId="0" applyAlignment="1">
      <alignment horizontal="right" wrapText="1"/>
    </xf>
    <xf numFmtId="241" fontId="55" fillId="0" borderId="0" applyAlignment="1">
      <alignment horizontal="right"/>
    </xf>
    <xf numFmtId="4" fontId="25" fillId="0" borderId="0" applyAlignment="1">
      <alignment horizontal="right"/>
    </xf>
    <xf numFmtId="211" fontId="56" fillId="0" borderId="0"/>
    <xf numFmtId="242" fontId="57" fillId="0" borderId="0" applyAlignment="1" applyProtection="1">
      <alignment horizontal="left"/>
      <protection locked="0" hidden="0"/>
    </xf>
    <xf numFmtId="242" fontId="57" fillId="0" borderId="0"/>
    <xf numFmtId="242" fontId="58" fillId="0" borderId="0" applyAlignment="1" applyProtection="1">
      <alignment horizontal="left"/>
      <protection locked="0" hidden="0"/>
    </xf>
    <xf numFmtId="242" fontId="58" fillId="0" borderId="0" applyProtection="1">
      <protection locked="0" hidden="0"/>
    </xf>
    <xf numFmtId="218" fontId="17" fillId="0" borderId="0" applyProtection="1">
      <protection locked="0" hidden="0"/>
    </xf>
    <xf numFmtId="218" fontId="56" fillId="0" borderId="0"/>
    <xf numFmtId="49" fontId="59" fillId="0" borderId="0"/>
    <xf numFmtId="243" fontId="12" fillId="0" borderId="0"/>
    <xf numFmtId="244" fontId="12" fillId="0" borderId="0"/>
    <xf numFmtId="0" fontId="60" fillId="0" borderId="0"/>
    <xf numFmtId="0" fontId="61" fillId="1" borderId="0" applyAlignment="1">
      <alignment horizontal="left" vertical="center"/>
    </xf>
    <xf numFmtId="218" fontId="62" fillId="0" borderId="0"/>
    <xf numFmtId="0" fontId="12" fillId="0" borderId="0"/>
    <xf numFmtId="38" fontId="63" fillId="0" borderId="0" applyAlignment="1">
      <alignment horizontal="left"/>
    </xf>
    <xf numFmtId="0" fontId="64" fillId="0" borderId="0"/>
    <xf numFmtId="0" fontId="65" fillId="0" borderId="21"/>
    <xf numFmtId="0" fontId="66" fillId="0" borderId="0"/>
    <xf numFmtId="1" fontId="17" fillId="0" borderId="0"/>
    <xf numFmtId="245" fontId="26" fillId="0" borderId="0"/>
    <xf numFmtId="239" fontId="18" fillId="0" borderId="0"/>
  </cellStyleXfs>
  <cellXfs count="563">
    <xf numFmtId="0" fontId="0" fillId="0" borderId="0" pivotButton="0" quotePrefix="0" xfId="0"/>
    <xf numFmtId="0" fontId="2" fillId="0" borderId="1" pivotButton="0" quotePrefix="0" xfId="0"/>
    <xf numFmtId="14" fontId="3" fillId="0" borderId="0" applyAlignment="1" pivotButton="0" quotePrefix="0" xfId="0">
      <alignment horizontal="left"/>
    </xf>
    <xf numFmtId="0" fontId="6" fillId="0" borderId="0" pivotButton="0" quotePrefix="0" xfId="0"/>
    <xf numFmtId="0" fontId="4" fillId="0" borderId="0" pivotButton="0" quotePrefix="0" xfId="0"/>
    <xf numFmtId="164" fontId="5" fillId="0" borderId="0" applyAlignment="1" pivotButton="0" quotePrefix="0" xfId="0">
      <alignment horizontal="right"/>
    </xf>
    <xf numFmtId="165" fontId="0" fillId="0" borderId="0" pivotButton="0" quotePrefix="0" xfId="0"/>
    <xf numFmtId="165" fontId="4" fillId="0" borderId="0" pivotButton="0" quotePrefix="0" xfId="0"/>
    <xf numFmtId="0" fontId="0" fillId="0" borderId="0" pivotButton="0" quotePrefix="0" xfId="0"/>
    <xf numFmtId="0" fontId="0" fillId="0" borderId="1" pivotButton="0" quotePrefix="0" xfId="0"/>
    <xf numFmtId="0" fontId="67" fillId="0" borderId="0" pivotButton="0" quotePrefix="0" xfId="0"/>
    <xf numFmtId="0" fontId="0" fillId="0" borderId="0" pivotButton="0" quotePrefix="0" xfId="0"/>
    <xf numFmtId="14" fontId="68" fillId="0" borderId="0" pivotButton="0" quotePrefix="0" xfId="0"/>
    <xf numFmtId="0" fontId="1" fillId="0" borderId="2" pivotButton="0" quotePrefix="0" xfId="0"/>
    <xf numFmtId="0" fontId="67" fillId="0" borderId="2" pivotButton="0" quotePrefix="0" xfId="0"/>
    <xf numFmtId="0" fontId="0" fillId="0" borderId="2" pivotButton="0" quotePrefix="0" xfId="0"/>
    <xf numFmtId="166" fontId="1" fillId="0" borderId="0" pivotButton="0" quotePrefix="0" xfId="0"/>
    <xf numFmtId="167" fontId="1" fillId="0" borderId="0" pivotButton="0" quotePrefix="0" xfId="0"/>
    <xf numFmtId="0" fontId="68" fillId="0" borderId="2" pivotButton="0" quotePrefix="0" xfId="0"/>
    <xf numFmtId="168" fontId="69" fillId="0" borderId="2" pivotButton="0" quotePrefix="0" xfId="0"/>
    <xf numFmtId="168" fontId="68" fillId="0" borderId="2" pivotButton="0" quotePrefix="0" xfId="0"/>
    <xf numFmtId="0" fontId="68" fillId="0" borderId="0" pivotButton="0" quotePrefix="0" xfId="0"/>
    <xf numFmtId="168" fontId="69" fillId="0" borderId="0" pivotButton="0" quotePrefix="0" xfId="0"/>
    <xf numFmtId="168" fontId="68" fillId="0" borderId="0" pivotButton="0" quotePrefix="0" xfId="0"/>
    <xf numFmtId="0" fontId="1" fillId="0" borderId="0" pivotButton="0" quotePrefix="0" xfId="0"/>
    <xf numFmtId="0" fontId="0" fillId="0" borderId="0" pivotButton="0" quotePrefix="0" xfId="0"/>
    <xf numFmtId="37" fontId="0" fillId="0" borderId="0" pivotButton="0" quotePrefix="0" xfId="0"/>
    <xf numFmtId="37" fontId="6" fillId="0" borderId="0" pivotButton="0" quotePrefix="0" xfId="0"/>
    <xf numFmtId="0" fontId="1" fillId="0" borderId="0" pivotButton="0" quotePrefix="0" xfId="0"/>
    <xf numFmtId="0" fontId="70" fillId="0" borderId="0" pivotButton="0" quotePrefix="0" xfId="0"/>
    <xf numFmtId="0" fontId="0" fillId="0" borderId="0" applyAlignment="1" pivotButton="0" quotePrefix="0" xfId="0">
      <alignment horizontal="left" indent="1"/>
    </xf>
    <xf numFmtId="165" fontId="4" fillId="0" borderId="0" pivotButton="0" quotePrefix="0" xfId="0"/>
    <xf numFmtId="0" fontId="0" fillId="0" borderId="0" applyAlignment="1" pivotButton="0" quotePrefix="0" xfId="0">
      <alignment horizontal="left" indent="1"/>
    </xf>
    <xf numFmtId="0" fontId="70" fillId="0" borderId="0" pivotButton="0" quotePrefix="0" xfId="0"/>
    <xf numFmtId="0" fontId="0" fillId="0" borderId="0" applyAlignment="1" pivotButton="0" quotePrefix="0" xfId="0">
      <alignment horizontal="left" indent="1"/>
    </xf>
    <xf numFmtId="0" fontId="1" fillId="0" borderId="0" applyAlignment="1" pivotButton="0" quotePrefix="0" xfId="0">
      <alignment horizontal="left" indent="1"/>
    </xf>
    <xf numFmtId="3" fontId="6" fillId="0" borderId="0" pivotButton="0" quotePrefix="0" xfId="0"/>
    <xf numFmtId="166" fontId="6" fillId="0" borderId="0" pivotButton="0" quotePrefix="0" xfId="0"/>
    <xf numFmtId="167" fontId="6" fillId="0" borderId="0" pivotButton="0" quotePrefix="0" xfId="0"/>
    <xf numFmtId="168" fontId="3" fillId="0" borderId="2" pivotButton="0" quotePrefix="0" xfId="0"/>
    <xf numFmtId="37" fontId="4" fillId="0" borderId="0" pivotButton="0" quotePrefix="0" xfId="0"/>
    <xf numFmtId="37" fontId="0" fillId="0" borderId="0" pivotButton="0" quotePrefix="0" xfId="0"/>
    <xf numFmtId="165" fontId="5" fillId="0" borderId="0" pivotButton="0" quotePrefix="0" xfId="0"/>
    <xf numFmtId="14" fontId="68" fillId="0" borderId="0" pivotButton="0" quotePrefix="0" xfId="0"/>
    <xf numFmtId="0" fontId="0" fillId="0" borderId="0" applyAlignment="1" pivotButton="0" quotePrefix="0" xfId="0">
      <alignment horizontal="left"/>
    </xf>
    <xf numFmtId="0" fontId="1"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1" xfId="0">
      <alignment horizontal="left" indent="1"/>
    </xf>
    <xf numFmtId="169" fontId="1" fillId="0" borderId="0" pivotButton="0" quotePrefix="0" xfId="0"/>
    <xf numFmtId="164" fontId="0" fillId="0" borderId="0" pivotButton="0" quotePrefix="0" xfId="0"/>
    <xf numFmtId="165" fontId="0" fillId="0" borderId="0" pivotButton="0" quotePrefix="0" xfId="0"/>
    <xf numFmtId="37" fontId="5" fillId="0" borderId="0" pivotButton="0" quotePrefix="0" xfId="0"/>
    <xf numFmtId="0" fontId="1" fillId="0" borderId="0" pivotButton="0" quotePrefix="0" xfId="0"/>
    <xf numFmtId="9" fontId="5" fillId="0" borderId="0" pivotButton="0" quotePrefix="0" xfId="0"/>
    <xf numFmtId="0" fontId="1" fillId="0" borderId="0" applyAlignment="1" pivotButton="0" quotePrefix="0" xfId="0">
      <alignment horizontal="left"/>
    </xf>
    <xf numFmtId="3" fontId="0" fillId="0" borderId="0" pivotButton="0" quotePrefix="0" xfId="0"/>
    <xf numFmtId="37" fontId="1" fillId="0" borderId="0" pivotButton="0" quotePrefix="0" xfId="0"/>
    <xf numFmtId="37" fontId="1" fillId="0" borderId="0" pivotButton="0" quotePrefix="0" xfId="0"/>
    <xf numFmtId="0" fontId="1" fillId="0" borderId="0" applyAlignment="1" pivotButton="0" quotePrefix="0" xfId="0">
      <alignment horizontal="left" indent="1"/>
    </xf>
    <xf numFmtId="10" fontId="4" fillId="0" borderId="0" pivotButton="0" quotePrefix="0" xfId="0"/>
    <xf numFmtId="37" fontId="0" fillId="0" borderId="0" pivotButton="0" quotePrefix="0" xfId="0"/>
    <xf numFmtId="0" fontId="0" fillId="0" borderId="3" pivotButton="0" quotePrefix="0" xfId="0"/>
    <xf numFmtId="0" fontId="0" fillId="0" borderId="0" applyAlignment="1" pivotButton="0" quotePrefix="0" xfId="0">
      <alignment horizontal="centerContinuous"/>
    </xf>
    <xf numFmtId="0" fontId="1" fillId="0" borderId="3" pivotButton="0" quotePrefix="0" xfId="0"/>
    <xf numFmtId="0" fontId="0" fillId="0" borderId="0" applyAlignment="1" pivotButton="0" quotePrefix="0" xfId="0">
      <alignment horizontal="left" indent="2"/>
    </xf>
    <xf numFmtId="170" fontId="0" fillId="0" borderId="0" pivotButton="0" quotePrefix="0" xfId="0"/>
    <xf numFmtId="0" fontId="73" fillId="0" borderId="3" pivotButton="0" quotePrefix="0" xfId="0"/>
    <xf numFmtId="37" fontId="72" fillId="0" borderId="0" pivotButton="0" quotePrefix="0" xfId="0"/>
    <xf numFmtId="14" fontId="0" fillId="0" borderId="0" pivotButton="0" quotePrefix="0" xfId="0"/>
    <xf numFmtId="14" fontId="1" fillId="0" borderId="3" pivotButton="0" quotePrefix="0" xfId="0"/>
    <xf numFmtId="0" fontId="68" fillId="0" borderId="0" applyAlignment="1" pivotButton="0" quotePrefix="0" xfId="0">
      <alignment horizontal="left"/>
    </xf>
    <xf numFmtId="37" fontId="6" fillId="0" borderId="0" pivotButton="0" quotePrefix="0" xfId="0"/>
    <xf numFmtId="0" fontId="68" fillId="0" borderId="0" pivotButton="0" quotePrefix="0" xfId="0"/>
    <xf numFmtId="0" fontId="0" fillId="0" borderId="0" applyAlignment="1" pivotButton="0" quotePrefix="0" xfId="0">
      <alignment horizontal="left"/>
    </xf>
    <xf numFmtId="171" fontId="5" fillId="0" borderId="0" pivotButton="0" quotePrefix="0" xfId="0"/>
    <xf numFmtId="172" fontId="1" fillId="0" borderId="0" pivotButton="0" quotePrefix="0" xfId="0"/>
    <xf numFmtId="0" fontId="71" fillId="0" borderId="0" pivotButton="0" quotePrefix="0" xfId="0"/>
    <xf numFmtId="173" fontId="5" fillId="0" borderId="0" pivotButton="0" quotePrefix="0" xfId="0"/>
    <xf numFmtId="39" fontId="5" fillId="0" borderId="0" pivotButton="0" quotePrefix="0" xfId="0"/>
    <xf numFmtId="173" fontId="5" fillId="0" borderId="0" pivotButton="0" quotePrefix="0" xfId="0"/>
    <xf numFmtId="173" fontId="4" fillId="0" borderId="0" pivotButton="0" quotePrefix="0" xfId="0"/>
    <xf numFmtId="172" fontId="72" fillId="0" borderId="0" pivotButton="0" quotePrefix="0" xfId="0"/>
    <xf numFmtId="0" fontId="0" fillId="0" borderId="0" applyAlignment="1" pivotButton="0" quotePrefix="0" xfId="0">
      <alignment horizontal="left" indent="2"/>
    </xf>
    <xf numFmtId="0" fontId="68" fillId="0" borderId="0" applyAlignment="1" pivotButton="0" quotePrefix="0" xfId="0">
      <alignment horizontal="left" indent="1"/>
    </xf>
    <xf numFmtId="14" fontId="0" fillId="0" borderId="0" pivotButton="0" quotePrefix="0" xfId="0"/>
    <xf numFmtId="37" fontId="0" fillId="0" borderId="0" pivotButton="0" quotePrefix="0" xfId="0"/>
    <xf numFmtId="165" fontId="76" fillId="0" borderId="0" pivotButton="0" quotePrefix="0" xfId="0"/>
    <xf numFmtId="170" fontId="0" fillId="0" borderId="0" pivotButton="0" quotePrefix="0" xfId="0"/>
    <xf numFmtId="165" fontId="0" fillId="0" borderId="0" pivotButton="0" quotePrefix="0" xfId="0"/>
    <xf numFmtId="174" fontId="0" fillId="0" borderId="0" pivotButton="0" quotePrefix="0" xfId="0"/>
    <xf numFmtId="165" fontId="68" fillId="0" borderId="0" pivotButton="0" quotePrefix="0" xfId="0"/>
    <xf numFmtId="171" fontId="68" fillId="0" borderId="0" pivotButton="0" quotePrefix="0" xfId="0"/>
    <xf numFmtId="171" fontId="0" fillId="0" borderId="0" pivotButton="0" quotePrefix="0" xfId="0"/>
    <xf numFmtId="0" fontId="0" fillId="0" borderId="3" pivotButton="0" quotePrefix="0" xfId="0"/>
    <xf numFmtId="0" fontId="77" fillId="0" borderId="0" pivotButton="0" quotePrefix="0" xfId="0"/>
    <xf numFmtId="37" fontId="1" fillId="0" borderId="0" applyAlignment="1" pivotButton="0" quotePrefix="0" xfId="0">
      <alignment vertical="center"/>
    </xf>
    <xf numFmtId="172" fontId="0" fillId="0" borderId="25" pivotButton="0" quotePrefix="0" xfId="0"/>
    <xf numFmtId="0" fontId="79" fillId="31" borderId="30" applyAlignment="1" pivotButton="0" quotePrefix="0" xfId="0">
      <alignment horizontal="center"/>
    </xf>
    <xf numFmtId="173" fontId="78" fillId="0" borderId="29" applyAlignment="1" pivotButton="0" quotePrefix="0" xfId="0">
      <alignment horizontal="center"/>
    </xf>
    <xf numFmtId="172" fontId="0" fillId="0" borderId="0" pivotButton="0" quotePrefix="0" xfId="0"/>
    <xf numFmtId="0" fontId="68" fillId="0" borderId="0" pivotButton="0" quotePrefix="0" xfId="0"/>
    <xf numFmtId="0" fontId="82" fillId="0" borderId="3" pivotButton="0" quotePrefix="0" xfId="0"/>
    <xf numFmtId="0" fontId="0" fillId="0" borderId="31" pivotButton="0" quotePrefix="0" xfId="0"/>
    <xf numFmtId="0" fontId="0" fillId="0" borderId="0" applyAlignment="1" pivotButton="0" quotePrefix="0" xfId="0">
      <alignment horizontal="right"/>
    </xf>
    <xf numFmtId="174" fontId="0" fillId="0" borderId="0" pivotButton="0" quotePrefix="0" xfId="0"/>
    <xf numFmtId="0" fontId="0" fillId="0" borderId="31" pivotButton="0" quotePrefix="1" xfId="0"/>
    <xf numFmtId="0" fontId="0" fillId="0" borderId="32" pivotButton="0" quotePrefix="0" xfId="0"/>
    <xf numFmtId="164" fontId="0" fillId="0" borderId="2" pivotButton="0" quotePrefix="0" xfId="0"/>
    <xf numFmtId="0" fontId="0" fillId="0" borderId="28" pivotButton="0" quotePrefix="0" xfId="0"/>
    <xf numFmtId="0" fontId="0" fillId="0" borderId="22" pivotButton="0" quotePrefix="0" xfId="0"/>
    <xf numFmtId="0" fontId="0" fillId="0" borderId="27" pivotButton="0" quotePrefix="0" xfId="0"/>
    <xf numFmtId="172" fontId="0" fillId="0" borderId="2" applyAlignment="1" pivotButton="0" quotePrefix="0" xfId="0">
      <alignment horizontal="right"/>
    </xf>
    <xf numFmtId="0" fontId="77" fillId="0" borderId="0" applyAlignment="1" pivotButton="0" quotePrefix="0" xfId="0">
      <alignment horizontal="centerContinuous"/>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9" fontId="5" fillId="32" borderId="24" applyAlignment="1" pivotButton="0" quotePrefix="0" xfId="0">
      <alignment horizontal="right"/>
    </xf>
    <xf numFmtId="9" fontId="4" fillId="32" borderId="24" applyAlignment="1" pivotButton="0" quotePrefix="0" xfId="0">
      <alignment horizontal="right"/>
    </xf>
    <xf numFmtId="9" fontId="4" fillId="32" borderId="26" applyAlignment="1" pivotButton="0" quotePrefix="0" xfId="0">
      <alignment horizontal="right"/>
    </xf>
    <xf numFmtId="171" fontId="4" fillId="32" borderId="22" pivotButton="0" quotePrefix="0" xfId="0"/>
    <xf numFmtId="171" fontId="5" fillId="32" borderId="22" pivotButton="0" quotePrefix="0" xfId="0"/>
    <xf numFmtId="171" fontId="4" fillId="32" borderId="27" pivotButton="0" quotePrefix="0" xfId="0"/>
    <xf numFmtId="9" fontId="5" fillId="32" borderId="24" pivotButton="0" quotePrefix="0" xfId="0"/>
    <xf numFmtId="9" fontId="4" fillId="32" borderId="24" pivotButton="0" quotePrefix="0" xfId="0"/>
    <xf numFmtId="9" fontId="4" fillId="32" borderId="26" pivotButton="0" quotePrefix="0" xfId="0"/>
    <xf numFmtId="171" fontId="4" fillId="32" borderId="28" pivotButton="0" quotePrefix="0" xfId="0"/>
    <xf numFmtId="37" fontId="4" fillId="32" borderId="30" pivotButton="0" quotePrefix="0" xfId="0"/>
    <xf numFmtId="37" fontId="4" fillId="32" borderId="24" pivotButton="0" quotePrefix="0" xfId="0"/>
    <xf numFmtId="37" fontId="5" fillId="32" borderId="24" pivotButton="0" quotePrefix="0" xfId="0"/>
    <xf numFmtId="37" fontId="4" fillId="32" borderId="26" pivotButton="0" quotePrefix="0" xfId="0"/>
    <xf numFmtId="0" fontId="70" fillId="0" borderId="0" applyAlignment="1" pivotButton="0" quotePrefix="0" xfId="0">
      <alignment horizontal="right"/>
    </xf>
    <xf numFmtId="9" fontId="80" fillId="0" borderId="0" applyAlignment="1" pivotButton="0" quotePrefix="0" xfId="0">
      <alignment horizontal="right"/>
    </xf>
    <xf numFmtId="9" fontId="81" fillId="0" borderId="0" applyAlignment="1" pivotButton="0" quotePrefix="0" xfId="0">
      <alignment horizontal="right"/>
    </xf>
    <xf numFmtId="164" fontId="5" fillId="0" borderId="0" pivotButton="0" quotePrefix="0" xfId="0"/>
    <xf numFmtId="39" fontId="5" fillId="0" borderId="0" pivotButton="0" quotePrefix="0" xfId="0"/>
    <xf numFmtId="39" fontId="0" fillId="0" borderId="0" pivotButton="0" quotePrefix="0" xfId="0"/>
    <xf numFmtId="165" fontId="5" fillId="0" borderId="0" pivotButton="0" quotePrefix="0" xfId="0"/>
    <xf numFmtId="175" fontId="0" fillId="0" borderId="0" pivotButton="0" quotePrefix="0" xfId="0"/>
    <xf numFmtId="0" fontId="4" fillId="0" borderId="0" applyAlignment="1" pivotButton="0" quotePrefix="0" xfId="0">
      <alignment horizontal="left" indent="1"/>
    </xf>
    <xf numFmtId="37" fontId="0" fillId="0" borderId="0" pivotButton="0" quotePrefix="0" xfId="0"/>
    <xf numFmtId="175" fontId="0" fillId="0" borderId="0" pivotButton="0" quotePrefix="0" xfId="0"/>
    <xf numFmtId="37" fontId="0" fillId="0" borderId="2" pivotButton="0" quotePrefix="0" xfId="0"/>
    <xf numFmtId="0" fontId="0" fillId="0" borderId="0" applyAlignment="1" pivotButton="0" quotePrefix="1" xfId="0">
      <alignment horizontal="left" indent="2"/>
    </xf>
    <xf numFmtId="165" fontId="1" fillId="0" borderId="0" pivotButton="0" quotePrefix="0" xfId="0"/>
    <xf numFmtId="0" fontId="68" fillId="0" borderId="0" applyAlignment="1" pivotButton="0" quotePrefix="0" xfId="0">
      <alignment horizontal="left" indent="3"/>
    </xf>
    <xf numFmtId="0" fontId="68" fillId="0" borderId="0" applyAlignment="1" pivotButton="0" quotePrefix="0" xfId="0">
      <alignment horizontal="left" indent="2"/>
    </xf>
    <xf numFmtId="0" fontId="1" fillId="0" borderId="0" applyAlignment="1" pivotButton="0" quotePrefix="0" xfId="0">
      <alignment horizontal="left"/>
    </xf>
    <xf numFmtId="170" fontId="5" fillId="0" borderId="0" pivotButton="0" quotePrefix="0" xfId="0"/>
    <xf numFmtId="0" fontId="68" fillId="0" borderId="0" applyAlignment="1" pivotButton="0" quotePrefix="0" xfId="0">
      <alignment horizontal="left" indent="1"/>
    </xf>
    <xf numFmtId="170" fontId="69" fillId="0" borderId="0" pivotButton="0" quotePrefix="0" xfId="0"/>
    <xf numFmtId="0" fontId="1" fillId="0" borderId="2" applyAlignment="1" pivotButton="0" quotePrefix="0" xfId="0">
      <alignment horizontal="left"/>
    </xf>
    <xf numFmtId="175" fontId="5" fillId="0" borderId="2" pivotButton="0" quotePrefix="0" xfId="0"/>
    <xf numFmtId="0" fontId="6" fillId="0" borderId="2" pivotButton="0" quotePrefix="0" xfId="0"/>
    <xf numFmtId="37" fontId="3" fillId="0" borderId="0" pivotButton="0" quotePrefix="0" xfId="0"/>
    <xf numFmtId="0" fontId="70" fillId="0" borderId="0" applyAlignment="1" pivotButton="0" quotePrefix="0" xfId="0">
      <alignment horizontal="left" indent="1"/>
    </xf>
    <xf numFmtId="0" fontId="4" fillId="0" borderId="0" applyAlignment="1" pivotButton="0" quotePrefix="0" xfId="0">
      <alignment horizontal="left" indent="2"/>
    </xf>
    <xf numFmtId="167" fontId="1" fillId="0" borderId="0" pivotButton="0" quotePrefix="0" xfId="0"/>
    <xf numFmtId="0" fontId="3" fillId="0" borderId="0" applyAlignment="1" pivotButton="0" quotePrefix="0" xfId="0">
      <alignment horizontal="left" indent="1"/>
    </xf>
    <xf numFmtId="0" fontId="4" fillId="0" borderId="0" applyAlignment="1" pivotButton="0" quotePrefix="0" xfId="0">
      <alignment horizontal="left" indent="1"/>
    </xf>
    <xf numFmtId="0" fontId="84" fillId="0" borderId="0" pivotButton="0" quotePrefix="0" xfId="0"/>
    <xf numFmtId="0" fontId="84" fillId="0" borderId="0" pivotButton="0" quotePrefix="0" xfId="0"/>
    <xf numFmtId="37" fontId="72" fillId="0" borderId="0" pivotButton="0" quotePrefix="0" xfId="0"/>
    <xf numFmtId="0" fontId="4" fillId="0" borderId="0" applyAlignment="1" pivotButton="0" quotePrefix="0" xfId="0">
      <alignment horizontal="center"/>
    </xf>
    <xf numFmtId="175" fontId="1" fillId="0" borderId="0" pivotButton="0" quotePrefix="0" xfId="0"/>
    <xf numFmtId="0" fontId="1" fillId="0" borderId="0" applyAlignment="1" pivotButton="0" quotePrefix="0" xfId="0">
      <alignment horizontal="center"/>
    </xf>
    <xf numFmtId="9" fontId="0" fillId="0" borderId="0" applyAlignment="1" pivotButton="0" quotePrefix="0" xfId="0">
      <alignment horizontal="center"/>
    </xf>
    <xf numFmtId="9" fontId="1" fillId="0" borderId="0" applyAlignment="1" pivotButton="0" quotePrefix="0" xfId="0">
      <alignment horizontal="center"/>
    </xf>
    <xf numFmtId="37" fontId="67" fillId="0" borderId="0" pivotButton="0" quotePrefix="0" xfId="0"/>
    <xf numFmtId="171" fontId="1" fillId="0" borderId="0" pivotButton="0" quotePrefix="0" xfId="0"/>
    <xf numFmtId="0" fontId="0" fillId="0" borderId="0" applyAlignment="1" pivotButton="0" quotePrefix="0" xfId="0">
      <alignment horizontal="center"/>
    </xf>
    <xf numFmtId="171" fontId="0" fillId="0" borderId="0" applyAlignment="1" pivotButton="0" quotePrefix="0" xfId="0">
      <alignment horizontal="center"/>
    </xf>
    <xf numFmtId="37" fontId="0" fillId="0" borderId="0" applyAlignment="1" pivotButton="0" quotePrefix="0" xfId="0">
      <alignment horizontal="center"/>
    </xf>
    <xf numFmtId="0" fontId="0" fillId="0" borderId="0" applyAlignment="1" pivotButton="0" quotePrefix="0" xfId="0">
      <alignment horizontal="center"/>
    </xf>
    <xf numFmtId="165" fontId="0" fillId="0" borderId="0" applyAlignment="1" pivotButton="0" quotePrefix="0" xfId="0">
      <alignment horizontal="center"/>
    </xf>
    <xf numFmtId="37" fontId="1" fillId="0" borderId="0" applyAlignment="1" pivotButton="0" quotePrefix="0" xfId="0">
      <alignment horizontal="center"/>
    </xf>
    <xf numFmtId="165" fontId="1" fillId="0" borderId="0"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6" fontId="0" fillId="0" borderId="0" applyAlignment="1" pivotButton="0" quotePrefix="0" xfId="0">
      <alignment horizontal="center"/>
    </xf>
    <xf numFmtId="165" fontId="4" fillId="0" borderId="0" applyAlignment="1" pivotButton="0" quotePrefix="0" xfId="0">
      <alignment horizontal="center"/>
    </xf>
    <xf numFmtId="0" fontId="70" fillId="0" borderId="4" applyAlignment="1" pivotButton="0" quotePrefix="0" xfId="0">
      <alignment horizontal="center"/>
    </xf>
    <xf numFmtId="0" fontId="70" fillId="0" borderId="33" applyAlignment="1" pivotButton="0" quotePrefix="0" xfId="0">
      <alignment horizontal="center"/>
    </xf>
    <xf numFmtId="0" fontId="70" fillId="0" borderId="34" applyAlignment="1" pivotButton="0" quotePrefix="0" xfId="0">
      <alignment horizontal="center"/>
    </xf>
    <xf numFmtId="165" fontId="0" fillId="0" borderId="23" applyAlignment="1" pivotButton="0" quotePrefix="0" xfId="0">
      <alignment horizontal="center"/>
    </xf>
    <xf numFmtId="37" fontId="5" fillId="0" borderId="31" applyAlignment="1" pivotButton="0" quotePrefix="0" xfId="0">
      <alignment horizontal="center"/>
    </xf>
    <xf numFmtId="37" fontId="5" fillId="0" borderId="32" applyAlignment="1" pivotButton="0" quotePrefix="0" xfId="0">
      <alignment horizontal="center"/>
    </xf>
    <xf numFmtId="165" fontId="4" fillId="0" borderId="2" applyAlignment="1" pivotButton="0" quotePrefix="0" xfId="0">
      <alignment horizontal="center"/>
    </xf>
    <xf numFmtId="171" fontId="1" fillId="0" borderId="29" pivotButton="0" quotePrefix="0" xfId="0"/>
    <xf numFmtId="0" fontId="0" fillId="0" borderId="33" pivotButton="0" quotePrefix="0" xfId="0"/>
    <xf numFmtId="0" fontId="68" fillId="0" borderId="0" applyAlignment="1" pivotButton="0" quotePrefix="0" xfId="0">
      <alignment horizontal="left" indent="2"/>
    </xf>
    <xf numFmtId="0" fontId="0" fillId="0" borderId="0" pivotButton="0" quotePrefix="0" xfId="0"/>
    <xf numFmtId="0" fontId="0" fillId="0" borderId="0" applyAlignment="1" pivotButton="0" quotePrefix="1" xfId="0">
      <alignment horizontal="left" indent="1"/>
    </xf>
    <xf numFmtId="0" fontId="1" fillId="0" borderId="0" applyAlignment="1" pivotButton="0" quotePrefix="0" xfId="0">
      <alignment horizontal="left" indent="1"/>
    </xf>
    <xf numFmtId="9" fontId="69" fillId="0" borderId="0" applyAlignment="1" pivotButton="0" quotePrefix="0" xfId="0">
      <alignment horizontal="right"/>
    </xf>
    <xf numFmtId="0" fontId="70" fillId="0" borderId="0" applyAlignment="1" pivotButton="0" quotePrefix="0" xfId="0">
      <alignment horizontal="right"/>
    </xf>
    <xf numFmtId="37" fontId="4" fillId="0" borderId="0" pivotButton="0" quotePrefix="0" xfId="0"/>
    <xf numFmtId="0" fontId="70" fillId="0" borderId="0" applyAlignment="1" pivotButton="0" quotePrefix="0" xfId="0">
      <alignment horizontal="left" indent="2"/>
    </xf>
    <xf numFmtId="0" fontId="68" fillId="0" borderId="0" applyAlignment="1" pivotButton="0" quotePrefix="0" xfId="0">
      <alignment horizontal="right"/>
    </xf>
    <xf numFmtId="0" fontId="1" fillId="0" borderId="0" applyAlignment="1" pivotButton="0" quotePrefix="0" xfId="0">
      <alignment horizontal="center"/>
    </xf>
    <xf numFmtId="170" fontId="69" fillId="0" borderId="0" pivotButton="0" quotePrefix="0" xfId="0"/>
    <xf numFmtId="9" fontId="69" fillId="0" borderId="0" pivotButton="0" quotePrefix="0" xfId="0"/>
    <xf numFmtId="0" fontId="68" fillId="0" borderId="0" applyAlignment="1" pivotButton="0" quotePrefix="0" xfId="0">
      <alignment horizontal="left" indent="1"/>
    </xf>
    <xf numFmtId="0" fontId="86" fillId="0" borderId="0" applyAlignment="1" pivotButton="0" quotePrefix="0" xfId="0">
      <alignment horizontal="left" indent="1"/>
    </xf>
    <xf numFmtId="0" fontId="5" fillId="0" borderId="0" pivotButton="0" quotePrefix="0" xfId="0"/>
    <xf numFmtId="170" fontId="4" fillId="0" borderId="0" pivotButton="0" quotePrefix="0" xfId="0"/>
    <xf numFmtId="164" fontId="4" fillId="0" borderId="0" pivotButton="0" quotePrefix="0" xfId="0"/>
    <xf numFmtId="0" fontId="68" fillId="0" borderId="2" applyAlignment="1" pivotButton="0" quotePrefix="0" xfId="0">
      <alignment horizontal="centerContinuous"/>
    </xf>
    <xf numFmtId="0" fontId="68" fillId="0" borderId="0" applyAlignment="1" pivotButton="0" quotePrefix="0" xfId="0">
      <alignment horizontal="centerContinuous"/>
    </xf>
    <xf numFmtId="0" fontId="86" fillId="0" borderId="0" applyAlignment="1" pivotButton="0" quotePrefix="0" xfId="0">
      <alignment horizontal="centerContinuous"/>
    </xf>
    <xf numFmtId="0" fontId="1" fillId="0" borderId="0" applyAlignment="1" pivotButton="0" quotePrefix="0" xfId="0">
      <alignment horizontal="centerContinuous"/>
    </xf>
    <xf numFmtId="0" fontId="1" fillId="0" borderId="0" applyAlignment="1" pivotButton="0" quotePrefix="0" xfId="0">
      <alignment horizontal="centerContinuous"/>
    </xf>
    <xf numFmtId="9" fontId="3" fillId="0" borderId="0" pivotButton="0" quotePrefix="0" xfId="0"/>
    <xf numFmtId="9" fontId="6" fillId="0" borderId="0" pivotButton="0" quotePrefix="0" xfId="0"/>
    <xf numFmtId="177" fontId="4" fillId="0" borderId="0" pivotButton="0" quotePrefix="0" xfId="0"/>
    <xf numFmtId="177" fontId="5" fillId="0" borderId="0" applyAlignment="1" pivotButton="0" quotePrefix="0" xfId="0">
      <alignment horizontal="right"/>
    </xf>
    <xf numFmtId="165" fontId="4" fillId="0" borderId="0" pivotButton="0" quotePrefix="0" xfId="0"/>
    <xf numFmtId="175" fontId="7" fillId="0" borderId="0" pivotButton="0" quotePrefix="0" xfId="0"/>
    <xf numFmtId="175" fontId="7" fillId="0" borderId="0" pivotButton="0" quotePrefix="0" xfId="0"/>
    <xf numFmtId="175" fontId="6" fillId="0" borderId="0" pivotButton="0" quotePrefix="0" xfId="0"/>
    <xf numFmtId="175" fontId="5" fillId="0" borderId="0" pivotButton="0" quotePrefix="0" xfId="0"/>
    <xf numFmtId="175" fontId="4" fillId="0" borderId="0" pivotButton="0" quotePrefix="0" xfId="0"/>
    <xf numFmtId="175" fontId="6" fillId="0" borderId="0" pivotButton="0" quotePrefix="0" xfId="0"/>
    <xf numFmtId="175" fontId="5" fillId="0" borderId="0" pivotButton="0" quotePrefix="0" xfId="0"/>
    <xf numFmtId="175" fontId="6" fillId="0" borderId="0" pivotButton="0" quotePrefix="0" xfId="0"/>
    <xf numFmtId="175" fontId="5" fillId="0" borderId="0" pivotButton="0" quotePrefix="0" xfId="0"/>
    <xf numFmtId="175" fontId="1" fillId="0" borderId="0" pivotButton="0" quotePrefix="0" xfId="0"/>
    <xf numFmtId="175" fontId="4" fillId="0" borderId="0" pivotButton="0" quotePrefix="0" xfId="0"/>
    <xf numFmtId="37" fontId="5" fillId="0" borderId="0" pivotButton="0" quotePrefix="0" xfId="0"/>
    <xf numFmtId="170" fontId="5" fillId="0" borderId="0" pivotButton="0" quotePrefix="0" xfId="0"/>
    <xf numFmtId="165" fontId="5" fillId="0" borderId="0" pivotButton="0" quotePrefix="0" xfId="0"/>
    <xf numFmtId="165" fontId="4" fillId="0" borderId="0" pivotButton="0" quotePrefix="0" xfId="0"/>
    <xf numFmtId="37" fontId="75" fillId="0" borderId="0" pivotButton="0" quotePrefix="0" xfId="0"/>
    <xf numFmtId="173" fontId="5" fillId="0" borderId="0" pivotButton="0" quotePrefix="0" xfId="0"/>
    <xf numFmtId="0" fontId="83" fillId="0" borderId="0" applyAlignment="1" pivotButton="0" quotePrefix="0" xfId="0">
      <alignment horizontal="right"/>
    </xf>
    <xf numFmtId="37" fontId="87" fillId="0" borderId="0" pivotButton="0" quotePrefix="0" xfId="0"/>
    <xf numFmtId="178" fontId="5" fillId="0" borderId="0" applyAlignment="1" pivotButton="0" quotePrefix="0" xfId="0">
      <alignment horizontal="right"/>
    </xf>
    <xf numFmtId="165" fontId="69" fillId="0" borderId="0" applyAlignment="1" pivotButton="0" quotePrefix="0" xfId="0">
      <alignment horizontal="right"/>
    </xf>
    <xf numFmtId="171" fontId="5" fillId="0" borderId="0" applyAlignment="1" pivotButton="0" quotePrefix="0" xfId="0">
      <alignment horizontal="right"/>
    </xf>
    <xf numFmtId="179" fontId="5" fillId="0" borderId="0" pivotButton="0" quotePrefix="0" xfId="0"/>
    <xf numFmtId="0" fontId="70" fillId="0" borderId="0" applyAlignment="1" pivotButton="0" quotePrefix="0" xfId="0">
      <alignment horizontal="left"/>
    </xf>
    <xf numFmtId="180" fontId="72" fillId="0" borderId="0" pivotButton="0" quotePrefix="0" xfId="0"/>
    <xf numFmtId="0" fontId="70" fillId="0" borderId="0" applyAlignment="1" pivotButton="0" quotePrefix="0" xfId="0">
      <alignment horizontal="left" indent="1"/>
    </xf>
    <xf numFmtId="164" fontId="0" fillId="0" borderId="0" pivotButton="0" quotePrefix="0" xfId="0"/>
    <xf numFmtId="0" fontId="0" fillId="0" borderId="0" pivotButton="0" quotePrefix="0" xfId="0"/>
    <xf numFmtId="172" fontId="7" fillId="0" borderId="0" pivotButton="0" quotePrefix="0" xfId="0"/>
    <xf numFmtId="175" fontId="72" fillId="0" borderId="0" pivotButton="0" quotePrefix="0" xfId="0"/>
    <xf numFmtId="175" fontId="0" fillId="0" borderId="2" pivotButton="0" quotePrefix="0" xfId="0"/>
    <xf numFmtId="175" fontId="0" fillId="0" borderId="0" applyAlignment="1" pivotButton="0" quotePrefix="0" xfId="0">
      <alignment horizontal="right"/>
    </xf>
    <xf numFmtId="170" fontId="0" fillId="0" borderId="0" pivotButton="0" quotePrefix="0" xfId="0"/>
    <xf numFmtId="170" fontId="4" fillId="0" borderId="0" applyAlignment="1" pivotButton="0" quotePrefix="0" xfId="0">
      <alignment horizontal="right"/>
    </xf>
    <xf numFmtId="181" fontId="1" fillId="0" borderId="0" pivotButton="0" quotePrefix="0" xfId="0"/>
    <xf numFmtId="181" fontId="1" fillId="0" borderId="0" applyAlignment="1" pivotButton="0" quotePrefix="0" xfId="0">
      <alignment horizontal="right"/>
    </xf>
    <xf numFmtId="0" fontId="89" fillId="0" borderId="0" applyAlignment="1" pivotButton="0" quotePrefix="0" xfId="0">
      <alignment horizontal="right"/>
    </xf>
    <xf numFmtId="175" fontId="5" fillId="0" borderId="0" pivotButton="0" quotePrefix="0" xfId="0"/>
    <xf numFmtId="175" fontId="68" fillId="0" borderId="0" pivotButton="0" quotePrefix="0" xfId="0"/>
    <xf numFmtId="37" fontId="4" fillId="0" borderId="0" applyAlignment="1" pivotButton="0" quotePrefix="0" xfId="0">
      <alignment horizontal="right"/>
    </xf>
    <xf numFmtId="164" fontId="1" fillId="0" borderId="0" pivotButton="0" quotePrefix="0" xfId="0"/>
    <xf numFmtId="0" fontId="1" fillId="0" borderId="0" pivotButton="0" quotePrefix="0" xfId="0"/>
    <xf numFmtId="168" fontId="0" fillId="0" borderId="2" pivotButton="0" quotePrefix="0" xfId="0"/>
    <xf numFmtId="0" fontId="90" fillId="0" borderId="0" applyAlignment="1" pivotButton="0" quotePrefix="0" xfId="0">
      <alignment horizontal="centerContinuous"/>
    </xf>
    <xf numFmtId="0" fontId="88" fillId="0" borderId="22" applyAlignment="1" pivotButton="0" quotePrefix="0" xfId="0">
      <alignment horizontal="center"/>
    </xf>
    <xf numFmtId="175" fontId="0" fillId="0" borderId="0" applyAlignment="1" pivotButton="0" quotePrefix="0" xfId="0">
      <alignment horizontal="center"/>
    </xf>
    <xf numFmtId="0" fontId="0" fillId="0" borderId="2" applyAlignment="1" pivotButton="0" quotePrefix="0" xfId="0">
      <alignment horizontal="center"/>
    </xf>
    <xf numFmtId="175" fontId="0" fillId="0" borderId="2" applyAlignment="1" pivotButton="0" quotePrefix="0" xfId="0">
      <alignment horizontal="center"/>
    </xf>
    <xf numFmtId="39" fontId="0" fillId="0" borderId="2" applyAlignment="1" pivotButton="0" quotePrefix="0" xfId="0">
      <alignment horizontal="center"/>
    </xf>
    <xf numFmtId="175" fontId="0" fillId="0" borderId="0" applyAlignment="1" pivotButton="0" quotePrefix="0" xfId="0">
      <alignment horizontal="center"/>
    </xf>
    <xf numFmtId="0" fontId="90" fillId="0" borderId="0" pivotButton="0" quotePrefix="0" xfId="0"/>
    <xf numFmtId="0" fontId="86" fillId="0" borderId="0" applyAlignment="1" pivotButton="0" quotePrefix="0" xfId="0">
      <alignment horizontal="right"/>
    </xf>
    <xf numFmtId="175" fontId="68" fillId="0" borderId="2" pivotButton="0" quotePrefix="0" xfId="0"/>
    <xf numFmtId="166" fontId="1" fillId="0" borderId="0" pivotButton="0" quotePrefix="0" xfId="0"/>
    <xf numFmtId="182" fontId="5" fillId="0" borderId="0" pivotButton="0" quotePrefix="0" xfId="0"/>
    <xf numFmtId="175" fontId="0" fillId="0" borderId="29" pivotButton="0" quotePrefix="0" xfId="0"/>
    <xf numFmtId="175" fontId="0" fillId="0" borderId="0" pivotButton="0" quotePrefix="0" xfId="0"/>
    <xf numFmtId="175" fontId="4" fillId="0" borderId="0" pivotButton="0" quotePrefix="0" xfId="0"/>
    <xf numFmtId="175" fontId="70" fillId="0" borderId="0" pivotButton="0" quotePrefix="0" xfId="0"/>
    <xf numFmtId="175" fontId="68" fillId="0" borderId="0" pivotButton="0" quotePrefix="0" xfId="0"/>
    <xf numFmtId="175" fontId="0" fillId="0" borderId="29" pivotButton="0" quotePrefix="0" xfId="0"/>
    <xf numFmtId="175" fontId="1" fillId="0" borderId="0" pivotButton="0" quotePrefix="0" xfId="0"/>
    <xf numFmtId="175" fontId="68" fillId="0" borderId="0" applyAlignment="1" pivotButton="0" quotePrefix="0" xfId="0">
      <alignment horizontal="right"/>
    </xf>
    <xf numFmtId="175" fontId="3" fillId="0" borderId="0" pivotButton="0" quotePrefix="0" xfId="0"/>
    <xf numFmtId="175" fontId="4" fillId="0" borderId="29" pivotButton="0" quotePrefix="0" xfId="0"/>
    <xf numFmtId="175" fontId="72" fillId="0" borderId="0" pivotButton="0" quotePrefix="0" xfId="0"/>
    <xf numFmtId="175" fontId="1" fillId="0" borderId="0" applyAlignment="1" pivotButton="0" quotePrefix="0" xfId="0">
      <alignment horizontal="center"/>
    </xf>
    <xf numFmtId="176" fontId="6" fillId="0" borderId="0" pivotButton="0" quotePrefix="0" xfId="0"/>
    <xf numFmtId="39" fontId="6" fillId="0" borderId="0" applyAlignment="1" pivotButton="0" quotePrefix="0" xfId="0">
      <alignment horizontal="right"/>
    </xf>
    <xf numFmtId="0" fontId="68" fillId="0" borderId="0" applyAlignment="1" pivotButton="0" quotePrefix="0" xfId="0">
      <alignment horizontal="right" vertical="center" wrapText="1"/>
    </xf>
    <xf numFmtId="176" fontId="6" fillId="0" borderId="0" applyAlignment="1" pivotButton="0" quotePrefix="0" xfId="0">
      <alignment horizontal="right"/>
    </xf>
    <xf numFmtId="170" fontId="6" fillId="0" borderId="0" applyAlignment="1" pivotButton="0" quotePrefix="0" xfId="0">
      <alignment horizontal="right"/>
    </xf>
    <xf numFmtId="0" fontId="91" fillId="0" borderId="0" applyAlignment="1" pivotButton="0" quotePrefix="0" xfId="0">
      <alignment horizontal="centerContinuous"/>
    </xf>
    <xf numFmtId="0" fontId="0" fillId="0" borderId="0" applyAlignment="1" pivotButton="0" quotePrefix="0" xfId="0">
      <alignment horizontal="centerContinuous"/>
    </xf>
    <xf numFmtId="176" fontId="7" fillId="0" borderId="0" pivotButton="0" quotePrefix="0" xfId="0"/>
    <xf numFmtId="172" fontId="7" fillId="0" borderId="0" pivotButton="0" quotePrefix="0" xfId="0"/>
    <xf numFmtId="170" fontId="7" fillId="0" borderId="0" pivotButton="0" quotePrefix="0" xfId="0"/>
    <xf numFmtId="175" fontId="4" fillId="0" borderId="0" applyAlignment="1" pivotButton="0" quotePrefix="0" xfId="0">
      <alignment horizontal="right"/>
    </xf>
    <xf numFmtId="175" fontId="7" fillId="0" borderId="0" pivotButton="0" quotePrefix="0" xfId="0"/>
    <xf numFmtId="0" fontId="84" fillId="0" borderId="0" applyAlignment="1" pivotButton="0" quotePrefix="0" xfId="0">
      <alignment horizontal="right"/>
    </xf>
    <xf numFmtId="183" fontId="0" fillId="0" borderId="0" applyAlignment="1" pivotButton="0" quotePrefix="0" xfId="0">
      <alignment horizontal="left"/>
    </xf>
    <xf numFmtId="0" fontId="5" fillId="0" borderId="0" applyAlignment="1" pivotButton="0" quotePrefix="0" xfId="0">
      <alignment horizontal="right" indent="1"/>
    </xf>
    <xf numFmtId="0" fontId="0" fillId="0" borderId="0" applyAlignment="1" pivotButton="0" quotePrefix="0" xfId="0">
      <alignment horizontal="right" indent="1"/>
    </xf>
    <xf numFmtId="0" fontId="0" fillId="0" borderId="2" applyAlignment="1" pivotButton="0" quotePrefix="0" xfId="0">
      <alignment horizontal="right" indent="1"/>
    </xf>
    <xf numFmtId="0" fontId="1" fillId="0" borderId="0" applyAlignment="1" pivotButton="0" quotePrefix="0" xfId="0">
      <alignment horizontal="right" indent="1"/>
    </xf>
    <xf numFmtId="14" fontId="68" fillId="0" borderId="0" applyAlignment="1" pivotButton="0" quotePrefix="0" xfId="0">
      <alignment horizontal="left"/>
    </xf>
    <xf numFmtId="172" fontId="76" fillId="0" borderId="0" applyAlignment="1" pivotButton="0" quotePrefix="0" xfId="0">
      <alignment horizontal="right"/>
    </xf>
    <xf numFmtId="0" fontId="76" fillId="0" borderId="0" applyAlignment="1" pivotButton="0" quotePrefix="0" xfId="0">
      <alignment horizontal="left" indent="1"/>
    </xf>
    <xf numFmtId="0" fontId="0" fillId="0" borderId="1" pivotButton="0" quotePrefix="0" xfId="0"/>
    <xf numFmtId="39" fontId="0" fillId="0" borderId="23" pivotButton="0" quotePrefix="0" xfId="0"/>
    <xf numFmtId="39" fontId="1" fillId="0" borderId="0" pivotButton="0" quotePrefix="0" xfId="0"/>
    <xf numFmtId="174" fontId="0" fillId="0" borderId="23" pivotButton="0" quotePrefix="0" xfId="0"/>
    <xf numFmtId="174" fontId="0" fillId="0" borderId="2" pivotButton="0" quotePrefix="0" xfId="0"/>
    <xf numFmtId="174" fontId="0" fillId="0" borderId="25" pivotButton="0" quotePrefix="0" xfId="0"/>
    <xf numFmtId="3" fontId="6" fillId="0" borderId="2" pivotButton="0" quotePrefix="0" xfId="0"/>
    <xf numFmtId="0" fontId="1" fillId="0" borderId="2" applyAlignment="1" pivotButton="0" quotePrefix="0" xfId="0">
      <alignment horizontal="left"/>
    </xf>
    <xf numFmtId="175" fontId="68" fillId="0" borderId="0" pivotButton="0" quotePrefix="0" xfId="0"/>
    <xf numFmtId="0" fontId="1" fillId="0" borderId="22" applyAlignment="1" pivotButton="0" quotePrefix="0" xfId="0">
      <alignment horizontal="center"/>
    </xf>
    <xf numFmtId="0" fontId="1" fillId="0" borderId="22" applyAlignment="1" pivotButton="0" quotePrefix="0" xfId="0">
      <alignment horizontal="right"/>
    </xf>
    <xf numFmtId="167" fontId="1" fillId="0" borderId="22" pivotButton="0" quotePrefix="0" xfId="0"/>
    <xf numFmtId="0" fontId="1" fillId="0" borderId="2" pivotButton="0" quotePrefix="0" xfId="0"/>
    <xf numFmtId="177" fontId="69" fillId="0" borderId="0" applyAlignment="1" pivotButton="0" quotePrefix="0" xfId="0">
      <alignment horizontal="centerContinuous"/>
    </xf>
    <xf numFmtId="0" fontId="86" fillId="0" borderId="2" applyAlignment="1" pivotButton="0" quotePrefix="0" xfId="0">
      <alignment horizontal="centerContinuous"/>
    </xf>
    <xf numFmtId="177" fontId="69" fillId="0" borderId="2" applyAlignment="1" pivotButton="0" quotePrefix="0" xfId="0">
      <alignment horizontal="centerContinuous"/>
    </xf>
    <xf numFmtId="0" fontId="70" fillId="0" borderId="0" pivotButton="0" quotePrefix="0" xfId="0"/>
    <xf numFmtId="9" fontId="5" fillId="0" borderId="0" applyAlignment="1" pivotButton="0" quotePrefix="0" xfId="0">
      <alignment horizontal="center"/>
    </xf>
    <xf numFmtId="165" fontId="5" fillId="31" borderId="23" applyAlignment="1" pivotButton="0" quotePrefix="0" xfId="0">
      <alignment horizontal="center"/>
    </xf>
    <xf numFmtId="165" fontId="5" fillId="31" borderId="25" applyAlignment="1" pivotButton="0" quotePrefix="0" xfId="0">
      <alignment horizontal="center"/>
    </xf>
    <xf numFmtId="184" fontId="5"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85" fontId="87" fillId="0" borderId="0" applyAlignment="1" applyProtection="1" pivotButton="0" quotePrefix="0" xfId="186">
      <alignment horizontal="center"/>
      <protection locked="0" hidden="0"/>
    </xf>
    <xf numFmtId="185" fontId="87" fillId="0" borderId="0" applyAlignment="1" applyProtection="1" pivotButton="0" quotePrefix="0" xfId="186">
      <alignment horizontal="center"/>
      <protection locked="0" hidden="0"/>
    </xf>
    <xf numFmtId="185" fontId="94" fillId="0" borderId="0" applyAlignment="1" pivotButton="0" quotePrefix="0" xfId="186">
      <alignment horizontal="center"/>
    </xf>
    <xf numFmtId="175" fontId="4" fillId="0" borderId="2" applyAlignment="1" pivotButton="0" quotePrefix="0" xfId="0">
      <alignment horizontal="right"/>
    </xf>
    <xf numFmtId="0" fontId="1" fillId="0" borderId="0" applyAlignment="1" pivotButton="0" quotePrefix="0" xfId="0">
      <alignment horizontal="left" indent="2"/>
    </xf>
    <xf numFmtId="173" fontId="5" fillId="0" borderId="0" pivotButton="0" quotePrefix="0" xfId="0"/>
    <xf numFmtId="37" fontId="0" fillId="0" borderId="31" pivotButton="0" quotePrefix="0" xfId="0"/>
    <xf numFmtId="39" fontId="0" fillId="0" borderId="31" pivotButton="0" quotePrefix="0" xfId="0"/>
    <xf numFmtId="170" fontId="68" fillId="0" borderId="31" pivotButton="0" quotePrefix="0" xfId="0"/>
    <xf numFmtId="37" fontId="1" fillId="0" borderId="31" pivotButton="0" quotePrefix="0" xfId="0"/>
    <xf numFmtId="171" fontId="0" fillId="0" borderId="32" pivotButton="0" quotePrefix="0" xfId="0"/>
    <xf numFmtId="170" fontId="68" fillId="0" borderId="0" pivotButton="0" quotePrefix="0" xfId="0"/>
    <xf numFmtId="181" fontId="7" fillId="31" borderId="29" applyAlignment="1" pivotButton="0" quotePrefix="0" xfId="0">
      <alignment horizontal="center"/>
    </xf>
    <xf numFmtId="171" fontId="89" fillId="0" borderId="0" applyAlignment="1" pivotButton="0" quotePrefix="0" xfId="0">
      <alignment horizontal="center"/>
    </xf>
    <xf numFmtId="164" fontId="0" fillId="0" borderId="24" applyAlignment="1" pivotButton="0" quotePrefix="0" xfId="0">
      <alignment horizontal="center"/>
    </xf>
    <xf numFmtId="186" fontId="68" fillId="0" borderId="2" applyAlignment="1" pivotButton="0" quotePrefix="0" xfId="0">
      <alignment horizontal="centerContinuous"/>
    </xf>
    <xf numFmtId="177" fontId="4" fillId="0" borderId="24" applyAlignment="1" pivotButton="0" quotePrefix="0" xfId="0">
      <alignment horizontal="center"/>
    </xf>
    <xf numFmtId="37" fontId="0" fillId="0" borderId="24" applyAlignment="1" pivotButton="0" quotePrefix="0" xfId="0">
      <alignment horizontal="center"/>
    </xf>
    <xf numFmtId="39" fontId="0" fillId="0" borderId="24" applyAlignment="1" pivotButton="0" quotePrefix="0" xfId="0">
      <alignment horizontal="center"/>
    </xf>
    <xf numFmtId="170" fontId="68" fillId="0" borderId="24" applyAlignment="1" pivotButton="0" quotePrefix="0" xfId="0">
      <alignment horizontal="center"/>
    </xf>
    <xf numFmtId="0" fontId="68" fillId="0" borderId="24" applyAlignment="1" pivotButton="0" quotePrefix="0" xfId="0">
      <alignment horizontal="center"/>
    </xf>
    <xf numFmtId="37" fontId="1" fillId="0" borderId="24" applyAlignment="1" pivotButton="0" quotePrefix="0" xfId="0">
      <alignment horizontal="center"/>
    </xf>
    <xf numFmtId="0" fontId="1" fillId="0" borderId="29" applyAlignment="1" pivotButton="0" quotePrefix="0" xfId="0">
      <alignment horizontal="center"/>
    </xf>
    <xf numFmtId="171" fontId="0" fillId="0" borderId="26" applyAlignment="1" pivotButton="0" quotePrefix="0" xfId="0">
      <alignment horizontal="center"/>
    </xf>
    <xf numFmtId="0" fontId="86" fillId="0" borderId="4" applyAlignment="1" pivotButton="0" quotePrefix="0" xfId="0">
      <alignment horizontal="centerContinuous"/>
    </xf>
    <xf numFmtId="0" fontId="0" fillId="0" borderId="33" applyAlignment="1" pivotButton="0" quotePrefix="0" xfId="0">
      <alignment horizontal="centerContinuous"/>
    </xf>
    <xf numFmtId="0" fontId="0" fillId="0" borderId="34" applyAlignment="1" pivotButton="0" quotePrefix="0" xfId="0">
      <alignment horizontal="centerContinuous"/>
    </xf>
    <xf numFmtId="177" fontId="5" fillId="0" borderId="4" pivotButton="0" quotePrefix="0" xfId="0"/>
    <xf numFmtId="177" fontId="4" fillId="0" borderId="33" pivotButton="0" quotePrefix="0" xfId="0"/>
    <xf numFmtId="177" fontId="4" fillId="0" borderId="34" pivotButton="0" quotePrefix="0" xfId="0"/>
    <xf numFmtId="37" fontId="1" fillId="0" borderId="23" pivotButton="0" quotePrefix="0" xfId="0"/>
    <xf numFmtId="37" fontId="0" fillId="0" borderId="23" pivotButton="0" quotePrefix="0" xfId="0"/>
    <xf numFmtId="170" fontId="68" fillId="0" borderId="23" pivotButton="0" quotePrefix="0" xfId="0"/>
    <xf numFmtId="171" fontId="0" fillId="0" borderId="2" pivotButton="0" quotePrefix="0" xfId="0"/>
    <xf numFmtId="171" fontId="0" fillId="0" borderId="25" pivotButton="0" quotePrefix="0" xfId="0"/>
    <xf numFmtId="0" fontId="1" fillId="0" borderId="30" applyAlignment="1" pivotButton="0" quotePrefix="0" xfId="0">
      <alignment horizontal="left"/>
    </xf>
    <xf numFmtId="177" fontId="7" fillId="0" borderId="26" applyAlignment="1" pivotButton="0" quotePrefix="0" xfId="0">
      <alignment horizontal="left"/>
    </xf>
    <xf numFmtId="14" fontId="5" fillId="0" borderId="0" pivotButton="0" quotePrefix="0" xfId="0"/>
    <xf numFmtId="2" fontId="7" fillId="0" borderId="0" pivotButton="0" quotePrefix="0" xfId="0"/>
    <xf numFmtId="175" fontId="4" fillId="0" borderId="2" pivotButton="0" quotePrefix="0" xfId="0"/>
    <xf numFmtId="171" fontId="5" fillId="0" borderId="0" pivotButton="0" quotePrefix="0" xfId="0"/>
    <xf numFmtId="187" fontId="1" fillId="0" borderId="0" pivotButton="0" quotePrefix="0" xfId="0"/>
    <xf numFmtId="175" fontId="0" fillId="0" borderId="0" pivotButton="0" quotePrefix="0" xfId="0"/>
    <xf numFmtId="175" fontId="6" fillId="0" borderId="0" pivotButton="0" quotePrefix="0" xfId="0"/>
    <xf numFmtId="175" fontId="0" fillId="0" borderId="0" pivotButton="0" quotePrefix="0" xfId="0"/>
    <xf numFmtId="179" fontId="4" fillId="0" borderId="0" pivotButton="0" quotePrefix="0" xfId="0"/>
    <xf numFmtId="179" fontId="4" fillId="0" borderId="0" pivotButton="0" quotePrefix="0" xfId="0"/>
    <xf numFmtId="170" fontId="5" fillId="0" borderId="0" applyAlignment="1" pivotButton="0" quotePrefix="0" xfId="0">
      <alignment horizontal="right"/>
    </xf>
    <xf numFmtId="177" fontId="0" fillId="0" borderId="0" pivotButton="0" quotePrefix="0" xfId="0"/>
    <xf numFmtId="175" fontId="0" fillId="0" borderId="31" applyAlignment="1" pivotButton="0" quotePrefix="0" xfId="0">
      <alignment horizontal="center"/>
    </xf>
    <xf numFmtId="0" fontId="0" fillId="0" borderId="0" applyAlignment="1" pivotButton="0" quotePrefix="0" xfId="0">
      <alignment horizontal="right"/>
    </xf>
    <xf numFmtId="173" fontId="0" fillId="0" borderId="0" applyAlignment="1" pivotButton="0" quotePrefix="0" xfId="0">
      <alignment horizontal="center"/>
    </xf>
    <xf numFmtId="0" fontId="90" fillId="0" borderId="0" applyAlignment="1" pivotButton="0" quotePrefix="0" xfId="0">
      <alignment horizontal="right"/>
    </xf>
    <xf numFmtId="0" fontId="7" fillId="31" borderId="29" applyAlignment="1" pivotButton="0" quotePrefix="0" xfId="0">
      <alignment horizontal="center" vertical="center"/>
    </xf>
    <xf numFmtId="188" fontId="80" fillId="0" borderId="0" pivotButton="0" quotePrefix="0" xfId="0"/>
    <xf numFmtId="0" fontId="1" fillId="0" borderId="0" pivotButton="0" quotePrefix="0" xfId="0"/>
    <xf numFmtId="0" fontId="88" fillId="0" borderId="0" applyAlignment="1" pivotButton="0" quotePrefix="0" xfId="0">
      <alignment horizontal="right"/>
    </xf>
    <xf numFmtId="164" fontId="5" fillId="0" borderId="0" pivotButton="0" quotePrefix="0" xfId="0"/>
    <xf numFmtId="164" fontId="5" fillId="0" borderId="0" pivotButton="0" quotePrefix="0" xfId="0"/>
    <xf numFmtId="164" fontId="1" fillId="0" borderId="0" pivotButton="0" quotePrefix="0" xfId="0"/>
    <xf numFmtId="164" fontId="81" fillId="0" borderId="0" pivotButton="0" quotePrefix="0" xfId="0"/>
    <xf numFmtId="164" fontId="96" fillId="0" borderId="0" pivotButton="0" quotePrefix="0" xfId="0"/>
    <xf numFmtId="164" fontId="85" fillId="0" borderId="0" pivotButton="0" quotePrefix="0" xfId="0"/>
    <xf numFmtId="175" fontId="70" fillId="0" borderId="0" pivotButton="0" quotePrefix="0" xfId="0"/>
    <xf numFmtId="0" fontId="1" fillId="0" borderId="3" applyAlignment="1" pivotButton="0" quotePrefix="0" xfId="0">
      <alignment horizontal="left"/>
    </xf>
    <xf numFmtId="0" fontId="1" fillId="0" borderId="3" applyAlignment="1" pivotButton="0" quotePrefix="0" xfId="0">
      <alignment horizontal="center"/>
    </xf>
    <xf numFmtId="164" fontId="81" fillId="0" borderId="0" pivotButton="0" quotePrefix="0" xfId="0"/>
    <xf numFmtId="175" fontId="81" fillId="0" borderId="0" pivotButton="0" quotePrefix="0" xfId="0"/>
    <xf numFmtId="189" fontId="5" fillId="0" borderId="0" pivotButton="0" quotePrefix="0" xfId="0"/>
    <xf numFmtId="165" fontId="72" fillId="0" borderId="0" pivotButton="0" quotePrefix="0" xfId="0"/>
    <xf numFmtId="180" fontId="4" fillId="0" borderId="0" pivotButton="0" quotePrefix="0" xfId="0"/>
    <xf numFmtId="37" fontId="67" fillId="0" borderId="0" pivotButton="0" quotePrefix="0" xfId="0"/>
    <xf numFmtId="0" fontId="77" fillId="0" borderId="0" pivotButton="0" quotePrefix="0" xfId="0"/>
    <xf numFmtId="165" fontId="0" fillId="0" borderId="0" applyAlignment="1" pivotButton="0" quotePrefix="0" xfId="0">
      <alignment horizontal="right"/>
    </xf>
    <xf numFmtId="0" fontId="2" fillId="0" borderId="8" pivotButton="0" quotePrefix="0" xfId="0"/>
    <xf numFmtId="0" fontId="0" fillId="0" borderId="8" pivotButton="0" quotePrefix="0" xfId="0"/>
    <xf numFmtId="0" fontId="97" fillId="0" borderId="8" pivotButton="0" quotePrefix="0" xfId="0"/>
    <xf numFmtId="0" fontId="0" fillId="0" borderId="0" applyAlignment="1" pivotButton="0" quotePrefix="0" xfId="0">
      <alignment horizontal="left" wrapText="1"/>
    </xf>
    <xf numFmtId="0" fontId="99" fillId="0" borderId="0" pivotButton="0" quotePrefix="0" xfId="0"/>
    <xf numFmtId="0" fontId="100" fillId="33" borderId="0" pivotButton="0" quotePrefix="0" xfId="0"/>
    <xf numFmtId="0" fontId="101" fillId="0" borderId="0" pivotButton="0" quotePrefix="0" xfId="0"/>
    <xf numFmtId="190" fontId="101" fillId="34" borderId="35" pivotButton="0" quotePrefix="0" xfId="0"/>
    <xf numFmtId="0" fontId="101" fillId="34" borderId="35" pivotButton="0" quotePrefix="0" xfId="0"/>
    <xf numFmtId="173" fontId="101" fillId="34" borderId="35" pivotButton="0" quotePrefix="0" xfId="0"/>
    <xf numFmtId="0" fontId="102" fillId="35" borderId="0" pivotButton="0" quotePrefix="0" xfId="0"/>
    <xf numFmtId="173" fontId="101" fillId="36" borderId="35" pivotButton="0" quotePrefix="0" xfId="0"/>
    <xf numFmtId="190" fontId="101" fillId="36" borderId="35" pivotButton="0" quotePrefix="0" xfId="0"/>
    <xf numFmtId="191" fontId="101" fillId="34" borderId="35" pivotButton="0" quotePrefix="0" xfId="0"/>
    <xf numFmtId="191" fontId="101" fillId="36" borderId="35" pivotButton="0" quotePrefix="0" xfId="0"/>
    <xf numFmtId="0" fontId="100" fillId="36" borderId="0" pivotButton="0" quotePrefix="0" xfId="0"/>
    <xf numFmtId="0" fontId="101" fillId="36" borderId="35" pivotButton="0" quotePrefix="0" xfId="0"/>
    <xf numFmtId="0" fontId="103" fillId="0" borderId="0" pivotButton="0" quotePrefix="0" xfId="0"/>
    <xf numFmtId="0" fontId="0" fillId="0" borderId="35" applyAlignment="1" pivotButton="0" quotePrefix="0" xfId="0">
      <alignment vertical="top" wrapText="1"/>
    </xf>
    <xf numFmtId="1" fontId="101" fillId="34" borderId="35" pivotButton="0" quotePrefix="0" xfId="0"/>
    <xf numFmtId="173" fontId="104" fillId="37" borderId="35" pivotButton="0" quotePrefix="0" xfId="0"/>
    <xf numFmtId="181" fontId="7" fillId="31" borderId="29" applyAlignment="1" pivotButton="0" quotePrefix="0" xfId="0">
      <alignment horizontal="center"/>
    </xf>
    <xf numFmtId="181" fontId="1" fillId="0" borderId="0" pivotButton="0" quotePrefix="0" xfId="0"/>
    <xf numFmtId="181" fontId="1" fillId="0" borderId="0" applyAlignment="1" pivotButton="0" quotePrefix="0" xfId="0">
      <alignment horizontal="right"/>
    </xf>
    <xf numFmtId="171" fontId="89" fillId="0" borderId="0" applyAlignment="1" pivotButton="0" quotePrefix="0" xfId="0">
      <alignment horizontal="center"/>
    </xf>
    <xf numFmtId="164" fontId="5" fillId="0" borderId="0" applyAlignment="1" pivotButton="0" quotePrefix="0" xfId="0">
      <alignment horizontal="right"/>
    </xf>
    <xf numFmtId="171" fontId="0" fillId="0" borderId="0" pivotButton="0" quotePrefix="0" xfId="0"/>
    <xf numFmtId="171" fontId="5" fillId="0" borderId="0" pivotButton="0" quotePrefix="0" xfId="0"/>
    <xf numFmtId="175" fontId="4" fillId="0" borderId="0" pivotButton="0" quotePrefix="0" xfId="0"/>
    <xf numFmtId="173" fontId="5" fillId="0" borderId="0" pivotButton="0" quotePrefix="0" xfId="0"/>
    <xf numFmtId="175" fontId="72" fillId="0" borderId="0" pivotButton="0" quotePrefix="0" xfId="0"/>
    <xf numFmtId="170" fontId="4" fillId="0" borderId="0" applyAlignment="1" pivotButton="0" quotePrefix="0" xfId="0">
      <alignment horizontal="right"/>
    </xf>
    <xf numFmtId="175" fontId="0" fillId="0" borderId="0" pivotButton="0" quotePrefix="0" xfId="0"/>
    <xf numFmtId="165" fontId="0" fillId="0" borderId="0" pivotButton="0" quotePrefix="0" xfId="0"/>
    <xf numFmtId="175" fontId="4" fillId="0" borderId="2" pivotButton="0" quotePrefix="0" xfId="0"/>
    <xf numFmtId="170" fontId="0" fillId="0" borderId="0" pivotButton="0" quotePrefix="0" xfId="0"/>
    <xf numFmtId="175" fontId="1"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65" fontId="5" fillId="0" borderId="0" pivotButton="0" quotePrefix="0" xfId="0"/>
    <xf numFmtId="184" fontId="5" fillId="0" borderId="0" pivotButton="0" quotePrefix="0" xfId="0"/>
    <xf numFmtId="175" fontId="4" fillId="0" borderId="0" applyAlignment="1" pivotButton="0" quotePrefix="0" xfId="0">
      <alignment horizontal="right"/>
    </xf>
    <xf numFmtId="185" fontId="87" fillId="0" borderId="0" applyAlignment="1" applyProtection="1" pivotButton="0" quotePrefix="0" xfId="186">
      <alignment horizontal="center"/>
      <protection locked="0" hidden="0"/>
    </xf>
    <xf numFmtId="175" fontId="0" fillId="0" borderId="2" pivotButton="0" quotePrefix="0" xfId="0"/>
    <xf numFmtId="175" fontId="4" fillId="0" borderId="2" applyAlignment="1" pivotButton="0" quotePrefix="0" xfId="0">
      <alignment horizontal="right"/>
    </xf>
    <xf numFmtId="185" fontId="94" fillId="0" borderId="0" applyAlignment="1" pivotButton="0" quotePrefix="0" xfId="186">
      <alignment horizontal="center"/>
    </xf>
    <xf numFmtId="187" fontId="1" fillId="0" borderId="0" pivotButton="0" quotePrefix="0" xfId="0"/>
    <xf numFmtId="175" fontId="5" fillId="0" borderId="0" pivotButton="0" quotePrefix="0" xfId="0"/>
    <xf numFmtId="175" fontId="6" fillId="0" borderId="0" pivotButton="0" quotePrefix="0" xfId="0"/>
    <xf numFmtId="165" fontId="4" fillId="0" borderId="0" pivotButton="0" quotePrefix="0" xfId="0"/>
    <xf numFmtId="169" fontId="1" fillId="0" borderId="0" pivotButton="0" quotePrefix="0" xfId="0"/>
    <xf numFmtId="175" fontId="7" fillId="0" borderId="0" pivotButton="0" quotePrefix="0" xfId="0"/>
    <xf numFmtId="165" fontId="1" fillId="0" borderId="0" pivotButton="0" quotePrefix="0" xfId="0"/>
    <xf numFmtId="175" fontId="68" fillId="0" borderId="0" pivotButton="0" quotePrefix="0" xfId="0"/>
    <xf numFmtId="175" fontId="5" fillId="0" borderId="2" pivotButton="0" quotePrefix="0" xfId="0"/>
    <xf numFmtId="165" fontId="69" fillId="0" borderId="0" applyAlignment="1" pivotButton="0" quotePrefix="0" xfId="0">
      <alignment horizontal="right"/>
    </xf>
    <xf numFmtId="165" fontId="68" fillId="0" borderId="0" pivotButton="0" quotePrefix="0" xfId="0"/>
    <xf numFmtId="170" fontId="4" fillId="0" borderId="0" pivotButton="0" quotePrefix="0" xfId="0"/>
    <xf numFmtId="182" fontId="5" fillId="0" borderId="0" pivotButton="0" quotePrefix="0" xfId="0"/>
    <xf numFmtId="164" fontId="0" fillId="0" borderId="0" pivotButton="0" quotePrefix="0" xfId="0"/>
    <xf numFmtId="175" fontId="0" fillId="0" borderId="29" pivotButton="0" quotePrefix="0" xfId="0"/>
    <xf numFmtId="177" fontId="4" fillId="0" borderId="0" pivotButton="0" quotePrefix="0" xfId="0"/>
    <xf numFmtId="175" fontId="70" fillId="0" borderId="0" pivotButton="0" quotePrefix="0" xfId="0"/>
    <xf numFmtId="170" fontId="5" fillId="0" borderId="0" applyAlignment="1" pivotButton="0" quotePrefix="0" xfId="0">
      <alignment horizontal="right"/>
    </xf>
    <xf numFmtId="170" fontId="69" fillId="0" borderId="0" pivotButton="0" quotePrefix="0" xfId="0"/>
    <xf numFmtId="175" fontId="68" fillId="0" borderId="0" applyAlignment="1" pivotButton="0" quotePrefix="0" xfId="0">
      <alignment horizontal="right"/>
    </xf>
    <xf numFmtId="175" fontId="3" fillId="0" borderId="0" pivotButton="0" quotePrefix="0" xfId="0"/>
    <xf numFmtId="170" fontId="5" fillId="0" borderId="0" pivotButton="0" quotePrefix="0" xfId="0"/>
    <xf numFmtId="175" fontId="4" fillId="0" borderId="29" pivotButton="0" quotePrefix="0" xfId="0"/>
    <xf numFmtId="178" fontId="5" fillId="0" borderId="0" applyAlignment="1" pivotButton="0" quotePrefix="0" xfId="0">
      <alignment horizontal="right"/>
    </xf>
    <xf numFmtId="177" fontId="0" fillId="0" borderId="0" pivotButton="0" quotePrefix="0" xfId="0"/>
    <xf numFmtId="179" fontId="5" fillId="0" borderId="0" pivotButton="0" quotePrefix="0" xfId="0"/>
    <xf numFmtId="179" fontId="4" fillId="0" borderId="0" pivotButton="0" quotePrefix="0" xfId="0"/>
    <xf numFmtId="186" fontId="68" fillId="0" borderId="2" applyAlignment="1" pivotButton="0" quotePrefix="0" xfId="0">
      <alignment horizontal="centerContinuous"/>
    </xf>
    <xf numFmtId="171" fontId="1" fillId="0" borderId="29" pivotButton="0" quotePrefix="0" xfId="0"/>
    <xf numFmtId="171" fontId="1" fillId="0" borderId="0" pivotButton="0" quotePrefix="0" xfId="0"/>
    <xf numFmtId="171" fontId="5" fillId="0" borderId="0" applyAlignment="1" pivotButton="0" quotePrefix="0" xfId="0">
      <alignment horizontal="right"/>
    </xf>
    <xf numFmtId="175" fontId="0" fillId="0" borderId="31" applyAlignment="1" pivotButton="0" quotePrefix="0" xfId="0">
      <alignment horizontal="center"/>
    </xf>
    <xf numFmtId="165" fontId="4" fillId="0" borderId="0" applyAlignment="1" pivotButton="0" quotePrefix="0" xfId="0">
      <alignment horizontal="center"/>
    </xf>
    <xf numFmtId="165" fontId="0" fillId="0" borderId="23" applyAlignment="1" pivotButton="0" quotePrefix="0" xfId="0">
      <alignment horizontal="center"/>
    </xf>
    <xf numFmtId="165" fontId="5" fillId="31" borderId="23" applyAlignment="1" pivotButton="0" quotePrefix="0" xfId="0">
      <alignment horizontal="center"/>
    </xf>
    <xf numFmtId="165" fontId="4" fillId="0" borderId="2" applyAlignment="1" pivotButton="0" quotePrefix="0" xfId="0">
      <alignment horizontal="center"/>
    </xf>
    <xf numFmtId="165" fontId="5" fillId="31" borderId="25"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1" fontId="0" fillId="0" borderId="0" applyAlignment="1" pivotButton="0" quotePrefix="0" xfId="0">
      <alignment horizontal="center"/>
    </xf>
    <xf numFmtId="175" fontId="0" fillId="0" borderId="0" applyAlignment="1" pivotButton="0" quotePrefix="0" xfId="0">
      <alignment horizontal="center"/>
    </xf>
    <xf numFmtId="165" fontId="0" fillId="0" borderId="0" applyAlignment="1" pivotButton="0" quotePrefix="0" xfId="0">
      <alignment horizontal="center"/>
    </xf>
    <xf numFmtId="173" fontId="0" fillId="0" borderId="0" applyAlignment="1" pivotButton="0" quotePrefix="0" xfId="0">
      <alignment horizontal="center"/>
    </xf>
    <xf numFmtId="175" fontId="1" fillId="0" borderId="0" applyAlignment="1" pivotButton="0" quotePrefix="0" xfId="0">
      <alignment horizontal="center"/>
    </xf>
    <xf numFmtId="165" fontId="1" fillId="0" borderId="0" applyAlignment="1" pivotButton="0" quotePrefix="0" xfId="0">
      <alignment horizontal="center"/>
    </xf>
    <xf numFmtId="177" fontId="69" fillId="0" borderId="2" applyAlignment="1" pivotButton="0" quotePrefix="0" xfId="0">
      <alignment horizontal="centerContinuous"/>
    </xf>
    <xf numFmtId="177" fontId="69" fillId="0" borderId="0" applyAlignment="1" pivotButton="0" quotePrefix="0" xfId="0">
      <alignment horizontal="centerContinuous"/>
    </xf>
    <xf numFmtId="177" fontId="4" fillId="0" borderId="24" applyAlignment="1" pivotButton="0" quotePrefix="0" xfId="0">
      <alignment horizontal="center"/>
    </xf>
    <xf numFmtId="177" fontId="5" fillId="0" borderId="4" pivotButton="0" quotePrefix="0" xfId="0"/>
    <xf numFmtId="177" fontId="4" fillId="0" borderId="33" pivotButton="0" quotePrefix="0" xfId="0"/>
    <xf numFmtId="177" fontId="4" fillId="0" borderId="34" pivotButton="0" quotePrefix="0" xfId="0"/>
    <xf numFmtId="164" fontId="0" fillId="0" borderId="24" applyAlignment="1" pivotButton="0" quotePrefix="0" xfId="0">
      <alignment horizontal="center"/>
    </xf>
    <xf numFmtId="170" fontId="68" fillId="0" borderId="24" applyAlignment="1" pivotButton="0" quotePrefix="0" xfId="0">
      <alignment horizontal="center"/>
    </xf>
    <xf numFmtId="170" fontId="68" fillId="0" borderId="31" pivotButton="0" quotePrefix="0" xfId="0"/>
    <xf numFmtId="170" fontId="68" fillId="0" borderId="0" pivotButton="0" quotePrefix="0" xfId="0"/>
    <xf numFmtId="170" fontId="68" fillId="0" borderId="23" pivotButton="0" quotePrefix="0" xfId="0"/>
    <xf numFmtId="171" fontId="0" fillId="0" borderId="26" applyAlignment="1" pivotButton="0" quotePrefix="0" xfId="0">
      <alignment horizontal="center"/>
    </xf>
    <xf numFmtId="171" fontId="0" fillId="0" borderId="32" pivotButton="0" quotePrefix="0" xfId="0"/>
    <xf numFmtId="171" fontId="0" fillId="0" borderId="2" pivotButton="0" quotePrefix="0" xfId="0"/>
    <xf numFmtId="171" fontId="0" fillId="0" borderId="25" pivotButton="0" quotePrefix="0" xfId="0"/>
    <xf numFmtId="177" fontId="5" fillId="0" borderId="0" applyAlignment="1" pivotButton="0" quotePrefix="0" xfId="0">
      <alignment horizontal="right"/>
    </xf>
    <xf numFmtId="177" fontId="7" fillId="0" borderId="26" applyAlignment="1" pivotButton="0" quotePrefix="0" xfId="0">
      <alignment horizontal="left"/>
    </xf>
    <xf numFmtId="176" fontId="7" fillId="0" borderId="0" pivotButton="0" quotePrefix="0" xfId="0"/>
    <xf numFmtId="176" fontId="6" fillId="0" borderId="0" pivotButton="0" quotePrefix="0" xfId="0"/>
    <xf numFmtId="176" fontId="6" fillId="0" borderId="0" applyAlignment="1" pivotButton="0" quotePrefix="0" xfId="0">
      <alignment horizontal="right"/>
    </xf>
    <xf numFmtId="172" fontId="7" fillId="0" borderId="0" pivotButton="0" quotePrefix="0" xfId="0"/>
    <xf numFmtId="170" fontId="7" fillId="0" borderId="0" pivotButton="0" quotePrefix="0" xfId="0"/>
    <xf numFmtId="170" fontId="6" fillId="0" borderId="0" applyAlignment="1" pivotButton="0" quotePrefix="0" xfId="0">
      <alignment horizontal="right"/>
    </xf>
    <xf numFmtId="175" fontId="0" fillId="0" borderId="2" applyAlignment="1" pivotButton="0" quotePrefix="0" xfId="0">
      <alignment horizontal="center"/>
    </xf>
    <xf numFmtId="175" fontId="68" fillId="0" borderId="2" pivotButton="0" quotePrefix="0" xfId="0"/>
    <xf numFmtId="164" fontId="0" fillId="0" borderId="2" pivotButton="0" quotePrefix="0" xfId="0"/>
    <xf numFmtId="164" fontId="1" fillId="0" borderId="0" pivotButton="0" quotePrefix="0" xfId="0"/>
    <xf numFmtId="175" fontId="0" fillId="0" borderId="0" applyAlignment="1" pivotButton="0" quotePrefix="0" xfId="0">
      <alignment horizontal="right"/>
    </xf>
    <xf numFmtId="164" fontId="4" fillId="0" borderId="0" pivotButton="0" quotePrefix="0" xfId="0"/>
    <xf numFmtId="164" fontId="5" fillId="0" borderId="0" pivotButton="0" quotePrefix="0" xfId="0"/>
    <xf numFmtId="188" fontId="80" fillId="0" borderId="0" pivotButton="0" quotePrefix="0" xfId="0"/>
    <xf numFmtId="164" fontId="85" fillId="0" borderId="0" pivotButton="0" quotePrefix="0" xfId="0"/>
    <xf numFmtId="164" fontId="96" fillId="0" borderId="0" pivotButton="0" quotePrefix="0" xfId="0"/>
    <xf numFmtId="164" fontId="81" fillId="0" borderId="0" pivotButton="0" quotePrefix="0" xfId="0"/>
    <xf numFmtId="175" fontId="81" fillId="0" borderId="0" pivotButton="0" quotePrefix="0" xfId="0"/>
    <xf numFmtId="172" fontId="72" fillId="0" borderId="0" pivotButton="0" quotePrefix="0" xfId="0"/>
    <xf numFmtId="180" fontId="72" fillId="0" borderId="0" pivotButton="0" quotePrefix="0" xfId="0"/>
    <xf numFmtId="173" fontId="4" fillId="0" borderId="0" pivotButton="0" quotePrefix="0" xfId="0"/>
    <xf numFmtId="165" fontId="76" fillId="0" borderId="0" pivotButton="0" quotePrefix="0" xfId="0"/>
    <xf numFmtId="173" fontId="78" fillId="0" borderId="29" applyAlignment="1" pivotButton="0" quotePrefix="0" xfId="0">
      <alignment horizontal="center"/>
    </xf>
    <xf numFmtId="171" fontId="68" fillId="0" borderId="0" pivotButton="0" quotePrefix="0" xfId="0"/>
    <xf numFmtId="180" fontId="4" fillId="0" borderId="0" pivotButton="0" quotePrefix="0" xfId="0"/>
    <xf numFmtId="189" fontId="5" fillId="0" borderId="0" pivotButton="0" quotePrefix="0" xfId="0"/>
    <xf numFmtId="172" fontId="1" fillId="0" borderId="0" pivotButton="0" quotePrefix="0" xfId="0"/>
    <xf numFmtId="165" fontId="0" fillId="0" borderId="0" applyAlignment="1" pivotButton="0" quotePrefix="0" xfId="0">
      <alignment horizontal="right"/>
    </xf>
    <xf numFmtId="165" fontId="72" fillId="0" borderId="0" pivotButton="0" quotePrefix="0" xfId="0"/>
    <xf numFmtId="172" fontId="0" fillId="0" borderId="2" applyAlignment="1" pivotButton="0" quotePrefix="0" xfId="0">
      <alignment horizontal="right"/>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174" fontId="0" fillId="0" borderId="0" pivotButton="0" quotePrefix="0" xfId="0"/>
    <xf numFmtId="172" fontId="0" fillId="0" borderId="25" pivotButton="0" quotePrefix="0" xfId="0"/>
    <xf numFmtId="171" fontId="4" fillId="32" borderId="22" pivotButton="0" quotePrefix="0" xfId="0"/>
    <xf numFmtId="171" fontId="5" fillId="32" borderId="22" pivotButton="0" quotePrefix="0" xfId="0"/>
    <xf numFmtId="171" fontId="4" fillId="32" borderId="27" pivotButton="0" quotePrefix="0" xfId="0"/>
    <xf numFmtId="172" fontId="0" fillId="0" borderId="0" pivotButton="0" quotePrefix="0" xfId="0"/>
    <xf numFmtId="171" fontId="4" fillId="32" borderId="28" pivotButton="0" quotePrefix="0" xfId="0"/>
    <xf numFmtId="174" fontId="0" fillId="0" borderId="23" pivotButton="0" quotePrefix="0" xfId="0"/>
    <xf numFmtId="174" fontId="0" fillId="0" borderId="2" pivotButton="0" quotePrefix="0" xfId="0"/>
    <xf numFmtId="174" fontId="0" fillId="0" borderId="25" pivotButton="0" quotePrefix="0" xfId="0"/>
    <xf numFmtId="172" fontId="76" fillId="0" borderId="0" applyAlignment="1" pivotButton="0" quotePrefix="0" xfId="0">
      <alignment horizontal="right"/>
    </xf>
    <xf numFmtId="183" fontId="0" fillId="0" borderId="0" applyAlignment="1" pivotButton="0" quotePrefix="0" xfId="0">
      <alignment horizontal="left"/>
    </xf>
    <xf numFmtId="190" fontId="101" fillId="34" borderId="35" pivotButton="0" quotePrefix="0" xfId="0"/>
    <xf numFmtId="0" fontId="102" fillId="35" borderId="0" applyAlignment="1" pivotButton="0" quotePrefix="0" xfId="0">
      <alignment horizontal="center" wrapText="1"/>
    </xf>
    <xf numFmtId="0" fontId="105" fillId="37" borderId="35" applyAlignment="1" pivotButton="0" quotePrefix="0" xfId="0">
      <alignment vertical="top" wrapText="1"/>
    </xf>
    <xf numFmtId="190" fontId="101" fillId="36" borderId="35" pivotButton="0" quotePrefix="0" xfId="0"/>
    <xf numFmtId="191" fontId="101" fillId="34" borderId="35" pivotButton="0" quotePrefix="0" xfId="0"/>
    <xf numFmtId="191" fontId="101" fillId="36" borderId="35" pivotButton="0" quotePrefix="0" xfId="0"/>
    <xf numFmtId="0" fontId="106" fillId="0" borderId="0" pivotButton="0" quotePrefix="0" xfId="0"/>
  </cellXfs>
  <cellStyles count="187">
    <cellStyle name="Normal" xfId="0" builtinId="0"/>
    <cellStyle name="$" xfId="1"/>
    <cellStyle name="$m" xfId="2"/>
    <cellStyle name="$q" xfId="3"/>
    <cellStyle name="$q*" xfId="4"/>
    <cellStyle name="$q_valuation" xfId="5"/>
    <cellStyle name="$qA" xfId="6"/>
    <cellStyle name="$qRange" xfId="7"/>
    <cellStyle name="%" xfId="8"/>
    <cellStyle name="******************************************" xfId="9"/>
    <cellStyle name="2 Decimal Places_MA Software Comps - List_AccretionDilution OTGS v16.xls Chart 1" xfId="10"/>
    <cellStyle name="20% - Accent1 2" xfId="11"/>
    <cellStyle name="20% - Accent2 2" xfId="12"/>
    <cellStyle name="20% - Accent3 2" xfId="13"/>
    <cellStyle name="20% - Accent4 2" xfId="14"/>
    <cellStyle name="20% - Accent5 2" xfId="15"/>
    <cellStyle name="20% - Accent6 2" xfId="16"/>
    <cellStyle name="40% - Accent1 2" xfId="17"/>
    <cellStyle name="40% - Accent2 2" xfId="18"/>
    <cellStyle name="40% - Accent3 2" xfId="19"/>
    <cellStyle name="40% - Accent4 2" xfId="20"/>
    <cellStyle name="40% - Accent5 2" xfId="21"/>
    <cellStyle name="40% - Accent6 2" xfId="22"/>
    <cellStyle name="60% - Accent1 2" xfId="23"/>
    <cellStyle name="60% - Accent2 2" xfId="24"/>
    <cellStyle name="60% - Accent3 2" xfId="25"/>
    <cellStyle name="60% - Accent4 2" xfId="26"/>
    <cellStyle name="60% - Accent5 2" xfId="27"/>
    <cellStyle name="60% - Accent6 2" xfId="28"/>
    <cellStyle name="Accent1 2" xfId="29"/>
    <cellStyle name="Accent2 2" xfId="30"/>
    <cellStyle name="Accent3 2" xfId="31"/>
    <cellStyle name="Accent4 2" xfId="32"/>
    <cellStyle name="Accent5 2" xfId="33"/>
    <cellStyle name="Accent6 2" xfId="34"/>
    <cellStyle name="AFE" xfId="35"/>
    <cellStyle name="Bad 2" xfId="36"/>
    <cellStyle name="Balance" xfId="37"/>
    <cellStyle name="BalanceSheet" xfId="38"/>
    <cellStyle name="Body_$Numeric" xfId="39"/>
    <cellStyle name="Bold Header" xfId="40"/>
    <cellStyle name="Calculation 2" xfId="41"/>
    <cellStyle name="CashFlow" xfId="42"/>
    <cellStyle name="Check" xfId="43"/>
    <cellStyle name="Check Cell 2" xfId="44"/>
    <cellStyle name="ColHeading" xfId="45"/>
    <cellStyle name="colheadleft" xfId="46"/>
    <cellStyle name="colheadright" xfId="47"/>
    <cellStyle name="Comma 2" xfId="48"/>
    <cellStyle name="Comma0" xfId="49"/>
    <cellStyle name="Comma2" xfId="50"/>
    <cellStyle name="Company" xfId="51"/>
    <cellStyle name="CurRatio" xfId="52"/>
    <cellStyle name="Currency [1]" xfId="53"/>
    <cellStyle name="Currency [2]" xfId="54"/>
    <cellStyle name="Currency0" xfId="55"/>
    <cellStyle name="Currency2" xfId="56"/>
    <cellStyle name="d_yield" xfId="57"/>
    <cellStyle name="d_yield_CW's MAKER MODEL" xfId="58"/>
    <cellStyle name="d_yield_valuation" xfId="59"/>
    <cellStyle name="Date [d-mmm-yy]" xfId="60"/>
    <cellStyle name="Date [mmm-d-yyyy]" xfId="61"/>
    <cellStyle name="Date [mmm-yyyy]" xfId="62"/>
    <cellStyle name="Dates" xfId="63"/>
    <cellStyle name="DateYear" xfId="64"/>
    <cellStyle name="Dezimal_Capital expenditure planning FY 2000" xfId="65"/>
    <cellStyle name="Dollar" xfId="66"/>
    <cellStyle name="Dollars" xfId="67"/>
    <cellStyle name="DollarWhole" xfId="68"/>
    <cellStyle name="eps" xfId="69"/>
    <cellStyle name="eps$" xfId="70"/>
    <cellStyle name="eps$A" xfId="71"/>
    <cellStyle name="eps$E" xfId="72"/>
    <cellStyle name="eps_CW's MAKER MODEL" xfId="73"/>
    <cellStyle name="epsA" xfId="74"/>
    <cellStyle name="EPSActual" xfId="75"/>
    <cellStyle name="epsE" xfId="76"/>
    <cellStyle name="EPSEstimate" xfId="77"/>
    <cellStyle name="Euro" xfId="78"/>
    <cellStyle name="Explanatory Text 2" xfId="79"/>
    <cellStyle name="fy_eps$" xfId="80"/>
    <cellStyle name="g_rate" xfId="81"/>
    <cellStyle name="g_rate_CW's MAKER MODEL" xfId="82"/>
    <cellStyle name="g_rate_valuation" xfId="83"/>
    <cellStyle name="General" xfId="84"/>
    <cellStyle name="Good 2" xfId="85"/>
    <cellStyle name="GrowthRate" xfId="86"/>
    <cellStyle name="GrowthSeq" xfId="87"/>
    <cellStyle name="Hard Number Input" xfId="88"/>
    <cellStyle name="Heading 1 2" xfId="89"/>
    <cellStyle name="Heading 2 2" xfId="90"/>
    <cellStyle name="Heading 3 2" xfId="91"/>
    <cellStyle name="Heading 4 2" xfId="92"/>
    <cellStyle name="Historical Number" xfId="93"/>
    <cellStyle name="iemens" xfId="94"/>
    <cellStyle name="Income" xfId="95"/>
    <cellStyle name="IncomeStatement" xfId="96"/>
    <cellStyle name="Input 2" xfId="97"/>
    <cellStyle name="Input Fixed [0]" xfId="98"/>
    <cellStyle name="Integer" xfId="99"/>
    <cellStyle name="Inverse Header" xfId="100"/>
    <cellStyle name="Item" xfId="101"/>
    <cellStyle name="ItemTypeClass" xfId="102"/>
    <cellStyle name="Linked Cell 2" xfId="103"/>
    <cellStyle name="LTGR" xfId="104"/>
    <cellStyle name="m" xfId="105"/>
    <cellStyle name="m$" xfId="106"/>
    <cellStyle name="m_CW's MAKER MODEL" xfId="107"/>
    <cellStyle name="m_valuation" xfId="108"/>
    <cellStyle name="Margin" xfId="109"/>
    <cellStyle name="Margins" xfId="110"/>
    <cellStyle name="mm" xfId="111"/>
    <cellStyle name="Multiple" xfId="112"/>
    <cellStyle name="NA is zero" xfId="113"/>
    <cellStyle name="Neutral 2" xfId="114"/>
    <cellStyle name="Normal [0]" xfId="115"/>
    <cellStyle name="Normal [1]" xfId="116"/>
    <cellStyle name="Normal [2]" xfId="117"/>
    <cellStyle name="Normal [3]" xfId="118"/>
    <cellStyle name="Normal 2" xfId="119"/>
    <cellStyle name="Normal Bold" xfId="120"/>
    <cellStyle name="Normal Pct" xfId="121"/>
    <cellStyle name="NormalX" xfId="122"/>
    <cellStyle name="Note 2" xfId="123"/>
    <cellStyle name="NPPESalesPct" xfId="124"/>
    <cellStyle name="Number" xfId="125"/>
    <cellStyle name="NWI%S" xfId="126"/>
    <cellStyle name="Output 2" xfId="127"/>
    <cellStyle name="P/E" xfId="128"/>
    <cellStyle name="Palatino" xfId="129"/>
    <cellStyle name="pc1" xfId="130"/>
    <cellStyle name="pe" xfId="131"/>
    <cellStyle name="PE/LTGR" xfId="132"/>
    <cellStyle name="PEG" xfId="133"/>
    <cellStyle name="Percent [0]" xfId="134"/>
    <cellStyle name="Percent [1]" xfId="135"/>
    <cellStyle name="Percent [2]" xfId="136"/>
    <cellStyle name="PercentChange" xfId="137"/>
    <cellStyle name="PercentPresentation" xfId="138"/>
    <cellStyle name="PerShare" xfId="139"/>
    <cellStyle name="POPS" xfId="140"/>
    <cellStyle name="Presentation" xfId="141"/>
    <cellStyle name="PresentationZero" xfId="142"/>
    <cellStyle name="price" xfId="143"/>
    <cellStyle name="q" xfId="144"/>
    <cellStyle name="q_CW's MAKER MODEL" xfId="145"/>
    <cellStyle name="QEPS-h" xfId="146"/>
    <cellStyle name="QEPS-H1" xfId="147"/>
    <cellStyle name="qRange" xfId="148"/>
    <cellStyle name="range" xfId="149"/>
    <cellStyle name="RatioX" xfId="150"/>
    <cellStyle name="Report" xfId="151"/>
    <cellStyle name="Right" xfId="152"/>
    <cellStyle name="SectionHeading" xfId="153"/>
    <cellStyle name="Shares" xfId="154"/>
    <cellStyle name="StockPrice" xfId="155"/>
    <cellStyle name="Style 1" xfId="156"/>
    <cellStyle name="Style 21" xfId="157"/>
    <cellStyle name="Style 22" xfId="158"/>
    <cellStyle name="Style 23" xfId="159"/>
    <cellStyle name="Style 24" xfId="160"/>
    <cellStyle name="Style 26" xfId="161"/>
    <cellStyle name="Style 27" xfId="162"/>
    <cellStyle name="Style 34" xfId="163"/>
    <cellStyle name="Style 37" xfId="164"/>
    <cellStyle name="Style 63" xfId="165"/>
    <cellStyle name="SubDollar" xfId="166"/>
    <cellStyle name="SubGrowth" xfId="167"/>
    <cellStyle name="SubGrowthRate" xfId="168"/>
    <cellStyle name="SubMargins" xfId="169"/>
    <cellStyle name="SubPenetration" xfId="170"/>
    <cellStyle name="Subscribers" xfId="171"/>
    <cellStyle name="SubVariable" xfId="172"/>
    <cellStyle name="tcn" xfId="173"/>
    <cellStyle name="Times [1]" xfId="174"/>
    <cellStyle name="Times [2]" xfId="175"/>
    <cellStyle name="Title 2" xfId="176"/>
    <cellStyle name="title2" xfId="177"/>
    <cellStyle name="TitleII" xfId="178"/>
    <cellStyle name="Titles" xfId="179"/>
    <cellStyle name="TitleSub" xfId="180"/>
    <cellStyle name="tn" xfId="181"/>
    <cellStyle name="Total 2" xfId="182"/>
    <cellStyle name="Warning Text 2" xfId="183"/>
    <cellStyle name="WholeNumber" xfId="184"/>
    <cellStyle name="Year&quot;E&quot;" xfId="185"/>
    <cellStyle name="Normal_Matrix LBO Model v2 - Tri-State_05_EBITDA" xfId="186"/>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tint="-0.249946592608417"/>
      </font>
      <fill>
        <patternFill>
          <bgColor theme="0" tint="-0.249946592608417"/>
        </patternFill>
      </fill>
    </dxf>
    <dxf>
      <fill>
        <patternFill>
          <bgColor theme="0" tint="-0.1499679555650502"/>
        </patternFill>
      </fill>
      <border>
        <left style="dotted">
          <color auto="1"/>
        </left>
        <right style="dotted">
          <color auto="1"/>
        </right>
        <top style="dotted">
          <color auto="1"/>
        </top>
        <bottom style="dotted">
          <color auto="1"/>
        </bottom>
        <vertical/>
        <horizontal/>
      </border>
    </dxf>
    <dxf>
      <font>
        <color theme="0"/>
      </font>
    </dxf>
    <dxf>
      <font>
        <color theme="0" tint="-0.1499679555650502"/>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externalLink" Target="/xl/externalLinks/externalLink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a:p>
            <a:pPr>
              <a:defRPr/>
            </a:pPr>
            <a:r>
              <a:t>ZoomInfo LBOMODEL1 — Base vs AI-SDR Strategy</a:t>
            </a:r>
          </a:p>
        </rich>
      </tx>
    </title>
    <plotArea>
      <barChart>
        <barDir val="col"/>
        <grouping val="clustered"/>
        <ser>
          <idx val="0"/>
          <order val="0"/>
          <tx>
            <strRef>
              <f>'Strategy_Summary'!C49</f>
            </strRef>
          </tx>
          <spPr>
            <a:ln>
              <a:prstDash val="solid"/>
            </a:ln>
          </spPr>
          <cat>
            <numRef>
              <f>'Strategy_Summary'!$B$50:$B$55</f>
            </numRef>
          </cat>
          <val>
            <numRef>
              <f>'Strategy_Summary'!$C$50:$C$55</f>
            </numRef>
          </val>
        </ser>
        <ser>
          <idx val="1"/>
          <order val="1"/>
          <tx>
            <strRef>
              <f>'Strategy_Summary'!D49</f>
            </strRef>
          </tx>
          <spPr>
            <a:ln>
              <a:prstDash val="solid"/>
            </a:ln>
          </spPr>
          <cat>
            <numRef>
              <f>'Strategy_Summary'!$B$50:$B$55</f>
            </numRef>
          </cat>
          <val>
            <numRef>
              <f>'Strategy_Summary'!$D$50:$D$55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Value</a:t>
                </a:r>
              </a:p>
            </rich>
          </tx>
        </title>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sz="1100"/>
            </a:pPr>
            <a:r>
              <a:rPr lang="en-US" sz="1100"/>
              <a:t>DCF / LBO Football Field</a:t>
            </a:r>
          </a:p>
        </rich>
      </tx>
      <layout>
        <manualLayout>
          <xMode val="edge"/>
          <yMode val="edge"/>
          <wMode val="factor"/>
          <hMode val="factor"/>
          <x val="0.3129162689269984"/>
          <y val="0"/>
        </manualLayout>
      </layout>
      <overlay val="0"/>
    </title>
    <plotArea>
      <layout/>
      <barChart>
        <barDir val="col"/>
        <grouping val="stacked"/>
        <varyColors val="0"/>
        <ser>
          <idx val="0"/>
          <order val="0"/>
          <tx>
            <strRef>
              <f>DCF!$C$114</f>
              <strCache>
                <ptCount val="1"/>
                <pt idx="0">
                  <v>Low</v>
                </pt>
              </strCache>
            </strRef>
          </tx>
          <spPr>
            <a:noFill/>
            <a:ln>
              <a:prstDash val="solid"/>
            </a:ln>
          </spPr>
          <invertIfNegative val="0"/>
          <dLbls>
            <spPr>
              <a:noFill/>
              <a:ln>
                <a:noFill/>
                <a:prstDash val="solid"/>
              </a:ln>
            </spPr>
            <dLblPos val="inEnd"/>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DCF!$C$115:$C$118</f>
              <numCache>
                <formatCode>#,##0.0_);\(#,##0.0\);\-_);@_)</formatCode>
                <ptCount val="4"/>
                <pt idx="0">
                  <v>20.64830251596892</v>
                </pt>
                <pt idx="1">
                  <v>34.80938263855841</v>
                </pt>
                <pt idx="2">
                  <v>45.45104265824024</v>
                </pt>
                <pt idx="3">
                  <v>37.51</v>
                </pt>
              </numCache>
            </numRef>
          </val>
        </ser>
        <ser>
          <idx val="1"/>
          <order val="1"/>
          <tx>
            <strRef>
              <f>DCF!$D$114</f>
              <strCache>
                <ptCount val="1"/>
                <pt idx="0">
                  <v>Diff.</v>
                </pt>
              </strCache>
            </strRef>
          </tx>
          <spPr>
            <a:ln>
              <a:prstDash val="solid"/>
            </a:ln>
          </spPr>
          <invertIfNegative val="0"/>
          <cat>
            <strRef>
              <f>DCF!$B$115:$B$118</f>
              <strCache>
                <ptCount val="4"/>
                <pt idx="0">
                  <v>DCF Value at 6.3x-8.3x Exit EBITDA Range</v>
                </pt>
                <pt idx="1">
                  <v>DCF Value at 2.0%-4.0% Perpetuity Range</v>
                </pt>
                <pt idx="2">
                  <v>LBO Value at 15.0%-35.0% Sponsor Hurdle Rate</v>
                </pt>
                <pt idx="3">
                  <v>52 Week Market High/Low</v>
                </pt>
              </strCache>
            </strRef>
          </cat>
          <val>
            <numRef>
              <f>DCF!$D$115:$D$118</f>
              <numCache>
                <formatCode>#,##0.0_);\(#,##0.0\);\-_);@_)</formatCode>
                <ptCount val="4"/>
                <pt idx="0">
                  <v>11.06407079457684</v>
                </pt>
                <pt idx="1">
                  <v>16.33763437516883</v>
                </pt>
                <pt idx="2">
                  <v>13.0196839013479</v>
                </pt>
                <pt idx="3">
                  <v>8.82</v>
                </pt>
              </numCache>
            </numRef>
          </val>
        </ser>
        <ser>
          <idx val="2"/>
          <order val="2"/>
          <tx>
            <strRef>
              <f>DCF!$E$114</f>
              <strCache>
                <ptCount val="1"/>
                <pt idx="0">
                  <v>High</v>
                </pt>
              </strCache>
            </strRef>
          </tx>
          <spPr>
            <a:noFill/>
            <a:ln>
              <a:prstDash val="solid"/>
            </a:ln>
          </spPr>
          <invertIfNegative val="0"/>
          <dLbls>
            <spPr>
              <a:noFill/>
              <a:ln>
                <a:noFill/>
                <a:prstDash val="solid"/>
              </a:ln>
            </spPr>
            <dLblPos val="inBase"/>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DCF!$E$115:$E$118</f>
              <numCache>
                <formatCode>#,##0.0_);\(#,##0.0\);\-_);@_)</formatCode>
                <ptCount val="4"/>
                <pt idx="0">
                  <v>31.71237331054576</v>
                </pt>
                <pt idx="1">
                  <v>51.14701701372724</v>
                </pt>
                <pt idx="2">
                  <v>58.47072655958814</v>
                </pt>
                <pt idx="3">
                  <v>46.33</v>
                </pt>
              </numCache>
            </numRef>
          </val>
        </ser>
        <dLbls>
          <showLegendKey val="0"/>
          <showVal val="0"/>
          <showCatName val="0"/>
          <showSerName val="0"/>
          <showPercent val="0"/>
          <showBubbleSize val="0"/>
        </dLbls>
        <gapWidth val="150"/>
        <overlap val="100"/>
        <axId val="388860856"/>
        <axId val="388865952"/>
      </barChart>
      <catAx>
        <axId val="388860856"/>
        <scaling>
          <orientation val="minMax"/>
        </scaling>
        <delete val="0"/>
        <axPos val="b"/>
        <numFmt formatCode="General" sourceLinked="0"/>
        <majorTickMark val="out"/>
        <minorTickMark val="none"/>
        <tickLblPos val="nextTo"/>
        <crossAx val="388865952"/>
        <crosses val="autoZero"/>
        <auto val="1"/>
        <lblAlgn val="ctr"/>
        <lblOffset val="100"/>
        <noMultiLvlLbl val="0"/>
      </catAx>
      <valAx>
        <axId val="388865952"/>
        <scaling>
          <orientation val="minMax"/>
          <max val="60"/>
          <min val="10"/>
        </scaling>
        <delete val="0"/>
        <axPos val="l"/>
        <numFmt formatCode="#,##0.0_);\(#,##0.0\);\-_);@_)" sourceLinked="1"/>
        <majorTickMark val="out"/>
        <minorTickMark val="none"/>
        <tickLblPos val="nextTo"/>
        <crossAx val="388860856"/>
        <crosses val="autoZero"/>
        <crossBetween val="between"/>
      </valAx>
    </plotArea>
    <plotVisOnly val="1"/>
    <dispBlanksAs val="gap"/>
  </chart>
  <spPr>
    <a:ln>
      <a:noFill/>
      <a:prstDash val="solid"/>
    </a:ln>
  </spPr>
</chartSpace>
</file>

<file path=xl/comments/comment1.xml><?xml version="1.0" encoding="utf-8"?>
<comments xmlns="http://schemas.openxmlformats.org/spreadsheetml/2006/main">
  <authors>
    <author>Wall Street Prep</author>
  </authors>
  <commentList>
    <comment ref="H7" authorId="0" shapeId="0">
      <text>
        <t xml:space="preserve">Wall Street Prep:
1 = Explicit EBITDA multiple assumption
When a private company undergoes an LBO, the valuation discussion is expressed in terms of a multiple of EBITDA. Therefore, we input an EBITDA multiple assumption in this cell and work our way down to the implied offer value and offer value per share. 
2 = Explicit offer price per share assumption
However, offer value is sometimes also expressed in terms of offer price per share (usually when analyzing a public company), so rather that hardcoding an EBITDA multiple assumption, you could hard-code an offer price per share and work your way up to an implied EBITDA multiple. </t>
      </text>
    </comment>
    <comment ref="D10" authorId="0" shapeId="0">
      <text>
        <t>Wall Street Prep:
If the model "blows up" (i.e. REF and DIV/0 everywhere), turn the circuit breaker above on, and then immediately off again. 
Why do we need this?
This model has an intentional circularity in the calculation of interest expense and interest income. 
Interest expense is calculated as interest rate times average current and prior period revolver debt balances. Since current period revolver balance is itself impacted by current period interest expense, the circularity exists.
The same logic applies to interest expense.
Setting Iterations in Excel
Make sure that iterations are selected under Excel Options &gt; Formulas
Removing circularity altogether
To avoid a circularity altogether, calculate interest expense using prior period debt balances (as opposed to average balances).</t>
      </text>
    </comment>
    <comment ref="B13" authorId="0" shapeId="0">
      <text>
        <t xml:space="preserve">Wall Street Prep:
Input the last twelve months (LTM) EBITDA. </t>
      </text>
    </comment>
    <comment ref="B14" authorId="0" shapeId="0">
      <text>
        <t>Wall Street Prep:
Include all debt and debt equivalents as of the most recent filing</t>
      </text>
    </comment>
    <comment ref="B15" authorId="0" shapeId="0">
      <text>
        <t>Wall Street Prep:
Include all cash and equivalents as of most recent filing.</t>
      </text>
    </comment>
    <comment ref="J26" authorId="0" shapeId="0">
      <text>
        <t>Wall Street Prep:
Accounting rules require that financing fees be capitalized and subsequently amortized over the term of the loan.
This contrasts with the accounting treatment of transaction fees, which are expensed as incurred.</t>
      </text>
    </comment>
    <comment ref="D27" authorId="0" shapeId="0">
      <text>
        <t>Wall Street Prep:
$1.4 in excess cash used in BMC LBO</t>
      </text>
    </comment>
    <comment ref="D28" authorId="0" shapeId="0">
      <text>
        <t>Wall Street Prep:
Up to $350m in availability on revolver with 5 year term</t>
      </text>
    </comment>
    <comment ref="D29" authorId="0" shapeId="0">
      <text>
        <t>Wall Street Prep:
Originally $3.2b senior secured 7 year term loan reduced to $2.88b</t>
      </text>
    </comment>
    <comment ref="D30" authorId="0" shapeId="0">
      <text>
        <t>Wall Street Prep:
Originally $1b second senior secured tranche, 7 year term loan reduced to 670m</t>
      </text>
    </comment>
    <comment ref="D31" authorId="0" shapeId="0">
      <text>
        <t>Wall Street Prep:
Originally $1.38b high yield bond, matures 2021 increased to $1.625b.</t>
      </text>
    </comment>
    <comment ref="C46" authorId="0" shapeId="0">
      <text>
        <t>Wall Street Prep:
Includes amortization expense</t>
      </text>
    </comment>
    <comment ref="D46" authorId="0" shapeId="0">
      <text>
        <t>Wall Street Prep:
Includes amortization expense</t>
      </text>
    </comment>
    <comment ref="E46" authorId="0" shapeId="0">
      <text>
        <t>Wall Street Prep:
Includes amortization expense</t>
      </text>
    </comment>
    <comment ref="B47" authorId="0" shapeId="0">
      <text>
        <t>Wall Street Prep:
includes capitalized financing fees, and D&amp;A from write-ups. Usually ignored by analysts when analyzing true ongoing profitability.</t>
      </text>
    </comment>
    <comment ref="B59" authorId="0" shapeId="0">
      <text>
        <t>Wall Street Prep:
includes capitalized financing fees, and D&amp;A from write-ups. Usually ignored by analysts when analyzing true ongoing profitability.</t>
      </text>
    </comment>
    <comment ref="F61" authorId="0" shapeId="0">
      <text>
        <t>Wall Street Prep:
BMC projections per Merger Proxy, p.72</t>
      </text>
    </comment>
    <comment ref="G61" authorId="0" shapeId="0">
      <text>
        <t>Wall Street Prep:
BMC projections per Merger Proxy, p.72</t>
      </text>
    </comment>
    <comment ref="H61" authorId="0" shapeId="0">
      <text>
        <t>Wall Street Prep:
BMC projections per Merger Proxy, p.72</t>
      </text>
    </comment>
    <comment ref="I61" authorId="0" shapeId="0">
      <text>
        <t>Wall Street Prep:
BMC projections per Merger Proxy, p.72</t>
      </text>
    </comment>
    <comment ref="J61" authorId="0" shapeId="0">
      <text>
        <t>Wall Street Prep:
BMC projections per Merger Proxy, p.72</t>
      </text>
    </comment>
    <comment ref="F65" authorId="0" shapeId="0">
      <text>
        <t>Wall Street Prep:
BMC projections per Merger Proxy, p.72</t>
      </text>
    </comment>
    <comment ref="G65" authorId="0" shapeId="0">
      <text>
        <t>Wall Street Prep:
BMC projections per Merger Proxy, p.72</t>
      </text>
    </comment>
    <comment ref="H65" authorId="0" shapeId="0">
      <text>
        <t>Wall Street Prep:
BMC projections per Merger Proxy, p.72</t>
      </text>
    </comment>
    <comment ref="I65" authorId="0" shapeId="0">
      <text>
        <t>Wall Street Prep:
BMC projections per Merger Proxy, p.72</t>
      </text>
    </comment>
    <comment ref="J65" authorId="0" shapeId="0">
      <text>
        <t>Wall Street Prep:
BMC projections per Merger Proxy, p.72</t>
      </text>
    </comment>
    <comment ref="F70" authorId="0" shapeId="0">
      <text>
        <t>Wall Street Prep:
Tried to get close to BMC projections per Merger Proxy, p.72</t>
      </text>
    </comment>
    <comment ref="D76" authorId="0" shapeId="0">
      <text>
        <t>Wall Street Prep:
Includes trade AR and both current &amp; non current finance receivables.</t>
      </text>
    </comment>
    <comment ref="E76" authorId="0" shapeId="0">
      <text>
        <t>Wall Street Prep:
Includes trade AR and both current &amp; non current finance receivables.</t>
      </text>
    </comment>
    <comment ref="D82" authorId="0" shapeId="0">
      <text>
        <t>Wall Street Prep:
Includes accrued expenses and both current and long term deferred revenue</t>
      </text>
    </comment>
    <comment ref="E82" authorId="0" shapeId="0">
      <text>
        <t>Wall Street Prep:
Includes accrued expenses and both current and long term deferred revenue</t>
      </text>
    </comment>
    <comment ref="F92" authorId="0" shapeId="0">
      <text>
        <t>Wall Street Prep:
Tried to approximate mangement guidance in Merger proxy p.72</t>
      </text>
    </comment>
    <comment ref="G92" authorId="0" shapeId="0">
      <text>
        <t>Wall Street Prep:
Tried to approximate mangement guidance in Merger proxy p.72</t>
      </text>
    </comment>
    <comment ref="H92" authorId="0" shapeId="0">
      <text>
        <t>Wall Street Prep:
Tried to approximate mangement guidance in Merger proxy p.72</t>
      </text>
    </comment>
    <comment ref="I92" authorId="0" shapeId="0">
      <text>
        <t>Wall Street Prep:
Tried to approximate mangement guidance in Merger proxy p.72</t>
      </text>
    </comment>
    <comment ref="J92" authorId="0" shapeId="0">
      <text>
        <t>Wall Street Prep:
Tried to approximate mangement guidance in Merger proxy p.72</t>
      </text>
    </comment>
    <comment ref="C93" authorId="0" shapeId="0">
      <text>
        <t>Wall Street Prep:
Source: BMC 10K 2013 p. 72</t>
      </text>
    </comment>
    <comment ref="D93" authorId="0" shapeId="0">
      <text>
        <t>Wall Street Prep:
Source: BMC 10K 2013 p. 72</t>
      </text>
    </comment>
    <comment ref="E93" authorId="0" shapeId="0">
      <text>
        <t>Wall Street Prep:
Source: BMC 10K 2013 p. 72</t>
      </text>
    </comment>
    <comment ref="K93"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C98" authorId="0" shapeId="0">
      <text>
        <t>Wall Street Prep:
BMC 2013 10K, CFS.</t>
      </text>
    </comment>
    <comment ref="D98" authorId="0" shapeId="0">
      <text>
        <t>Wall Street Prep:
BMC 2013 10K, CFS.</t>
      </text>
    </comment>
    <comment ref="E98" authorId="0" shapeId="0">
      <text>
        <t>Wall Street Prep:
BMC 2013 10K, CFS.</t>
      </text>
    </comment>
    <comment ref="F98" authorId="0" shapeId="0">
      <text>
        <t>Wall Street Prep:
BMC projections per Merger Proxy, p.72</t>
      </text>
    </comment>
    <comment ref="G98" authorId="0" shapeId="0">
      <text>
        <t>Wall Street Prep:
BMC projections per Merger Proxy, p.72</t>
      </text>
    </comment>
    <comment ref="H98" authorId="0" shapeId="0">
      <text>
        <t>Wall Street Prep:
BMC projections per Merger Proxy, p.72</t>
      </text>
    </comment>
    <comment ref="I98" authorId="0" shapeId="0">
      <text>
        <t>Wall Street Prep:
BMC projections per Merger Proxy, p.72</t>
      </text>
    </comment>
    <comment ref="J98" authorId="0" shapeId="0">
      <text>
        <t>Wall Street Prep:
BMC projections per Merger Proxy, p.72</t>
      </text>
    </comment>
    <comment ref="C99" authorId="0" shapeId="0">
      <text>
        <t xml:space="preserve">Wall Street Prep:
Source: BMC 2013 10K p. 60 </t>
      </text>
    </comment>
    <comment ref="D99" authorId="0" shapeId="0">
      <text>
        <t xml:space="preserve">Wall Street Prep:
Source: BMC 2013 10K p. 60 </t>
      </text>
    </comment>
    <comment ref="E99" authorId="0" shapeId="0">
      <text>
        <t xml:space="preserve">Wall Street Prep:
Source: BMC 2013 10K p. 60 </t>
      </text>
    </comment>
    <comment ref="K99"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F105" authorId="0" shapeId="0">
      <text>
        <t>Wall Street Prep:
BMC projections per Merger Proxy, p.72</t>
      </text>
    </comment>
    <comment ref="G105" authorId="0" shapeId="0">
      <text>
        <t>Wall Street Prep:
BMC projections per Merger Proxy, p.72</t>
      </text>
    </comment>
    <comment ref="H105" authorId="0" shapeId="0">
      <text>
        <t>Wall Street Prep:
BMC projections per Merger Proxy, p.72</t>
      </text>
    </comment>
    <comment ref="I105" authorId="0" shapeId="0">
      <text>
        <t>Wall Street Prep:
BMC projections per Merger Proxy, p.72</t>
      </text>
    </comment>
    <comment ref="J105" authorId="0" shapeId="0">
      <text>
        <t>Wall Street Prep:
BMC projections per Merger Proxy, p.72</t>
      </text>
    </comment>
    <comment ref="D107" authorId="0" shapeId="0">
      <text>
        <t xml:space="preserve">Wall Street Prep:
Includes goodwill and other assets </t>
      </text>
    </comment>
    <comment ref="E107" authorId="0" shapeId="0">
      <text>
        <t xml:space="preserve">Wall Street Prep:
Includes goodwill and other assets </t>
      </text>
    </comment>
    <comment ref="B117" authorId="0" shapeId="0">
      <text>
        <t>Wall Street Prep:
includes capitalized financing fees, and D&amp;A from write-ups. Usually ignored by analysts when analyzing true ongoing profitability.</t>
      </text>
    </comment>
    <comment ref="E166" authorId="0" shapeId="0">
      <text>
        <t>Wall Street Prep:
% of available cash to be used.</t>
      </text>
    </comment>
    <comment ref="E174" authorId="0" shapeId="0">
      <text>
        <t>Wall Street Prep:
% of available cash to be used.</t>
      </text>
    </comment>
    <comment ref="F198" authorId="0" shapeId="0">
      <text>
        <t>Wall Street Prep:
For simplicity we will ignore the impact of financing fee amortization on the I/S and the corresponding addback on the CFS).</t>
      </text>
    </comment>
    <comment ref="G198" authorId="0" shapeId="0">
      <text>
        <t>Wall Street Prep:
For simplicity we will ignore the impact of financing fee amortization on the I/S and the corresponding addback on the CFS).</t>
      </text>
    </comment>
    <comment ref="H198" authorId="0" shapeId="0">
      <text>
        <t>Wall Street Prep:
For simplicity we will ignore the impact of financing fee amortization on the I/S and the corresponding addback on the CFS).</t>
      </text>
    </comment>
    <comment ref="I198" authorId="0" shapeId="0">
      <text>
        <t>Wall Street Prep:
For simplicity we will ignore the impact of financing fee amortization on the I/S and the corresponding addback on the CFS).</t>
      </text>
    </comment>
    <comment ref="J198" authorId="0" shapeId="0">
      <text>
        <t>Wall Street Prep:
For simplicity we will ignore the impact of financing fee amortization on the I/S and the corresponding addback on the CFS).</t>
      </text>
    </comment>
    <comment ref="E232" authorId="0" shapeId="0">
      <text>
        <t xml:space="preserve">Wall Street Prep:
In addition to dividends, preferred stock may also negotiate to receive warrants to increase their returns (aka "equity kicker"). This has the impact of diluting the sponsors and management equity at exit. </t>
      </text>
    </comment>
    <comment ref="E233" authorId="0" shapeId="0">
      <text>
        <t xml:space="preserve">Wall Street Prep:
In addition to interest, lenders (usually high yield subordinated notes) may also negotiate to receive warrants to increase their returns (aka "equity kicker"). This has the impact of diluting the sponsors and management equity at exit. </t>
      </text>
    </comment>
    <comment ref="H267" authorId="0" shapeId="0">
      <text>
        <t>Wall Street Prep:
Fully diluted</t>
      </text>
    </comment>
    <comment ref="E282" authorId="0" shapeId="0">
      <text>
        <t>Wall Street Prep:
Ignored effects of changes in model-derived offer value on transaction and financing fees for simplicity</t>
      </text>
    </comment>
    <comment ref="F282" authorId="0" shapeId="0">
      <text>
        <t>Wall Street Prep:
Ignored effects of changes in model-derived offer value on transaction and financing fees for simplicity</t>
      </text>
    </comment>
    <comment ref="G282" authorId="0" shapeId="0">
      <text>
        <t>Wall Street Prep:
Ignored effects of changes in model-derived offer value on transaction and financing fees for simplicity</t>
      </text>
    </comment>
    <comment ref="H282" authorId="0" shapeId="0">
      <text>
        <t>Wall Street Prep:
Ignored effects of changes in model-derived offer value on transaction and financing fees for simplicity</t>
      </text>
    </comment>
    <comment ref="I282" authorId="0" shapeId="0">
      <text>
        <t>Wall Street Prep:
Ignored effects of changes in model-derived offer value on transaction and financing fees for simplicity</t>
      </text>
    </comment>
    <comment ref="J282" authorId="0" shapeId="0">
      <text>
        <t>Wall Street Prep:
Ignored effects of changes in model-derived offer value on transaction and financing fees for simplicity</t>
      </text>
    </comment>
    <comment ref="G322" authorId="0" shapeId="0">
      <text>
        <t xml:space="preserve">Wall Street Prep:
Management rollover is excluded from both sources &amp; uses because it is simultaneously a debit and credit to equity, creating a net impact of zero to equity. </t>
      </text>
    </comment>
    <comment ref="H322" authorId="0" shapeId="0">
      <text>
        <t xml:space="preserve">Wall Street Prep:
Management rollover is excluded from both sources &amp; uses because it is simultaneously a debit and credit to equity, creating a net impact of zero to equity. </t>
      </text>
    </comment>
    <comment ref="B334" authorId="0" shapeId="0">
      <text>
        <t>Wall Street Prep:
Includes DTLs created in the LBO</t>
      </text>
    </comment>
    <comment ref="I334" authorId="0" shapeId="0">
      <text>
        <t>Wall Street Prep:
DTLs created in the LBO</t>
      </text>
    </comment>
    <comment ref="B335" authorId="0" shapeId="0">
      <text>
        <t>Wall Street Prep:
Include legacy noncontrolling interests and preferred stock for simplicty</t>
      </text>
    </comment>
    <comment ref="G339" authorId="0" shapeId="0">
      <text>
        <t>Wall Street Prep:
Excludes management rollover</t>
      </text>
    </comment>
    <comment ref="F351" authorId="0" shapeId="0">
      <text>
        <t>Wall Street Prep:
Includes capitalized financing fees</t>
      </text>
    </comment>
    <comment ref="G351" authorId="0" shapeId="0">
      <text>
        <t>Wall Street Prep:
Includes capitalized financing fees</t>
      </text>
    </comment>
    <comment ref="H351" authorId="0" shapeId="0">
      <text>
        <t>Wall Street Prep:
Includes capitalized financing fees</t>
      </text>
    </comment>
    <comment ref="I351" authorId="0" shapeId="0">
      <text>
        <t>Wall Street Prep:
Includes capitalized financing fees</t>
      </text>
    </comment>
    <comment ref="J351" authorId="0" shapeId="0">
      <text>
        <t>Wall Street Prep:
Includes capitalized financing fees</t>
      </text>
    </comment>
    <comment ref="K351" authorId="0" shapeId="0">
      <text>
        <t>Wall Street Prep:
Includes capitalized financing fees</t>
      </text>
    </comment>
    <comment ref="F352" authorId="0" shapeId="0">
      <text>
        <t xml:space="preserve">Wall Street Prep:
Includes goodwill created in the LBO </t>
      </text>
    </comment>
    <comment ref="G352" authorId="0" shapeId="0">
      <text>
        <t xml:space="preserve">Wall Street Prep:
Includes goodwill created in the LBO </t>
      </text>
    </comment>
    <comment ref="H352" authorId="0" shapeId="0">
      <text>
        <t xml:space="preserve">Wall Street Prep:
Includes goodwill created in the LBO </t>
      </text>
    </comment>
    <comment ref="I352" authorId="0" shapeId="0">
      <text>
        <t xml:space="preserve">Wall Street Prep:
Includes goodwill created in the LBO </t>
      </text>
    </comment>
    <comment ref="J352" authorId="0" shapeId="0">
      <text>
        <t xml:space="preserve">Wall Street Prep:
Includes goodwill created in the LBO </t>
      </text>
    </comment>
    <comment ref="K352" authorId="0" shapeId="0">
      <text>
        <t xml:space="preserve">Wall Street Prep:
Includes goodwill created in the LBO </t>
      </text>
    </comment>
    <comment ref="F358" authorId="0" shapeId="0">
      <text>
        <t>Wall Street Prep:
Include all LBO created debt tranches</t>
      </text>
    </comment>
    <comment ref="G358" authorId="0" shapeId="0">
      <text>
        <t>Wall Street Prep:
Include all LBO created debt tranches</t>
      </text>
    </comment>
    <comment ref="H358" authorId="0" shapeId="0">
      <text>
        <t>Wall Street Prep:
Include all LBO created debt tranches</t>
      </text>
    </comment>
    <comment ref="I358" authorId="0" shapeId="0">
      <text>
        <t>Wall Street Prep:
Include all LBO created debt tranches</t>
      </text>
    </comment>
    <comment ref="J358" authorId="0" shapeId="0">
      <text>
        <t>Wall Street Prep:
Include all LBO created debt tranches</t>
      </text>
    </comment>
    <comment ref="K358" authorId="0" shapeId="0">
      <text>
        <t>Wall Street Prep:
Include all LBO created debt tranches</t>
      </text>
    </comment>
    <comment ref="G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H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I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J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K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List>
</comments>
</file>

<file path=xl/comments/comment2.xml><?xml version="1.0" encoding="utf-8"?>
<comments xmlns="http://schemas.openxmlformats.org/spreadsheetml/2006/main">
  <authors>
    <author>Wall Street Prep</author>
  </authors>
  <commentList>
    <comment ref="C8" authorId="0" shapeId="0">
      <text>
        <t>Wall Street Prep:
Per AAPL Q2 10-Q, as of April 11, 2014</t>
      </text>
    </comment>
    <comment ref="C36" authorId="0" shapeId="0">
      <text>
        <t>Wall Street Prep:
By ignoring D&amp;A and Capex/Intangible Assets/SDC we are implicitly assuming that mature-company capital spending is just enough to offset the absolesence of older capital purchases.</t>
      </text>
    </comment>
    <comment ref="J37" authorId="0" shapeId="0">
      <text>
        <t>Wall Street Prep:
Same as LBO exit multiple</t>
      </text>
    </comment>
    <comment ref="C55" authorId="0" shapeId="0">
      <text>
        <t>Wall Street Prep:
Yield on 10 Year US Treasury</t>
      </text>
    </comment>
    <comment ref="C56" authorId="0" shapeId="0">
      <text>
        <t>Wall Street Prep:
Derived from peers and relvered at BMC's new highly levered capital structure</t>
      </text>
    </comment>
  </commentList>
</comments>
</file>

<file path=xl/comments/comment3.xml><?xml version="1.0" encoding="utf-8"?>
<comments xmlns="http://schemas.openxmlformats.org/spreadsheetml/2006/main">
  <authors>
    <author>Wall Street Prep</author>
  </authors>
  <commentList>
    <comment ref="E5" authorId="0" shapeId="0">
      <text>
        <t>Wall Street Prep:
Hard-code to avoid circularity when offer price is derived from an explicit EBITDA multiple assumption.
Deeper dive
The circularity exists because for a given offer value, the more shares will lead to lower offer price per share, while the now lower offer price per share leads to fewer repurchases and a larger dilutive impact/share count, once again lowering the offer price per share and on and on...</t>
      </text>
    </comment>
    <comment ref="C25" authorId="0" shapeId="0">
      <text>
        <t>Wall Street Prep:
This tranche represents all unvested options - these typically vest upon a change of control.</t>
      </text>
    </comment>
    <comment ref="D25" authorId="0" shapeId="0">
      <text>
        <t>Wall Street Prep:
This tranche represents all unvested options - these typically vest upon a change of control.</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56</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53578</colOff>
      <row>93</row>
      <rowOff>149424</rowOff>
    </from>
    <to>
      <col>4</col>
      <colOff>654844</colOff>
      <row>112</row>
      <rowOff>53578</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DOCUME~1/Owner/LOCALS~1/Temp/Rar$DI00.921/Valuation_2010_Model.xls" TargetMode="External" Id="rId1" /></Relationships>
</file>

<file path=xl/externalLinks/_rels/externalLink2.xml.rels><Relationships xmlns="http://schemas.openxmlformats.org/package/2006/relationships"><Relationship Type="http://schemas.openxmlformats.org/officeDocument/2006/relationships/externalLinkPath" Target="/Users/nkumar.WSP/Downloads/DataSet1.xlsb"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istorical Data"/>
      <sheetName val="Forecast Drivers"/>
      <sheetName val="Results"/>
      <sheetName val="Valuation Summary"/>
    </sheetNames>
    <sheetDataSet>
      <sheetData sheetId="0" refreshError="1"/>
      <sheetData sheetId="1">
        <row r="25">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330">
          <cell r="D330">
            <v>1</v>
          </cell>
        </row>
      </sheetData>
      <sheetData sheetId="2">
        <row r="142">
          <cell r="F142">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row>
        <row r="182">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row>
      </sheetData>
      <sheetData sheetId="3"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irc_ans"/>
      <sheetName val="Circ"/>
      <sheetName val="Reg 0"/>
      <sheetName val="Reg_ans"/>
      <sheetName val="CF"/>
      <sheetName val="CF_ans"/>
      <sheetName val="BoostToolkitClipBoard2010"/>
      <sheetName val="DS0"/>
      <sheetName val="DS0_ans"/>
      <sheetName val="Data Set1"/>
      <sheetName val="DataSet2"/>
      <sheetName val="DataSet3"/>
      <sheetName val="Other"/>
      <sheetName val="DataSet4"/>
      <sheetName val="Array0"/>
      <sheetName val="Array1"/>
      <sheetName val="Array2"/>
      <sheetName val="Array3"/>
      <sheetName val="Array4"/>
      <sheetName val="Array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B5" t="str">
            <v>iPad</v>
          </cell>
          <cell r="C5">
            <v>500</v>
          </cell>
        </row>
        <row r="6">
          <cell r="B6" t="str">
            <v>iPod</v>
          </cell>
          <cell r="C6">
            <v>200</v>
          </cell>
        </row>
        <row r="7">
          <cell r="B7" t="str">
            <v>iPhone</v>
          </cell>
          <cell r="C7">
            <v>400</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ec.gov/Archives/edgar/data/1794515/000179451525000045/zi-20241231.htm" TargetMode="External" Id="rId1" /><Relationship Type="http://schemas.openxmlformats.org/officeDocument/2006/relationships/hyperlink" Target="https://raw.githubusercontent.com/vengeanceaiUSC/Rainmaker/cursor/vengeanceaiusclbomodel1-44dc/LBO/output/LBOMODEL1_STRATEGY_SUMMARY.pdf" TargetMode="External" Id="rId2" /><Relationship Type="http://schemas.openxmlformats.org/officeDocument/2006/relationships/drawing" Target="/xl/drawings/drawing1.xml" Id="rId3"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B2:F55"/>
  <sheetViews>
    <sheetView workbookViewId="0">
      <selection activeCell="A1" sqref="A1"/>
    </sheetView>
  </sheetViews>
  <sheetFormatPr baseColWidth="8" defaultRowHeight="15"/>
  <cols>
    <col width="48" customWidth="1" style="244" min="2" max="2"/>
    <col width="16" customWidth="1" style="244" min="3" max="3"/>
    <col width="16" customWidth="1" style="244" min="4" max="4"/>
    <col width="14" customWidth="1" style="244" min="5" max="5"/>
    <col width="78" customWidth="1" style="244" min="6" max="6"/>
  </cols>
  <sheetData>
    <row r="2">
      <c r="B2" s="406" t="inlineStr">
        <is>
          <t>vengeanceaiUSC-LBOMODEL1 — ZoomInfo AI-SDR LBO Strategy</t>
        </is>
      </c>
    </row>
    <row r="3">
      <c r="B3" t="inlineStr">
        <is>
          <t>Take-private LBO: slash outbound SDR S&amp;M, replace with AI agents, ≥500 bps EBITDA margin → higher FCF → faster debt paydown → higher IRR</t>
        </is>
      </c>
    </row>
    <row r="5">
      <c r="B5" s="407" t="inlineStr">
        <is>
          <t>THESIS</t>
        </is>
      </c>
    </row>
    <row r="6">
      <c r="B6" t="inlineStr">
        <is>
          <t>Replacing human SDRs with AI agents to drive 500+ bps EBITDA margin expansion.</t>
        </is>
      </c>
    </row>
    <row r="7">
      <c r="B7" t="inlineStr">
        <is>
          <t>S&amp;M is the largest SaaS opex lever → lower CAC → higher FCF → sweep debt → juice LBO IRR.</t>
        </is>
      </c>
    </row>
    <row r="9">
      <c r="B9" s="407" t="inlineStr">
        <is>
          <t>ENTRY (ZoomInfo FY2024 10-K baseline + latest BS)</t>
        </is>
      </c>
    </row>
    <row r="10">
      <c r="B10" s="408" t="inlineStr">
        <is>
          <t>Revenue (FY2024)</t>
        </is>
      </c>
      <c r="C10" s="556" t="n">
        <v>1214.3</v>
      </c>
      <c r="D10" s="408" t="inlineStr">
        <is>
          <t>10-K</t>
        </is>
      </c>
    </row>
    <row r="11">
      <c r="B11" s="408" t="inlineStr">
        <is>
          <t>Gross Profit / GM</t>
        </is>
      </c>
      <c r="C11" s="410" t="inlineStr">
        <is>
          <t>1024.5 / 84.4%</t>
        </is>
      </c>
      <c r="D11" s="408" t="inlineStr">
        <is>
          <t>10-K</t>
        </is>
      </c>
    </row>
    <row r="12">
      <c r="B12" s="408" t="inlineStr">
        <is>
          <t>GAAP Operating Income</t>
        </is>
      </c>
      <c r="C12" s="556" t="n">
        <v>97.40000000000001</v>
      </c>
      <c r="D12" s="408" t="inlineStr">
        <is>
          <t>10-K</t>
        </is>
      </c>
    </row>
    <row r="13">
      <c r="B13" s="408" t="inlineStr">
        <is>
          <t>D&amp;A</t>
        </is>
      </c>
      <c r="C13" s="556" t="n">
        <v>85.7</v>
      </c>
      <c r="D13" s="408" t="inlineStr">
        <is>
          <t>XBRL OtherDepreciationAndAmortization</t>
        </is>
      </c>
    </row>
    <row r="14">
      <c r="B14" s="408" t="inlineStr">
        <is>
          <t>Baseline EBITDA (OpInc+D&amp;A)</t>
        </is>
      </c>
      <c r="C14" s="556" t="n">
        <v>183.1</v>
      </c>
      <c r="D14" s="408" t="inlineStr">
        <is>
          <t>Calculated</t>
        </is>
      </c>
    </row>
    <row r="15">
      <c r="B15" s="408" t="inlineStr">
        <is>
          <t>Baseline EBITDA margin</t>
        </is>
      </c>
      <c r="C15" s="411" t="n">
        <v>0.1508</v>
      </c>
      <c r="D15" s="408" t="inlineStr">
        <is>
          <t>Calculated</t>
        </is>
      </c>
    </row>
    <row r="16">
      <c r="B16" s="408" t="inlineStr">
        <is>
          <t>S&amp;M baseline (35% of rev)</t>
        </is>
      </c>
      <c r="C16" s="556" t="n">
        <v>425</v>
      </c>
      <c r="D16" s="408" t="inlineStr">
        <is>
          <t>Prompt: ~35% / ~$425m</t>
        </is>
      </c>
    </row>
    <row r="17">
      <c r="B17" s="408" t="inlineStr">
        <is>
          <t>Share price / shares (m)</t>
        </is>
      </c>
      <c r="C17" s="410" t="inlineStr">
        <is>
          <t>$4.05 / 307.294</t>
        </is>
      </c>
      <c r="D17" s="408" t="inlineStr">
        <is>
          <t>Market + 10-K shares</t>
        </is>
      </c>
    </row>
    <row r="18">
      <c r="B18" s="408" t="inlineStr">
        <is>
          <t>Offer (25% premium)</t>
        </is>
      </c>
      <c r="C18" s="410" t="inlineStr">
        <is>
          <t>$5.0625</t>
        </is>
      </c>
      <c r="D18" s="408" t="inlineStr">
        <is>
          <t>Assumption</t>
        </is>
      </c>
    </row>
    <row r="19">
      <c r="B19" s="408" t="inlineStr">
        <is>
          <t>Gross debt / cash</t>
        </is>
      </c>
      <c r="C19" s="410" t="inlineStr">
        <is>
          <t>1329.9 / 179.9</t>
        </is>
      </c>
      <c r="D19" s="408" t="inlineStr">
        <is>
          <t>YE2025 10-K/Q</t>
        </is>
      </c>
    </row>
    <row r="20">
      <c r="B20" s="408" t="inlineStr">
        <is>
          <t>Sponsor equity check</t>
        </is>
      </c>
      <c r="C20" s="556" t="n">
        <v>1871.3</v>
      </c>
      <c r="D20" s="408" t="inlineStr">
        <is>
          <t>Uses − excess cash − new debt</t>
        </is>
      </c>
    </row>
    <row r="21">
      <c r="B21" s="408" t="inlineStr">
        <is>
          <t>New debt (5.0x EBITDA)</t>
        </is>
      </c>
      <c r="C21" s="556" t="n">
        <v>915.5</v>
      </c>
      <c r="D21" s="408" t="inlineStr">
        <is>
          <t>TLA 2.5x + TLB 1.5x + Notes 1.0x</t>
        </is>
      </c>
    </row>
    <row r="22">
      <c r="B22" s="408" t="inlineStr">
        <is>
          <t>Exit multiple</t>
        </is>
      </c>
      <c r="C22" s="410" t="inlineStr">
        <is>
          <t>13.0x</t>
        </is>
      </c>
      <c r="D22" s="408" t="inlineStr">
        <is>
          <t>Mid of 12–14x software band</t>
        </is>
      </c>
    </row>
    <row r="24">
      <c r="B24" s="407" t="inlineStr">
        <is>
          <t>AI STRATEGY RULES (as specified)</t>
        </is>
      </c>
    </row>
    <row r="25">
      <c r="B25" t="inlineStr">
        <is>
          <t>Y1: cut S&amp;M 15% vs baseline $425m; add $15m AI software/compute cost</t>
        </is>
      </c>
    </row>
    <row r="26">
      <c r="B26" t="inlineStr">
        <is>
          <t>Y2–Y5: S&amp;M grows only 2%/yr (AI scales without headcount)</t>
        </is>
      </c>
    </row>
    <row r="27">
      <c r="B27" t="inlineStr">
        <is>
          <t>Target: ≥500 bps EBITDA margin expansion by Year 2 vs baseline year</t>
        </is>
      </c>
    </row>
    <row r="29">
      <c r="B29" s="407" t="inlineStr">
        <is>
          <t>RESULTS — AI case vs Base (no AI) case</t>
        </is>
      </c>
    </row>
    <row r="30">
      <c r="B30" s="412" t="inlineStr">
        <is>
          <t>Metric</t>
        </is>
      </c>
      <c r="C30" s="412" t="inlineStr">
        <is>
          <t>Base (no AI)</t>
        </is>
      </c>
      <c r="D30" s="412" t="inlineStr">
        <is>
          <t>AI-SDR case</t>
        </is>
      </c>
      <c r="E30" s="412" t="inlineStr">
        <is>
          <t>Delta</t>
        </is>
      </c>
      <c r="F30" s="557" t="inlineStr">
        <is>
          <t>COMMENTARY</t>
        </is>
      </c>
    </row>
    <row r="31" ht="48" customHeight="1" s="244">
      <c r="B31" s="408" t="inlineStr">
        <is>
          <t>Y2 EBITDA margin</t>
        </is>
      </c>
      <c r="C31" s="411" t="n">
        <v>0.1522037387795438</v>
      </c>
      <c r="D31" s="413" t="n">
        <v>0.2073949020623481</v>
      </c>
      <c r="E31" s="411" t="n">
        <v>0.05519116328280424</v>
      </c>
      <c r="F31" s="558" t="inlineStr">
        <is>
          <t>Year 2 operating profitability; the AI strategy drove this from 15.2% to 20.7%, expanding the margin by 5.5%.</t>
        </is>
      </c>
    </row>
    <row r="32" ht="48" customHeight="1" s="244">
      <c r="B32" s="408" t="inlineStr">
        <is>
          <t>Y2 margin vs baseline (bps)</t>
        </is>
      </c>
      <c r="C32" s="556" t="n">
        <v>14.17277443794801</v>
      </c>
      <c r="D32" s="559" t="n">
        <v>566.0844072659904</v>
      </c>
      <c r="E32" s="556" t="n">
        <v>551.9116328280425</v>
      </c>
      <c r="F32" s="558" t="inlineStr">
        <is>
          <t>The difference from baseline margin; AI implementation increased this metric by 551.9 basis points to reach 566.1.</t>
        </is>
      </c>
    </row>
    <row r="33" ht="48" customHeight="1" s="244">
      <c r="B33" s="408" t="inlineStr">
        <is>
          <t>Y5 EBITDA ($m)</t>
        </is>
      </c>
      <c r="C33" s="556" t="n">
        <v>218.4</v>
      </c>
      <c r="D33" s="559" t="n">
        <v>314.7</v>
      </c>
      <c r="E33" s="556" t="n">
        <v>96.3</v>
      </c>
      <c r="F33" s="558" t="inlineStr">
        <is>
          <t>Year 5 operating cash flow; AI-driven cost savings boosted this figure by $96.3 million to $314.7 million.</t>
        </is>
      </c>
    </row>
    <row r="34" ht="48" customHeight="1" s="244">
      <c r="B34" s="408" t="inlineStr">
        <is>
          <t>Exit EV @ 13x ($m)</t>
        </is>
      </c>
      <c r="C34" s="556" t="n">
        <v>2839.7</v>
      </c>
      <c r="D34" s="559" t="n">
        <v>4091.4</v>
      </c>
      <c r="E34" s="556" t="n">
        <v>1251.7</v>
      </c>
      <c r="F34" s="558" t="inlineStr">
        <is>
          <t>Projected exit Enterprise Value; higher EBITDA from AI increased this valuation by $1,251.7 million to $4,091.4 million.</t>
        </is>
      </c>
    </row>
    <row r="35" ht="48" customHeight="1" s="244">
      <c r="B35" s="408" t="inlineStr">
        <is>
          <t>Exit net debt ($m)</t>
        </is>
      </c>
      <c r="C35" s="556" t="n">
        <v>357.1</v>
      </c>
      <c r="D35" s="559" t="n">
        <v>4.5</v>
      </c>
      <c r="E35" s="556" t="n">
        <v>-352.6</v>
      </c>
      <c r="F35" s="558" t="inlineStr">
        <is>
          <t>Remaining debt balance at exit; higher cash flow from the AI strategy paid down an extra $352.6 million.</t>
        </is>
      </c>
    </row>
    <row r="36" ht="48" customHeight="1" s="244">
      <c r="B36" s="408" t="inlineStr">
        <is>
          <t>Exit equity value ($m)</t>
        </is>
      </c>
      <c r="C36" s="556" t="n">
        <v>2482.6</v>
      </c>
      <c r="D36" s="559" t="n">
        <v>4086.9</v>
      </c>
      <c r="E36" s="556" t="n">
        <v>1604.3</v>
      </c>
      <c r="F36" s="558" t="inlineStr">
        <is>
          <t>Total payout to equity holders; the AI strategy increased this final payout by $1,604.3 million to $4,086.9 million.</t>
        </is>
      </c>
    </row>
    <row r="37" ht="48" customHeight="1" s="244">
      <c r="B37" s="408" t="inlineStr">
        <is>
          <t>MOIC</t>
        </is>
      </c>
      <c r="C37" s="560" t="n">
        <v>1.326661957981033</v>
      </c>
      <c r="D37" s="561" t="n">
        <v>2.183979483523617</v>
      </c>
      <c r="E37" s="560" t="n">
        <v>0.8573175255425849</v>
      </c>
      <c r="F37" s="558" t="inlineStr">
        <is>
          <t>Multiple on Invested Capital; the AI strategy significantly improved the total gross cash return from 1.33x to 2.18x.</t>
        </is>
      </c>
    </row>
    <row r="38" ht="48" customHeight="1" s="244">
      <c r="B38" s="408" t="inlineStr">
        <is>
          <t>IRR</t>
        </is>
      </c>
      <c r="C38" s="411" t="n">
        <v>0.05816174124246998</v>
      </c>
      <c r="D38" s="413" t="n">
        <v>0.1690947516165904</v>
      </c>
      <c r="E38" s="411" t="n">
        <v>0.1109330103741204</v>
      </c>
      <c r="F38" s="558" t="inlineStr">
        <is>
          <t>Annualized compound return rate over a 5-year period; replacing human SDRs with AI boosted this return by 11.1 percentage points to 16.9%.</t>
        </is>
      </c>
    </row>
    <row r="39">
      <c r="B39" s="562" t="inlineStr">
        <is>
          <t>The IRR is calculated over a 5-year period.</t>
        </is>
      </c>
    </row>
    <row r="40">
      <c r="B40" s="417" t="inlineStr">
        <is>
          <t>IRR POINTS FROM AI-DRIVEN S&amp;M REDUCTION</t>
        </is>
      </c>
    </row>
    <row r="41">
      <c r="B41" s="418" t="inlineStr">
        <is>
          <t>AI case IRR 16.9% − Base IRR 5.8% = 11.1 percentage points of IRR</t>
        </is>
      </c>
    </row>
    <row r="42">
      <c r="B42" s="418" t="inlineStr">
        <is>
          <t>Y2 AI EBITDA margin 20.7% vs baseline 15.1% = 566 bps (target ≥500: YES)</t>
        </is>
      </c>
    </row>
    <row r="44">
      <c r="B44" t="inlineStr">
        <is>
          <t>See AI_Operating, Base_Operating, Debt_Sweep_AI, LBO, 00_Assumptions_List</t>
        </is>
      </c>
    </row>
    <row r="45">
      <c r="B45" s="419" t="inlineStr">
        <is>
          <t>10-K: https://www.sec.gov/Archives/edgar/data/1794515/000179451525000045/zi-20241231.htm</t>
        </is>
      </c>
    </row>
    <row r="46">
      <c r="B46" t="inlineStr">
        <is>
          <t>PDF version of this Strategy Summary + Commentary:</t>
        </is>
      </c>
    </row>
    <row r="47">
      <c r="B47" s="419" t="inlineStr">
        <is>
          <t>https://raw.githubusercontent.com/vengeanceaiUSC/Rainmaker/cursor/vengeanceaiusclbomodel1-44dc/LBO/output/LBOMODEL1_STRATEGY_SUMMARY.pdf</t>
        </is>
      </c>
    </row>
    <row r="48">
      <c r="B48" s="407" t="inlineStr">
        <is>
          <t>CHART DATA (Base vs AI-SDR)</t>
        </is>
      </c>
    </row>
    <row r="49">
      <c r="B49" s="412" t="inlineStr">
        <is>
          <t>Metric</t>
        </is>
      </c>
      <c r="C49" s="412" t="inlineStr">
        <is>
          <t>Base</t>
        </is>
      </c>
      <c r="D49" s="412" t="inlineStr">
        <is>
          <t>AI-SDR</t>
        </is>
      </c>
    </row>
    <row r="50">
      <c r="B50" t="inlineStr">
        <is>
          <t>Y2 EBITDA margin %</t>
        </is>
      </c>
      <c r="C50" t="n">
        <v>15.2</v>
      </c>
      <c r="D50" t="n">
        <v>20.7</v>
      </c>
    </row>
    <row r="51">
      <c r="B51" t="inlineStr">
        <is>
          <t>Y5 EBITDA $m</t>
        </is>
      </c>
      <c r="C51" t="n">
        <v>218.4</v>
      </c>
      <c r="D51" t="n">
        <v>314.7</v>
      </c>
    </row>
    <row r="52">
      <c r="B52" t="inlineStr">
        <is>
          <t>Exit EV $m</t>
        </is>
      </c>
      <c r="C52" t="n">
        <v>2839.7</v>
      </c>
      <c r="D52" t="n">
        <v>4091.4</v>
      </c>
    </row>
    <row r="53">
      <c r="B53" t="inlineStr">
        <is>
          <t>Exit equity $m</t>
        </is>
      </c>
      <c r="C53" t="n">
        <v>2482.6</v>
      </c>
      <c r="D53" t="n">
        <v>4086.9</v>
      </c>
    </row>
    <row r="54">
      <c r="B54" t="inlineStr">
        <is>
          <t>MOIC (x)</t>
        </is>
      </c>
      <c r="C54" t="n">
        <v>1.33</v>
      </c>
      <c r="D54" t="n">
        <v>2.18</v>
      </c>
    </row>
    <row r="55">
      <c r="B55" t="inlineStr">
        <is>
          <t>IRR %</t>
        </is>
      </c>
      <c r="C55" t="n">
        <v>5.8</v>
      </c>
      <c r="D55" t="n">
        <v>16.9</v>
      </c>
    </row>
  </sheetData>
  <hyperlinks>
    <hyperlink xmlns:r="http://schemas.openxmlformats.org/officeDocument/2006/relationships" ref="B45" r:id="rId1"/>
    <hyperlink xmlns:r="http://schemas.openxmlformats.org/officeDocument/2006/relationships" ref="B47" r:id="rId2"/>
  </hyperlinks>
  <pageMargins left="0.75" right="0.75" top="1" bottom="1" header="0.5" footer="0.5"/>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B2:I1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 customWidth="1" style="244" min="2" max="2"/>
    <col width="18" customWidth="1" style="244" min="3" max="3"/>
    <col width="22" customWidth="1" style="244" min="4" max="4"/>
    <col width="22" customWidth="1" style="244" min="5" max="5"/>
    <col width="28" customWidth="1" style="244" min="6" max="6"/>
    <col width="28" customWidth="1" style="244" min="7" max="7"/>
    <col width="28" customWidth="1" style="244" min="8" max="8"/>
    <col width="22" customWidth="1" style="244" min="9" max="9"/>
  </cols>
  <sheetData>
    <row r="2">
      <c r="B2" s="406" t="inlineStr">
        <is>
          <t>Assumptions List — every key driver (What / How / Why / Source)</t>
        </is>
      </c>
    </row>
    <row r="4">
      <c r="B4" s="412" t="inlineStr">
        <is>
          <t>#</t>
        </is>
      </c>
      <c r="C4" s="412" t="inlineStr">
        <is>
          <t>Tab</t>
        </is>
      </c>
      <c r="D4" s="412" t="inlineStr">
        <is>
          <t>Assumption</t>
        </is>
      </c>
      <c r="E4" s="412" t="inlineStr">
        <is>
          <t>Value</t>
        </is>
      </c>
      <c r="F4" s="412" t="inlineStr">
        <is>
          <t>What</t>
        </is>
      </c>
      <c r="G4" s="412" t="inlineStr">
        <is>
          <t>How</t>
        </is>
      </c>
      <c r="H4" s="412" t="inlineStr">
        <is>
          <t>Why</t>
        </is>
      </c>
      <c r="I4" s="412" t="inlineStr">
        <is>
          <t>Source</t>
        </is>
      </c>
    </row>
    <row r="5" ht="30" customHeight="1" s="244">
      <c r="B5" s="420" t="n">
        <v>1</v>
      </c>
      <c r="C5" s="420" t="inlineStr">
        <is>
          <t>Strategy_Summary</t>
        </is>
      </c>
      <c r="D5" s="420" t="inlineStr">
        <is>
          <t>Baseline year</t>
        </is>
      </c>
      <c r="E5" s="420" t="inlineStr">
        <is>
          <t>FY2024</t>
        </is>
      </c>
      <c r="F5" s="420" t="inlineStr">
        <is>
          <t>Entry operating year</t>
        </is>
      </c>
      <c r="G5" s="420" t="inlineStr">
        <is>
          <t>Prompt + 10-K</t>
        </is>
      </c>
      <c r="H5" s="420" t="inlineStr">
        <is>
          <t>User-specified baseline</t>
        </is>
      </c>
      <c r="I5" s="420" t="inlineStr">
        <is>
          <t>FY2024 10-K</t>
        </is>
      </c>
    </row>
    <row r="6" ht="30" customHeight="1" s="244">
      <c r="B6" s="420" t="n">
        <v>2</v>
      </c>
      <c r="C6" s="420" t="inlineStr">
        <is>
          <t>Strategy_Summary</t>
        </is>
      </c>
      <c r="D6" s="420" t="inlineStr">
        <is>
          <t>Revenue</t>
        </is>
      </c>
      <c r="E6" s="420" t="inlineStr">
        <is>
          <t>$1214.3m</t>
        </is>
      </c>
      <c r="F6" s="420" t="inlineStr">
        <is>
          <t>FY2024 revenue</t>
        </is>
      </c>
      <c r="G6" s="420" t="inlineStr">
        <is>
          <t>10-K XBRL</t>
        </is>
      </c>
      <c r="H6" s="420" t="inlineStr">
        <is>
          <t>Historical anchor</t>
        </is>
      </c>
      <c r="I6" s="420" t="inlineStr">
        <is>
          <t>SEC 10-K</t>
        </is>
      </c>
    </row>
    <row r="7" ht="30" customHeight="1" s="244">
      <c r="B7" s="420" t="n">
        <v>3</v>
      </c>
      <c r="C7" s="420" t="inlineStr">
        <is>
          <t>Strategy_Summary</t>
        </is>
      </c>
      <c r="D7" s="420" t="inlineStr">
        <is>
          <t>Gross profit / GM</t>
        </is>
      </c>
      <c r="E7" s="420" t="inlineStr">
        <is>
          <t>$1024.5m / 84%</t>
        </is>
      </c>
      <c r="F7" s="420" t="inlineStr">
        <is>
          <t>FY2024 GP</t>
        </is>
      </c>
      <c r="G7" s="420" t="inlineStr">
        <is>
          <t>10-K</t>
        </is>
      </c>
      <c r="H7" s="420" t="inlineStr">
        <is>
          <t>Software GM</t>
        </is>
      </c>
      <c r="I7" s="420" t="inlineStr">
        <is>
          <t>SEC 10-K</t>
        </is>
      </c>
    </row>
    <row r="8" ht="30" customHeight="1" s="244">
      <c r="B8" s="420" t="n">
        <v>4</v>
      </c>
      <c r="C8" s="420" t="inlineStr">
        <is>
          <t>Strategy_Summary</t>
        </is>
      </c>
      <c r="D8" s="420" t="inlineStr">
        <is>
          <t>OpInc / D&amp;A / EBITDA</t>
        </is>
      </c>
      <c r="E8" s="420" t="inlineStr">
        <is>
          <t>97.4 / 85.7 / 183.10000000000002</t>
        </is>
      </c>
      <c r="F8" s="420" t="inlineStr">
        <is>
          <t>Baseline earnings</t>
        </is>
      </c>
      <c r="G8" s="420" t="inlineStr">
        <is>
          <t>OpInc+D&amp;A</t>
        </is>
      </c>
      <c r="H8" s="420" t="inlineStr">
        <is>
          <t>Standard add-back</t>
        </is>
      </c>
      <c r="I8" s="420" t="inlineStr">
        <is>
          <t>SEC XBRL</t>
        </is>
      </c>
    </row>
    <row r="9" ht="30" customHeight="1" s="244">
      <c r="B9" s="420" t="n">
        <v>5</v>
      </c>
      <c r="C9" s="420" t="inlineStr">
        <is>
          <t>Strategy_Summary</t>
        </is>
      </c>
      <c r="D9" s="420" t="inlineStr">
        <is>
          <t>S&amp;M baseline</t>
        </is>
      </c>
      <c r="E9" s="420" t="inlineStr">
        <is>
          <t>$425.0m (35% rev)</t>
        </is>
      </c>
      <c r="F9" s="420" t="inlineStr">
        <is>
          <t>Bloated S&amp;M</t>
        </is>
      </c>
      <c r="G9" s="420" t="inlineStr">
        <is>
          <t>35% × revenue</t>
        </is>
      </c>
      <c r="H9" s="420" t="inlineStr">
        <is>
          <t>Prompt ~$425m</t>
        </is>
      </c>
      <c r="I9" s="420" t="inlineStr">
        <is>
          <t>User prompt</t>
        </is>
      </c>
    </row>
    <row r="10" ht="30" customHeight="1" s="244">
      <c r="B10" s="420" t="n">
        <v>6</v>
      </c>
      <c r="C10" s="420" t="inlineStr">
        <is>
          <t>AI_Operating</t>
        </is>
      </c>
      <c r="D10" s="420" t="inlineStr">
        <is>
          <t>Y1 S&amp;M cut</t>
        </is>
      </c>
      <c r="E10" s="420" t="inlineStr">
        <is>
          <t>−15%</t>
        </is>
      </c>
      <c r="F10" s="420" t="inlineStr">
        <is>
          <t>Terminate outbound SDRs</t>
        </is>
      </c>
      <c r="G10" s="420" t="inlineStr">
        <is>
          <t>SM1=SM0×0.85</t>
        </is>
      </c>
      <c r="H10" s="420" t="inlineStr">
        <is>
          <t>Remove SDR comp/seats</t>
        </is>
      </c>
      <c r="I10" s="420" t="inlineStr">
        <is>
          <t>User prompt</t>
        </is>
      </c>
    </row>
    <row r="11" ht="30" customHeight="1" s="244">
      <c r="B11" s="420" t="n">
        <v>7</v>
      </c>
      <c r="C11" s="420" t="inlineStr">
        <is>
          <t>AI_Operating</t>
        </is>
      </c>
      <c r="D11" s="420" t="inlineStr">
        <is>
          <t>AI replacement cost</t>
        </is>
      </c>
      <c r="E11" s="420" t="inlineStr">
        <is>
          <t>$15m / yr</t>
        </is>
      </c>
      <c r="F11" s="420" t="inlineStr">
        <is>
          <t>AI compute/software</t>
        </is>
      </c>
      <c r="G11" s="420" t="inlineStr">
        <is>
          <t>Fixed +$15m from Y1</t>
        </is>
      </c>
      <c r="H11" s="420" t="inlineStr">
        <is>
          <t>Agent infrastructure</t>
        </is>
      </c>
      <c r="I11" s="420" t="inlineStr">
        <is>
          <t>User prompt</t>
        </is>
      </c>
    </row>
    <row r="12" ht="30" customHeight="1" s="244">
      <c r="B12" s="420" t="n">
        <v>8</v>
      </c>
      <c r="C12" s="420" t="inlineStr">
        <is>
          <t>AI_Operating</t>
        </is>
      </c>
      <c r="D12" s="420" t="inlineStr">
        <is>
          <t>S&amp;M growth Y2+</t>
        </is>
      </c>
      <c r="E12" s="420" t="inlineStr">
        <is>
          <t>2% / yr</t>
        </is>
      </c>
      <c r="F12" s="420" t="inlineStr">
        <is>
          <t>Cap S&amp;M after cut</t>
        </is>
      </c>
      <c r="G12" s="420" t="inlineStr">
        <is>
          <t>SM_t=SM_t-1×1.02</t>
        </is>
      </c>
      <c r="H12" s="420" t="inlineStr">
        <is>
          <t>AI scales without HC</t>
        </is>
      </c>
      <c r="I12" s="420" t="inlineStr">
        <is>
          <t>User prompt</t>
        </is>
      </c>
    </row>
    <row r="13" ht="30" customHeight="1" s="244">
      <c r="B13" s="420" t="n">
        <v>9</v>
      </c>
      <c r="C13" s="420" t="inlineStr">
        <is>
          <t>AI_Operating</t>
        </is>
      </c>
      <c r="D13" s="420" t="inlineStr">
        <is>
          <t>Margin target</t>
        </is>
      </c>
      <c r="E13" s="420" t="inlineStr">
        <is>
          <t>≥500 bps by Y2</t>
        </is>
      </c>
      <c r="F13" s="420" t="inlineStr">
        <is>
          <t>EBITDA margin expansion</t>
        </is>
      </c>
      <c r="G13" s="420" t="inlineStr">
        <is>
          <t>Y2 margin − baseline</t>
        </is>
      </c>
      <c r="H13" s="420" t="inlineStr">
        <is>
          <t>Value-creation hurdle</t>
        </is>
      </c>
      <c r="I13" s="420" t="inlineStr">
        <is>
          <t>User prompt</t>
        </is>
      </c>
    </row>
    <row r="14" ht="30" customHeight="1" s="244">
      <c r="B14" s="420" t="n">
        <v>10</v>
      </c>
      <c r="C14" s="420" t="inlineStr">
        <is>
          <t>Base_Operating</t>
        </is>
      </c>
      <c r="D14" s="420" t="inlineStr">
        <is>
          <t>Base S&amp;M policy</t>
        </is>
      </c>
      <c r="E14" s="420" t="inlineStr">
        <is>
          <t>35% of revenue</t>
        </is>
      </c>
      <c r="F14" s="420" t="inlineStr">
        <is>
          <t>No AI transformation</t>
        </is>
      </c>
      <c r="G14" s="420" t="inlineStr">
        <is>
          <t>SM=0.35×Rev</t>
        </is>
      </c>
      <c r="H14" s="420" t="inlineStr">
        <is>
          <t>Counterfactual</t>
        </is>
      </c>
      <c r="I14" s="420" t="inlineStr">
        <is>
          <t>User prompt</t>
        </is>
      </c>
    </row>
    <row r="15" ht="30" customHeight="1" s="244">
      <c r="B15" s="420" t="n">
        <v>11</v>
      </c>
      <c r="C15" s="420" t="inlineStr">
        <is>
          <t>Strategy_Summary</t>
        </is>
      </c>
      <c r="D15" s="420" t="inlineStr">
        <is>
          <t>Exit multiple</t>
        </is>
      </c>
      <c r="E15" s="420" t="inlineStr">
        <is>
          <t>13.0x</t>
        </is>
      </c>
      <c r="F15" s="420" t="inlineStr">
        <is>
          <t>Software exit EV/EBITDA</t>
        </is>
      </c>
      <c r="G15" s="420" t="inlineStr">
        <is>
          <t>Mid 12–14x band</t>
        </is>
      </c>
      <c r="H15" s="420" t="inlineStr">
        <is>
          <t>PE exit assumption</t>
        </is>
      </c>
      <c r="I15" s="420" t="inlineStr">
        <is>
          <t>User prompt</t>
        </is>
      </c>
    </row>
    <row r="16" ht="30" customHeight="1" s="244">
      <c r="B16" s="420" t="n">
        <v>12</v>
      </c>
      <c r="C16" s="420" t="inlineStr">
        <is>
          <t>Strategy_Summary</t>
        </is>
      </c>
      <c r="D16" s="420" t="inlineStr">
        <is>
          <t>New leverage</t>
        </is>
      </c>
      <c r="E16" s="420" t="inlineStr">
        <is>
          <t>5.0x EBITDA</t>
        </is>
      </c>
      <c r="F16" s="420" t="inlineStr">
        <is>
          <t>TLA/TLB/Notes</t>
        </is>
      </c>
      <c r="G16" s="420" t="inlineStr">
        <is>
          <t>2.5+1.5+1.0 turns</t>
        </is>
      </c>
      <c r="H16" s="420" t="inlineStr">
        <is>
          <t>Financing structure</t>
        </is>
      </c>
      <c r="I16" s="420" t="inlineStr">
        <is>
          <t>Model</t>
        </is>
      </c>
    </row>
    <row r="17" ht="30" customHeight="1" s="244">
      <c r="B17" s="420" t="n">
        <v>13</v>
      </c>
      <c r="C17" s="420" t="inlineStr">
        <is>
          <t>Debt_Sweep_AI</t>
        </is>
      </c>
      <c r="D17" s="420" t="inlineStr">
        <is>
          <t>Cash sweep</t>
        </is>
      </c>
      <c r="E17" s="420" t="inlineStr">
        <is>
          <t>Max FCF to debt</t>
        </is>
      </c>
      <c r="F17" s="420" t="inlineStr">
        <is>
          <t>Accelerated paydown</t>
        </is>
      </c>
      <c r="G17" s="420" t="inlineStr">
        <is>
          <t>min(debt, max(0,FCF))</t>
        </is>
      </c>
      <c r="H17" s="420" t="inlineStr">
        <is>
          <t>IRR via lower exit debt</t>
        </is>
      </c>
      <c r="I17" s="420" t="inlineStr">
        <is>
          <t>LBO mechanics</t>
        </is>
      </c>
    </row>
    <row r="18" ht="30" customHeight="1" s="244">
      <c r="B18" s="420" t="n">
        <v>14</v>
      </c>
      <c r="C18" s="420" t="inlineStr">
        <is>
          <t>Strategy_Summary</t>
        </is>
      </c>
      <c r="D18" s="420" t="inlineStr">
        <is>
          <t>Offer premium</t>
        </is>
      </c>
      <c r="E18" s="420" t="inlineStr">
        <is>
          <t>25%</t>
        </is>
      </c>
      <c r="F18" s="420" t="inlineStr">
        <is>
          <t>Take-private premium</t>
        </is>
      </c>
      <c r="G18" s="420" t="inlineStr">
        <is>
          <t>Offer=Px1.25</t>
        </is>
      </c>
      <c r="H18" s="420" t="inlineStr">
        <is>
          <t>Deal assumption</t>
        </is>
      </c>
      <c r="I18" s="420" t="inlineStr">
        <is>
          <t>Model</t>
        </is>
      </c>
    </row>
    <row r="19" ht="30" customHeight="1" s="244">
      <c r="B19" s="420" t="n">
        <v>15</v>
      </c>
      <c r="C19" s="420" t="inlineStr">
        <is>
          <t>Strategy_Summary</t>
        </is>
      </c>
      <c r="D19" s="420" t="inlineStr">
        <is>
          <t>IRR uplift metric</t>
        </is>
      </c>
      <c r="E19" s="420" t="inlineStr">
        <is>
          <t>11.1 ppt</t>
        </is>
      </c>
      <c r="F19" s="420" t="inlineStr">
        <is>
          <t>AI vs Base IRR</t>
        </is>
      </c>
      <c r="G19" s="420" t="inlineStr">
        <is>
          <t>IRR_AI − IRR_Base</t>
        </is>
      </c>
      <c r="H19" s="420" t="inlineStr">
        <is>
          <t>Isolates AI S&amp;M value</t>
        </is>
      </c>
      <c r="I19" s="420" t="inlineStr">
        <is>
          <t>Calculated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12"/>
  <sheetViews>
    <sheetView workbookViewId="0">
      <selection activeCell="A1" sqref="A1"/>
    </sheetView>
  </sheetViews>
  <sheetFormatPr baseColWidth="8" defaultRowHeight="15"/>
  <cols>
    <col width="12" customWidth="1" style="244" min="2" max="2"/>
    <col width="12" customWidth="1" style="244" min="3" max="3"/>
    <col width="12" customWidth="1" style="244" min="4" max="4"/>
    <col width="14" customWidth="1" style="244" min="5" max="5"/>
    <col width="14" customWidth="1" style="244" min="6" max="6"/>
    <col width="18" customWidth="1" style="244" min="7" max="7"/>
  </cols>
  <sheetData>
    <row r="2">
      <c r="B2" s="406" t="inlineStr">
        <is>
          <t>Debt schedule — AI case cash sweep (vs base ending debt)</t>
        </is>
      </c>
    </row>
    <row r="4">
      <c r="B4" s="412" t="inlineStr">
        <is>
          <t>Year</t>
        </is>
      </c>
      <c r="C4" s="412" t="inlineStr">
        <is>
          <t>AI FCF</t>
        </is>
      </c>
      <c r="D4" s="412" t="inlineStr">
        <is>
          <t>AI paydown</t>
        </is>
      </c>
      <c r="E4" s="412" t="inlineStr">
        <is>
          <t>AI debt end</t>
        </is>
      </c>
      <c r="F4" s="412" t="inlineStr">
        <is>
          <t>Base debt end</t>
        </is>
      </c>
      <c r="G4" s="412" t="inlineStr">
        <is>
          <t>Extra paydown vs base</t>
        </is>
      </c>
    </row>
    <row r="5">
      <c r="B5" s="421" t="n">
        <v>2025</v>
      </c>
      <c r="C5" s="556" t="n">
        <v>137.5282912000001</v>
      </c>
      <c r="D5" s="556" t="n">
        <v>137.5282912000001</v>
      </c>
      <c r="E5" s="559" t="n">
        <v>777.9717088</v>
      </c>
      <c r="F5" s="556" t="n">
        <v>826.5607773</v>
      </c>
      <c r="G5" s="559" t="n">
        <v>48.58906850000005</v>
      </c>
    </row>
    <row r="6">
      <c r="B6" s="421" t="n">
        <v>2026</v>
      </c>
      <c r="C6" s="556" t="n">
        <v>159.2865991016001</v>
      </c>
      <c r="D6" s="556" t="n">
        <v>159.2865991016001</v>
      </c>
      <c r="E6" s="559" t="n">
        <v>618.6851096983999</v>
      </c>
      <c r="F6" s="556" t="n">
        <v>726.867461747025</v>
      </c>
      <c r="G6" s="559" t="n">
        <v>108.1823520486251</v>
      </c>
    </row>
    <row r="7">
      <c r="B7" s="421" t="n">
        <v>2027</v>
      </c>
      <c r="C7" s="556" t="n">
        <v>183.23549201229</v>
      </c>
      <c r="D7" s="556" t="n">
        <v>183.23549201229</v>
      </c>
      <c r="E7" s="559" t="n">
        <v>435.4496176861098</v>
      </c>
      <c r="F7" s="556" t="n">
        <v>615.320635583216</v>
      </c>
      <c r="G7" s="559" t="n">
        <v>179.8710178971062</v>
      </c>
    </row>
    <row r="8">
      <c r="B8" s="421" t="n">
        <v>2028</v>
      </c>
      <c r="C8" s="556" t="n">
        <v>204.2737956388759</v>
      </c>
      <c r="D8" s="556" t="n">
        <v>204.2737956388759</v>
      </c>
      <c r="E8" s="559" t="n">
        <v>231.1758220472339</v>
      </c>
      <c r="F8" s="556" t="n">
        <v>492.2660966390317</v>
      </c>
      <c r="G8" s="559" t="n">
        <v>261.0902745917978</v>
      </c>
    </row>
    <row r="9">
      <c r="B9" s="421" t="n">
        <v>2029</v>
      </c>
      <c r="C9" s="556" t="n">
        <v>226.6632985760825</v>
      </c>
      <c r="D9" s="556" t="n">
        <v>226.6632985760825</v>
      </c>
      <c r="E9" s="559" t="n">
        <v>4.512523471151439</v>
      </c>
      <c r="F9" s="556" t="n">
        <v>357.1352076643299</v>
      </c>
      <c r="G9" s="559" t="n">
        <v>352.6226841931785</v>
      </c>
    </row>
    <row r="11">
      <c r="B11" s="408" t="inlineStr">
        <is>
          <t>New debt at close</t>
        </is>
      </c>
      <c r="C11" s="556" t="n">
        <v>915.5000000000001</v>
      </c>
    </row>
    <row r="12">
      <c r="B12" s="408" t="inlineStr">
        <is>
          <t>Blended interest rate</t>
        </is>
      </c>
      <c r="C12" s="422" t="n">
        <v>0.075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19"/>
  <sheetViews>
    <sheetView workbookViewId="0">
      <selection activeCell="A1" sqref="A1"/>
    </sheetView>
  </sheetViews>
  <sheetFormatPr baseColWidth="8" defaultRowHeight="15"/>
  <cols>
    <col width="22" customWidth="1" style="244" min="2" max="2"/>
    <col width="12" customWidth="1" style="244" min="3" max="3"/>
    <col width="12" customWidth="1" style="244" min="4" max="4"/>
    <col width="12" customWidth="1" style="244" min="5" max="5"/>
    <col width="12" customWidth="1" style="244" min="6" max="6"/>
    <col width="12" customWidth="1" style="244" min="7" max="7"/>
    <col width="12" customWidth="1" style="244" min="8" max="8"/>
    <col width="12" customWidth="1" style="244" min="9" max="9"/>
  </cols>
  <sheetData>
    <row r="2">
      <c r="B2" s="406" t="inlineStr">
        <is>
          <t>Base case — S&amp;M stays ~35% of revenue (no AI transformation)</t>
        </is>
      </c>
    </row>
    <row r="4">
      <c r="B4" s="412" t="inlineStr"/>
      <c r="C4" s="412" t="inlineStr">
        <is>
          <t>FY2024A</t>
        </is>
      </c>
      <c r="D4" s="412" t="inlineStr">
        <is>
          <t>Y1 2025</t>
        </is>
      </c>
      <c r="E4" s="412" t="inlineStr">
        <is>
          <t>Y2 2026</t>
        </is>
      </c>
      <c r="F4" s="412" t="inlineStr">
        <is>
          <t>Y3 2027</t>
        </is>
      </c>
      <c r="G4" s="412" t="inlineStr">
        <is>
          <t>Y4 2028</t>
        </is>
      </c>
      <c r="H4" s="412" t="inlineStr">
        <is>
          <t>Y5 2029</t>
        </is>
      </c>
    </row>
    <row r="5">
      <c r="B5" s="408" t="inlineStr">
        <is>
          <t>Revenue</t>
        </is>
      </c>
      <c r="C5" s="556" t="n">
        <v>1214.3</v>
      </c>
      <c r="D5" s="556" t="n">
        <v>1250.729</v>
      </c>
      <c r="E5" s="556" t="n">
        <v>1300.75816</v>
      </c>
      <c r="F5" s="556" t="n">
        <v>1352.7884864</v>
      </c>
      <c r="G5" s="556" t="n">
        <v>1393.372140992</v>
      </c>
      <c r="H5" s="556" t="n">
        <v>1435.173305221761</v>
      </c>
    </row>
    <row r="6">
      <c r="B6" s="408" t="inlineStr">
        <is>
          <t>COGS</t>
        </is>
      </c>
      <c r="C6" s="556" t="n">
        <v>189.8</v>
      </c>
      <c r="D6" s="556" t="n">
        <v>195.4939999999999</v>
      </c>
      <c r="E6" s="556" t="n">
        <v>203.31376</v>
      </c>
      <c r="F6" s="556" t="n">
        <v>211.4463104</v>
      </c>
      <c r="G6" s="556" t="n">
        <v>217.789699712</v>
      </c>
      <c r="H6" s="556" t="n">
        <v>224.32339070336</v>
      </c>
    </row>
    <row r="7">
      <c r="B7" s="408" t="inlineStr">
        <is>
          <t>S&amp;M (human)</t>
        </is>
      </c>
      <c r="C7" s="556" t="n">
        <v>425</v>
      </c>
      <c r="D7" s="556" t="n">
        <v>437.75515</v>
      </c>
      <c r="E7" s="556" t="n">
        <v>455.265356</v>
      </c>
      <c r="F7" s="556" t="n">
        <v>473.47597024</v>
      </c>
      <c r="G7" s="556" t="n">
        <v>487.6802493472001</v>
      </c>
      <c r="H7" s="556" t="n">
        <v>502.3106568276161</v>
      </c>
    </row>
    <row r="8">
      <c r="B8" s="408" t="inlineStr">
        <is>
          <t>AI agent cost</t>
        </is>
      </c>
      <c r="C8" s="556" t="n">
        <v>0</v>
      </c>
      <c r="D8" s="556" t="n">
        <v>0</v>
      </c>
      <c r="E8" s="556" t="n">
        <v>0</v>
      </c>
      <c r="F8" s="556" t="n">
        <v>0</v>
      </c>
      <c r="G8" s="556" t="n">
        <v>0</v>
      </c>
      <c r="H8" s="556" t="n">
        <v>0</v>
      </c>
    </row>
    <row r="9">
      <c r="B9" s="408" t="inlineStr">
        <is>
          <t>R&amp;D</t>
        </is>
      </c>
      <c r="C9" s="556" t="n">
        <v>196.1</v>
      </c>
      <c r="D9" s="556" t="n">
        <v>201.983</v>
      </c>
      <c r="E9" s="556" t="n">
        <v>210.06232</v>
      </c>
      <c r="F9" s="556" t="n">
        <v>218.4648128</v>
      </c>
      <c r="G9" s="556" t="n">
        <v>225.018757184</v>
      </c>
      <c r="H9" s="556" t="n">
        <v>231.7693198995201</v>
      </c>
    </row>
    <row r="10">
      <c r="B10" s="408" t="inlineStr">
        <is>
          <t>G&amp;A</t>
        </is>
      </c>
      <c r="C10" s="556" t="n">
        <v>295.3</v>
      </c>
      <c r="D10" s="556" t="n">
        <v>225.13122</v>
      </c>
      <c r="E10" s="556" t="n">
        <v>234.1364688</v>
      </c>
      <c r="F10" s="556" t="n">
        <v>243.501927552</v>
      </c>
      <c r="G10" s="556" t="n">
        <v>250.8069853785601</v>
      </c>
      <c r="H10" s="556" t="n">
        <v>258.3311949399169</v>
      </c>
    </row>
    <row r="11">
      <c r="B11" s="408" t="inlineStr">
        <is>
          <t>EBITDA</t>
        </is>
      </c>
      <c r="C11" s="556" t="n">
        <v>183.1</v>
      </c>
      <c r="D11" s="559" t="n">
        <v>190.3656300000002</v>
      </c>
      <c r="E11" s="559" t="n">
        <v>197.9802552000001</v>
      </c>
      <c r="F11" s="559" t="n">
        <v>205.8994654080003</v>
      </c>
      <c r="G11" s="559" t="n">
        <v>212.0764493702403</v>
      </c>
      <c r="H11" s="559" t="n">
        <v>218.4387428513474</v>
      </c>
    </row>
    <row r="12">
      <c r="B12" s="408" t="inlineStr">
        <is>
          <t>EBITDA margin</t>
        </is>
      </c>
      <c r="C12" s="411" t="n">
        <v>0.150786461335749</v>
      </c>
      <c r="D12" s="413" t="n">
        <v>0.1522037387795439</v>
      </c>
      <c r="E12" s="413" t="n">
        <v>0.1522037387795438</v>
      </c>
      <c r="F12" s="413" t="n">
        <v>0.1522037387795439</v>
      </c>
      <c r="G12" s="413" t="n">
        <v>0.152203738779544</v>
      </c>
      <c r="H12" s="413" t="n">
        <v>0.1522037387795439</v>
      </c>
    </row>
    <row r="13">
      <c r="B13" s="408" t="inlineStr">
        <is>
          <t>D&amp;A</t>
        </is>
      </c>
      <c r="C13" s="556" t="n">
        <v>85.7</v>
      </c>
      <c r="D13" s="556" t="n">
        <v>88.271</v>
      </c>
      <c r="E13" s="556" t="n">
        <v>91.80184</v>
      </c>
      <c r="F13" s="556" t="n">
        <v>95.47391360000002</v>
      </c>
      <c r="G13" s="556" t="n">
        <v>98.33813100800002</v>
      </c>
      <c r="H13" s="556" t="n">
        <v>101.28827493824</v>
      </c>
    </row>
    <row r="14">
      <c r="B14" s="408" t="inlineStr">
        <is>
          <t>EBIT</t>
        </is>
      </c>
      <c r="C14" s="556" t="n">
        <v>97.40000000000001</v>
      </c>
      <c r="D14" s="556" t="n">
        <v>102.0946300000002</v>
      </c>
      <c r="E14" s="556" t="n">
        <v>106.1784152000001</v>
      </c>
      <c r="F14" s="556" t="n">
        <v>110.4255518080002</v>
      </c>
      <c r="G14" s="556" t="n">
        <v>113.7383183622403</v>
      </c>
      <c r="H14" s="556" t="n">
        <v>117.1504679131074</v>
      </c>
    </row>
    <row r="15">
      <c r="B15" s="408" t="inlineStr">
        <is>
          <t>Interest</t>
        </is>
      </c>
      <c r="D15" s="556" t="n">
        <v>68.66250000000001</v>
      </c>
      <c r="E15" s="556" t="n">
        <v>61.9920582975</v>
      </c>
      <c r="F15" s="556" t="n">
        <v>54.51505963102687</v>
      </c>
      <c r="G15" s="556" t="n">
        <v>46.1490476687412</v>
      </c>
      <c r="H15" s="556" t="n">
        <v>36.91995724792738</v>
      </c>
    </row>
    <row r="16">
      <c r="B16" s="408" t="inlineStr">
        <is>
          <t>Net income</t>
        </is>
      </c>
      <c r="D16" s="556" t="n">
        <v>26.41138270000011</v>
      </c>
      <c r="E16" s="556" t="n">
        <v>34.90722195297506</v>
      </c>
      <c r="F16" s="556" t="n">
        <v>44.16928881980895</v>
      </c>
      <c r="G16" s="556" t="n">
        <v>53.39552384786428</v>
      </c>
      <c r="H16" s="556" t="n">
        <v>63.38210342549219</v>
      </c>
    </row>
    <row r="17">
      <c r="B17" s="408" t="inlineStr">
        <is>
          <t>FCF (after interest)</t>
        </is>
      </c>
      <c r="D17" s="559" t="n">
        <v>88.93922270000012</v>
      </c>
      <c r="E17" s="559" t="n">
        <v>99.69331555297505</v>
      </c>
      <c r="F17" s="559" t="n">
        <v>111.546826163809</v>
      </c>
      <c r="G17" s="559" t="n">
        <v>123.0545389441843</v>
      </c>
      <c r="H17" s="559" t="n">
        <v>135.1308889747018</v>
      </c>
    </row>
    <row r="18">
      <c r="B18" s="408" t="inlineStr">
        <is>
          <t>Debt paydown</t>
        </is>
      </c>
      <c r="D18" s="556" t="n">
        <v>88.93922270000012</v>
      </c>
      <c r="E18" s="556" t="n">
        <v>99.69331555297505</v>
      </c>
      <c r="F18" s="556" t="n">
        <v>111.546826163809</v>
      </c>
      <c r="G18" s="556" t="n">
        <v>123.0545389441843</v>
      </c>
      <c r="H18" s="556" t="n">
        <v>135.1308889747018</v>
      </c>
    </row>
    <row r="19">
      <c r="B19" s="408" t="inlineStr">
        <is>
          <t>Debt end</t>
        </is>
      </c>
      <c r="C19" s="556" t="n">
        <v>1329.9</v>
      </c>
      <c r="D19" s="556" t="n">
        <v>826.5607773</v>
      </c>
      <c r="E19" s="556" t="n">
        <v>726.867461747025</v>
      </c>
      <c r="F19" s="556" t="n">
        <v>615.320635583216</v>
      </c>
      <c r="G19" s="556" t="n">
        <v>492.2660966390317</v>
      </c>
      <c r="H19" s="556" t="n">
        <v>357.1352076643299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19"/>
  <sheetViews>
    <sheetView workbookViewId="0">
      <selection activeCell="A1" sqref="A1"/>
    </sheetView>
  </sheetViews>
  <sheetFormatPr baseColWidth="8" defaultRowHeight="15"/>
  <cols>
    <col width="22" customWidth="1" style="244" min="2" max="2"/>
    <col width="12" customWidth="1" style="244" min="3" max="3"/>
    <col width="12" customWidth="1" style="244" min="4" max="4"/>
    <col width="12" customWidth="1" style="244" min="5" max="5"/>
    <col width="12" customWidth="1" style="244" min="6" max="6"/>
    <col width="12" customWidth="1" style="244" min="7" max="7"/>
    <col width="12" customWidth="1" style="244" min="8" max="8"/>
    <col width="12" customWidth="1" style="244" min="9" max="9"/>
  </cols>
  <sheetData>
    <row r="2">
      <c r="B2" s="406" t="inlineStr">
        <is>
          <t>AI-SDR case — S&amp;M cut 15% Y1 + $15m AI; S&amp;M +2%/yr thereafter</t>
        </is>
      </c>
    </row>
    <row r="4">
      <c r="B4" s="412" t="inlineStr"/>
      <c r="C4" s="412" t="inlineStr">
        <is>
          <t>FY2024A</t>
        </is>
      </c>
      <c r="D4" s="412" t="inlineStr">
        <is>
          <t>Y1 2025</t>
        </is>
      </c>
      <c r="E4" s="412" t="inlineStr">
        <is>
          <t>Y2 2026</t>
        </is>
      </c>
      <c r="F4" s="412" t="inlineStr">
        <is>
          <t>Y3 2027</t>
        </is>
      </c>
      <c r="G4" s="412" t="inlineStr">
        <is>
          <t>Y4 2028</t>
        </is>
      </c>
      <c r="H4" s="412" t="inlineStr">
        <is>
          <t>Y5 2029</t>
        </is>
      </c>
    </row>
    <row r="5">
      <c r="B5" s="408" t="inlineStr">
        <is>
          <t>Revenue</t>
        </is>
      </c>
      <c r="C5" s="556" t="n">
        <v>1214.3</v>
      </c>
      <c r="D5" s="556" t="n">
        <v>1250.729</v>
      </c>
      <c r="E5" s="556" t="n">
        <v>1300.75816</v>
      </c>
      <c r="F5" s="556" t="n">
        <v>1352.7884864</v>
      </c>
      <c r="G5" s="556" t="n">
        <v>1393.372140992</v>
      </c>
      <c r="H5" s="556" t="n">
        <v>1435.173305221761</v>
      </c>
    </row>
    <row r="6">
      <c r="B6" s="408" t="inlineStr">
        <is>
          <t>COGS</t>
        </is>
      </c>
      <c r="C6" s="556" t="n">
        <v>189.8</v>
      </c>
      <c r="D6" s="556" t="n">
        <v>195.4939999999999</v>
      </c>
      <c r="E6" s="556" t="n">
        <v>203.31376</v>
      </c>
      <c r="F6" s="556" t="n">
        <v>211.4463104</v>
      </c>
      <c r="G6" s="556" t="n">
        <v>217.789699712</v>
      </c>
      <c r="H6" s="556" t="n">
        <v>224.32339070336</v>
      </c>
    </row>
    <row r="7">
      <c r="B7" s="408" t="inlineStr">
        <is>
          <t>S&amp;M (human)</t>
        </is>
      </c>
      <c r="C7" s="556" t="n">
        <v>425</v>
      </c>
      <c r="D7" s="556" t="n">
        <v>361.25</v>
      </c>
      <c r="E7" s="556" t="n">
        <v>368.475</v>
      </c>
      <c r="F7" s="556" t="n">
        <v>375.8445</v>
      </c>
      <c r="G7" s="556" t="n">
        <v>383.36139</v>
      </c>
      <c r="H7" s="556" t="n">
        <v>391.0286178000001</v>
      </c>
    </row>
    <row r="8">
      <c r="B8" s="408" t="inlineStr">
        <is>
          <t>AI agent cost</t>
        </is>
      </c>
      <c r="C8" s="556" t="n">
        <v>0</v>
      </c>
      <c r="D8" s="556" t="n">
        <v>15</v>
      </c>
      <c r="E8" s="556" t="n">
        <v>15</v>
      </c>
      <c r="F8" s="556" t="n">
        <v>15</v>
      </c>
      <c r="G8" s="556" t="n">
        <v>15</v>
      </c>
      <c r="H8" s="556" t="n">
        <v>15</v>
      </c>
    </row>
    <row r="9">
      <c r="B9" s="408" t="inlineStr">
        <is>
          <t>R&amp;D</t>
        </is>
      </c>
      <c r="C9" s="556" t="n">
        <v>196.1</v>
      </c>
      <c r="D9" s="556" t="n">
        <v>201.983</v>
      </c>
      <c r="E9" s="556" t="n">
        <v>210.06232</v>
      </c>
      <c r="F9" s="556" t="n">
        <v>218.4648128</v>
      </c>
      <c r="G9" s="556" t="n">
        <v>225.018757184</v>
      </c>
      <c r="H9" s="556" t="n">
        <v>231.7693198995201</v>
      </c>
    </row>
    <row r="10">
      <c r="B10" s="408" t="inlineStr">
        <is>
          <t>G&amp;A</t>
        </is>
      </c>
      <c r="C10" s="556" t="n">
        <v>295.3</v>
      </c>
      <c r="D10" s="556" t="n">
        <v>225.13122</v>
      </c>
      <c r="E10" s="556" t="n">
        <v>234.1364688</v>
      </c>
      <c r="F10" s="556" t="n">
        <v>243.501927552</v>
      </c>
      <c r="G10" s="556" t="n">
        <v>250.8069853785601</v>
      </c>
      <c r="H10" s="556" t="n">
        <v>258.3311949399169</v>
      </c>
    </row>
    <row r="11">
      <c r="B11" s="408" t="inlineStr">
        <is>
          <t>EBITDA</t>
        </is>
      </c>
      <c r="C11" s="556" t="n">
        <v>183.1</v>
      </c>
      <c r="D11" s="559" t="n">
        <v>251.8707800000001</v>
      </c>
      <c r="E11" s="559" t="n">
        <v>269.7706112000001</v>
      </c>
      <c r="F11" s="559" t="n">
        <v>288.5309356480003</v>
      </c>
      <c r="G11" s="559" t="n">
        <v>301.3953087174403</v>
      </c>
      <c r="H11" s="559" t="n">
        <v>314.7207818789635</v>
      </c>
    </row>
    <row r="12">
      <c r="B12" s="408" t="inlineStr">
        <is>
          <t>EBITDA margin</t>
        </is>
      </c>
      <c r="C12" s="411" t="n">
        <v>0.150786461335749</v>
      </c>
      <c r="D12" s="413" t="n">
        <v>0.201379179662421</v>
      </c>
      <c r="E12" s="413" t="n">
        <v>0.2073949020623481</v>
      </c>
      <c r="F12" s="413" t="n">
        <v>0.2132860669267152</v>
      </c>
      <c r="G12" s="413" t="n">
        <v>0.2163063978750604</v>
      </c>
      <c r="H12" s="413" t="n">
        <v>0.2192911342023139</v>
      </c>
    </row>
    <row r="13">
      <c r="B13" s="408" t="inlineStr">
        <is>
          <t>D&amp;A</t>
        </is>
      </c>
      <c r="C13" s="556" t="n">
        <v>85.7</v>
      </c>
      <c r="D13" s="556" t="n">
        <v>88.271</v>
      </c>
      <c r="E13" s="556" t="n">
        <v>91.80184</v>
      </c>
      <c r="F13" s="556" t="n">
        <v>95.47391360000002</v>
      </c>
      <c r="G13" s="556" t="n">
        <v>98.33813100800002</v>
      </c>
      <c r="H13" s="556" t="n">
        <v>101.28827493824</v>
      </c>
    </row>
    <row r="14">
      <c r="B14" s="408" t="inlineStr">
        <is>
          <t>EBIT</t>
        </is>
      </c>
      <c r="C14" s="556" t="n">
        <v>97.40000000000001</v>
      </c>
      <c r="D14" s="556" t="n">
        <v>163.5997800000001</v>
      </c>
      <c r="E14" s="556" t="n">
        <v>177.9687712000001</v>
      </c>
      <c r="F14" s="556" t="n">
        <v>193.0570220480002</v>
      </c>
      <c r="G14" s="556" t="n">
        <v>203.0571777094403</v>
      </c>
      <c r="H14" s="556" t="n">
        <v>213.4325069407234</v>
      </c>
    </row>
    <row r="15">
      <c r="B15" s="408" t="inlineStr">
        <is>
          <t>Interest</t>
        </is>
      </c>
      <c r="D15" s="556" t="n">
        <v>68.66250000000001</v>
      </c>
      <c r="E15" s="556" t="n">
        <v>58.34787815999999</v>
      </c>
      <c r="F15" s="556" t="n">
        <v>46.40138322737999</v>
      </c>
      <c r="G15" s="556" t="n">
        <v>32.65872132645823</v>
      </c>
      <c r="H15" s="556" t="n">
        <v>17.33818665354254</v>
      </c>
    </row>
    <row r="16">
      <c r="B16" s="408" t="inlineStr">
        <is>
          <t>Net income</t>
        </is>
      </c>
      <c r="D16" s="556" t="n">
        <v>75.0004512000001</v>
      </c>
      <c r="E16" s="556" t="n">
        <v>94.50050550160006</v>
      </c>
      <c r="F16" s="556" t="n">
        <v>115.85795466829</v>
      </c>
      <c r="G16" s="556" t="n">
        <v>134.6147805425558</v>
      </c>
      <c r="H16" s="556" t="n">
        <v>154.9145130268729</v>
      </c>
    </row>
    <row r="17">
      <c r="B17" s="408" t="inlineStr">
        <is>
          <t>FCF (after interest)</t>
        </is>
      </c>
      <c r="D17" s="559" t="n">
        <v>137.5282912000001</v>
      </c>
      <c r="E17" s="559" t="n">
        <v>159.2865991016001</v>
      </c>
      <c r="F17" s="559" t="n">
        <v>183.23549201229</v>
      </c>
      <c r="G17" s="559" t="n">
        <v>204.2737956388759</v>
      </c>
      <c r="H17" s="559" t="n">
        <v>226.6632985760825</v>
      </c>
    </row>
    <row r="18">
      <c r="B18" s="408" t="inlineStr">
        <is>
          <t>Debt paydown</t>
        </is>
      </c>
      <c r="D18" s="556" t="n">
        <v>137.5282912000001</v>
      </c>
      <c r="E18" s="556" t="n">
        <v>159.2865991016001</v>
      </c>
      <c r="F18" s="556" t="n">
        <v>183.23549201229</v>
      </c>
      <c r="G18" s="556" t="n">
        <v>204.2737956388759</v>
      </c>
      <c r="H18" s="556" t="n">
        <v>226.6632985760825</v>
      </c>
    </row>
    <row r="19">
      <c r="B19" s="408" t="inlineStr">
        <is>
          <t>Debt end</t>
        </is>
      </c>
      <c r="C19" s="556" t="n">
        <v>1329.9</v>
      </c>
      <c r="D19" s="556" t="n">
        <v>777.9717088</v>
      </c>
      <c r="E19" s="556" t="n">
        <v>618.6851096983999</v>
      </c>
      <c r="F19" s="556" t="n">
        <v>435.4496176861098</v>
      </c>
      <c r="G19" s="556" t="n">
        <v>231.1758220472339</v>
      </c>
      <c r="H19" s="556" t="n">
        <v>4.512523471151439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M42"/>
  <sheetViews>
    <sheetView showGridLines="0" tabSelected="1" workbookViewId="0">
      <selection activeCell="A1" sqref="A1"/>
    </sheetView>
  </sheetViews>
  <sheetFormatPr baseColWidth="8" defaultRowHeight="15"/>
  <sheetData>
    <row r="2">
      <c r="B2" t="inlineStr">
        <is>
          <t>vengeanceaiUSC-LBOMODEL1 — ZoomInfo AI-SDR take-private</t>
        </is>
      </c>
    </row>
    <row r="8" ht="26.25" customHeight="1" s="244">
      <c r="B8" s="402" t="inlineStr">
        <is>
          <t>LBO Model Sample Template</t>
        </is>
      </c>
      <c r="C8" s="403" t="n"/>
      <c r="D8" s="403" t="n"/>
      <c r="E8" s="404" t="n"/>
      <c r="F8" s="404" t="n"/>
      <c r="G8" s="404" t="n"/>
      <c r="H8" s="404" t="n"/>
      <c r="I8" s="404" t="n"/>
      <c r="J8" s="404" t="n"/>
      <c r="K8" s="404" t="n"/>
      <c r="L8" s="404" t="n"/>
      <c r="M8" s="404" t="n"/>
    </row>
    <row r="11">
      <c r="B11" s="405" t="inlineStr">
        <is>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is>
      </c>
    </row>
    <row r="12"/>
    <row r="13"/>
    <row r="14"/>
    <row r="40">
      <c r="B40" t="inlineStr">
        <is>
          <t>Open Strategy_Summary first — AI vs Base IRR and 500+ bps check</t>
        </is>
      </c>
    </row>
    <row r="41">
      <c r="B41" t="inlineStr">
        <is>
          <t>AI IRR 16.9% vs Base 5.8% → +11.1 IRR points from AI S&amp;M</t>
        </is>
      </c>
    </row>
    <row r="42">
      <c r="B42" t="inlineStr">
        <is>
          <t>Y2 margin expansion 566 bps (target ≥500)</t>
        </is>
      </c>
    </row>
  </sheetData>
  <sheetProtection selectLockedCells="1" selectUnlockedCells="1" sheet="1" objects="1" insertRows="1" insertHyperlinks="1" autoFilter="1" scenarios="1" formatColumns="1" deleteColumns="1" insertColumns="1" pivotTables="1" deleteRows="1" formatCells="1" formatRows="1" sort="1"/>
  <mergeCells count="1">
    <mergeCell ref="B11:M14"/>
  </mergeCells>
  <pageMargins left="0.7" right="0.7" top="0.75" bottom="0.75" header="0.3" footer="0.3"/>
  <pageSetup orientation="portrait" paperSize="0"/>
</worksheet>
</file>

<file path=xl/worksheets/sheet7.xml><?xml version="1.0" encoding="utf-8"?>
<worksheet xmlns="http://schemas.openxmlformats.org/spreadsheetml/2006/main">
  <sheetPr>
    <outlinePr summaryBelow="1" summaryRight="1"/>
    <pageSetUpPr/>
  </sheetPr>
  <dimension ref="A2:R393"/>
  <sheetViews>
    <sheetView zoomScaleNormal="100" workbookViewId="0">
      <selection activeCell="A1" sqref="A1"/>
    </sheetView>
  </sheetViews>
  <sheetFormatPr baseColWidth="8" defaultRowHeight="15"/>
  <cols>
    <col width="1.7109375" customWidth="1" style="244" min="1" max="1"/>
    <col width="44.140625" customWidth="1" style="244" min="2" max="2"/>
    <col width="15.7109375" customWidth="1" style="244" min="3" max="10"/>
    <col width="12.85546875" customWidth="1" style="244" min="11" max="12"/>
    <col width="9.140625" customWidth="1" style="244" min="13" max="16384"/>
  </cols>
  <sheetData>
    <row r="1" ht="15.75" customHeight="1" s="244" thickBot="1"/>
    <row r="2" ht="27" customHeight="1" s="244" thickBot="1">
      <c r="B2" s="1" t="inlineStr">
        <is>
          <t>Leveraged buyout model for ZoomInfo (GTM) — vengeanceaiUSC-LBOMODEL1 AI-SDR</t>
        </is>
      </c>
      <c r="C2" s="305" t="n"/>
      <c r="D2" s="305" t="n"/>
      <c r="E2" s="305" t="n"/>
      <c r="F2" s="305" t="n"/>
      <c r="G2" s="305" t="n"/>
      <c r="H2" s="305" t="n"/>
      <c r="I2" s="305" t="n"/>
      <c r="J2" s="305" t="n"/>
    </row>
    <row r="3">
      <c r="B3" s="2" t="inlineStr">
        <is>
          <t>$ mm except per share</t>
        </is>
      </c>
      <c r="C3" s="10" t="n"/>
    </row>
    <row r="4">
      <c r="B4" s="43" t="n"/>
      <c r="D4" s="10" t="n"/>
    </row>
    <row r="5">
      <c r="B5" s="317" t="inlineStr">
        <is>
          <t>GENERAL INPUTS</t>
        </is>
      </c>
      <c r="C5" s="15" t="n"/>
      <c r="D5" s="15" t="n"/>
      <c r="F5" s="153" t="inlineStr">
        <is>
          <t>INITIAL VALUATION</t>
        </is>
      </c>
      <c r="G5" s="15" t="n"/>
      <c r="H5" s="15" t="n"/>
      <c r="I5" s="15" t="n"/>
      <c r="J5" s="15" t="n"/>
    </row>
    <row r="6">
      <c r="B6" s="159" t="inlineStr">
        <is>
          <t>Company name</t>
        </is>
      </c>
      <c r="D6" s="378" t="inlineStr">
        <is>
          <t>ZoomInfo Technologies Inc.</t>
        </is>
      </c>
    </row>
    <row r="7">
      <c r="B7" s="159" t="inlineStr">
        <is>
          <t>Ticker (if applicable)</t>
        </is>
      </c>
      <c r="D7" s="378" t="inlineStr">
        <is>
          <t>GTM</t>
        </is>
      </c>
      <c r="F7" s="100" t="inlineStr">
        <is>
          <t>Select a valuation approach:</t>
        </is>
      </c>
      <c r="H7" s="423" t="n">
        <v>1</v>
      </c>
      <c r="I7" s="424" t="n">
        <v>1</v>
      </c>
      <c r="J7" s="425" t="n">
        <v>2</v>
      </c>
    </row>
    <row r="8">
      <c r="B8" s="159" t="inlineStr">
        <is>
          <t>Current share price (if applicable)</t>
        </is>
      </c>
      <c r="D8" s="135" t="n">
        <v>4.05</v>
      </c>
      <c r="H8" s="426" t="inlineStr">
        <is>
          <t>Explicit offer/share</t>
        </is>
      </c>
      <c r="I8" s="253" t="inlineStr">
        <is>
          <t>Explicit EBITDA</t>
        </is>
      </c>
      <c r="J8" s="253" t="inlineStr">
        <is>
          <t>Explicit offer/share</t>
        </is>
      </c>
    </row>
    <row r="9">
      <c r="B9" s="159" t="inlineStr">
        <is>
          <t>Latest closing share price date (f applicable)</t>
        </is>
      </c>
      <c r="D9" s="365" t="n">
        <v>46249</v>
      </c>
    </row>
    <row r="10">
      <c r="B10" s="159" t="inlineStr">
        <is>
          <t>Circuit breaker:</t>
        </is>
      </c>
      <c r="D10" s="427" t="inlineStr">
        <is>
          <t>OFF</t>
        </is>
      </c>
      <c r="F10" s="4" t="inlineStr">
        <is>
          <t>LTM EBITDA</t>
        </is>
      </c>
      <c r="H10" s="140" t="n">
        <v>183.1</v>
      </c>
      <c r="I10" s="140" t="n">
        <v>183.1</v>
      </c>
      <c r="J10" s="140" t="n">
        <v>183.1</v>
      </c>
    </row>
    <row r="11">
      <c r="F11" s="4" t="inlineStr">
        <is>
          <t>EV / LTM EBITDA</t>
        </is>
      </c>
      <c r="H11" s="428" t="n">
        <v>14.78</v>
      </c>
      <c r="I11" s="429" t="n">
        <v>14.78</v>
      </c>
      <c r="J11" s="428" t="n">
        <v>14.78</v>
      </c>
    </row>
    <row r="12">
      <c r="B12" s="317" t="inlineStr">
        <is>
          <t xml:space="preserve">SELECT FINANCIAL DATA / ASSMUPTIONS </t>
        </is>
      </c>
      <c r="C12" s="15" t="n"/>
      <c r="D12" s="317" t="n"/>
      <c r="F12" s="3" t="inlineStr">
        <is>
          <t>Enterprise value</t>
        </is>
      </c>
      <c r="H12" s="57" t="n">
        <v>6466.026250000001</v>
      </c>
      <c r="I12" s="57" t="n">
        <v>6443.710000000002</v>
      </c>
      <c r="J12" s="57" t="n">
        <v>6466.026250000001</v>
      </c>
    </row>
    <row r="13">
      <c r="B13" s="159" t="inlineStr">
        <is>
          <t>EBITDA (LTM)</t>
        </is>
      </c>
      <c r="D13" s="430" t="n">
        <v>183.1</v>
      </c>
    </row>
    <row r="14">
      <c r="B14" s="159" t="inlineStr">
        <is>
          <t>Gross Debt (input as a -)</t>
        </is>
      </c>
      <c r="D14" s="228" t="n">
        <v>-1329.9</v>
      </c>
      <c r="F14" s="159" t="inlineStr">
        <is>
          <t>Less: Gross Debt (latest filing)</t>
        </is>
      </c>
      <c r="H14" s="140" t="n">
        <v>-1306</v>
      </c>
      <c r="I14" s="140" t="n">
        <v>-1306</v>
      </c>
      <c r="J14" s="140" t="n">
        <v>-1306</v>
      </c>
    </row>
    <row r="15">
      <c r="B15" s="159" t="inlineStr">
        <is>
          <t>Cash</t>
        </is>
      </c>
      <c r="D15" s="228" t="n">
        <v>179.9</v>
      </c>
      <c r="F15" s="159" t="inlineStr">
        <is>
          <t>Plus: Cash (latest filing)</t>
        </is>
      </c>
      <c r="H15" s="140" t="n">
        <v>1581.9</v>
      </c>
      <c r="I15" s="140" t="n">
        <v>1581.9</v>
      </c>
      <c r="J15" s="140" t="n">
        <v>1581.9</v>
      </c>
    </row>
    <row r="16">
      <c r="B16" s="34" t="inlineStr">
        <is>
          <t>Minimum cash desired</t>
        </is>
      </c>
      <c r="D16" s="228" t="n">
        <v>50</v>
      </c>
    </row>
    <row r="17">
      <c r="B17" s="159" t="inlineStr">
        <is>
          <t>EV / LTM EBITDA multiple at exit</t>
        </is>
      </c>
      <c r="D17" s="429" t="n">
        <v>13</v>
      </c>
      <c r="F17" s="3" t="inlineStr">
        <is>
          <t>Offer value</t>
        </is>
      </c>
      <c r="H17" s="57" t="n">
        <v>6741.92625</v>
      </c>
      <c r="I17" s="57" t="n">
        <v>6719.610000000002</v>
      </c>
      <c r="J17" s="57" t="n">
        <v>6741.92625</v>
      </c>
    </row>
    <row r="18">
      <c r="C18" s="431" t="n"/>
      <c r="F18" t="inlineStr">
        <is>
          <t>Diluted shares outstanding</t>
        </is>
      </c>
      <c r="H18" s="432" t="n">
        <v>307.294</v>
      </c>
      <c r="I18" s="430" t="n">
        <v>307.294</v>
      </c>
      <c r="J18" s="430" t="n">
        <v>307.294</v>
      </c>
      <c r="K18" s="433" t="n"/>
      <c r="L18" s="433" t="n"/>
    </row>
    <row r="19">
      <c r="B19" s="153" t="inlineStr">
        <is>
          <t>USES OF FUNDS</t>
        </is>
      </c>
      <c r="C19" s="15" t="n"/>
      <c r="D19" s="15" t="n"/>
      <c r="K19" s="433" t="n"/>
      <c r="L19" s="433" t="n"/>
    </row>
    <row r="20">
      <c r="B20" s="34" t="inlineStr">
        <is>
          <t>Buyout of equity</t>
        </is>
      </c>
      <c r="D20" s="434" t="n">
        <v>1555.7</v>
      </c>
      <c r="E20" s="435" t="n"/>
      <c r="F20" s="3" t="inlineStr">
        <is>
          <t>Offer value / per share</t>
        </is>
      </c>
      <c r="H20" s="307" t="n">
        <v>5.0625</v>
      </c>
      <c r="I20" s="307" t="n">
        <v>5.0625</v>
      </c>
      <c r="J20" s="366" t="n">
        <v>5.0625</v>
      </c>
      <c r="K20" s="433" t="n"/>
      <c r="L20" s="433" t="n"/>
    </row>
    <row r="21">
      <c r="B21" s="34" t="inlineStr">
        <is>
          <t>Refinancing of oldco debt</t>
        </is>
      </c>
      <c r="D21" s="434" t="n">
        <v>1329.9</v>
      </c>
      <c r="E21" s="435" t="n"/>
      <c r="F21" s="158" t="inlineStr">
        <is>
          <t>% Premium / discount</t>
        </is>
      </c>
      <c r="H21" s="435" t="n">
        <v>0.25</v>
      </c>
      <c r="I21" s="435" t="n">
        <v>0.25</v>
      </c>
      <c r="J21" s="435" t="n">
        <v>0.25</v>
      </c>
      <c r="K21" s="433" t="n"/>
      <c r="L21" s="433" t="n"/>
    </row>
    <row r="22">
      <c r="B22" s="34" t="inlineStr">
        <is>
          <t>Fees (transaction &amp; financing)</t>
        </is>
      </c>
      <c r="D22" s="436" t="n">
        <v>31.1</v>
      </c>
      <c r="H22" s="158" t="n"/>
      <c r="J22" s="437" t="n"/>
      <c r="K22" s="433" t="n"/>
      <c r="L22" s="433" t="n"/>
    </row>
    <row r="23">
      <c r="B23" s="383" t="inlineStr">
        <is>
          <t>Total Uses</t>
        </is>
      </c>
      <c r="D23" s="438" t="n">
        <v>2916.7</v>
      </c>
      <c r="H23" s="158" t="n"/>
      <c r="J23" s="437" t="n"/>
      <c r="K23" s="433" t="n"/>
      <c r="L23" s="433" t="n"/>
    </row>
    <row r="24">
      <c r="C24" s="431" t="n"/>
      <c r="H24" s="158" t="n"/>
      <c r="J24" s="437" t="n"/>
      <c r="K24" s="433" t="n"/>
      <c r="L24" s="433" t="n"/>
    </row>
    <row r="25">
      <c r="B25" s="153" t="inlineStr">
        <is>
          <t>SOURCES OF FUNDS</t>
        </is>
      </c>
      <c r="C25" s="15" t="n"/>
      <c r="D25" s="15" t="n"/>
      <c r="E25" s="434" t="n"/>
      <c r="F25" s="317" t="inlineStr">
        <is>
          <t>FEES</t>
        </is>
      </c>
      <c r="G25" s="15" t="n"/>
      <c r="H25" s="15" t="n"/>
      <c r="I25" s="15" t="n"/>
      <c r="J25" s="15" t="n"/>
    </row>
    <row r="26" ht="16.5" customHeight="1" s="244">
      <c r="C26" s="161" t="inlineStr">
        <is>
          <t>EBITDA turns</t>
        </is>
      </c>
      <c r="D26" s="161" t="inlineStr">
        <is>
          <t>$ investment</t>
        </is>
      </c>
      <c r="G26" s="296" t="inlineStr">
        <is>
          <t>% fees</t>
        </is>
      </c>
      <c r="H26" s="296" t="inlineStr">
        <is>
          <t>Fee</t>
        </is>
      </c>
      <c r="I26" s="296" t="inlineStr">
        <is>
          <t>Term</t>
        </is>
      </c>
      <c r="J26" s="296" t="inlineStr">
        <is>
          <t>Fee amort / year</t>
        </is>
      </c>
    </row>
    <row r="27">
      <c r="B27" s="159" t="inlineStr">
        <is>
          <t>Excess cash</t>
        </is>
      </c>
      <c r="C27" s="439" t="n">
        <v>1.588195309844794</v>
      </c>
      <c r="D27" s="434" t="n">
        <v>129.9</v>
      </c>
      <c r="F27" s="100" t="inlineStr">
        <is>
          <t>Financing fees</t>
        </is>
      </c>
    </row>
    <row r="28">
      <c r="B28" s="159" t="inlineStr">
        <is>
          <t>Revolver</t>
        </is>
      </c>
      <c r="C28" s="440" t="n">
        <v>0</v>
      </c>
      <c r="D28" s="434" t="n">
        <v>0</v>
      </c>
      <c r="F28" s="34" t="inlineStr">
        <is>
          <t>Revolver</t>
        </is>
      </c>
      <c r="G28" s="441" t="n">
        <v>0.01</v>
      </c>
      <c r="H28" s="434" t="n">
        <v>0</v>
      </c>
      <c r="I28" s="442" t="n">
        <v>5</v>
      </c>
      <c r="J28" s="443" t="n">
        <v>0</v>
      </c>
    </row>
    <row r="29">
      <c r="B29" s="34" t="inlineStr">
        <is>
          <t>Term Loan A</t>
        </is>
      </c>
      <c r="C29" s="444" t="n">
        <v>2.5</v>
      </c>
      <c r="D29" s="434" t="n">
        <v>457.8</v>
      </c>
      <c r="F29" s="34" t="inlineStr">
        <is>
          <t>Term Loan A</t>
        </is>
      </c>
      <c r="G29" s="441" t="n">
        <v>0.015</v>
      </c>
      <c r="H29" s="434" t="n">
        <v>43.29643500000002</v>
      </c>
      <c r="I29" s="442" t="n">
        <v>7</v>
      </c>
      <c r="J29" s="443" t="n">
        <v>6.185205000000003</v>
      </c>
    </row>
    <row r="30">
      <c r="B30" s="34" t="inlineStr">
        <is>
          <t>Term Loan B</t>
        </is>
      </c>
      <c r="C30" s="444" t="n">
        <v>1.5</v>
      </c>
      <c r="D30" s="434" t="n">
        <v>274.7</v>
      </c>
      <c r="F30" s="34" t="inlineStr">
        <is>
          <t>Term Loan B</t>
        </is>
      </c>
      <c r="G30" s="441" t="n">
        <v>0.015</v>
      </c>
      <c r="H30" s="434" t="n">
        <v>10.06278</v>
      </c>
      <c r="I30" s="442" t="n">
        <v>7</v>
      </c>
      <c r="J30" s="443" t="n">
        <v>1.43754</v>
      </c>
      <c r="P30" s="383" t="n"/>
      <c r="R30" s="438" t="n"/>
    </row>
    <row r="31">
      <c r="B31" s="34" t="inlineStr">
        <is>
          <t>Senior Note</t>
        </is>
      </c>
      <c r="C31" s="444" t="n">
        <v>1</v>
      </c>
      <c r="D31" s="434" t="n">
        <v>183.1</v>
      </c>
      <c r="F31" s="34" t="inlineStr">
        <is>
          <t>Senior Note</t>
        </is>
      </c>
      <c r="G31" s="441" t="n">
        <v>0.01</v>
      </c>
      <c r="H31" s="434" t="n">
        <v>16.32995000000001</v>
      </c>
      <c r="I31" s="442" t="n">
        <v>8</v>
      </c>
      <c r="J31" s="443" t="n">
        <v>2.041243750000001</v>
      </c>
      <c r="P31" s="383" t="n"/>
      <c r="R31" s="438" t="n"/>
    </row>
    <row r="32">
      <c r="B32" s="34" t="inlineStr">
        <is>
          <t>Sub Note</t>
        </is>
      </c>
      <c r="C32" s="444" t="n">
        <v>0</v>
      </c>
      <c r="D32" s="434" t="n">
        <v>0</v>
      </c>
      <c r="F32" s="34" t="inlineStr">
        <is>
          <t>Sub Note</t>
        </is>
      </c>
      <c r="G32" s="441" t="n">
        <v>0</v>
      </c>
      <c r="H32" s="445" t="n">
        <v>0</v>
      </c>
      <c r="I32" s="442" t="n"/>
      <c r="J32" s="446" t="inlineStr">
        <is>
          <t>NM</t>
        </is>
      </c>
      <c r="P32" s="383" t="n"/>
      <c r="R32" s="438" t="n"/>
    </row>
    <row r="33">
      <c r="B33" s="34" t="inlineStr">
        <is>
          <t>Preferred stock</t>
        </is>
      </c>
      <c r="C33" s="444" t="n">
        <v>0</v>
      </c>
      <c r="D33" s="434" t="n">
        <v>0</v>
      </c>
      <c r="F33" s="332" t="inlineStr">
        <is>
          <t>Financing fees</t>
        </is>
      </c>
      <c r="H33" s="438" t="n">
        <v>69.68916500000003</v>
      </c>
      <c r="I33" s="202" t="n"/>
      <c r="J33" s="434" t="n">
        <v>9.663988750000003</v>
      </c>
      <c r="P33" s="383" t="n"/>
      <c r="R33" s="438" t="n"/>
    </row>
    <row r="34">
      <c r="B34" s="34" t="inlineStr">
        <is>
          <t>Mgmt rollover</t>
        </is>
      </c>
      <c r="C34" s="444" t="n">
        <v>0</v>
      </c>
      <c r="D34" s="434" t="n">
        <v>0</v>
      </c>
      <c r="H34" s="438" t="n"/>
      <c r="P34" s="383" t="n"/>
      <c r="R34" s="438" t="n"/>
    </row>
    <row r="35" ht="16.5" customHeight="1" s="244">
      <c r="B35" s="34" t="inlineStr">
        <is>
          <t>Sponsor equity</t>
        </is>
      </c>
      <c r="C35" s="439" t="n">
        <v>1.880908507986857</v>
      </c>
      <c r="D35" s="445" t="n">
        <v>1871.3</v>
      </c>
      <c r="F35" s="34" t="n"/>
      <c r="G35" s="296" t="inlineStr">
        <is>
          <t>% of offer value</t>
        </is>
      </c>
      <c r="H35" s="296" t="inlineStr">
        <is>
          <t>Fee</t>
        </is>
      </c>
      <c r="P35" s="383" t="n"/>
      <c r="R35" s="438" t="n"/>
    </row>
    <row r="36">
      <c r="B36" s="147" t="inlineStr">
        <is>
          <t>Total Sources</t>
        </is>
      </c>
      <c r="C36" s="447" t="n">
        <v>9.349103817831651</v>
      </c>
      <c r="D36" s="438" t="n">
        <v>2916.7</v>
      </c>
      <c r="F36" s="332" t="inlineStr">
        <is>
          <t>Trans. fees</t>
        </is>
      </c>
      <c r="G36" s="431" t="n">
        <v>0.02</v>
      </c>
      <c r="H36" s="438" t="n">
        <v>134.838525</v>
      </c>
    </row>
    <row r="38">
      <c r="A38" t="inlineStr">
        <is>
          <t>x</t>
        </is>
      </c>
      <c r="B38" s="317" t="inlineStr">
        <is>
          <t>INCOME STATEMENT</t>
        </is>
      </c>
      <c r="C38" s="14" t="n"/>
      <c r="D38" s="15" t="n"/>
      <c r="E38" s="15" t="n"/>
      <c r="F38" s="15" t="n"/>
      <c r="G38" s="15" t="n"/>
      <c r="H38" s="15" t="n"/>
      <c r="I38" s="15" t="n"/>
      <c r="J38" s="15" t="n"/>
    </row>
    <row r="39">
      <c r="B39" t="inlineStr">
        <is>
          <t xml:space="preserve">Fiscal year  </t>
        </is>
      </c>
      <c r="C39" s="270" t="n">
        <v>2011</v>
      </c>
      <c r="D39" s="270" t="n">
        <v>2012</v>
      </c>
      <c r="E39" s="448" t="n">
        <v>2013</v>
      </c>
      <c r="F39" s="157" t="n">
        <v>2025</v>
      </c>
      <c r="G39" s="157" t="n">
        <v>2026</v>
      </c>
      <c r="H39" s="157" t="n">
        <v>2027</v>
      </c>
      <c r="I39" s="157" t="n">
        <v>2028</v>
      </c>
      <c r="J39" s="157" t="n">
        <v>2029</v>
      </c>
    </row>
    <row r="40">
      <c r="B40" s="18" t="inlineStr">
        <is>
          <t>Fiscal year end date</t>
        </is>
      </c>
      <c r="C40" s="19" t="n">
        <v>40633</v>
      </c>
      <c r="D40" s="19" t="n">
        <v>40999</v>
      </c>
      <c r="E40" s="19" t="n">
        <v>41364</v>
      </c>
      <c r="F40" s="20" t="n">
        <v>41729</v>
      </c>
      <c r="G40" s="20" t="n">
        <v>42094</v>
      </c>
      <c r="H40" s="20" t="n">
        <v>42460</v>
      </c>
      <c r="I40" s="20" t="n">
        <v>42825</v>
      </c>
      <c r="J40" s="20" t="n">
        <v>43190</v>
      </c>
    </row>
    <row r="41">
      <c r="B41" s="100" t="n"/>
      <c r="C41" s="22" t="n"/>
      <c r="D41" s="22" t="n"/>
      <c r="E41" s="23" t="n"/>
      <c r="F41" s="23" t="n"/>
      <c r="G41" s="23" t="n"/>
      <c r="H41" s="23" t="n"/>
      <c r="I41" s="23" t="n"/>
      <c r="J41" s="23" t="n"/>
    </row>
    <row r="42">
      <c r="B42" t="inlineStr">
        <is>
          <t>Revenue</t>
        </is>
      </c>
      <c r="C42" s="449" t="n">
        <v>2065.3</v>
      </c>
      <c r="D42" s="449" t="n">
        <v>2172</v>
      </c>
      <c r="E42" s="449" t="n">
        <v>2201.4</v>
      </c>
      <c r="F42" s="430" t="n">
        <v>1250.7</v>
      </c>
      <c r="G42" s="430" t="n">
        <v>1300.8</v>
      </c>
      <c r="H42" s="430" t="n">
        <v>1352.8</v>
      </c>
      <c r="I42" s="430" t="n">
        <v>1393.4</v>
      </c>
      <c r="J42" s="430" t="n">
        <v>1435.2</v>
      </c>
    </row>
    <row r="43">
      <c r="B43" t="inlineStr">
        <is>
          <t>Cost of sales (enter as -)</t>
        </is>
      </c>
      <c r="C43" s="449" t="n">
        <v>-485.2</v>
      </c>
      <c r="D43" s="449" t="n">
        <v>-568.9</v>
      </c>
      <c r="E43" s="449" t="n">
        <v>-592</v>
      </c>
      <c r="F43" s="430" t="n">
        <v>-195.5</v>
      </c>
      <c r="G43" s="430" t="n">
        <v>-203.3</v>
      </c>
      <c r="H43" s="430" t="n">
        <v>-211.4</v>
      </c>
      <c r="I43" s="430" t="n">
        <v>-217.8</v>
      </c>
      <c r="J43" s="430" t="n">
        <v>-224.3</v>
      </c>
    </row>
    <row r="44">
      <c r="B44" s="383" t="inlineStr">
        <is>
          <t>Gross Profit</t>
        </is>
      </c>
      <c r="C44" s="450" t="n">
        <v>1580.1</v>
      </c>
      <c r="D44" s="450" t="n">
        <v>1603.1</v>
      </c>
      <c r="E44" s="450" t="n">
        <v>1609.4</v>
      </c>
      <c r="F44" s="450" t="n">
        <v>1696.85680029765</v>
      </c>
      <c r="G44" s="450" t="n">
        <v>1802.202742789021</v>
      </c>
      <c r="H44" s="450" t="n">
        <v>1923.074854939862</v>
      </c>
      <c r="I44" s="450" t="n">
        <v>2032.605542649531</v>
      </c>
      <c r="J44" s="450" t="n">
        <v>2144.189647017592</v>
      </c>
    </row>
    <row r="45">
      <c r="B45" t="inlineStr">
        <is>
          <t>Research &amp; development (enter as -)</t>
        </is>
      </c>
      <c r="C45" s="449" t="n">
        <v>-181.6</v>
      </c>
      <c r="D45" s="449" t="n">
        <v>-165.2</v>
      </c>
      <c r="E45" s="449" t="n">
        <v>-174.6</v>
      </c>
      <c r="F45" s="430" t="n">
        <v>-202</v>
      </c>
      <c r="G45" s="430" t="n">
        <v>-210.1</v>
      </c>
      <c r="H45" s="430" t="n">
        <v>-218.5</v>
      </c>
      <c r="I45" s="430" t="n">
        <v>-225</v>
      </c>
      <c r="J45" s="430" t="n">
        <v>-231.8</v>
      </c>
    </row>
    <row r="46">
      <c r="B46" t="inlineStr">
        <is>
          <t>Selling, general &amp; administrative (enter as -)</t>
        </is>
      </c>
      <c r="C46" s="449" t="n">
        <v>-865.6999999999999</v>
      </c>
      <c r="D46" s="449" t="n">
        <v>-894</v>
      </c>
      <c r="E46" s="449" t="n">
        <v>-969.3999999999999</v>
      </c>
      <c r="F46" s="430" t="n">
        <v>-601.4</v>
      </c>
      <c r="G46" s="430" t="n">
        <v>-617.6</v>
      </c>
      <c r="H46" s="430" t="n">
        <v>-634.3</v>
      </c>
      <c r="I46" s="430" t="n">
        <v>-649.2</v>
      </c>
      <c r="J46" s="430" t="n">
        <v>-664.4</v>
      </c>
    </row>
    <row r="47">
      <c r="B47" t="inlineStr">
        <is>
          <t>Deal-related D&amp;A (enter as -)</t>
        </is>
      </c>
      <c r="C47" s="449" t="n"/>
      <c r="D47" s="449" t="n"/>
      <c r="E47" s="449" t="n"/>
      <c r="F47" s="430" t="n">
        <v>-52.99732208333334</v>
      </c>
      <c r="G47" s="430" t="n">
        <v>-52.99732208333334</v>
      </c>
      <c r="H47" s="430" t="n">
        <v>-52.99732208333334</v>
      </c>
      <c r="I47" s="430" t="n">
        <v>-52.99732208333334</v>
      </c>
      <c r="J47" s="430" t="n">
        <v>-52.99732208333334</v>
      </c>
    </row>
    <row r="48">
      <c r="B48" s="383" t="inlineStr">
        <is>
          <t>Operating profit (EBIT)</t>
        </is>
      </c>
      <c r="C48" s="450" t="n">
        <v>532.8000000000003</v>
      </c>
      <c r="D48" s="450" t="n">
        <v>543.8999999999999</v>
      </c>
      <c r="E48" s="450" t="n">
        <v>465.4000000000003</v>
      </c>
      <c r="F48" s="450" t="n">
        <v>163.6</v>
      </c>
      <c r="G48" s="450" t="n">
        <v>178</v>
      </c>
      <c r="H48" s="450" t="n">
        <v>193.1</v>
      </c>
      <c r="I48" s="450" t="n">
        <v>203.1</v>
      </c>
      <c r="J48" s="450" t="n">
        <v>213.4</v>
      </c>
      <c r="K48" s="140" t="n"/>
    </row>
    <row r="49">
      <c r="B49" t="inlineStr">
        <is>
          <t>Interest income</t>
        </is>
      </c>
      <c r="C49" s="449" t="n">
        <v>15</v>
      </c>
      <c r="D49" s="449" t="n">
        <v>10.6</v>
      </c>
      <c r="E49" s="449" t="n">
        <v>8.300000000000001</v>
      </c>
      <c r="F49" s="434" t="n">
        <v>0.9286713286713288</v>
      </c>
      <c r="G49" s="434" t="n">
        <v>0.9286713286713288</v>
      </c>
      <c r="H49" s="434" t="n">
        <v>0.9286713286713288</v>
      </c>
      <c r="I49" s="434" t="n">
        <v>0.9286713286713288</v>
      </c>
      <c r="J49" s="434" t="n">
        <v>0.9286713286713283</v>
      </c>
    </row>
    <row r="50">
      <c r="B50" t="inlineStr">
        <is>
          <t>Interest expense (enter as -)</t>
        </is>
      </c>
      <c r="C50" s="449" t="n">
        <v>-19.8</v>
      </c>
      <c r="D50" s="449" t="n">
        <v>-23.3</v>
      </c>
      <c r="E50" s="449" t="n">
        <v>-47.8</v>
      </c>
      <c r="F50" s="434" t="n">
        <v>-68.7</v>
      </c>
      <c r="G50" s="434" t="n">
        <v>-58.3</v>
      </c>
      <c r="H50" s="434" t="n">
        <v>-46.4</v>
      </c>
      <c r="I50" s="434" t="n">
        <v>-32.7</v>
      </c>
      <c r="J50" s="434" t="n">
        <v>-17.3</v>
      </c>
    </row>
    <row r="51">
      <c r="B51" t="inlineStr">
        <is>
          <t>Other non-operating expense (enter as -)</t>
        </is>
      </c>
      <c r="C51" s="449" t="n">
        <v>3.3</v>
      </c>
      <c r="D51" s="449" t="n">
        <v>-1.2</v>
      </c>
      <c r="E51" s="449" t="n">
        <v>2</v>
      </c>
      <c r="F51" s="449" t="n">
        <v>0</v>
      </c>
      <c r="G51" s="449" t="n">
        <v>0</v>
      </c>
      <c r="H51" s="449" t="n">
        <v>0</v>
      </c>
      <c r="I51" s="449" t="n">
        <v>0</v>
      </c>
      <c r="J51" s="449" t="n">
        <v>0</v>
      </c>
    </row>
    <row r="52">
      <c r="B52" s="383" t="inlineStr">
        <is>
          <t>Pretax profit</t>
        </is>
      </c>
      <c r="C52" s="450" t="n">
        <v>531.3000000000003</v>
      </c>
      <c r="D52" s="450" t="n">
        <v>529.9999999999999</v>
      </c>
      <c r="E52" s="450" t="n">
        <v>427.9000000000003</v>
      </c>
      <c r="F52" s="450" t="n">
        <v>197.6677247126019</v>
      </c>
      <c r="G52" s="450" t="n">
        <v>284.7778260029322</v>
      </c>
      <c r="H52" s="450" t="n">
        <v>378.813008490489</v>
      </c>
      <c r="I52" s="450" t="n">
        <v>479.2703498042181</v>
      </c>
      <c r="J52" s="450" t="n">
        <v>596.382663328335</v>
      </c>
    </row>
    <row r="53">
      <c r="B53" t="inlineStr">
        <is>
          <t>Taxes (enter expense as -)</t>
        </is>
      </c>
      <c r="C53" s="449" t="n">
        <v>-75.09999999999999</v>
      </c>
      <c r="D53" s="449" t="n">
        <v>-129</v>
      </c>
      <c r="E53" s="449" t="n">
        <v>-96.90000000000001</v>
      </c>
      <c r="F53" s="430" t="n">
        <v>-44.76280094566748</v>
      </c>
      <c r="G53" s="430" t="n">
        <v>-64.48929969545246</v>
      </c>
      <c r="H53" s="430" t="n">
        <v>-85.78401617837896</v>
      </c>
      <c r="I53" s="430" t="n">
        <v>-108.5330612199783</v>
      </c>
      <c r="J53" s="430" t="n">
        <v>-135.0537043152971</v>
      </c>
    </row>
    <row r="54">
      <c r="B54" s="383" t="inlineStr">
        <is>
          <t>Net income</t>
        </is>
      </c>
      <c r="C54" s="450" t="n">
        <v>456.2000000000003</v>
      </c>
      <c r="D54" s="450" t="n">
        <v>400.9999999999999</v>
      </c>
      <c r="E54" s="450" t="n">
        <v>331.0000000000003</v>
      </c>
      <c r="F54" s="450" t="n">
        <v>75</v>
      </c>
      <c r="G54" s="450" t="n">
        <v>94.5</v>
      </c>
      <c r="H54" s="450" t="n">
        <v>115.9</v>
      </c>
      <c r="I54" s="450" t="n">
        <v>134.6</v>
      </c>
      <c r="J54" s="450" t="n">
        <v>154.9</v>
      </c>
    </row>
    <row r="55">
      <c r="C55" s="140" t="n"/>
      <c r="D55" s="140" t="n"/>
      <c r="E55" s="140" t="n"/>
      <c r="F55" s="434" t="n"/>
      <c r="G55" s="140" t="n"/>
      <c r="H55" s="140" t="n"/>
      <c r="I55" s="140" t="n"/>
      <c r="J55" s="140" t="n"/>
    </row>
    <row r="56">
      <c r="B56" s="321" t="inlineStr">
        <is>
          <t>EBITDA reconciliation</t>
        </is>
      </c>
      <c r="C56" s="140" t="n"/>
      <c r="D56" s="140" t="n"/>
      <c r="E56" s="140" t="n"/>
      <c r="L56" s="162" t="n"/>
      <c r="M56" s="162" t="n"/>
      <c r="N56" s="162" t="n"/>
      <c r="O56" s="162" t="n"/>
      <c r="P56" s="162" t="n"/>
    </row>
    <row r="57">
      <c r="B57" s="147" t="inlineStr">
        <is>
          <t>EBIT (GAAP)</t>
        </is>
      </c>
      <c r="C57" s="438" t="n">
        <v>532.8000000000003</v>
      </c>
      <c r="D57" s="438" t="n">
        <v>543.8999999999999</v>
      </c>
      <c r="E57" s="438" t="n">
        <v>465.4000000000003</v>
      </c>
      <c r="F57" s="438" t="n">
        <v>493.6803141804108</v>
      </c>
      <c r="G57" s="438" t="n">
        <v>559.8040395999167</v>
      </c>
      <c r="H57" s="438" t="n">
        <v>634.7919640514119</v>
      </c>
      <c r="I57" s="438" t="n">
        <v>709.3122632461741</v>
      </c>
      <c r="J57" s="438" t="n">
        <v>787.9602383046408</v>
      </c>
    </row>
    <row r="58">
      <c r="B58" s="34" t="inlineStr">
        <is>
          <t>Depreciation and amortization</t>
        </is>
      </c>
      <c r="C58" s="449" t="n">
        <v>190</v>
      </c>
      <c r="D58" s="449" t="n">
        <v>224.6</v>
      </c>
      <c r="E58" s="449" t="n">
        <v>229</v>
      </c>
      <c r="F58" s="434" t="n">
        <v>88.3</v>
      </c>
      <c r="G58" s="434" t="n">
        <v>91.8</v>
      </c>
      <c r="H58" s="434" t="n">
        <v>95.5</v>
      </c>
      <c r="I58" s="434" t="n">
        <v>98.3</v>
      </c>
      <c r="J58" s="434" t="n">
        <v>101.3</v>
      </c>
    </row>
    <row r="59">
      <c r="B59" s="34" t="inlineStr">
        <is>
          <t xml:space="preserve">Deal-related D&amp;A </t>
        </is>
      </c>
      <c r="C59" s="449" t="n"/>
      <c r="D59" s="449" t="n"/>
      <c r="E59" s="449" t="n"/>
      <c r="F59" s="430" t="n">
        <v>52.99732208333334</v>
      </c>
      <c r="G59" s="430" t="n">
        <v>52.99732208333334</v>
      </c>
      <c r="H59" s="430" t="n">
        <v>52.99732208333334</v>
      </c>
      <c r="I59" s="430" t="n">
        <v>52.99732208333334</v>
      </c>
      <c r="J59" s="430" t="n">
        <v>52.99732208333334</v>
      </c>
    </row>
    <row r="60">
      <c r="B60" s="34" t="inlineStr">
        <is>
          <t>Stock based compensation</t>
        </is>
      </c>
      <c r="C60" s="449" t="n">
        <v>106.5</v>
      </c>
      <c r="D60" s="449" t="n">
        <v>127.2</v>
      </c>
      <c r="E60" s="449" t="n">
        <v>147.4</v>
      </c>
      <c r="F60" s="434" t="n">
        <v>161.0547368274718</v>
      </c>
      <c r="G60" s="434" t="n">
        <v>162.0820911651659</v>
      </c>
      <c r="H60" s="434" t="n">
        <v>163.6976202897424</v>
      </c>
      <c r="I60" s="434" t="n">
        <v>163.5682893160696</v>
      </c>
      <c r="J60" s="434" t="n">
        <v>162.9165586144626</v>
      </c>
    </row>
    <row r="61">
      <c r="B61" s="34" t="inlineStr">
        <is>
          <t>Restructuring and other nonrecurring charges</t>
        </is>
      </c>
      <c r="C61" s="449" t="n">
        <v>14.3</v>
      </c>
      <c r="D61" s="449" t="n">
        <v>10.8</v>
      </c>
      <c r="E61" s="449" t="n">
        <v>40.9</v>
      </c>
      <c r="F61" s="449" t="n">
        <v>16</v>
      </c>
      <c r="G61" s="449" t="n">
        <v>5</v>
      </c>
      <c r="H61" s="449" t="n">
        <v>5</v>
      </c>
      <c r="I61" s="449" t="n">
        <v>0</v>
      </c>
      <c r="J61" s="449" t="n">
        <v>0</v>
      </c>
    </row>
    <row r="62">
      <c r="B62" s="147" t="inlineStr">
        <is>
          <t>EBITDA</t>
        </is>
      </c>
      <c r="C62" s="450" t="n">
        <v>843.6000000000003</v>
      </c>
      <c r="D62" s="450" t="n">
        <v>906.4999999999999</v>
      </c>
      <c r="E62" s="450" t="n">
        <v>882.7000000000003</v>
      </c>
      <c r="F62" s="450" t="n">
        <v>251.9</v>
      </c>
      <c r="G62" s="450" t="n">
        <v>269.8</v>
      </c>
      <c r="H62" s="450" t="n">
        <v>288.5</v>
      </c>
      <c r="I62" s="450" t="n">
        <v>301.4</v>
      </c>
      <c r="J62" s="450" t="n">
        <v>314.7</v>
      </c>
    </row>
    <row r="63">
      <c r="B63" s="193" t="n"/>
    </row>
    <row r="64">
      <c r="B64" s="321" t="inlineStr">
        <is>
          <t>Growth rates &amp; margins</t>
        </is>
      </c>
      <c r="F64" s="434" t="n"/>
      <c r="K64" s="195" t="inlineStr">
        <is>
          <t>Step</t>
        </is>
      </c>
    </row>
    <row r="65">
      <c r="B65" s="73" t="inlineStr">
        <is>
          <t>Revenue growth</t>
        </is>
      </c>
      <c r="C65" s="435" t="n"/>
      <c r="D65" s="435" t="n">
        <v>0.05166319663002938</v>
      </c>
      <c r="E65" s="435" t="n">
        <v>0.01353591160221002</v>
      </c>
      <c r="F65" s="441" t="n">
        <v>0.03</v>
      </c>
      <c r="G65" s="441" t="n">
        <v>0.04</v>
      </c>
      <c r="H65" s="441" t="n">
        <v>0.04</v>
      </c>
      <c r="I65" s="441" t="n">
        <v>0.03</v>
      </c>
      <c r="J65" s="441" t="n">
        <v>0.03</v>
      </c>
      <c r="K65" s="441" t="n"/>
    </row>
    <row r="66">
      <c r="B66" s="73" t="inlineStr">
        <is>
          <t>Gross profit as % of sales</t>
        </is>
      </c>
      <c r="C66" s="435" t="n">
        <v>0.7650704498135864</v>
      </c>
      <c r="D66" s="435" t="n">
        <v>0.7380755064456721</v>
      </c>
      <c r="E66" s="435" t="n">
        <v>0.7310802216771146</v>
      </c>
      <c r="F66" s="451" t="n">
        <v>0.7447420593121242</v>
      </c>
      <c r="G66" s="451" t="n">
        <v>0.7497420593121242</v>
      </c>
      <c r="H66" s="451" t="n">
        <v>0.7547420593121242</v>
      </c>
      <c r="I66" s="451" t="n">
        <v>0.7597420593121242</v>
      </c>
      <c r="J66" s="451" t="n">
        <v>0.7647420593121242</v>
      </c>
      <c r="K66" s="441" t="n">
        <v>0.005</v>
      </c>
    </row>
    <row r="67">
      <c r="B67" s="73" t="inlineStr">
        <is>
          <t>R&amp;D margin</t>
        </is>
      </c>
      <c r="C67" s="435" t="n">
        <v>0.08792911441437078</v>
      </c>
      <c r="D67" s="435" t="n">
        <v>0.07605893186003683</v>
      </c>
      <c r="E67" s="435" t="n">
        <v>0.07931316434995911</v>
      </c>
      <c r="F67" s="451" t="n">
        <v>0.08110040354145558</v>
      </c>
      <c r="G67" s="451" t="n">
        <v>0.08110040354145558</v>
      </c>
      <c r="H67" s="451" t="n">
        <v>0.08110040354145558</v>
      </c>
      <c r="I67" s="451" t="n">
        <v>0.08110040354145558</v>
      </c>
      <c r="J67" s="451" t="n">
        <v>0.08110040354145558</v>
      </c>
      <c r="K67" s="441" t="n">
        <v>0</v>
      </c>
    </row>
    <row r="68">
      <c r="B68" s="73" t="inlineStr">
        <is>
          <t>SG&amp;A margin</t>
        </is>
      </c>
      <c r="C68" s="435" t="n">
        <v>0.4191642860601364</v>
      </c>
      <c r="D68" s="435" t="n">
        <v>0.4116022099447514</v>
      </c>
      <c r="E68" s="435" t="n">
        <v>0.4403561370037248</v>
      </c>
      <c r="F68" s="451" t="n">
        <v>0.4808</v>
      </c>
      <c r="G68" s="451" t="n">
        <v>0.4748</v>
      </c>
      <c r="H68" s="451" t="n">
        <v>0.4689</v>
      </c>
      <c r="I68" s="451" t="n">
        <v>0.4659</v>
      </c>
      <c r="J68" s="451" t="n">
        <v>0.4629</v>
      </c>
      <c r="K68" s="441" t="n">
        <v>-0.01</v>
      </c>
    </row>
    <row r="69">
      <c r="B69" s="73" t="inlineStr">
        <is>
          <t>Tax rate</t>
        </is>
      </c>
      <c r="C69" s="435" t="n">
        <v>0.1413514022209673</v>
      </c>
      <c r="D69" s="435" t="n">
        <v>0.2433962264150944</v>
      </c>
      <c r="E69" s="435" t="n">
        <v>0.2264547791540078</v>
      </c>
      <c r="F69" s="441" t="n">
        <v>0.2264547791540078</v>
      </c>
      <c r="G69" s="451" t="n">
        <v>0.2264547791540078</v>
      </c>
      <c r="H69" s="451" t="n">
        <v>0.2264547791540078</v>
      </c>
      <c r="I69" s="451" t="n">
        <v>0.2264547791540078</v>
      </c>
      <c r="J69" s="451" t="n">
        <v>0.2264547791540078</v>
      </c>
      <c r="K69" s="441" t="n">
        <v>0</v>
      </c>
    </row>
    <row r="70">
      <c r="B70" s="73" t="inlineStr">
        <is>
          <t>SBC as % of all operating expenses</t>
        </is>
      </c>
      <c r="C70" s="435" t="n">
        <v>0.06949429037520391</v>
      </c>
      <c r="D70" s="435" t="n">
        <v>0.078127879122904</v>
      </c>
      <c r="E70" s="435" t="n">
        <v>0.08490783410138249</v>
      </c>
      <c r="F70" s="441" t="n">
        <v>0.093</v>
      </c>
      <c r="G70" s="451" t="n">
        <v>0.0905</v>
      </c>
      <c r="H70" s="451" t="n">
        <v>0.08799999999999999</v>
      </c>
      <c r="I70" s="451" t="n">
        <v>0.08549999999999999</v>
      </c>
      <c r="J70" s="451" t="n">
        <v>0.08299999999999999</v>
      </c>
      <c r="K70" s="441" t="n">
        <v>-0.0025</v>
      </c>
    </row>
    <row r="71">
      <c r="B71" s="193" t="n"/>
      <c r="C71" s="36" t="n"/>
      <c r="D71" s="36" t="n"/>
      <c r="E71" s="36" t="n"/>
      <c r="F71" s="36" t="n"/>
      <c r="G71" s="36" t="n"/>
      <c r="H71" s="36" t="n"/>
      <c r="I71" s="36" t="n"/>
      <c r="J71" s="36" t="n"/>
    </row>
    <row r="72">
      <c r="B72" s="312" t="inlineStr">
        <is>
          <t>WORKING CAPITAL</t>
        </is>
      </c>
      <c r="C72" s="311" t="n"/>
      <c r="D72" s="311" t="n"/>
      <c r="E72" s="311" t="n"/>
      <c r="F72" s="311" t="n"/>
      <c r="G72" s="311" t="n"/>
      <c r="H72" s="311" t="n"/>
      <c r="I72" s="311" t="n"/>
      <c r="J72" s="311" t="n"/>
    </row>
    <row r="73">
      <c r="B73" t="inlineStr">
        <is>
          <t xml:space="preserve">Fiscal year  </t>
        </is>
      </c>
      <c r="C73" s="36" t="n"/>
      <c r="D73" s="270" t="n">
        <v>2012</v>
      </c>
      <c r="E73" s="270" t="n">
        <v>2013</v>
      </c>
      <c r="F73" s="157" t="n">
        <v>2014</v>
      </c>
      <c r="G73" s="157" t="n">
        <v>2015</v>
      </c>
      <c r="H73" s="157" t="n">
        <v>2016</v>
      </c>
      <c r="I73" s="157" t="n">
        <v>2017</v>
      </c>
      <c r="J73" s="157" t="n">
        <v>2018</v>
      </c>
    </row>
    <row r="74">
      <c r="B74" s="18" t="inlineStr">
        <is>
          <t>Fiscal year end date</t>
        </is>
      </c>
      <c r="C74" s="311" t="n"/>
      <c r="D74" s="20" t="n">
        <v>40999</v>
      </c>
      <c r="E74" s="20" t="n">
        <v>41364</v>
      </c>
      <c r="F74" s="20" t="n">
        <v>41729</v>
      </c>
      <c r="G74" s="20" t="n">
        <v>42094</v>
      </c>
      <c r="H74" s="20" t="n">
        <v>42460</v>
      </c>
      <c r="I74" s="20" t="n">
        <v>42825</v>
      </c>
      <c r="J74" s="20" t="n">
        <v>43190</v>
      </c>
    </row>
    <row r="75">
      <c r="B75" s="100" t="n"/>
      <c r="C75" s="36" t="n"/>
      <c r="D75" s="36" t="n"/>
      <c r="E75" s="36" t="n"/>
      <c r="F75" s="36" t="n"/>
      <c r="G75" s="36" t="n"/>
      <c r="H75" s="36" t="n"/>
      <c r="I75" s="36" t="n"/>
      <c r="J75" s="36" t="n"/>
    </row>
    <row r="76">
      <c r="B76" s="193" t="inlineStr">
        <is>
          <t>Accounts receivable, EOP</t>
        </is>
      </c>
      <c r="C76" s="452" t="n"/>
      <c r="D76" s="453" t="n">
        <v>484.8</v>
      </c>
      <c r="E76" s="453" t="n">
        <v>443.7</v>
      </c>
      <c r="F76" s="438" t="n">
        <v>459.2295</v>
      </c>
      <c r="G76" s="438" t="n">
        <v>484.4871225</v>
      </c>
      <c r="H76" s="438" t="n">
        <v>513.5563498500001</v>
      </c>
      <c r="I76" s="438" t="n">
        <v>539.2341673425001</v>
      </c>
      <c r="J76" s="438" t="n">
        <v>565.1174073749401</v>
      </c>
    </row>
    <row r="77">
      <c r="B77" s="82" t="inlineStr">
        <is>
          <t>AR as % of sales</t>
        </is>
      </c>
      <c r="C77" s="435" t="n"/>
      <c r="D77" s="435" t="n">
        <v>0.2232044198895027</v>
      </c>
      <c r="E77" s="435" t="n">
        <v>0.2015535568274734</v>
      </c>
      <c r="F77" s="441" t="n">
        <v>0.2015535568274734</v>
      </c>
      <c r="G77" s="441" t="n">
        <v>0.2015535568274734</v>
      </c>
      <c r="H77" s="441" t="n">
        <v>0.2015535568274734</v>
      </c>
      <c r="I77" s="441" t="n">
        <v>0.2015535568274734</v>
      </c>
      <c r="J77" s="441" t="n">
        <v>0.2015535568274734</v>
      </c>
    </row>
    <row r="78">
      <c r="B78" s="193" t="inlineStr">
        <is>
          <t>Other current assets, EOP</t>
        </is>
      </c>
      <c r="C78" s="452" t="n"/>
      <c r="D78" s="453" t="n">
        <v>195.1</v>
      </c>
      <c r="E78" s="453" t="n">
        <v>213.1</v>
      </c>
      <c r="F78" s="438" t="n">
        <v>220.5585</v>
      </c>
      <c r="G78" s="438" t="n">
        <v>232.6892175</v>
      </c>
      <c r="H78" s="438" t="n">
        <v>246.65057055</v>
      </c>
      <c r="I78" s="438" t="n">
        <v>258.9830990775</v>
      </c>
      <c r="J78" s="438" t="n">
        <v>271.41428783322</v>
      </c>
    </row>
    <row r="79">
      <c r="B79" s="82" t="inlineStr">
        <is>
          <t>Other current assets as % of sales</t>
        </is>
      </c>
      <c r="C79" s="435" t="n"/>
      <c r="D79" s="435" t="n">
        <v>0.08982504604051565</v>
      </c>
      <c r="E79" s="435" t="n">
        <v>0.09680203506859271</v>
      </c>
      <c r="F79" s="441" t="n">
        <v>0.09680203506859271</v>
      </c>
      <c r="G79" s="441" t="n">
        <v>0.09680203506859271</v>
      </c>
      <c r="H79" s="441" t="n">
        <v>0.09680203506859271</v>
      </c>
      <c r="I79" s="441" t="n">
        <v>0.09680203506859271</v>
      </c>
      <c r="J79" s="441" t="n">
        <v>0.09680203506859271</v>
      </c>
    </row>
    <row r="80">
      <c r="B80" s="193" t="inlineStr">
        <is>
          <t>Accounts payable, EOP</t>
        </is>
      </c>
      <c r="C80" s="452" t="n"/>
      <c r="D80" s="453" t="n">
        <v>32.7</v>
      </c>
      <c r="E80" s="453" t="n">
        <v>42.1</v>
      </c>
      <c r="F80" s="438" t="n">
        <v>41.35985068829212</v>
      </c>
      <c r="G80" s="438" t="n">
        <v>42.77992582446322</v>
      </c>
      <c r="H80" s="438" t="n">
        <v>44.44072172314495</v>
      </c>
      <c r="I80" s="438" t="n">
        <v>45.71145817597682</v>
      </c>
      <c r="J80" s="438" t="n">
        <v>46.90864615269874</v>
      </c>
    </row>
    <row r="81">
      <c r="B81" s="82" t="inlineStr">
        <is>
          <t>AP as % of COGS</t>
        </is>
      </c>
      <c r="C81" s="435" t="n"/>
      <c r="D81" s="435" t="n">
        <v>0.05747934610652136</v>
      </c>
      <c r="E81" s="435" t="n">
        <v>0.07111486486486487</v>
      </c>
      <c r="F81" s="441" t="n">
        <v>0.07111486486486487</v>
      </c>
      <c r="G81" s="441" t="n">
        <v>0.07111486486486487</v>
      </c>
      <c r="H81" s="441" t="n">
        <v>0.07111486486486487</v>
      </c>
      <c r="I81" s="441" t="n">
        <v>0.07111486486486487</v>
      </c>
      <c r="J81" s="441" t="n">
        <v>0.07111486486486487</v>
      </c>
    </row>
    <row r="82">
      <c r="B82" s="193" t="inlineStr">
        <is>
          <t>Accrued expenses &amp; def revenues, EOP</t>
        </is>
      </c>
      <c r="C82" s="454" t="n"/>
      <c r="D82" s="453" t="n">
        <v>2313.3</v>
      </c>
      <c r="E82" s="453" t="n">
        <v>2301.7</v>
      </c>
      <c r="F82" s="438" t="n">
        <v>2382.2595</v>
      </c>
      <c r="G82" s="438" t="n">
        <v>2513.283772499999</v>
      </c>
      <c r="H82" s="438" t="n">
        <v>2664.08079885</v>
      </c>
      <c r="I82" s="438" t="n">
        <v>2797.2848387925</v>
      </c>
      <c r="J82" s="438" t="n">
        <v>2931.55451105454</v>
      </c>
    </row>
    <row r="83">
      <c r="B83" s="82" t="inlineStr">
        <is>
          <t>As % of sales</t>
        </is>
      </c>
      <c r="C83" s="435" t="n"/>
      <c r="D83" s="435" t="n">
        <v>1.065055248618785</v>
      </c>
      <c r="E83" s="451" t="n">
        <v>1.045561915144908</v>
      </c>
      <c r="F83" s="431" t="n">
        <v>1.045561915144908</v>
      </c>
      <c r="G83" s="431" t="n">
        <v>1.045561915144908</v>
      </c>
      <c r="H83" s="431" t="n">
        <v>1.045561915144908</v>
      </c>
      <c r="I83" s="431" t="n">
        <v>1.045561915144908</v>
      </c>
      <c r="J83" s="431" t="n">
        <v>1.045561915144908</v>
      </c>
    </row>
    <row r="84">
      <c r="B84" s="82" t="n"/>
      <c r="C84" s="435" t="n"/>
      <c r="D84" s="435" t="n"/>
      <c r="E84" s="451" t="n"/>
    </row>
    <row r="85">
      <c r="B85" s="202" t="inlineStr">
        <is>
          <t>Net Working Capital</t>
        </is>
      </c>
      <c r="C85" s="100" t="n"/>
      <c r="D85" s="455" t="n">
        <v>-1666.1</v>
      </c>
      <c r="E85" s="455" t="n">
        <v>-1687</v>
      </c>
      <c r="F85" s="434" t="n">
        <v>-1743.831350688292</v>
      </c>
      <c r="G85" s="434" t="n">
        <v>-1838.887358324463</v>
      </c>
      <c r="H85" s="434" t="n">
        <v>-1948.314600173145</v>
      </c>
      <c r="I85" s="434" t="n">
        <v>-2044.779030548477</v>
      </c>
      <c r="J85" s="434" t="n">
        <v>-2141.931461999079</v>
      </c>
    </row>
    <row r="86">
      <c r="D86" s="228" t="n"/>
      <c r="E86" s="228" t="n"/>
      <c r="F86" s="140" t="n"/>
      <c r="G86" s="140" t="n"/>
      <c r="H86" s="140" t="n"/>
      <c r="I86" s="140" t="n"/>
      <c r="J86" s="140" t="n"/>
    </row>
    <row r="87">
      <c r="B87" s="312" t="inlineStr">
        <is>
          <t>LONG LIVED ASSETS</t>
        </is>
      </c>
      <c r="C87" s="456" t="n"/>
      <c r="D87" s="456" t="n"/>
      <c r="E87" s="456" t="n"/>
      <c r="F87" s="142" t="n"/>
      <c r="G87" s="142" t="n"/>
      <c r="H87" s="142" t="n"/>
      <c r="I87" s="142" t="n"/>
      <c r="J87" s="142" t="n"/>
    </row>
    <row r="88">
      <c r="B88" t="inlineStr">
        <is>
          <t xml:space="preserve">Fiscal year  </t>
        </is>
      </c>
      <c r="C88" s="270" t="n">
        <v>2011</v>
      </c>
      <c r="D88" s="270" t="n">
        <v>2012</v>
      </c>
      <c r="E88" s="270" t="n">
        <v>2013</v>
      </c>
      <c r="F88" s="157" t="n">
        <v>2014</v>
      </c>
      <c r="G88" s="157" t="n">
        <v>2015</v>
      </c>
      <c r="H88" s="157" t="n">
        <v>2016</v>
      </c>
      <c r="I88" s="157" t="n">
        <v>2017</v>
      </c>
      <c r="J88" s="157" t="n">
        <v>2018</v>
      </c>
    </row>
    <row r="89">
      <c r="B89" s="18" t="inlineStr">
        <is>
          <t>Fiscal year end date</t>
        </is>
      </c>
      <c r="C89" s="20" t="n">
        <v>40633</v>
      </c>
      <c r="D89" s="20" t="n">
        <v>40999</v>
      </c>
      <c r="E89" s="20" t="n">
        <v>41364</v>
      </c>
      <c r="F89" s="20" t="n">
        <v>41729</v>
      </c>
      <c r="G89" s="20" t="n">
        <v>42094</v>
      </c>
      <c r="H89" s="20" t="n">
        <v>42460</v>
      </c>
      <c r="I89" s="20" t="n">
        <v>42825</v>
      </c>
      <c r="J89" s="20" t="n">
        <v>43190</v>
      </c>
    </row>
    <row r="90">
      <c r="B90" s="145" t="n"/>
    </row>
    <row r="91">
      <c r="B91" s="193" t="inlineStr">
        <is>
          <t>PP&amp;E</t>
        </is>
      </c>
      <c r="C91" s="383" t="n"/>
      <c r="D91" s="453" t="n">
        <v>87.8</v>
      </c>
      <c r="E91" s="453" t="n">
        <v>85.2</v>
      </c>
      <c r="F91" s="438" t="n">
        <v>73.14448979591836</v>
      </c>
      <c r="G91" s="438" t="n">
        <v>63.4073469387755</v>
      </c>
      <c r="H91" s="438" t="n">
        <v>56.45224489795918</v>
      </c>
      <c r="I91" s="438" t="n">
        <v>53.09061224489797</v>
      </c>
      <c r="J91" s="438" t="n">
        <v>53.09061224489798</v>
      </c>
      <c r="L91" s="438" t="n"/>
    </row>
    <row r="92">
      <c r="B92" s="143" t="inlineStr">
        <is>
          <t>Capital expenditures</t>
        </is>
      </c>
      <c r="C92" s="449" t="n">
        <v>22</v>
      </c>
      <c r="D92" s="449" t="n">
        <v>26.5</v>
      </c>
      <c r="E92" s="449" t="n">
        <v>24.5</v>
      </c>
      <c r="F92" s="449" t="n">
        <v>26</v>
      </c>
      <c r="G92" s="449" t="n">
        <v>28</v>
      </c>
      <c r="H92" s="449" t="n">
        <v>30</v>
      </c>
      <c r="I92" s="449" t="n">
        <v>29</v>
      </c>
      <c r="J92" s="449" t="n">
        <v>31</v>
      </c>
      <c r="L92" s="434" t="n"/>
    </row>
    <row r="93">
      <c r="B93" s="143" t="inlineStr">
        <is>
          <t>Depreciation</t>
        </is>
      </c>
      <c r="C93" s="449" t="n">
        <v>-39.1</v>
      </c>
      <c r="D93" s="449" t="n">
        <v>-37.8</v>
      </c>
      <c r="E93" s="449" t="n">
        <v>-38.7</v>
      </c>
      <c r="F93" s="430" t="n">
        <v>-38.05551020408164</v>
      </c>
      <c r="G93" s="430" t="n">
        <v>-37.73714285714286</v>
      </c>
      <c r="H93" s="430" t="n">
        <v>-36.95510204081632</v>
      </c>
      <c r="I93" s="430" t="n">
        <v>-32.36163265306122</v>
      </c>
      <c r="J93" s="430" t="n">
        <v>-30.99999999999999</v>
      </c>
      <c r="K93" s="195" t="inlineStr">
        <is>
          <t>Smoothing?</t>
        </is>
      </c>
      <c r="L93" s="434" t="n"/>
    </row>
    <row r="94">
      <c r="B94" s="145" t="inlineStr">
        <is>
          <t>Capex as a % of revenue</t>
        </is>
      </c>
      <c r="C94" s="451" t="n">
        <v>0.01065220549072774</v>
      </c>
      <c r="D94" s="451" t="n">
        <v>0.01220073664825046</v>
      </c>
      <c r="E94" s="451" t="n">
        <v>0.0111292813664032</v>
      </c>
      <c r="F94" s="451" t="n">
        <v>0.01141127143947484</v>
      </c>
      <c r="G94" s="451" t="n">
        <v>0.01164839957365277</v>
      </c>
      <c r="H94" s="451" t="n">
        <v>0.01177398878738487</v>
      </c>
      <c r="I94" s="451" t="n">
        <v>0.01083954523283052</v>
      </c>
      <c r="J94" s="451" t="n">
        <v>0.01105639320274237</v>
      </c>
      <c r="K94" s="457" t="inlineStr">
        <is>
          <t>Yes</t>
        </is>
      </c>
    </row>
    <row r="95">
      <c r="B95" s="145" t="inlineStr">
        <is>
          <t>Depreciation as a % of capex</t>
        </is>
      </c>
      <c r="C95" s="458" t="n">
        <v>1.777272727272727</v>
      </c>
      <c r="D95" s="458" t="n">
        <v>1.426415094339623</v>
      </c>
      <c r="E95" s="458" t="n">
        <v>1.579591836734694</v>
      </c>
      <c r="F95" s="458" t="n">
        <v>1.463673469387755</v>
      </c>
      <c r="G95" s="458" t="n">
        <v>1.347755102040816</v>
      </c>
      <c r="H95" s="458" t="n">
        <v>1.231836734693877</v>
      </c>
      <c r="I95" s="458" t="n">
        <v>1.115918367346939</v>
      </c>
      <c r="J95" s="458" t="n">
        <v>0.9999999999999998</v>
      </c>
      <c r="K95" s="459" t="n">
        <v>-0.1159183673469388</v>
      </c>
    </row>
    <row r="96">
      <c r="B96" s="145" t="n"/>
      <c r="C96" s="458" t="n"/>
      <c r="D96" s="458" t="n"/>
      <c r="E96" s="458" t="n"/>
    </row>
    <row r="97">
      <c r="B97" s="193" t="inlineStr">
        <is>
          <t>Software development costs</t>
        </is>
      </c>
      <c r="C97" s="57" t="n"/>
      <c r="D97" s="453" t="n">
        <v>244.7</v>
      </c>
      <c r="E97" s="453" t="n">
        <v>271.4</v>
      </c>
      <c r="F97" s="438" t="n">
        <v>286.5086419753086</v>
      </c>
      <c r="G97" s="438" t="n">
        <v>297.6447530864197</v>
      </c>
      <c r="H97" s="438" t="n">
        <v>305.199074074074</v>
      </c>
      <c r="I97" s="438" t="n">
        <v>309.3669753086419</v>
      </c>
      <c r="J97" s="438" t="n">
        <v>309.3669753086418</v>
      </c>
    </row>
    <row r="98">
      <c r="B98" s="143" t="inlineStr">
        <is>
          <t>Purchases</t>
        </is>
      </c>
      <c r="C98" s="449" t="n">
        <v>115.8</v>
      </c>
      <c r="D98" s="449" t="n">
        <v>132.5</v>
      </c>
      <c r="E98" s="449" t="n">
        <v>129.6</v>
      </c>
      <c r="F98" s="449" t="n">
        <v>116</v>
      </c>
      <c r="G98" s="449" t="n">
        <v>114</v>
      </c>
      <c r="H98" s="449" t="n">
        <v>116</v>
      </c>
      <c r="I98" s="449" t="n">
        <v>128</v>
      </c>
      <c r="J98" s="449" t="n">
        <v>135</v>
      </c>
    </row>
    <row r="99">
      <c r="B99" s="143" t="inlineStr">
        <is>
          <t>Amortization</t>
        </is>
      </c>
      <c r="C99" s="449" t="n">
        <v>-75.7</v>
      </c>
      <c r="D99" s="449" t="n">
        <v>-93.59999999999999</v>
      </c>
      <c r="E99" s="449" t="n">
        <v>-108.5</v>
      </c>
      <c r="F99" s="434" t="n">
        <v>-100.8913580246914</v>
      </c>
      <c r="G99" s="434" t="n">
        <v>-102.8638888888889</v>
      </c>
      <c r="H99" s="434" t="n">
        <v>-108.4456790123457</v>
      </c>
      <c r="I99" s="434" t="n">
        <v>-123.8320987654321</v>
      </c>
      <c r="J99" s="434" t="n">
        <v>-135</v>
      </c>
      <c r="K99" s="195" t="inlineStr">
        <is>
          <t>Smoothing?</t>
        </is>
      </c>
    </row>
    <row r="100">
      <c r="B100" s="145" t="inlineStr">
        <is>
          <t>Purchases as % of revenue</t>
        </is>
      </c>
      <c r="C100" s="451" t="n">
        <v>0.05606933617392146</v>
      </c>
      <c r="D100" s="451" t="n">
        <v>0.0610036832412523</v>
      </c>
      <c r="E100" s="451" t="n">
        <v>0.0588716271463614</v>
      </c>
      <c r="F100" s="435" t="n">
        <v>0.05091182642227234</v>
      </c>
      <c r="G100" s="435" t="n">
        <v>0.04742562683558627</v>
      </c>
      <c r="H100" s="435" t="n">
        <v>0.04552608997788817</v>
      </c>
      <c r="I100" s="435" t="n">
        <v>0.04784350999318297</v>
      </c>
      <c r="J100" s="435" t="n">
        <v>0.04814880910871675</v>
      </c>
      <c r="K100" s="457" t="inlineStr">
        <is>
          <t>Yes</t>
        </is>
      </c>
    </row>
    <row r="101">
      <c r="B101" s="145" t="inlineStr">
        <is>
          <t>Amortization as a % of purchases</t>
        </is>
      </c>
      <c r="C101" s="458" t="n">
        <v>0.653713298791019</v>
      </c>
      <c r="D101" s="458" t="n">
        <v>0.7064150943396226</v>
      </c>
      <c r="E101" s="458" t="n">
        <v>0.8371913580246914</v>
      </c>
      <c r="F101" s="458" t="n">
        <v>0.8697530864197531</v>
      </c>
      <c r="G101" s="458" t="n">
        <v>0.9023148148148149</v>
      </c>
      <c r="H101" s="458" t="n">
        <v>0.9348765432098767</v>
      </c>
      <c r="I101" s="458" t="n">
        <v>0.9674382716049384</v>
      </c>
      <c r="J101" s="458" t="n">
        <v>1</v>
      </c>
      <c r="K101" s="459" t="n">
        <v>0.03256172839506173</v>
      </c>
    </row>
    <row r="102">
      <c r="B102" s="145" t="n"/>
      <c r="C102" s="458" t="n"/>
      <c r="D102" s="458" t="n"/>
      <c r="E102" s="458" t="n"/>
    </row>
    <row r="103">
      <c r="B103" s="193" t="inlineStr">
        <is>
          <t>Intangible assets</t>
        </is>
      </c>
      <c r="D103" s="453" t="n">
        <v>257.5</v>
      </c>
      <c r="E103" s="453" t="n">
        <v>189.8</v>
      </c>
      <c r="F103" s="438" t="n">
        <v>189.8</v>
      </c>
      <c r="G103" s="438" t="n">
        <v>189.8</v>
      </c>
      <c r="H103" s="438" t="n">
        <v>189.8</v>
      </c>
      <c r="I103" s="438" t="n">
        <v>189.8</v>
      </c>
      <c r="J103" s="438" t="n">
        <v>189.8</v>
      </c>
    </row>
    <row r="104">
      <c r="B104" s="143" t="inlineStr">
        <is>
          <t>Purchases</t>
        </is>
      </c>
      <c r="C104" s="460" t="n">
        <v>0</v>
      </c>
      <c r="D104" s="449" t="n">
        <v>0</v>
      </c>
      <c r="E104" s="449" t="n">
        <v>0</v>
      </c>
      <c r="F104" s="449" t="n">
        <v>85</v>
      </c>
      <c r="G104" s="449" t="n">
        <v>80</v>
      </c>
      <c r="H104" s="449" t="n">
        <v>77</v>
      </c>
      <c r="I104" s="449" t="n">
        <v>68</v>
      </c>
      <c r="J104" s="449" t="n">
        <v>57</v>
      </c>
    </row>
    <row r="105">
      <c r="B105" s="143" t="inlineStr">
        <is>
          <t>Amortization</t>
        </is>
      </c>
      <c r="C105" s="449" t="n">
        <v>-79.09999999999999</v>
      </c>
      <c r="D105" s="449" t="n">
        <v>-97.7</v>
      </c>
      <c r="E105" s="449" t="n">
        <v>-86.90000000000001</v>
      </c>
      <c r="F105" s="449" t="n">
        <v>-85</v>
      </c>
      <c r="G105" s="449" t="n">
        <v>-80</v>
      </c>
      <c r="H105" s="449" t="n">
        <v>-77</v>
      </c>
      <c r="I105" s="449" t="n">
        <v>-68</v>
      </c>
      <c r="J105" s="449" t="n">
        <v>-57</v>
      </c>
    </row>
    <row r="106">
      <c r="B106" s="34" t="n"/>
      <c r="C106" s="434" t="n"/>
      <c r="D106" s="434" t="n"/>
      <c r="E106" s="434" t="n"/>
    </row>
    <row r="107">
      <c r="B107" s="193" t="inlineStr">
        <is>
          <t>Goodwill and other assets</t>
        </is>
      </c>
      <c r="D107" s="453" t="n">
        <v>1940.3</v>
      </c>
      <c r="E107" s="453" t="n">
        <v>1935.2</v>
      </c>
      <c r="F107" s="453" t="n">
        <v>1935.2</v>
      </c>
      <c r="G107" s="453" t="n">
        <v>1935.2</v>
      </c>
      <c r="H107" s="453" t="n">
        <v>1935.2</v>
      </c>
      <c r="I107" s="453" t="n">
        <v>1935.2</v>
      </c>
      <c r="J107" s="453" t="n">
        <v>1935.2</v>
      </c>
    </row>
    <row r="108">
      <c r="B108" s="193" t="n"/>
      <c r="D108" s="453" t="n"/>
      <c r="E108" s="453" t="n"/>
      <c r="F108" s="453" t="n"/>
      <c r="G108" s="453" t="n"/>
      <c r="H108" s="453" t="n"/>
      <c r="I108" s="453" t="n"/>
      <c r="J108" s="453" t="n"/>
    </row>
    <row r="109">
      <c r="B109" s="193" t="inlineStr">
        <is>
          <t>Other liabilities</t>
        </is>
      </c>
      <c r="D109" s="453" t="n">
        <v>232.4</v>
      </c>
      <c r="E109" s="453" t="n">
        <v>252</v>
      </c>
      <c r="F109" s="450" t="n">
        <v>252</v>
      </c>
      <c r="G109" s="450" t="n">
        <v>252</v>
      </c>
      <c r="H109" s="450" t="n">
        <v>252</v>
      </c>
      <c r="I109" s="450" t="n">
        <v>252</v>
      </c>
      <c r="J109" s="450" t="n">
        <v>252</v>
      </c>
    </row>
    <row r="110">
      <c r="B110" s="34" t="n"/>
      <c r="C110" s="228" t="n"/>
      <c r="D110" s="228" t="n"/>
      <c r="E110" s="228" t="n"/>
      <c r="F110" s="140" t="n"/>
      <c r="G110" s="140" t="n"/>
      <c r="H110" s="140" t="n"/>
      <c r="I110" s="140" t="n"/>
      <c r="J110" s="140" t="n"/>
    </row>
    <row r="111">
      <c r="B111" s="317" t="inlineStr">
        <is>
          <t>CASH FLOW STATEMENT</t>
        </is>
      </c>
      <c r="C111" s="20" t="n"/>
      <c r="D111" s="20" t="n"/>
      <c r="E111" s="20" t="n"/>
      <c r="F111" s="20" t="n"/>
      <c r="G111" s="20" t="n"/>
      <c r="H111" s="20" t="n"/>
      <c r="I111" s="20" t="n"/>
      <c r="J111" s="20" t="n"/>
    </row>
    <row r="112">
      <c r="B112" s="43" t="inlineStr">
        <is>
          <t xml:space="preserve">Fiscal year  </t>
        </is>
      </c>
      <c r="C112" s="37" t="n"/>
      <c r="D112" s="37" t="n"/>
      <c r="E112" s="37" t="n"/>
      <c r="F112" s="38" t="n">
        <v>2014</v>
      </c>
      <c r="G112" s="38" t="n">
        <v>2015</v>
      </c>
      <c r="H112" s="38" t="n">
        <v>2016</v>
      </c>
      <c r="I112" s="38" t="n">
        <v>2017</v>
      </c>
      <c r="J112" s="38" t="n">
        <v>2018</v>
      </c>
    </row>
    <row r="113">
      <c r="B113" s="15" t="inlineStr">
        <is>
          <t>Fiscal year end date</t>
        </is>
      </c>
      <c r="C113" s="39" t="n"/>
      <c r="D113" s="39" t="n"/>
      <c r="E113" s="39" t="n"/>
      <c r="F113" s="39" t="n">
        <v>41729</v>
      </c>
      <c r="G113" s="39" t="n">
        <v>42094</v>
      </c>
      <c r="H113" s="39" t="n">
        <v>42460</v>
      </c>
      <c r="I113" s="39" t="n">
        <v>42825</v>
      </c>
      <c r="J113" s="39" t="n">
        <v>43190</v>
      </c>
    </row>
    <row r="115">
      <c r="B115" t="inlineStr">
        <is>
          <t>Net income</t>
        </is>
      </c>
      <c r="C115" s="55" t="n"/>
      <c r="D115" s="55" t="n"/>
      <c r="E115" s="55" t="n"/>
      <c r="F115" s="434" t="n">
        <v>152.9049237669344</v>
      </c>
      <c r="G115" s="434" t="n">
        <v>220.2885263074797</v>
      </c>
      <c r="H115" s="434" t="n">
        <v>293.02899231211</v>
      </c>
      <c r="I115" s="434" t="n">
        <v>370.7372885842398</v>
      </c>
      <c r="J115" s="434" t="n">
        <v>461.3289590130379</v>
      </c>
    </row>
    <row r="116">
      <c r="B116" t="inlineStr">
        <is>
          <t>Depreciation and amortization</t>
        </is>
      </c>
      <c r="C116" s="55" t="n"/>
      <c r="D116" s="55" t="n"/>
      <c r="E116" s="55" t="n"/>
      <c r="F116" s="461" t="n">
        <v>223.946868228773</v>
      </c>
      <c r="G116" s="461" t="n">
        <v>220.6010317460318</v>
      </c>
      <c r="H116" s="461" t="n">
        <v>222.400781053162</v>
      </c>
      <c r="I116" s="461" t="n">
        <v>224.1937314184933</v>
      </c>
      <c r="J116" s="461" t="n">
        <v>223</v>
      </c>
    </row>
    <row r="117">
      <c r="B117" s="73" t="inlineStr">
        <is>
          <t xml:space="preserve">Deal-related D&amp;A </t>
        </is>
      </c>
      <c r="C117" s="55" t="n"/>
      <c r="D117" s="55" t="n"/>
      <c r="E117" s="55" t="n"/>
      <c r="F117" s="461" t="n">
        <v>52.99732208333334</v>
      </c>
      <c r="G117" s="461" t="n">
        <v>52.99732208333334</v>
      </c>
      <c r="H117" s="461" t="n">
        <v>52.99732208333334</v>
      </c>
      <c r="I117" s="461" t="n">
        <v>52.99732208333334</v>
      </c>
      <c r="J117" s="461" t="n">
        <v>52.99732208333334</v>
      </c>
    </row>
    <row r="118">
      <c r="B118" t="inlineStr">
        <is>
          <t>Stock based compensation</t>
        </is>
      </c>
      <c r="C118" s="55" t="n"/>
      <c r="D118" s="55" t="n"/>
      <c r="E118" s="55" t="n"/>
      <c r="F118" s="434" t="n">
        <v>161.0547368274718</v>
      </c>
      <c r="G118" s="434" t="n">
        <v>162.0820911651659</v>
      </c>
      <c r="H118" s="434" t="n">
        <v>163.6976202897424</v>
      </c>
      <c r="I118" s="434" t="n">
        <v>163.5682893160696</v>
      </c>
      <c r="J118" s="434" t="n">
        <v>162.9165586144626</v>
      </c>
    </row>
    <row r="119">
      <c r="B119" t="inlineStr">
        <is>
          <t>Changes in net working capital</t>
        </is>
      </c>
      <c r="C119" s="140" t="n"/>
      <c r="D119" s="140" t="n"/>
      <c r="E119" s="140" t="n"/>
      <c r="F119" s="434" t="n">
        <v>56.83135068829188</v>
      </c>
      <c r="G119" s="434" t="n">
        <v>95.05600763617076</v>
      </c>
      <c r="H119" s="434" t="n">
        <v>109.4272418486823</v>
      </c>
      <c r="I119" s="434" t="n">
        <v>96.46443037533186</v>
      </c>
      <c r="J119" s="434" t="n">
        <v>97.15243145060185</v>
      </c>
    </row>
    <row r="120">
      <c r="B120" t="inlineStr">
        <is>
          <t>Other assets &amp; liabilities</t>
        </is>
      </c>
      <c r="C120" s="140" t="n"/>
      <c r="D120" s="140" t="n"/>
      <c r="E120" s="140" t="n"/>
      <c r="F120" s="434" t="n">
        <v>0</v>
      </c>
      <c r="G120" s="434" t="n">
        <v>0</v>
      </c>
      <c r="H120" s="434" t="n">
        <v>0</v>
      </c>
      <c r="I120" s="434" t="n">
        <v>0</v>
      </c>
      <c r="J120" s="434" t="n">
        <v>0</v>
      </c>
    </row>
    <row r="121">
      <c r="B121" t="inlineStr">
        <is>
          <t>Changes in deferred tax liabilities</t>
        </is>
      </c>
      <c r="C121" s="140" t="n"/>
      <c r="D121" s="140" t="n"/>
      <c r="E121" s="140" t="n"/>
      <c r="F121" s="434" t="n">
        <v>-9.813040430007005</v>
      </c>
      <c r="G121" s="434" t="n">
        <v>-9.813040430007005</v>
      </c>
      <c r="H121" s="434" t="n">
        <v>-9.813040430007005</v>
      </c>
      <c r="I121" s="434" t="n">
        <v>-9.813040430007005</v>
      </c>
      <c r="J121" s="434" t="n">
        <v>-9.813040430007005</v>
      </c>
    </row>
    <row r="122">
      <c r="B122" t="inlineStr">
        <is>
          <t>Addback of PIK interest</t>
        </is>
      </c>
      <c r="C122" s="140" t="n"/>
      <c r="D122" s="140" t="n"/>
      <c r="E122" s="140" t="n"/>
      <c r="F122" s="434" t="n">
        <v>0</v>
      </c>
      <c r="G122" s="434" t="n">
        <v>0</v>
      </c>
      <c r="H122" s="434" t="n">
        <v>0</v>
      </c>
      <c r="I122" s="434" t="n">
        <v>0</v>
      </c>
      <c r="J122" s="434" t="n">
        <v>0</v>
      </c>
    </row>
    <row r="123">
      <c r="B123" s="383" t="inlineStr">
        <is>
          <t>Cash from operating activities</t>
        </is>
      </c>
      <c r="F123" s="438" t="n">
        <v>637.9221611647974</v>
      </c>
      <c r="G123" s="438" t="n">
        <v>741.2119385081744</v>
      </c>
      <c r="H123" s="438" t="n">
        <v>831.738917157023</v>
      </c>
      <c r="I123" s="438" t="n">
        <v>898.1480213474608</v>
      </c>
      <c r="J123" s="438" t="n">
        <v>987.5822307314286</v>
      </c>
    </row>
    <row r="125">
      <c r="B125" t="inlineStr">
        <is>
          <t>Capital expenditures</t>
        </is>
      </c>
      <c r="F125" s="434" t="n">
        <v>-26</v>
      </c>
      <c r="G125" s="434" t="n">
        <v>-28</v>
      </c>
      <c r="H125" s="434" t="n">
        <v>-30</v>
      </c>
      <c r="I125" s="434" t="n">
        <v>-29</v>
      </c>
      <c r="J125" s="434" t="n">
        <v>-31</v>
      </c>
    </row>
    <row r="126">
      <c r="B126" t="inlineStr">
        <is>
          <t xml:space="preserve">Purchases of intangible assets and capitalized software development costs </t>
        </is>
      </c>
      <c r="F126" s="434" t="n">
        <v>-201</v>
      </c>
      <c r="G126" s="434" t="n">
        <v>-194</v>
      </c>
      <c r="H126" s="434" t="n">
        <v>-193</v>
      </c>
      <c r="I126" s="434" t="n">
        <v>-196</v>
      </c>
      <c r="J126" s="434" t="n">
        <v>-192</v>
      </c>
    </row>
    <row r="127">
      <c r="B127" s="383" t="inlineStr">
        <is>
          <t>Cash from investing activities</t>
        </is>
      </c>
      <c r="F127" s="438" t="n">
        <v>-227</v>
      </c>
      <c r="G127" s="438" t="n">
        <v>-222</v>
      </c>
      <c r="H127" s="438" t="n">
        <v>-223</v>
      </c>
      <c r="I127" s="438" t="n">
        <v>-225</v>
      </c>
      <c r="J127" s="438" t="n">
        <v>-223</v>
      </c>
    </row>
    <row r="129">
      <c r="B129" t="inlineStr">
        <is>
          <t>Required debt principal payments</t>
        </is>
      </c>
      <c r="F129" s="434" t="n">
        <v>-322.1855000000001</v>
      </c>
      <c r="G129" s="434" t="n">
        <v>-177.8640500000001</v>
      </c>
      <c r="H129" s="434" t="n">
        <v>-177.8640500000001</v>
      </c>
      <c r="I129" s="434" t="n">
        <v>-177.8640500000001</v>
      </c>
      <c r="J129" s="434" t="n">
        <v>-177.8640500000001</v>
      </c>
    </row>
    <row r="130">
      <c r="B130" t="inlineStr">
        <is>
          <t>Preferred dividend (cash)</t>
        </is>
      </c>
      <c r="F130" s="434" t="n">
        <v>0</v>
      </c>
      <c r="G130" s="434" t="n">
        <v>0</v>
      </c>
      <c r="H130" s="434" t="n">
        <v>0</v>
      </c>
      <c r="I130" s="434" t="n">
        <v>0</v>
      </c>
      <c r="J130" s="434" t="n">
        <v>0</v>
      </c>
    </row>
    <row r="131">
      <c r="B131" s="203" t="inlineStr">
        <is>
          <t>Pre-revolver cash flows</t>
        </is>
      </c>
      <c r="C131" s="383" t="n"/>
      <c r="D131" s="383" t="n"/>
      <c r="E131" s="383" t="n"/>
      <c r="F131" s="438" t="n">
        <v>88.73666116479734</v>
      </c>
      <c r="G131" s="438" t="n">
        <v>341.3478885081743</v>
      </c>
      <c r="H131" s="438" t="n">
        <v>430.8748671570229</v>
      </c>
      <c r="I131" s="438" t="n">
        <v>495.2839713474607</v>
      </c>
      <c r="J131" s="438" t="n">
        <v>586.7181807314284</v>
      </c>
    </row>
    <row r="132">
      <c r="B132" t="inlineStr">
        <is>
          <t>Revolver</t>
        </is>
      </c>
      <c r="F132" s="434" t="n">
        <v>0</v>
      </c>
      <c r="G132" s="434" t="n">
        <v>0</v>
      </c>
      <c r="H132" s="434" t="n">
        <v>0</v>
      </c>
      <c r="I132" s="434" t="n">
        <v>0</v>
      </c>
      <c r="J132" s="434" t="n">
        <v>0</v>
      </c>
    </row>
    <row r="133">
      <c r="B133" s="203" t="inlineStr">
        <is>
          <t>Post-revolver cash flows</t>
        </is>
      </c>
      <c r="C133" s="383" t="n"/>
      <c r="D133" s="383" t="n"/>
      <c r="E133" s="383" t="n"/>
      <c r="F133" s="438" t="n">
        <v>88.73666116479734</v>
      </c>
      <c r="G133" s="438" t="n">
        <v>341.3478885081743</v>
      </c>
      <c r="H133" s="438" t="n">
        <v>430.8748671570229</v>
      </c>
      <c r="I133" s="438" t="n">
        <v>495.2839713474607</v>
      </c>
      <c r="J133" s="438" t="n">
        <v>586.7181807314284</v>
      </c>
    </row>
    <row r="134">
      <c r="B134" s="73" t="inlineStr">
        <is>
          <t>Discretionary Term A paydown</t>
        </is>
      </c>
      <c r="F134" s="434" t="n">
        <v>-88.73666116479734</v>
      </c>
      <c r="G134" s="434" t="n">
        <v>-341.3478885081743</v>
      </c>
      <c r="H134" s="434" t="n">
        <v>-430.8748671570229</v>
      </c>
      <c r="I134" s="434" t="n">
        <v>-495.2839713474607</v>
      </c>
      <c r="J134" s="434" t="n">
        <v>-586.7181807314284</v>
      </c>
    </row>
    <row r="135">
      <c r="B135" s="73" t="inlineStr">
        <is>
          <t>Discretionary Term B paydown</t>
        </is>
      </c>
      <c r="F135" s="434" t="n">
        <v>0</v>
      </c>
      <c r="G135" s="434" t="n">
        <v>0</v>
      </c>
      <c r="H135" s="434" t="n">
        <v>0</v>
      </c>
      <c r="I135" s="434" t="n">
        <v>0</v>
      </c>
      <c r="J135" s="434" t="n">
        <v>2.273736754432321e-13</v>
      </c>
    </row>
    <row r="136">
      <c r="B136" s="383" t="inlineStr">
        <is>
          <t>Net change in cash during period</t>
        </is>
      </c>
      <c r="F136" s="438" t="n">
        <v>0</v>
      </c>
      <c r="G136" s="438" t="n">
        <v>0</v>
      </c>
      <c r="H136" s="438" t="n">
        <v>0</v>
      </c>
      <c r="I136" s="438" t="n">
        <v>0</v>
      </c>
      <c r="J136" s="438" t="n">
        <v>2.273736754432321e-13</v>
      </c>
    </row>
    <row r="137">
      <c r="B137" s="383" t="n"/>
      <c r="F137" s="57" t="n"/>
      <c r="G137" s="57" t="n"/>
      <c r="H137" s="57" t="n"/>
      <c r="I137" s="57" t="n"/>
      <c r="J137" s="57" t="n"/>
    </row>
    <row r="138">
      <c r="B138" s="312" t="inlineStr">
        <is>
          <t>CASH &amp; DEBT</t>
        </is>
      </c>
      <c r="C138" s="15" t="n"/>
      <c r="D138" s="15" t="n"/>
      <c r="E138" s="15" t="n"/>
      <c r="F138" s="15" t="n"/>
      <c r="G138" s="15" t="n"/>
      <c r="H138" s="15" t="n"/>
      <c r="I138" s="15" t="n"/>
      <c r="J138" s="15" t="n"/>
    </row>
    <row r="139">
      <c r="B139" s="43" t="inlineStr">
        <is>
          <t xml:space="preserve">Fiscal year  </t>
        </is>
      </c>
      <c r="C139" s="37" t="n">
        <v>2011</v>
      </c>
      <c r="D139" s="37" t="n">
        <v>2012</v>
      </c>
      <c r="E139" s="37" t="n">
        <v>2013</v>
      </c>
      <c r="F139" s="38" t="n">
        <v>2014</v>
      </c>
      <c r="G139" s="38" t="n">
        <v>2015</v>
      </c>
      <c r="H139" s="38" t="n">
        <v>2016</v>
      </c>
      <c r="I139" s="38" t="n">
        <v>2017</v>
      </c>
      <c r="J139" s="38" t="n">
        <v>2018</v>
      </c>
    </row>
    <row r="140">
      <c r="B140" s="15" t="inlineStr">
        <is>
          <t>Fiscal year end date</t>
        </is>
      </c>
      <c r="C140" s="39" t="n">
        <v>40633</v>
      </c>
      <c r="D140" s="39" t="n">
        <v>40999</v>
      </c>
      <c r="E140" s="39" t="n">
        <v>41364</v>
      </c>
      <c r="F140" s="39" t="n">
        <v>41729</v>
      </c>
      <c r="G140" s="39" t="n">
        <v>42094</v>
      </c>
      <c r="H140" s="39" t="n">
        <v>42460</v>
      </c>
      <c r="I140" s="39" t="n">
        <v>42825</v>
      </c>
      <c r="J140" s="39" t="n">
        <v>43190</v>
      </c>
    </row>
    <row r="141">
      <c r="B141" s="147" t="n"/>
    </row>
    <row r="142">
      <c r="B142" s="34" t="inlineStr">
        <is>
          <t>Cash, BOP</t>
        </is>
      </c>
      <c r="F142" s="462" t="n">
        <v>180</v>
      </c>
      <c r="G142" s="434" t="n">
        <v>180</v>
      </c>
      <c r="H142" s="434" t="n">
        <v>180</v>
      </c>
      <c r="I142" s="434" t="n">
        <v>180</v>
      </c>
      <c r="J142" s="434" t="n">
        <v>180</v>
      </c>
    </row>
    <row r="143">
      <c r="B143" s="192" t="inlineStr">
        <is>
          <t>Increases / (decreases)</t>
        </is>
      </c>
      <c r="F143" s="434" t="n">
        <v>0</v>
      </c>
      <c r="G143" s="434" t="n">
        <v>0</v>
      </c>
      <c r="H143" s="434" t="n">
        <v>0</v>
      </c>
      <c r="I143" s="434" t="n">
        <v>0</v>
      </c>
      <c r="J143" s="434" t="n">
        <v>2.273736754432321e-13</v>
      </c>
    </row>
    <row r="144">
      <c r="B144" s="193" t="inlineStr">
        <is>
          <t>Cash, EOP</t>
        </is>
      </c>
      <c r="C144" s="383" t="n"/>
      <c r="D144" s="453" t="n">
        <v>1635.6</v>
      </c>
      <c r="E144" s="450" t="n">
        <v>1581.9</v>
      </c>
      <c r="F144" s="438" t="n">
        <v>180</v>
      </c>
      <c r="G144" s="438" t="n">
        <v>180</v>
      </c>
      <c r="H144" s="438" t="n">
        <v>180</v>
      </c>
      <c r="I144" s="438" t="n">
        <v>180</v>
      </c>
      <c r="J144" s="438" t="n">
        <v>180.0000000000002</v>
      </c>
    </row>
    <row r="145">
      <c r="B145" s="34" t="inlineStr">
        <is>
          <t>Interest rate on cash</t>
        </is>
      </c>
      <c r="D145" s="463" t="n">
        <v>0.006480802152115432</v>
      </c>
      <c r="E145" s="463" t="n">
        <v>0.00515928515928516</v>
      </c>
      <c r="F145" s="59" t="n">
        <v>0.00515928515928516</v>
      </c>
      <c r="G145" s="59" t="n">
        <v>0.00515928515928516</v>
      </c>
      <c r="H145" s="59" t="n">
        <v>0.00515928515928516</v>
      </c>
      <c r="I145" s="59" t="n">
        <v>0.00515928515928516</v>
      </c>
      <c r="J145" s="59" t="n">
        <v>0.00515928515928516</v>
      </c>
    </row>
    <row r="146">
      <c r="B146" s="34" t="inlineStr">
        <is>
          <t>Interest income</t>
        </is>
      </c>
      <c r="C146" s="140" t="n"/>
      <c r="D146" s="434" t="n">
        <v>10.6</v>
      </c>
      <c r="E146" s="434" t="n">
        <v>8.300000000000001</v>
      </c>
      <c r="F146" s="434" t="n">
        <v>0.9286713286713288</v>
      </c>
      <c r="G146" s="434" t="n">
        <v>0.9286713286713288</v>
      </c>
      <c r="H146" s="434" t="n">
        <v>0.9286713286713288</v>
      </c>
      <c r="I146" s="434" t="n">
        <v>0.9286713286713288</v>
      </c>
      <c r="J146" s="434" t="n">
        <v>0.9286713286713294</v>
      </c>
    </row>
    <row r="147">
      <c r="B147" s="34" t="n"/>
      <c r="C147" s="140" t="n"/>
      <c r="D147" s="140" t="n"/>
      <c r="E147" s="140" t="n"/>
      <c r="F147" s="140" t="n"/>
      <c r="G147" s="140" t="n"/>
      <c r="H147" s="140" t="n"/>
      <c r="I147" s="140" t="n"/>
      <c r="J147" s="140" t="n"/>
    </row>
    <row r="148">
      <c r="B148" s="321" t="inlineStr">
        <is>
          <t>Revolver</t>
        </is>
      </c>
      <c r="D148" s="195" t="n"/>
      <c r="E148" s="195" t="n"/>
      <c r="F148" s="140" t="n"/>
      <c r="G148" s="140" t="n"/>
      <c r="H148" s="140" t="n"/>
      <c r="I148" s="140" t="n"/>
      <c r="J148" s="140" t="n"/>
    </row>
    <row r="149">
      <c r="B149" s="82" t="inlineStr">
        <is>
          <t xml:space="preserve">Cash, BOP </t>
        </is>
      </c>
      <c r="F149" s="434" t="n">
        <v>180</v>
      </c>
      <c r="G149" s="434" t="n">
        <v>180</v>
      </c>
      <c r="H149" s="434" t="n">
        <v>180</v>
      </c>
      <c r="I149" s="434" t="n">
        <v>180</v>
      </c>
      <c r="J149" s="434" t="n">
        <v>180</v>
      </c>
    </row>
    <row r="150">
      <c r="B150" s="82" t="inlineStr">
        <is>
          <t>Less: Minimum cash desired</t>
        </is>
      </c>
      <c r="F150" s="430" t="n">
        <v>-180</v>
      </c>
      <c r="G150" s="430" t="n">
        <v>-180</v>
      </c>
      <c r="H150" s="430" t="n">
        <v>-180</v>
      </c>
      <c r="I150" s="430" t="n">
        <v>-180</v>
      </c>
      <c r="J150" s="430" t="n">
        <v>-180</v>
      </c>
    </row>
    <row r="151">
      <c r="B151" s="82" t="inlineStr">
        <is>
          <t>Equals: Excess cash at BOP</t>
        </is>
      </c>
      <c r="F151" s="434" t="n">
        <v>0</v>
      </c>
      <c r="G151" s="434" t="n">
        <v>0</v>
      </c>
      <c r="H151" s="434" t="n">
        <v>0</v>
      </c>
      <c r="I151" s="434" t="n">
        <v>0</v>
      </c>
      <c r="J151" s="434" t="n">
        <v>0</v>
      </c>
    </row>
    <row r="152">
      <c r="B152" s="197" t="inlineStr">
        <is>
          <t>Plus: Free cash flows generated during period</t>
        </is>
      </c>
      <c r="C152" s="321" t="n"/>
      <c r="D152" s="321" t="n"/>
      <c r="E152" s="321" t="n"/>
      <c r="F152" s="464" t="n">
        <v>88.73666116479734</v>
      </c>
      <c r="G152" s="464" t="n">
        <v>341.3478885081743</v>
      </c>
      <c r="H152" s="464" t="n">
        <v>430.8748671570229</v>
      </c>
      <c r="I152" s="464" t="n">
        <v>495.2839713474607</v>
      </c>
      <c r="J152" s="464" t="n">
        <v>586.7181807314284</v>
      </c>
    </row>
    <row r="153">
      <c r="B153" s="190" t="inlineStr">
        <is>
          <t>Cash available (needed) to paydown (draw from) revolver</t>
        </is>
      </c>
      <c r="C153" s="100" t="n"/>
      <c r="D153" s="100" t="n"/>
      <c r="E153" s="100" t="n"/>
      <c r="F153" s="455" t="n">
        <v>88.73666116479734</v>
      </c>
      <c r="G153" s="455" t="n">
        <v>341.3478885081743</v>
      </c>
      <c r="H153" s="455" t="n">
        <v>430.8748671570229</v>
      </c>
      <c r="I153" s="455" t="n">
        <v>495.2839713474607</v>
      </c>
      <c r="J153" s="455" t="n">
        <v>586.7181807314284</v>
      </c>
    </row>
    <row r="155">
      <c r="B155" s="34" t="inlineStr">
        <is>
          <t>Revolver, BOP</t>
        </is>
      </c>
      <c r="F155" s="462" t="n">
        <v>0</v>
      </c>
      <c r="G155" s="434" t="n">
        <v>0</v>
      </c>
      <c r="H155" s="434" t="n">
        <v>0</v>
      </c>
      <c r="I155" s="434" t="n">
        <v>0</v>
      </c>
      <c r="J155" s="434" t="n">
        <v>0</v>
      </c>
    </row>
    <row r="156">
      <c r="B156" s="192" t="inlineStr">
        <is>
          <t>Increases / (decreases)</t>
        </is>
      </c>
      <c r="F156" s="434" t="n">
        <v>0</v>
      </c>
      <c r="G156" s="434" t="n">
        <v>0</v>
      </c>
      <c r="H156" s="434" t="n">
        <v>0</v>
      </c>
      <c r="I156" s="434" t="n">
        <v>0</v>
      </c>
      <c r="J156" s="434" t="n">
        <v>0</v>
      </c>
    </row>
    <row r="157">
      <c r="B157" s="193" t="inlineStr">
        <is>
          <t>Revolver, EOP</t>
        </is>
      </c>
      <c r="D157" s="321" t="inlineStr">
        <is>
          <t>% AR</t>
        </is>
      </c>
      <c r="E157" s="321" t="inlineStr">
        <is>
          <t>% Other Assets</t>
        </is>
      </c>
      <c r="F157" s="438" t="n">
        <v>0</v>
      </c>
      <c r="G157" s="438" t="n">
        <v>0</v>
      </c>
      <c r="H157" s="438" t="n">
        <v>0</v>
      </c>
      <c r="I157" s="438" t="n">
        <v>0</v>
      </c>
      <c r="J157" s="438" t="n">
        <v>0</v>
      </c>
    </row>
    <row r="158">
      <c r="B158" s="190" t="inlineStr">
        <is>
          <t>Maximum availability</t>
        </is>
      </c>
      <c r="D158" s="465" t="n">
        <v>0.8</v>
      </c>
      <c r="E158" s="465" t="n">
        <v>0.65</v>
      </c>
      <c r="F158" s="455" t="n">
        <v>350</v>
      </c>
      <c r="G158" s="455" t="n">
        <v>350</v>
      </c>
      <c r="H158" s="455" t="n">
        <v>350</v>
      </c>
      <c r="I158" s="455" t="n">
        <v>350</v>
      </c>
      <c r="J158" s="455" t="n">
        <v>350</v>
      </c>
    </row>
    <row r="159">
      <c r="B159" s="190" t="inlineStr">
        <is>
          <t>Compliance check</t>
        </is>
      </c>
      <c r="D159" s="194" t="n"/>
      <c r="E159" s="194" t="n"/>
      <c r="F159" s="198" t="inlineStr">
        <is>
          <t>OK</t>
        </is>
      </c>
      <c r="G159" s="198" t="inlineStr">
        <is>
          <t>OK</t>
        </is>
      </c>
      <c r="H159" s="198" t="inlineStr">
        <is>
          <t>OK</t>
        </is>
      </c>
      <c r="I159" s="198" t="inlineStr">
        <is>
          <t>OK</t>
        </is>
      </c>
      <c r="J159" s="198" t="inlineStr">
        <is>
          <t>OK</t>
        </is>
      </c>
    </row>
    <row r="161">
      <c r="B161" s="321" t="inlineStr">
        <is>
          <t>Term Loan A</t>
        </is>
      </c>
    </row>
    <row r="162">
      <c r="B162" s="34" t="inlineStr">
        <is>
          <t>Term Loan A, BOP</t>
        </is>
      </c>
      <c r="F162" s="462" t="n">
        <v>2886.429000000001</v>
      </c>
      <c r="G162" s="434" t="n">
        <v>2509.049438835204</v>
      </c>
      <c r="H162" s="434" t="n">
        <v>2023.380100327029</v>
      </c>
      <c r="I162" s="434" t="n">
        <v>1448.183783170006</v>
      </c>
      <c r="J162" s="434" t="n">
        <v>808.5783618225455</v>
      </c>
    </row>
    <row r="163">
      <c r="B163" s="34" t="inlineStr">
        <is>
          <t>Mandatory paydown $</t>
        </is>
      </c>
      <c r="F163" s="430" t="n">
        <v>288.6429000000001</v>
      </c>
      <c r="G163" s="430" t="n">
        <v>144.3214500000001</v>
      </c>
      <c r="H163" s="430" t="n">
        <v>144.3214500000001</v>
      </c>
      <c r="I163" s="430" t="n">
        <v>144.3214500000001</v>
      </c>
      <c r="J163" s="430" t="n">
        <v>144.3214500000001</v>
      </c>
    </row>
    <row r="164">
      <c r="B164" s="34" t="inlineStr">
        <is>
          <t>Cash sweep (paydown from excess cash flows)</t>
        </is>
      </c>
      <c r="F164" s="430" t="n">
        <v>88.73666116479734</v>
      </c>
      <c r="G164" s="430" t="n">
        <v>341.3478885081743</v>
      </c>
      <c r="H164" s="430" t="n">
        <v>430.8748671570229</v>
      </c>
      <c r="I164" s="430" t="n">
        <v>495.2839713474607</v>
      </c>
      <c r="J164" s="430" t="n">
        <v>586.7181807314287</v>
      </c>
    </row>
    <row r="165">
      <c r="B165" s="193" t="inlineStr">
        <is>
          <t>Term Loan A, EOP</t>
        </is>
      </c>
      <c r="C165" s="383" t="n"/>
      <c r="D165" s="199" t="n"/>
      <c r="E165" s="383" t="n"/>
      <c r="F165" s="450" t="n">
        <v>2509.049438835204</v>
      </c>
      <c r="G165" s="450" t="n">
        <v>2023.380100327029</v>
      </c>
      <c r="H165" s="450" t="n">
        <v>1448.183783170006</v>
      </c>
      <c r="I165" s="450" t="n">
        <v>808.5783618225455</v>
      </c>
      <c r="J165" s="450" t="n">
        <v>77.5387310911168</v>
      </c>
    </row>
    <row r="166">
      <c r="B166" s="190" t="inlineStr">
        <is>
          <t>Mandatory paydown (% of original)</t>
        </is>
      </c>
      <c r="C166" s="100" t="n"/>
      <c r="E166" s="195" t="inlineStr">
        <is>
          <t>% of available cash used</t>
        </is>
      </c>
      <c r="F166" s="466" t="n">
        <v>0.1</v>
      </c>
      <c r="G166" s="466" t="n">
        <v>0.05</v>
      </c>
      <c r="H166" s="466" t="n">
        <v>0.05</v>
      </c>
      <c r="I166" s="466" t="n">
        <v>0.05</v>
      </c>
      <c r="J166" s="466" t="n">
        <v>0.05</v>
      </c>
    </row>
    <row r="167">
      <c r="B167" s="190" t="inlineStr">
        <is>
          <t>Cash sweep</t>
        </is>
      </c>
      <c r="C167" s="100" t="n"/>
      <c r="E167" s="201" t="n">
        <v>1</v>
      </c>
      <c r="F167" s="467" t="n">
        <v>88.73666116479734</v>
      </c>
      <c r="G167" s="467" t="n">
        <v>341.3478885081743</v>
      </c>
      <c r="H167" s="467" t="n">
        <v>430.8748671570229</v>
      </c>
      <c r="I167" s="467" t="n">
        <v>495.2839713474607</v>
      </c>
      <c r="J167" s="467" t="n">
        <v>586.7181807314284</v>
      </c>
    </row>
    <row r="168">
      <c r="B168" s="34" t="n"/>
      <c r="F168" s="196" t="n"/>
      <c r="G168" s="196" t="n"/>
      <c r="H168" s="196" t="n"/>
      <c r="I168" s="196" t="n"/>
      <c r="J168" s="196" t="n"/>
    </row>
    <row r="169">
      <c r="B169" s="321" t="inlineStr">
        <is>
          <t>Term Loan B</t>
        </is>
      </c>
      <c r="F169" s="140" t="n"/>
    </row>
    <row r="170">
      <c r="B170" s="34" t="inlineStr">
        <is>
          <t>Term Loan B, BOP</t>
        </is>
      </c>
      <c r="F170" s="462" t="n">
        <v>670.8520000000002</v>
      </c>
      <c r="G170" s="434" t="n">
        <v>637.3094000000002</v>
      </c>
      <c r="H170" s="434" t="n">
        <v>603.7668000000002</v>
      </c>
      <c r="I170" s="434" t="n">
        <v>570.2242000000002</v>
      </c>
      <c r="J170" s="434" t="n">
        <v>536.6816000000002</v>
      </c>
    </row>
    <row r="171">
      <c r="B171" s="34" t="inlineStr">
        <is>
          <t>Mandatory amortization $</t>
        </is>
      </c>
      <c r="F171" s="430" t="n">
        <v>33.54260000000001</v>
      </c>
      <c r="G171" s="430" t="n">
        <v>33.54260000000001</v>
      </c>
      <c r="H171" s="430" t="n">
        <v>33.54260000000001</v>
      </c>
      <c r="I171" s="430" t="n">
        <v>33.54260000000001</v>
      </c>
      <c r="J171" s="430" t="n">
        <v>33.54260000000001</v>
      </c>
    </row>
    <row r="172">
      <c r="B172" s="34" t="inlineStr">
        <is>
          <t>Cash sweep (paydown from excess cash flows)</t>
        </is>
      </c>
      <c r="F172" s="430" t="n">
        <v>0</v>
      </c>
      <c r="G172" s="430" t="n">
        <v>0</v>
      </c>
      <c r="H172" s="430" t="n">
        <v>0</v>
      </c>
      <c r="I172" s="430" t="n">
        <v>0</v>
      </c>
      <c r="J172" s="430" t="n">
        <v>2.273736754432321e-13</v>
      </c>
    </row>
    <row r="173">
      <c r="B173" s="193" t="inlineStr">
        <is>
          <t>Term Loan B, EOP</t>
        </is>
      </c>
      <c r="C173" s="383" t="n"/>
      <c r="F173" s="450" t="n">
        <v>637.3094000000002</v>
      </c>
      <c r="G173" s="450" t="n">
        <v>603.7668000000002</v>
      </c>
      <c r="H173" s="450" t="n">
        <v>570.2242000000002</v>
      </c>
      <c r="I173" s="450" t="n">
        <v>536.6816000000002</v>
      </c>
      <c r="J173" s="450" t="n">
        <v>503.139</v>
      </c>
    </row>
    <row r="174">
      <c r="B174" s="190" t="inlineStr">
        <is>
          <t>Mandatory paydown (% of original)</t>
        </is>
      </c>
      <c r="C174" s="100" t="n"/>
      <c r="E174" s="195" t="inlineStr">
        <is>
          <t>% of available cash used</t>
        </is>
      </c>
      <c r="F174" s="466" t="n">
        <v>0.05</v>
      </c>
      <c r="G174" s="466" t="n">
        <v>0.05</v>
      </c>
      <c r="H174" s="466" t="n">
        <v>0.05</v>
      </c>
      <c r="I174" s="466" t="n">
        <v>0.05</v>
      </c>
      <c r="J174" s="466" t="n">
        <v>0.05</v>
      </c>
    </row>
    <row r="175">
      <c r="B175" s="190" t="inlineStr">
        <is>
          <t>Cash available for cash sweep</t>
        </is>
      </c>
      <c r="C175" s="100" t="n"/>
      <c r="E175" s="201" t="n">
        <v>1</v>
      </c>
      <c r="F175" s="468" t="n">
        <v>0</v>
      </c>
      <c r="G175" s="468" t="n">
        <v>0</v>
      </c>
      <c r="H175" s="468" t="n">
        <v>0</v>
      </c>
      <c r="I175" s="468" t="n">
        <v>0</v>
      </c>
      <c r="J175" s="468" t="n">
        <v>-2.273736754432321e-13</v>
      </c>
    </row>
    <row r="176">
      <c r="B176" s="190" t="n"/>
      <c r="C176" s="100" t="n"/>
      <c r="D176" s="100" t="n"/>
      <c r="E176" s="100" t="n"/>
      <c r="F176" s="154" t="n"/>
      <c r="G176" s="154" t="n"/>
      <c r="H176" s="154" t="n"/>
      <c r="I176" s="154" t="n"/>
      <c r="J176" s="154" t="n"/>
    </row>
    <row r="177">
      <c r="B177" s="321" t="inlineStr">
        <is>
          <t>Senior Note</t>
        </is>
      </c>
      <c r="F177" s="140" t="n"/>
    </row>
    <row r="178">
      <c r="B178" s="34" t="inlineStr">
        <is>
          <t>Senior Note, BOP</t>
        </is>
      </c>
      <c r="F178" s="462" t="n">
        <v>1632.995000000001</v>
      </c>
      <c r="G178" s="434" t="n">
        <v>1632.995000000001</v>
      </c>
      <c r="H178" s="434" t="n">
        <v>1632.995000000001</v>
      </c>
      <c r="I178" s="434" t="n">
        <v>1632.995000000001</v>
      </c>
      <c r="J178" s="434" t="n">
        <v>1632.995000000001</v>
      </c>
    </row>
    <row r="179">
      <c r="B179" s="34" t="inlineStr">
        <is>
          <t>Mandatory amortization $</t>
        </is>
      </c>
      <c r="F179" s="430" t="n">
        <v>0</v>
      </c>
      <c r="G179" s="430" t="n">
        <v>0</v>
      </c>
      <c r="H179" s="430" t="n">
        <v>0</v>
      </c>
      <c r="I179" s="430" t="n">
        <v>0</v>
      </c>
      <c r="J179" s="430" t="n">
        <v>0</v>
      </c>
    </row>
    <row r="180">
      <c r="B180" s="193" t="inlineStr">
        <is>
          <t>Senior Note, EOP</t>
        </is>
      </c>
      <c r="C180" s="383" t="n"/>
      <c r="D180" s="383" t="n"/>
      <c r="E180" s="383" t="n"/>
      <c r="F180" s="450" t="n">
        <v>1632.995000000001</v>
      </c>
      <c r="G180" s="450" t="n">
        <v>1632.995000000001</v>
      </c>
      <c r="H180" s="450" t="n">
        <v>1632.995000000001</v>
      </c>
      <c r="I180" s="450" t="n">
        <v>1632.995000000001</v>
      </c>
      <c r="J180" s="450" t="n">
        <v>1632.995000000001</v>
      </c>
    </row>
    <row r="181">
      <c r="B181" s="190" t="inlineStr">
        <is>
          <t>Mandatory paydown (% of original)</t>
        </is>
      </c>
      <c r="F181" s="466" t="n">
        <v>0</v>
      </c>
      <c r="G181" s="466" t="n">
        <v>0</v>
      </c>
      <c r="H181" s="466" t="n">
        <v>0</v>
      </c>
      <c r="I181" s="466" t="n">
        <v>0</v>
      </c>
      <c r="J181" s="466" t="n">
        <v>0</v>
      </c>
    </row>
    <row r="182">
      <c r="B182" s="190" t="n"/>
      <c r="F182" s="466" t="n"/>
      <c r="G182" s="466" t="n"/>
      <c r="H182" s="466" t="n"/>
      <c r="I182" s="466" t="n"/>
      <c r="J182" s="466" t="n"/>
    </row>
    <row r="183">
      <c r="B183" s="321" t="inlineStr">
        <is>
          <t>Sub Note</t>
        </is>
      </c>
      <c r="F183" s="140" t="n"/>
    </row>
    <row r="184">
      <c r="B184" s="34" t="inlineStr">
        <is>
          <t>Sub Note, BOP</t>
        </is>
      </c>
      <c r="F184" s="462" t="n">
        <v>0</v>
      </c>
      <c r="G184" s="434" t="n">
        <v>0</v>
      </c>
      <c r="H184" s="434" t="n">
        <v>0</v>
      </c>
      <c r="I184" s="434" t="n">
        <v>0</v>
      </c>
      <c r="J184" s="434" t="n">
        <v>0</v>
      </c>
    </row>
    <row r="185">
      <c r="B185" s="34" t="inlineStr">
        <is>
          <t>Mandatory amortization $</t>
        </is>
      </c>
      <c r="C185" s="195" t="inlineStr">
        <is>
          <t>PIK rate</t>
        </is>
      </c>
      <c r="D185" s="195" t="inlineStr">
        <is>
          <t>Cash rate</t>
        </is>
      </c>
      <c r="F185" s="430" t="n">
        <v>0</v>
      </c>
      <c r="G185" s="430" t="n">
        <v>0</v>
      </c>
      <c r="H185" s="430" t="n">
        <v>0</v>
      </c>
      <c r="I185" s="430" t="n">
        <v>0</v>
      </c>
      <c r="J185" s="430" t="n">
        <v>0</v>
      </c>
    </row>
    <row r="186">
      <c r="B186" s="202" t="inlineStr">
        <is>
          <t>PIK interest</t>
        </is>
      </c>
      <c r="C186" s="469" t="n">
        <v>0.04</v>
      </c>
      <c r="D186" s="53" t="n">
        <v>0.08</v>
      </c>
      <c r="F186" s="430" t="n">
        <v>0</v>
      </c>
      <c r="G186" s="430" t="n">
        <v>0</v>
      </c>
      <c r="H186" s="430" t="n">
        <v>0</v>
      </c>
      <c r="I186" s="430" t="n">
        <v>0</v>
      </c>
      <c r="J186" s="430" t="n">
        <v>0</v>
      </c>
    </row>
    <row r="187">
      <c r="B187" s="193" t="inlineStr">
        <is>
          <t>Sub Note, EOP</t>
        </is>
      </c>
      <c r="C187" s="383" t="n"/>
      <c r="D187" s="53" t="n"/>
      <c r="E187" s="383" t="n"/>
      <c r="F187" s="450" t="n">
        <v>0</v>
      </c>
      <c r="G187" s="450" t="n">
        <v>0</v>
      </c>
      <c r="H187" s="450" t="n">
        <v>0</v>
      </c>
      <c r="I187" s="450" t="n">
        <v>0</v>
      </c>
      <c r="J187" s="450" t="n">
        <v>0</v>
      </c>
    </row>
    <row r="188">
      <c r="B188" s="190" t="inlineStr">
        <is>
          <t>Mandatory paydown (% of original)</t>
        </is>
      </c>
      <c r="F188" s="466" t="n">
        <v>0</v>
      </c>
      <c r="G188" s="466" t="n">
        <v>0</v>
      </c>
      <c r="H188" s="466" t="n">
        <v>0</v>
      </c>
      <c r="I188" s="466" t="n">
        <v>0</v>
      </c>
      <c r="J188" s="466" t="n">
        <v>0</v>
      </c>
    </row>
    <row r="189">
      <c r="B189" s="190" t="n"/>
      <c r="F189" s="466" t="n"/>
      <c r="G189" s="466" t="n"/>
      <c r="H189" s="466" t="n"/>
      <c r="I189" s="466" t="n"/>
      <c r="J189" s="466" t="n"/>
    </row>
    <row r="190">
      <c r="B190" s="321" t="inlineStr">
        <is>
          <t>Preferred stock</t>
        </is>
      </c>
      <c r="D190" s="163" t="n"/>
      <c r="E190" s="195" t="n"/>
      <c r="F190" s="466" t="n"/>
      <c r="G190" s="466" t="n"/>
      <c r="H190" s="466" t="n"/>
      <c r="I190" s="466" t="n"/>
      <c r="J190" s="466" t="n"/>
    </row>
    <row r="191">
      <c r="B191" s="34" t="inlineStr">
        <is>
          <t>Preferred stock, BOP</t>
        </is>
      </c>
      <c r="F191" s="470" t="n">
        <v>0</v>
      </c>
      <c r="G191" s="434" t="n">
        <v>0</v>
      </c>
      <c r="H191" s="434" t="n">
        <v>0</v>
      </c>
      <c r="I191" s="434" t="n">
        <v>0</v>
      </c>
      <c r="J191" s="434" t="n">
        <v>0</v>
      </c>
    </row>
    <row r="192">
      <c r="B192" s="202" t="inlineStr">
        <is>
          <t>PIK accrual</t>
        </is>
      </c>
      <c r="F192" s="430" t="n">
        <v>0</v>
      </c>
      <c r="G192" s="430" t="n">
        <v>0</v>
      </c>
      <c r="H192" s="430" t="n">
        <v>0</v>
      </c>
      <c r="I192" s="430" t="n">
        <v>0</v>
      </c>
      <c r="J192" s="430" t="n">
        <v>0</v>
      </c>
    </row>
    <row r="193">
      <c r="B193" s="383" t="inlineStr">
        <is>
          <t>Preferred stock, EOP</t>
        </is>
      </c>
      <c r="C193" s="195" t="inlineStr">
        <is>
          <t>PIK rate</t>
        </is>
      </c>
      <c r="D193" s="195" t="inlineStr">
        <is>
          <t>Cash rate</t>
        </is>
      </c>
      <c r="E193" s="383" t="n"/>
      <c r="F193" s="450" t="n">
        <v>0</v>
      </c>
      <c r="G193" s="450" t="n">
        <v>0</v>
      </c>
      <c r="H193" s="450" t="n">
        <v>0</v>
      </c>
      <c r="I193" s="450" t="n">
        <v>0</v>
      </c>
      <c r="J193" s="450" t="n">
        <v>0</v>
      </c>
    </row>
    <row r="194">
      <c r="B194" s="202" t="inlineStr">
        <is>
          <t>Cash dividend</t>
        </is>
      </c>
      <c r="C194" s="469" t="n">
        <v>0.04</v>
      </c>
      <c r="D194" s="53" t="n">
        <v>0.08</v>
      </c>
      <c r="F194" s="434" t="n">
        <v>0</v>
      </c>
      <c r="G194" s="434" t="n">
        <v>0</v>
      </c>
      <c r="H194" s="434" t="n">
        <v>0</v>
      </c>
      <c r="I194" s="434" t="n">
        <v>0</v>
      </c>
      <c r="J194" s="434" t="n">
        <v>0</v>
      </c>
    </row>
    <row r="195">
      <c r="B195" s="202" t="n"/>
      <c r="F195" s="140" t="n"/>
    </row>
    <row r="196">
      <c r="B196" s="240" t="inlineStr">
        <is>
          <t>Capitalized financing fees</t>
        </is>
      </c>
      <c r="F196" s="140" t="n"/>
    </row>
    <row r="197">
      <c r="B197" s="34" t="inlineStr">
        <is>
          <t>Capitalized financing fees, BOP</t>
        </is>
      </c>
      <c r="C197" s="434" t="n"/>
      <c r="D197" s="453" t="n"/>
      <c r="E197" s="453" t="n"/>
      <c r="F197" s="462" t="n">
        <v>69.68916500000003</v>
      </c>
      <c r="G197" s="434" t="n">
        <v>60.02517625000003</v>
      </c>
      <c r="H197" s="434" t="n">
        <v>50.36118750000003</v>
      </c>
      <c r="I197" s="434" t="n">
        <v>40.69719875000003</v>
      </c>
      <c r="J197" s="434" t="n">
        <v>31.03321000000003</v>
      </c>
    </row>
    <row r="198">
      <c r="B198" s="34" t="inlineStr">
        <is>
          <t>Amortization</t>
        </is>
      </c>
      <c r="C198" s="434" t="n"/>
      <c r="D198" s="434" t="n"/>
      <c r="E198" s="434" t="n"/>
      <c r="F198" s="434" t="n">
        <v>-9.663988750000003</v>
      </c>
      <c r="G198" s="434" t="n">
        <v>-9.663988750000003</v>
      </c>
      <c r="H198" s="434" t="n">
        <v>-9.663988750000003</v>
      </c>
      <c r="I198" s="434" t="n">
        <v>-9.663988750000003</v>
      </c>
      <c r="J198" s="434" t="n">
        <v>-9.663988750000003</v>
      </c>
    </row>
    <row r="199">
      <c r="B199" s="383" t="inlineStr">
        <is>
          <t>Capitalized financing fees, EOP</t>
        </is>
      </c>
      <c r="C199" s="434" t="n"/>
      <c r="D199" s="434" t="n"/>
      <c r="E199" s="434" t="n"/>
      <c r="F199" s="438" t="n">
        <v>60.02517625000003</v>
      </c>
      <c r="G199" s="438" t="n">
        <v>50.36118750000003</v>
      </c>
      <c r="H199" s="438" t="n">
        <v>40.69719875000003</v>
      </c>
      <c r="I199" s="438" t="n">
        <v>31.03321000000003</v>
      </c>
      <c r="J199" s="438" t="n">
        <v>21.36922125000002</v>
      </c>
    </row>
    <row r="200">
      <c r="B200" s="202" t="n"/>
      <c r="F200" s="140" t="n"/>
    </row>
    <row r="201">
      <c r="B201" s="317" t="inlineStr">
        <is>
          <t>INTEREST EXPENSE</t>
        </is>
      </c>
      <c r="C201" s="15" t="n"/>
      <c r="D201" s="15" t="n"/>
      <c r="E201" s="15" t="n"/>
      <c r="F201" s="15" t="n"/>
      <c r="G201" s="15" t="n"/>
      <c r="H201" s="15" t="n"/>
      <c r="I201" s="15" t="n"/>
      <c r="J201" s="15" t="n"/>
    </row>
    <row r="202">
      <c r="B202" t="inlineStr">
        <is>
          <t xml:space="preserve">Fiscal year  </t>
        </is>
      </c>
      <c r="C202" s="270" t="n">
        <v>2011</v>
      </c>
      <c r="D202" s="270" t="n">
        <v>2012</v>
      </c>
      <c r="E202" s="270" t="n">
        <v>2013</v>
      </c>
      <c r="F202" s="157" t="n">
        <v>2014</v>
      </c>
      <c r="G202" s="157" t="n">
        <v>2015</v>
      </c>
      <c r="H202" s="157" t="n">
        <v>2016</v>
      </c>
      <c r="I202" s="157" t="n">
        <v>2017</v>
      </c>
      <c r="J202" s="157" t="n">
        <v>2018</v>
      </c>
    </row>
    <row r="203">
      <c r="B203" s="18" t="inlineStr">
        <is>
          <t>Fiscal year end date</t>
        </is>
      </c>
      <c r="C203" s="20" t="n">
        <v>40633</v>
      </c>
      <c r="D203" s="20" t="n">
        <v>40999</v>
      </c>
      <c r="E203" s="20" t="n">
        <v>41364</v>
      </c>
      <c r="F203" s="20" t="n">
        <v>41729</v>
      </c>
      <c r="G203" s="20" t="n">
        <v>42094</v>
      </c>
      <c r="H203" s="20" t="n">
        <v>42460</v>
      </c>
      <c r="I203" s="20" t="n">
        <v>42825</v>
      </c>
      <c r="J203" s="20" t="n">
        <v>43190</v>
      </c>
    </row>
    <row r="204">
      <c r="B204" s="383" t="n"/>
    </row>
    <row r="205">
      <c r="B205" s="202" t="inlineStr">
        <is>
          <t>3-Month LIBOR Rate (bps)</t>
        </is>
      </c>
      <c r="C205" s="234" t="n"/>
      <c r="D205" s="100" t="n"/>
      <c r="F205" s="235" t="n">
        <v>49.08</v>
      </c>
      <c r="G205" s="235" t="n">
        <v>82.86</v>
      </c>
      <c r="H205" s="235" t="n">
        <v>134.82</v>
      </c>
      <c r="I205" s="235" t="n">
        <v>184.42</v>
      </c>
      <c r="J205" s="235" t="n">
        <v>221.26</v>
      </c>
    </row>
    <row r="206">
      <c r="B206" s="34" t="n"/>
      <c r="C206" s="195" t="inlineStr">
        <is>
          <t>LIBOR Spread</t>
        </is>
      </c>
      <c r="D206" s="195" t="inlineStr">
        <is>
          <t>LIBOR floor</t>
        </is>
      </c>
      <c r="E206" s="195" t="inlineStr">
        <is>
          <t>Coupon Rate</t>
        </is>
      </c>
      <c r="F206" s="232" t="n"/>
      <c r="G206" s="232" t="n"/>
      <c r="H206" s="232" t="n"/>
      <c r="I206" s="232" t="n"/>
      <c r="J206" s="232" t="n"/>
    </row>
    <row r="207">
      <c r="B207" s="34" t="inlineStr">
        <is>
          <t>Revolver</t>
        </is>
      </c>
      <c r="C207" s="471" t="n">
        <v>0.04</v>
      </c>
      <c r="D207" s="431" t="n">
        <v>0</v>
      </c>
      <c r="F207" s="461" t="n">
        <v>0</v>
      </c>
      <c r="G207" s="461" t="n">
        <v>0</v>
      </c>
      <c r="H207" s="461" t="n">
        <v>0</v>
      </c>
      <c r="I207" s="461" t="n">
        <v>0</v>
      </c>
      <c r="J207" s="461" t="n">
        <v>0</v>
      </c>
    </row>
    <row r="208">
      <c r="B208" s="34" t="inlineStr">
        <is>
          <t>Term Loan A</t>
        </is>
      </c>
      <c r="C208" s="471" t="n">
        <v>0.04</v>
      </c>
      <c r="D208" s="431" t="n">
        <v>0.01</v>
      </c>
      <c r="F208" s="461" t="n">
        <v>134.8869609708801</v>
      </c>
      <c r="G208" s="461" t="n">
        <v>113.3107384790558</v>
      </c>
      <c r="H208" s="461" t="n">
        <v>92.83308980859424</v>
      </c>
      <c r="I208" s="461" t="n">
        <v>65.94484663882736</v>
      </c>
      <c r="J208" s="461" t="n">
        <v>27.52545525717709</v>
      </c>
      <c r="M208" s="472" t="n"/>
    </row>
    <row r="209">
      <c r="B209" s="34" t="inlineStr">
        <is>
          <t>Term Loan B</t>
        </is>
      </c>
      <c r="C209" s="471" t="n">
        <v>0.04</v>
      </c>
      <c r="D209" s="431" t="n">
        <v>0</v>
      </c>
      <c r="F209" s="461" t="n">
        <v>29.37345607560001</v>
      </c>
      <c r="G209" s="461" t="n">
        <v>29.96330269660001</v>
      </c>
      <c r="H209" s="461" t="n">
        <v>31.39369333100001</v>
      </c>
      <c r="I209" s="461" t="n">
        <v>32.34489438180001</v>
      </c>
      <c r="J209" s="461" t="n">
        <v>32.29994729780001</v>
      </c>
    </row>
    <row r="210">
      <c r="B210" s="34" t="inlineStr">
        <is>
          <t>Senior Note</t>
        </is>
      </c>
      <c r="E210" s="473" t="n">
        <v>0.08125</v>
      </c>
      <c r="F210" s="434" t="n">
        <v>132.6808437500001</v>
      </c>
      <c r="G210" s="434" t="n">
        <v>132.6808437500001</v>
      </c>
      <c r="H210" s="434" t="n">
        <v>132.6808437500001</v>
      </c>
      <c r="I210" s="434" t="n">
        <v>132.6808437500001</v>
      </c>
      <c r="J210" s="434" t="n">
        <v>132.6808437500001</v>
      </c>
    </row>
    <row r="211">
      <c r="B211" s="34" t="inlineStr">
        <is>
          <t>Sub Note - Cash interest</t>
        </is>
      </c>
      <c r="E211" s="474" t="n">
        <v>0.08</v>
      </c>
      <c r="F211" s="434" t="n">
        <v>0</v>
      </c>
      <c r="G211" s="434" t="n">
        <v>0</v>
      </c>
      <c r="H211" s="434" t="n">
        <v>0</v>
      </c>
      <c r="I211" s="434" t="n">
        <v>0</v>
      </c>
      <c r="J211" s="434" t="n">
        <v>0</v>
      </c>
    </row>
    <row r="212">
      <c r="B212" s="34" t="inlineStr">
        <is>
          <t>Sub Note - PIK interest</t>
        </is>
      </c>
      <c r="C212" s="469" t="n"/>
      <c r="E212" s="474" t="n">
        <v>0.04</v>
      </c>
      <c r="F212" s="434" t="n">
        <v>0</v>
      </c>
      <c r="G212" s="434" t="n">
        <v>0</v>
      </c>
      <c r="H212" s="434" t="n">
        <v>0</v>
      </c>
      <c r="I212" s="434" t="n">
        <v>0</v>
      </c>
      <c r="J212" s="434" t="n">
        <v>0</v>
      </c>
    </row>
    <row r="213">
      <c r="B213" s="34" t="n"/>
      <c r="C213" s="383" t="n"/>
      <c r="D213" s="383" t="n"/>
      <c r="E213" s="383" t="n"/>
      <c r="F213" s="157" t="n"/>
      <c r="G213" s="157" t="n"/>
      <c r="H213" s="157" t="n"/>
      <c r="I213" s="157" t="n"/>
      <c r="J213" s="57" t="n"/>
    </row>
    <row r="214">
      <c r="B214" s="317" t="inlineStr">
        <is>
          <t>EXIT VALUATION</t>
        </is>
      </c>
      <c r="C214" s="15" t="n"/>
      <c r="D214" s="15" t="n"/>
      <c r="E214" s="15" t="n"/>
      <c r="F214" s="15" t="n"/>
      <c r="G214" s="15" t="n"/>
      <c r="H214" s="15" t="n"/>
      <c r="I214" s="15" t="n"/>
      <c r="J214" s="15" t="n"/>
    </row>
    <row r="216">
      <c r="F216" s="475" t="n">
        <v>43190</v>
      </c>
      <c r="G216" s="475" t="n"/>
      <c r="H216" s="475" t="n"/>
      <c r="I216" s="475" t="n"/>
      <c r="J216" s="475" t="n"/>
    </row>
    <row r="218">
      <c r="B218" s="3" t="inlineStr">
        <is>
          <t>EBITDA multiple at exit</t>
        </is>
      </c>
      <c r="C218" s="383" t="n"/>
      <c r="E218" s="195" t="inlineStr">
        <is>
          <t>Step</t>
        </is>
      </c>
      <c r="F218" s="476" t="n">
        <v>6.3</v>
      </c>
      <c r="G218" s="477" t="n">
        <v>6.8</v>
      </c>
      <c r="H218" s="477" t="n">
        <v>7.3</v>
      </c>
      <c r="I218" s="477" t="n">
        <v>7.8</v>
      </c>
      <c r="J218" s="477" t="n">
        <v>8.300000000000001</v>
      </c>
    </row>
    <row r="219">
      <c r="B219" s="4" t="inlineStr">
        <is>
          <t>EBITDA at exit</t>
        </is>
      </c>
      <c r="E219" s="478" t="n">
        <v>0.5</v>
      </c>
      <c r="F219" s="434" t="n">
        <v>1226.874119002437</v>
      </c>
      <c r="G219" s="434" t="n">
        <v>1226.874119002437</v>
      </c>
      <c r="H219" s="434" t="n">
        <v>1226.874119002437</v>
      </c>
      <c r="I219" s="434" t="n">
        <v>1226.874119002437</v>
      </c>
      <c r="J219" s="434" t="n">
        <v>1226.874119002437</v>
      </c>
    </row>
    <row r="220">
      <c r="B220" s="383" t="inlineStr">
        <is>
          <t>Enterprise value</t>
        </is>
      </c>
      <c r="F220" s="438" t="n">
        <v>7729.306949715352</v>
      </c>
      <c r="G220" s="438" t="n">
        <v>8342.744009216571</v>
      </c>
      <c r="H220" s="438" t="n">
        <v>8956.181068717789</v>
      </c>
      <c r="I220" s="438" t="n">
        <v>9569.618128219006</v>
      </c>
      <c r="J220" s="438" t="n">
        <v>10183.05518772023</v>
      </c>
    </row>
    <row r="221">
      <c r="B221" s="242" t="inlineStr">
        <is>
          <t>Net debt:</t>
        </is>
      </c>
      <c r="F221" s="140" t="n"/>
    </row>
    <row r="222">
      <c r="B222" s="156" t="inlineStr">
        <is>
          <t>Revolver</t>
        </is>
      </c>
      <c r="F222" s="434" t="n">
        <v>0</v>
      </c>
      <c r="G222" s="434" t="n">
        <v>0</v>
      </c>
      <c r="H222" s="434" t="n">
        <v>0</v>
      </c>
      <c r="I222" s="434" t="n">
        <v>0</v>
      </c>
      <c r="J222" s="434" t="n">
        <v>0</v>
      </c>
    </row>
    <row r="223">
      <c r="B223" s="82" t="inlineStr">
        <is>
          <t>Term Loan A</t>
        </is>
      </c>
      <c r="F223" s="434" t="n">
        <v>77.5387310911168</v>
      </c>
      <c r="G223" s="434" t="n">
        <v>77.5387310911168</v>
      </c>
      <c r="H223" s="434" t="n">
        <v>77.5387310911168</v>
      </c>
      <c r="I223" s="434" t="n">
        <v>77.5387310911168</v>
      </c>
      <c r="J223" s="434" t="n">
        <v>77.5387310911168</v>
      </c>
    </row>
    <row r="224">
      <c r="B224" s="82" t="inlineStr">
        <is>
          <t>Term Loan B</t>
        </is>
      </c>
      <c r="F224" s="434" t="n">
        <v>503.139</v>
      </c>
      <c r="G224" s="434" t="n">
        <v>503.139</v>
      </c>
      <c r="H224" s="434" t="n">
        <v>503.139</v>
      </c>
      <c r="I224" s="434" t="n">
        <v>503.139</v>
      </c>
      <c r="J224" s="434" t="n">
        <v>503.139</v>
      </c>
    </row>
    <row r="225">
      <c r="B225" s="82" t="inlineStr">
        <is>
          <t>Senior Note</t>
        </is>
      </c>
      <c r="E225" s="321" t="n"/>
      <c r="F225" s="434" t="n">
        <v>1632.995000000001</v>
      </c>
      <c r="G225" s="434" t="n">
        <v>1632.995000000001</v>
      </c>
      <c r="H225" s="434" t="n">
        <v>1632.995000000001</v>
      </c>
      <c r="I225" s="434" t="n">
        <v>1632.995000000001</v>
      </c>
      <c r="J225" s="434" t="n">
        <v>1632.995000000001</v>
      </c>
    </row>
    <row r="226">
      <c r="B226" s="82" t="inlineStr">
        <is>
          <t>Sub Note</t>
        </is>
      </c>
      <c r="E226" s="322" t="n"/>
      <c r="F226" s="434" t="n">
        <v>0</v>
      </c>
      <c r="G226" s="434" t="n">
        <v>0</v>
      </c>
      <c r="H226" s="434" t="n">
        <v>0</v>
      </c>
      <c r="I226" s="434" t="n">
        <v>0</v>
      </c>
      <c r="J226" s="434" t="n">
        <v>0</v>
      </c>
    </row>
    <row r="227">
      <c r="B227" s="82" t="inlineStr">
        <is>
          <t>Pref. stock</t>
        </is>
      </c>
      <c r="E227" s="322" t="n"/>
      <c r="F227" s="434" t="n">
        <v>0</v>
      </c>
      <c r="G227" s="434" t="n">
        <v>0</v>
      </c>
      <c r="H227" s="434" t="n">
        <v>0</v>
      </c>
      <c r="I227" s="434" t="n">
        <v>0</v>
      </c>
      <c r="J227" s="434" t="n">
        <v>0</v>
      </c>
    </row>
    <row r="228">
      <c r="B228" s="82" t="inlineStr">
        <is>
          <t>Cash</t>
        </is>
      </c>
      <c r="F228" s="434" t="n">
        <v>-180.0000000000002</v>
      </c>
      <c r="G228" s="434" t="n">
        <v>-180.0000000000002</v>
      </c>
      <c r="H228" s="434" t="n">
        <v>-180.0000000000002</v>
      </c>
      <c r="I228" s="434" t="n">
        <v>-180.0000000000002</v>
      </c>
      <c r="J228" s="434" t="n">
        <v>-180.0000000000002</v>
      </c>
    </row>
    <row r="229">
      <c r="B229" s="147" t="inlineStr">
        <is>
          <t>Equity value</t>
        </is>
      </c>
      <c r="C229" s="181" t="inlineStr">
        <is>
          <t>Initial equity inv.</t>
        </is>
      </c>
      <c r="D229" s="182" t="inlineStr">
        <is>
          <t>% ownership</t>
        </is>
      </c>
      <c r="E229" s="183" t="inlineStr">
        <is>
          <t>Fully diluted</t>
        </is>
      </c>
      <c r="F229" s="438" t="n">
        <v>5695.634218624235</v>
      </c>
      <c r="G229" s="438" t="n">
        <v>6309.071278125453</v>
      </c>
      <c r="H229" s="438" t="n">
        <v>6922.508337626672</v>
      </c>
      <c r="I229" s="438" t="n">
        <v>7535.945397127889</v>
      </c>
      <c r="J229" s="438" t="n">
        <v>8149.38245662911</v>
      </c>
    </row>
    <row r="230">
      <c r="B230" s="34" t="inlineStr">
        <is>
          <t>Sponsor equity</t>
        </is>
      </c>
      <c r="C230" s="479" t="n">
        <v>1660.277939999999</v>
      </c>
      <c r="D230" s="480" t="n">
        <v>1</v>
      </c>
      <c r="E230" s="481" t="n">
        <v>1</v>
      </c>
      <c r="F230" s="434" t="n">
        <v>5695.634218624235</v>
      </c>
      <c r="G230" s="434" t="n">
        <v>6309.071278125453</v>
      </c>
      <c r="H230" s="434" t="n">
        <v>6922.508337626672</v>
      </c>
      <c r="I230" s="434" t="n">
        <v>7535.945397127889</v>
      </c>
      <c r="J230" s="434" t="n">
        <v>8149.38245662911</v>
      </c>
    </row>
    <row r="231">
      <c r="B231" s="34" t="inlineStr">
        <is>
          <t>Mgmt equity</t>
        </is>
      </c>
      <c r="C231" s="479" t="n">
        <v>0</v>
      </c>
      <c r="D231" s="480" t="n">
        <v>0</v>
      </c>
      <c r="E231" s="481" t="n">
        <v>0</v>
      </c>
      <c r="F231" s="434" t="n">
        <v>0</v>
      </c>
      <c r="G231" s="434" t="n">
        <v>0</v>
      </c>
      <c r="H231" s="434" t="n">
        <v>0</v>
      </c>
      <c r="I231" s="434" t="n">
        <v>0</v>
      </c>
      <c r="J231" s="434" t="n">
        <v>0</v>
      </c>
    </row>
    <row r="232">
      <c r="B232" s="34" t="inlineStr">
        <is>
          <t>Pref. stock</t>
        </is>
      </c>
      <c r="C232" s="185" t="n"/>
      <c r="D232" s="480" t="n"/>
      <c r="E232" s="482" t="n">
        <v>0</v>
      </c>
      <c r="F232" s="434" t="n">
        <v>0</v>
      </c>
      <c r="G232" s="434" t="n">
        <v>0</v>
      </c>
      <c r="H232" s="434" t="n">
        <v>0</v>
      </c>
      <c r="I232" s="434" t="n">
        <v>0</v>
      </c>
      <c r="J232" s="434" t="n">
        <v>0</v>
      </c>
    </row>
    <row r="233">
      <c r="B233" s="34" t="inlineStr">
        <is>
          <t>Sub. Note</t>
        </is>
      </c>
      <c r="C233" s="186" t="n"/>
      <c r="D233" s="483" t="n"/>
      <c r="E233" s="484" t="n">
        <v>0</v>
      </c>
      <c r="F233" s="434" t="n">
        <v>0</v>
      </c>
      <c r="G233" s="434" t="n">
        <v>0</v>
      </c>
      <c r="H233" s="434" t="n">
        <v>0</v>
      </c>
      <c r="I233" s="434" t="n">
        <v>0</v>
      </c>
      <c r="J233" s="434" t="n">
        <v>0</v>
      </c>
    </row>
    <row r="234">
      <c r="B234" s="147" t="n"/>
      <c r="C234" s="147" t="n"/>
      <c r="D234" s="147" t="n"/>
      <c r="E234" s="147" t="n"/>
      <c r="F234" s="57" t="n"/>
      <c r="G234" s="57" t="n"/>
      <c r="H234" s="57" t="n"/>
      <c r="I234" s="57" t="n"/>
    </row>
    <row r="235">
      <c r="B235" s="312" t="inlineStr">
        <is>
          <t>RETURNS</t>
        </is>
      </c>
      <c r="C235" s="147" t="n"/>
      <c r="D235" s="147" t="n"/>
      <c r="E235" s="147" t="n"/>
      <c r="F235" s="57" t="n"/>
      <c r="G235" s="57" t="n"/>
      <c r="H235" s="57" t="n"/>
      <c r="I235" s="57" t="n"/>
    </row>
    <row r="236">
      <c r="C236" s="314" t="inlineStr">
        <is>
          <t>Cash-on-cash</t>
        </is>
      </c>
      <c r="D236" s="314" t="inlineStr">
        <is>
          <t>IRR</t>
        </is>
      </c>
      <c r="E236" s="315" t="inlineStr">
        <is>
          <t>Initial</t>
        </is>
      </c>
      <c r="F236" s="316" t="n">
        <v>2014</v>
      </c>
      <c r="G236" s="316" t="n">
        <v>2015</v>
      </c>
      <c r="H236" s="316" t="n">
        <v>2016</v>
      </c>
      <c r="I236" s="316" t="n">
        <v>2017</v>
      </c>
      <c r="J236" s="316" t="n">
        <v>2018</v>
      </c>
    </row>
    <row r="237">
      <c r="B237" s="4" t="inlineStr">
        <is>
          <t>Revolver</t>
        </is>
      </c>
      <c r="C237" s="485" t="inlineStr">
        <is>
          <t>NM</t>
        </is>
      </c>
      <c r="D237" s="166" t="n">
        <v>0</v>
      </c>
      <c r="E237" s="434" t="n">
        <v>0</v>
      </c>
      <c r="F237" s="434" t="n">
        <v>0</v>
      </c>
      <c r="G237" s="434" t="n">
        <v>0</v>
      </c>
      <c r="H237" s="434" t="n">
        <v>0</v>
      </c>
      <c r="I237" s="434" t="n">
        <v>0</v>
      </c>
      <c r="J237" s="432" t="n">
        <v>0</v>
      </c>
    </row>
    <row r="238">
      <c r="B238" t="inlineStr">
        <is>
          <t>Term Loan A</t>
        </is>
      </c>
      <c r="C238" s="485" t="n">
        <v>1.15053240220166</v>
      </c>
      <c r="D238" s="166" t="n">
        <v>0.04502924458774071</v>
      </c>
      <c r="E238" s="434" t="n">
        <v>-2886.429000000001</v>
      </c>
      <c r="F238" s="434" t="n">
        <v>512.2665221356776</v>
      </c>
      <c r="G238" s="434" t="n">
        <v>598.9800769872302</v>
      </c>
      <c r="H238" s="434" t="n">
        <v>668.0294069656172</v>
      </c>
      <c r="I238" s="434" t="n">
        <v>705.5502679862882</v>
      </c>
      <c r="J238" s="432" t="n">
        <v>836.1038170797226</v>
      </c>
    </row>
    <row r="239">
      <c r="B239" t="inlineStr">
        <is>
          <t>Term Loan B</t>
        </is>
      </c>
      <c r="C239" s="485" t="n">
        <v>1.2316089</v>
      </c>
      <c r="D239" s="166" t="n">
        <v>0.05105015805954571</v>
      </c>
      <c r="E239" s="434" t="n">
        <v>-670.8520000000002</v>
      </c>
      <c r="F239" s="434" t="n">
        <v>62.91605607560003</v>
      </c>
      <c r="G239" s="434" t="n">
        <v>63.50590269660002</v>
      </c>
      <c r="H239" s="434" t="n">
        <v>64.93629333100003</v>
      </c>
      <c r="I239" s="434" t="n">
        <v>65.88749438180002</v>
      </c>
      <c r="J239" s="432" t="n">
        <v>568.9815472978003</v>
      </c>
    </row>
    <row r="240">
      <c r="B240" t="inlineStr">
        <is>
          <t>Senior Note</t>
        </is>
      </c>
      <c r="C240" s="485" t="n">
        <v>1.40625</v>
      </c>
      <c r="D240" s="166" t="n">
        <v>0.08124999999913873</v>
      </c>
      <c r="E240" s="434" t="n">
        <v>-1632.995000000001</v>
      </c>
      <c r="F240" s="434" t="n">
        <v>132.6808437500001</v>
      </c>
      <c r="G240" s="434" t="n">
        <v>132.6808437500001</v>
      </c>
      <c r="H240" s="434" t="n">
        <v>132.6808437500001</v>
      </c>
      <c r="I240" s="434" t="n">
        <v>132.6808437500001</v>
      </c>
      <c r="J240" s="432" t="n">
        <v>1765.675843750001</v>
      </c>
    </row>
    <row r="241">
      <c r="B241" s="73" t="inlineStr">
        <is>
          <t>Sub Note at exit EBITDA multiple of:</t>
        </is>
      </c>
      <c r="C241" s="173" t="n"/>
      <c r="D241" s="166" t="n"/>
      <c r="E241" s="140" t="n"/>
      <c r="F241" s="140" t="n"/>
      <c r="G241" s="140" t="n"/>
      <c r="H241" s="140" t="n"/>
      <c r="I241" s="140" t="n"/>
      <c r="J241" s="162" t="n"/>
    </row>
    <row r="242">
      <c r="B242" s="486" t="n">
        <v>6.3</v>
      </c>
      <c r="C242" s="485" t="inlineStr">
        <is>
          <t>NM</t>
        </is>
      </c>
      <c r="D242" s="166" t="n">
        <v>0</v>
      </c>
      <c r="E242" s="434" t="n">
        <v>0</v>
      </c>
      <c r="F242" s="434" t="n">
        <v>0</v>
      </c>
      <c r="G242" s="434" t="n">
        <v>0</v>
      </c>
      <c r="H242" s="434" t="n">
        <v>0</v>
      </c>
      <c r="I242" s="434" t="n">
        <v>0</v>
      </c>
      <c r="J242" s="432" t="n">
        <v>0</v>
      </c>
    </row>
    <row r="243">
      <c r="B243" s="486" t="n">
        <v>6.8</v>
      </c>
      <c r="C243" s="485" t="inlineStr">
        <is>
          <t>NM</t>
        </is>
      </c>
      <c r="D243" s="166" t="n">
        <v>0</v>
      </c>
      <c r="E243" s="434" t="n">
        <v>0</v>
      </c>
      <c r="F243" s="434" t="n">
        <v>0</v>
      </c>
      <c r="G243" s="434" t="n">
        <v>0</v>
      </c>
      <c r="H243" s="434" t="n">
        <v>0</v>
      </c>
      <c r="I243" s="434" t="n">
        <v>0</v>
      </c>
      <c r="J243" s="432" t="n">
        <v>0</v>
      </c>
    </row>
    <row r="244">
      <c r="B244" s="486" t="n">
        <v>7.3</v>
      </c>
      <c r="C244" s="485" t="inlineStr">
        <is>
          <t>NM</t>
        </is>
      </c>
      <c r="D244" s="166" t="n">
        <v>0</v>
      </c>
      <c r="E244" s="434" t="n">
        <v>0</v>
      </c>
      <c r="F244" s="434" t="n">
        <v>0</v>
      </c>
      <c r="G244" s="434" t="n">
        <v>0</v>
      </c>
      <c r="H244" s="434" t="n">
        <v>0</v>
      </c>
      <c r="I244" s="434" t="n">
        <v>0</v>
      </c>
      <c r="J244" s="432" t="n">
        <v>0</v>
      </c>
    </row>
    <row r="245">
      <c r="B245" s="486" t="n">
        <v>7.8</v>
      </c>
      <c r="C245" s="485" t="inlineStr">
        <is>
          <t>NM</t>
        </is>
      </c>
      <c r="D245" s="166" t="n">
        <v>0</v>
      </c>
      <c r="E245" s="434" t="n">
        <v>0</v>
      </c>
      <c r="F245" s="434" t="n">
        <v>0</v>
      </c>
      <c r="G245" s="434" t="n">
        <v>0</v>
      </c>
      <c r="H245" s="434" t="n">
        <v>0</v>
      </c>
      <c r="I245" s="434" t="n">
        <v>0</v>
      </c>
      <c r="J245" s="432" t="n">
        <v>0</v>
      </c>
    </row>
    <row r="246">
      <c r="B246" s="486" t="n">
        <v>8.300000000000001</v>
      </c>
      <c r="C246" s="485" t="inlineStr">
        <is>
          <t>NM</t>
        </is>
      </c>
      <c r="D246" s="166" t="n">
        <v>0</v>
      </c>
      <c r="E246" s="434" t="n">
        <v>0</v>
      </c>
      <c r="F246" s="434" t="n">
        <v>0</v>
      </c>
      <c r="G246" s="434" t="n">
        <v>0</v>
      </c>
      <c r="H246" s="434" t="n">
        <v>0</v>
      </c>
      <c r="I246" s="434" t="n">
        <v>0</v>
      </c>
      <c r="J246" s="432" t="n">
        <v>0</v>
      </c>
    </row>
    <row r="247">
      <c r="B247" s="73" t="inlineStr">
        <is>
          <t>Preferred Stock at exit EBITDA multiple of:</t>
        </is>
      </c>
      <c r="C247" s="173" t="n"/>
      <c r="D247" s="166" t="n"/>
      <c r="E247" s="140" t="n"/>
      <c r="F247" s="140" t="n"/>
      <c r="G247" s="140" t="n"/>
      <c r="H247" s="140" t="n"/>
      <c r="I247" s="140" t="n"/>
      <c r="J247" s="162" t="n"/>
    </row>
    <row r="248">
      <c r="B248" s="486" t="n">
        <v>6.3</v>
      </c>
      <c r="C248" s="485" t="inlineStr">
        <is>
          <t>NM</t>
        </is>
      </c>
      <c r="D248" s="166" t="n">
        <v>0</v>
      </c>
      <c r="E248" s="434" t="n">
        <v>0</v>
      </c>
      <c r="F248" s="430" t="n">
        <v>0</v>
      </c>
      <c r="G248" s="430" t="n">
        <v>0</v>
      </c>
      <c r="H248" s="430" t="n">
        <v>0</v>
      </c>
      <c r="I248" s="430" t="n">
        <v>0</v>
      </c>
      <c r="J248" s="432" t="n">
        <v>0</v>
      </c>
    </row>
    <row r="249">
      <c r="B249" s="486" t="n">
        <v>6.8</v>
      </c>
      <c r="C249" s="485" t="inlineStr">
        <is>
          <t>NM</t>
        </is>
      </c>
      <c r="D249" s="166" t="n">
        <v>0</v>
      </c>
      <c r="E249" s="434" t="n">
        <v>0</v>
      </c>
      <c r="F249" s="434" t="n">
        <v>0</v>
      </c>
      <c r="G249" s="434" t="n">
        <v>0</v>
      </c>
      <c r="H249" s="434" t="n">
        <v>0</v>
      </c>
      <c r="I249" s="434" t="n">
        <v>0</v>
      </c>
      <c r="J249" s="432" t="n">
        <v>0</v>
      </c>
    </row>
    <row r="250">
      <c r="B250" s="486" t="n">
        <v>7.3</v>
      </c>
      <c r="C250" s="485" t="inlineStr">
        <is>
          <t>NM</t>
        </is>
      </c>
      <c r="D250" s="166" t="n">
        <v>0</v>
      </c>
      <c r="E250" s="434" t="n">
        <v>0</v>
      </c>
      <c r="F250" s="434" t="n">
        <v>0</v>
      </c>
      <c r="G250" s="434" t="n">
        <v>0</v>
      </c>
      <c r="H250" s="434" t="n">
        <v>0</v>
      </c>
      <c r="I250" s="434" t="n">
        <v>0</v>
      </c>
      <c r="J250" s="432" t="n">
        <v>0</v>
      </c>
    </row>
    <row r="251">
      <c r="B251" s="486" t="n">
        <v>7.8</v>
      </c>
      <c r="C251" s="485" t="inlineStr">
        <is>
          <t>NM</t>
        </is>
      </c>
      <c r="D251" s="166" t="n">
        <v>0</v>
      </c>
      <c r="E251" s="434" t="n">
        <v>0</v>
      </c>
      <c r="F251" s="434" t="n">
        <v>0</v>
      </c>
      <c r="G251" s="434" t="n">
        <v>0</v>
      </c>
      <c r="H251" s="434" t="n">
        <v>0</v>
      </c>
      <c r="I251" s="434" t="n">
        <v>0</v>
      </c>
      <c r="J251" s="432" t="n">
        <v>0</v>
      </c>
    </row>
    <row r="252">
      <c r="B252" s="486" t="n">
        <v>8.300000000000001</v>
      </c>
      <c r="C252" s="485" t="inlineStr">
        <is>
          <t>NM</t>
        </is>
      </c>
      <c r="D252" s="166" t="n">
        <v>0</v>
      </c>
      <c r="E252" s="434" t="n">
        <v>0</v>
      </c>
      <c r="F252" s="434" t="n">
        <v>0</v>
      </c>
      <c r="G252" s="434" t="n">
        <v>0</v>
      </c>
      <c r="H252" s="434" t="n">
        <v>0</v>
      </c>
      <c r="I252" s="434" t="n">
        <v>0</v>
      </c>
      <c r="J252" s="432" t="n">
        <v>0</v>
      </c>
    </row>
    <row r="253">
      <c r="B253" s="73" t="inlineStr">
        <is>
          <t>Management Equity at exit EBITDA multiple of:</t>
        </is>
      </c>
      <c r="C253" s="487" t="n"/>
      <c r="D253" s="166" t="n"/>
      <c r="E253" s="140" t="n"/>
      <c r="F253" s="140" t="n"/>
      <c r="G253" s="140" t="n"/>
      <c r="H253" s="140" t="n"/>
      <c r="I253" s="140" t="n"/>
      <c r="J253" s="162" t="n"/>
    </row>
    <row r="254">
      <c r="B254" s="486" t="n">
        <v>6.3</v>
      </c>
      <c r="C254" s="485" t="inlineStr">
        <is>
          <t>NM</t>
        </is>
      </c>
      <c r="D254" s="166" t="n">
        <v>0</v>
      </c>
      <c r="E254" s="434" t="n">
        <v>0</v>
      </c>
      <c r="F254" s="449" t="n">
        <v>0</v>
      </c>
      <c r="G254" s="449" t="n">
        <v>0</v>
      </c>
      <c r="H254" s="449" t="n">
        <v>0</v>
      </c>
      <c r="I254" s="449" t="n">
        <v>0</v>
      </c>
      <c r="J254" s="432" t="n">
        <v>0</v>
      </c>
    </row>
    <row r="255">
      <c r="B255" s="486" t="n">
        <v>6.8</v>
      </c>
      <c r="C255" s="485" t="inlineStr">
        <is>
          <t>NM</t>
        </is>
      </c>
      <c r="D255" s="166" t="n">
        <v>0</v>
      </c>
      <c r="E255" s="434" t="n">
        <v>0</v>
      </c>
      <c r="F255" s="434" t="n">
        <v>0</v>
      </c>
      <c r="G255" s="434" t="n">
        <v>0</v>
      </c>
      <c r="H255" s="434" t="n">
        <v>0</v>
      </c>
      <c r="I255" s="434" t="n">
        <v>0</v>
      </c>
      <c r="J255" s="432" t="n">
        <v>0</v>
      </c>
    </row>
    <row r="256">
      <c r="B256" s="486" t="n">
        <v>7.3</v>
      </c>
      <c r="C256" s="485" t="inlineStr">
        <is>
          <t>NM</t>
        </is>
      </c>
      <c r="D256" s="166" t="n">
        <v>0</v>
      </c>
      <c r="E256" s="434" t="n">
        <v>0</v>
      </c>
      <c r="F256" s="434" t="n">
        <v>0</v>
      </c>
      <c r="G256" s="434" t="n">
        <v>0</v>
      </c>
      <c r="H256" s="434" t="n">
        <v>0</v>
      </c>
      <c r="I256" s="434" t="n">
        <v>0</v>
      </c>
      <c r="J256" s="432" t="n">
        <v>0</v>
      </c>
    </row>
    <row r="257">
      <c r="B257" s="486" t="n">
        <v>7.8</v>
      </c>
      <c r="C257" s="485" t="inlineStr">
        <is>
          <t>NM</t>
        </is>
      </c>
      <c r="D257" s="166" t="n">
        <v>0</v>
      </c>
      <c r="E257" s="434" t="n">
        <v>0</v>
      </c>
      <c r="F257" s="434" t="n">
        <v>0</v>
      </c>
      <c r="G257" s="434" t="n">
        <v>0</v>
      </c>
      <c r="H257" s="434" t="n">
        <v>0</v>
      </c>
      <c r="I257" s="434" t="n">
        <v>0</v>
      </c>
      <c r="J257" s="432" t="n">
        <v>0</v>
      </c>
    </row>
    <row r="258">
      <c r="B258" s="486" t="n">
        <v>8.300000000000001</v>
      </c>
      <c r="C258" s="485" t="inlineStr">
        <is>
          <t>NM</t>
        </is>
      </c>
      <c r="D258" s="166" t="n">
        <v>0</v>
      </c>
      <c r="E258" s="434" t="n">
        <v>0</v>
      </c>
      <c r="F258" s="434" t="n">
        <v>0</v>
      </c>
      <c r="G258" s="434" t="n">
        <v>0</v>
      </c>
      <c r="H258" s="434" t="n">
        <v>0</v>
      </c>
      <c r="I258" s="434" t="n">
        <v>0</v>
      </c>
      <c r="J258" s="432" t="n">
        <v>0</v>
      </c>
    </row>
    <row r="259">
      <c r="B259" s="73" t="inlineStr">
        <is>
          <t>Sponsor's Equity at exit EBITDA multiple of:</t>
        </is>
      </c>
      <c r="C259" s="199" t="n"/>
      <c r="D259" s="167" t="n"/>
      <c r="E259" s="140" t="n"/>
      <c r="F259" s="71" t="n"/>
      <c r="G259" s="71" t="n"/>
      <c r="H259" s="71" t="n"/>
      <c r="I259" s="71" t="n"/>
      <c r="J259" s="399" t="n"/>
    </row>
    <row r="260">
      <c r="B260" s="486" t="n">
        <v>6.3</v>
      </c>
      <c r="C260" s="485" t="n">
        <v>3.430530564433228</v>
      </c>
      <c r="D260" s="166" t="n">
        <v>0.2795941873668486</v>
      </c>
      <c r="E260" s="434" t="n">
        <v>-1660.277939999999</v>
      </c>
      <c r="F260" s="449" t="n">
        <v>0</v>
      </c>
      <c r="G260" s="449" t="n">
        <v>0</v>
      </c>
      <c r="H260" s="449" t="n">
        <v>0</v>
      </c>
      <c r="I260" s="449" t="n">
        <v>0</v>
      </c>
      <c r="J260" s="432" t="n">
        <v>5695.634218624235</v>
      </c>
    </row>
    <row r="261">
      <c r="B261" s="486" t="n">
        <v>6.8</v>
      </c>
      <c r="C261" s="485" t="n">
        <v>3.800009098552172</v>
      </c>
      <c r="D261" s="166" t="n">
        <v>0.3060413503798853</v>
      </c>
      <c r="E261" s="434" t="n">
        <v>-1660.277939999999</v>
      </c>
      <c r="F261" s="434" t="n">
        <v>0</v>
      </c>
      <c r="G261" s="434" t="n">
        <v>0</v>
      </c>
      <c r="H261" s="434" t="n">
        <v>0</v>
      </c>
      <c r="I261" s="434" t="n">
        <v>0</v>
      </c>
      <c r="J261" s="432" t="n">
        <v>6309.071278125453</v>
      </c>
    </row>
    <row r="262">
      <c r="B262" s="486" t="n">
        <v>7.3</v>
      </c>
      <c r="C262" s="485" t="n">
        <v>4.169487632671115</v>
      </c>
      <c r="D262" s="166" t="n">
        <v>0.3305050828444873</v>
      </c>
      <c r="E262" s="434" t="n">
        <v>-1660.277939999999</v>
      </c>
      <c r="F262" s="434" t="n">
        <v>0</v>
      </c>
      <c r="G262" s="434" t="n">
        <v>0</v>
      </c>
      <c r="H262" s="434" t="n">
        <v>0</v>
      </c>
      <c r="I262" s="434" t="n">
        <v>0</v>
      </c>
      <c r="J262" s="432" t="n">
        <v>6922.508337626672</v>
      </c>
    </row>
    <row r="263">
      <c r="B263" s="486" t="n">
        <v>7.8</v>
      </c>
      <c r="C263" s="485" t="n">
        <v>4.538966166790057</v>
      </c>
      <c r="D263" s="166" t="n">
        <v>0.3532916093100265</v>
      </c>
      <c r="E263" s="434" t="n">
        <v>-1660.277939999999</v>
      </c>
      <c r="F263" s="434" t="n">
        <v>0</v>
      </c>
      <c r="G263" s="434" t="n">
        <v>0</v>
      </c>
      <c r="H263" s="434" t="n">
        <v>0</v>
      </c>
      <c r="I263" s="434" t="n">
        <v>0</v>
      </c>
      <c r="J263" s="432" t="n">
        <v>7535.945397127889</v>
      </c>
    </row>
    <row r="264">
      <c r="B264" s="486" t="n">
        <v>8.300000000000001</v>
      </c>
      <c r="C264" s="485" t="n">
        <v>4.908444700909001</v>
      </c>
      <c r="D264" s="166" t="n">
        <v>0.3746393777884374</v>
      </c>
      <c r="E264" s="434" t="n">
        <v>-1660.277939999999</v>
      </c>
      <c r="F264" s="434" t="n">
        <v>0</v>
      </c>
      <c r="G264" s="434" t="n">
        <v>0</v>
      </c>
      <c r="H264" s="434" t="n">
        <v>0</v>
      </c>
      <c r="I264" s="434" t="n">
        <v>0</v>
      </c>
      <c r="J264" s="432" t="n">
        <v>8149.38245662911</v>
      </c>
    </row>
    <row r="266">
      <c r="B266" s="317" t="inlineStr">
        <is>
          <t>SUMMARY AT 13.0x EXIT — AI-SDR case vs Base</t>
        </is>
      </c>
      <c r="C266" s="15" t="n"/>
      <c r="D266" s="15" t="n"/>
      <c r="E266" s="15" t="n"/>
    </row>
    <row r="267">
      <c r="B267" s="383" t="n"/>
      <c r="F267" s="314" t="inlineStr">
        <is>
          <t>Financing</t>
        </is>
      </c>
      <c r="G267" s="314" t="inlineStr">
        <is>
          <t>% of Total Capital</t>
        </is>
      </c>
      <c r="H267" s="314" t="inlineStr">
        <is>
          <t>% FD Ownership</t>
        </is>
      </c>
      <c r="I267" s="314" t="inlineStr">
        <is>
          <t>Cash-on-cash</t>
        </is>
      </c>
      <c r="J267" s="314" t="inlineStr">
        <is>
          <t>Expected IRR</t>
        </is>
      </c>
    </row>
    <row r="268">
      <c r="B268" t="inlineStr">
        <is>
          <t>Revolver</t>
        </is>
      </c>
      <c r="F268" s="488" t="n">
        <v>0</v>
      </c>
      <c r="G268" s="489" t="n">
        <v>0</v>
      </c>
      <c r="H268" s="173" t="n"/>
      <c r="I268" s="485" t="inlineStr">
        <is>
          <t>NM</t>
        </is>
      </c>
      <c r="J268" s="490" t="n">
        <v>0</v>
      </c>
    </row>
    <row r="269">
      <c r="B269" t="inlineStr">
        <is>
          <t>Term Loan A</t>
        </is>
      </c>
      <c r="F269" s="488" t="n">
        <v>2886.429000000001</v>
      </c>
      <c r="G269" s="489" t="n">
        <v>0.4213424235880114</v>
      </c>
      <c r="H269" s="173" t="n"/>
      <c r="I269" s="485" t="n">
        <v>1.15053240220166</v>
      </c>
      <c r="J269" s="490" t="n">
        <v>0.04502924458774071</v>
      </c>
    </row>
    <row r="270">
      <c r="B270" t="inlineStr">
        <is>
          <t>Term Loan B</t>
        </is>
      </c>
      <c r="F270" s="488" t="n">
        <v>670.8520000000002</v>
      </c>
      <c r="G270" s="489" t="n">
        <v>0.09792667948834516</v>
      </c>
      <c r="H270" s="173" t="n"/>
      <c r="I270" s="485" t="n">
        <v>1.2316089</v>
      </c>
      <c r="J270" s="490" t="n">
        <v>0.05105015805954571</v>
      </c>
    </row>
    <row r="271">
      <c r="B271" t="inlineStr">
        <is>
          <t>Senior Note</t>
        </is>
      </c>
      <c r="F271" s="488" t="n">
        <v>1632.995000000001</v>
      </c>
      <c r="G271" s="489" t="n">
        <v>0.2383741540176823</v>
      </c>
      <c r="H271" s="173" t="n"/>
      <c r="I271" s="485" t="n">
        <v>1.40625</v>
      </c>
      <c r="J271" s="490" t="n">
        <v>0.08124999999913873</v>
      </c>
    </row>
    <row r="272">
      <c r="B272" t="inlineStr">
        <is>
          <t>Sub Note</t>
        </is>
      </c>
      <c r="F272" s="488" t="n">
        <v>0</v>
      </c>
      <c r="G272" s="489" t="n">
        <v>0</v>
      </c>
      <c r="H272" s="489" t="n">
        <v>0</v>
      </c>
      <c r="I272" s="485" t="inlineStr">
        <is>
          <t>NM</t>
        </is>
      </c>
      <c r="J272" s="490" t="n">
        <v>0</v>
      </c>
      <c r="K272" s="140" t="n"/>
    </row>
    <row r="273">
      <c r="B273" t="inlineStr">
        <is>
          <t>Preferred stock</t>
        </is>
      </c>
      <c r="F273" s="488" t="n">
        <v>0</v>
      </c>
      <c r="G273" s="489" t="n">
        <v>0</v>
      </c>
      <c r="H273" s="489" t="n">
        <v>0</v>
      </c>
      <c r="I273" s="485" t="inlineStr">
        <is>
          <t>NM</t>
        </is>
      </c>
      <c r="J273" s="490" t="n">
        <v>0</v>
      </c>
    </row>
    <row r="274">
      <c r="B274" t="inlineStr">
        <is>
          <t>Mgmt rollover</t>
        </is>
      </c>
      <c r="F274" s="488" t="n">
        <v>0</v>
      </c>
      <c r="G274" s="489" t="n">
        <v>0</v>
      </c>
      <c r="H274" s="489" t="n">
        <v>0</v>
      </c>
      <c r="I274" s="485" t="inlineStr">
        <is>
          <t>NM</t>
        </is>
      </c>
      <c r="J274" s="490" t="n">
        <v>0</v>
      </c>
    </row>
    <row r="275">
      <c r="B275" t="inlineStr">
        <is>
          <t>Sponsor equity (AI case)</t>
        </is>
      </c>
      <c r="F275" s="488" t="n">
        <v>1871.3</v>
      </c>
      <c r="G275" s="489" t="n">
        <v>0.2423567429059611</v>
      </c>
      <c r="H275" s="489" t="n">
        <v>1</v>
      </c>
      <c r="I275" s="485" t="n">
        <v>2.184</v>
      </c>
      <c r="J275" s="490" t="n">
        <v>0.1691</v>
      </c>
    </row>
    <row r="276">
      <c r="B276" s="193" t="inlineStr">
        <is>
          <t>Sponsor equity (Base case)</t>
        </is>
      </c>
      <c r="F276" s="491" t="n">
        <v>6850.553940000001</v>
      </c>
      <c r="G276" s="492" t="n">
        <v>1</v>
      </c>
      <c r="H276" s="492" t="n">
        <v>1</v>
      </c>
      <c r="I276" t="n">
        <v>1.327</v>
      </c>
      <c r="J276" t="n">
        <v>0.0582</v>
      </c>
    </row>
    <row r="277">
      <c r="B277" s="193" t="inlineStr">
        <is>
          <t>IRR uplift from AI S&amp;M (percentage points)</t>
        </is>
      </c>
      <c r="E277" s="175" t="n"/>
      <c r="G277" s="492" t="n"/>
      <c r="H277" s="492" t="n"/>
      <c r="J277" t="n">
        <v>0.1109</v>
      </c>
    </row>
    <row r="278">
      <c r="B278" s="317" t="inlineStr">
        <is>
          <t>SENSITIVITY ANALYISIS</t>
        </is>
      </c>
      <c r="C278" s="15" t="n"/>
      <c r="D278" s="207" t="n"/>
      <c r="E278" s="493" t="n"/>
      <c r="F278" s="207" t="n"/>
      <c r="G278" s="207" t="n"/>
      <c r="H278" s="207" t="n"/>
      <c r="I278" s="15" t="n"/>
      <c r="J278" s="15" t="n"/>
    </row>
    <row r="279">
      <c r="B279" s="209" t="n"/>
      <c r="C279" s="208" t="n"/>
      <c r="D279" s="208" t="n"/>
      <c r="E279" s="494" t="n"/>
      <c r="F279" s="208" t="n"/>
      <c r="G279" s="208" t="n"/>
      <c r="H279" s="208" t="n"/>
    </row>
    <row r="280">
      <c r="B280" s="147" t="n"/>
      <c r="C280" s="350" t="inlineStr">
        <is>
          <t>Actual</t>
        </is>
      </c>
      <c r="E280" s="352" t="inlineStr">
        <is>
          <t>Offer Price / Share At Various Sponsor Hurdle Rates</t>
        </is>
      </c>
      <c r="F280" s="353" t="n"/>
      <c r="G280" s="353" t="n"/>
      <c r="H280" s="353" t="n"/>
      <c r="I280" s="353" t="n"/>
      <c r="J280" s="354" t="n"/>
    </row>
    <row r="281">
      <c r="B281" t="inlineStr">
        <is>
          <t>Sponsor Hurdle Rate (Minimum IRR)</t>
        </is>
      </c>
      <c r="C281" s="495" t="n">
        <v>0.3305050828444873</v>
      </c>
      <c r="E281" s="496" t="n">
        <v>0.15</v>
      </c>
      <c r="F281" s="497" t="n">
        <v>0.2</v>
      </c>
      <c r="G281" s="497" t="n">
        <v>0.25</v>
      </c>
      <c r="H281" s="497" t="n">
        <v>0.3</v>
      </c>
      <c r="I281" s="497" t="n">
        <v>0.35</v>
      </c>
      <c r="J281" s="498" t="n">
        <v>0.4</v>
      </c>
    </row>
    <row r="282">
      <c r="B282" t="inlineStr">
        <is>
          <t>Offer value</t>
        </is>
      </c>
      <c r="C282" s="499" t="n">
        <v>6741.92625</v>
      </c>
      <c r="E282" s="337" t="n">
        <v>8523.358405376423</v>
      </c>
      <c r="F282" s="57" t="n">
        <v>7863.649152989116</v>
      </c>
      <c r="G282" s="57" t="n">
        <v>7350.015842073511</v>
      </c>
      <c r="H282" s="57" t="n">
        <v>6946.081072704031</v>
      </c>
      <c r="I282" s="57" t="n">
        <v>6625.461137026155</v>
      </c>
      <c r="J282" s="358" t="n">
        <v>6368.780966338632</v>
      </c>
    </row>
    <row r="283">
      <c r="B283" t="inlineStr">
        <is>
          <t>Diluted shares outstanding</t>
        </is>
      </c>
      <c r="C283" s="345" t="n">
        <v>145.7713783783784</v>
      </c>
      <c r="E283" s="334" t="n">
        <v>145.7713783783784</v>
      </c>
      <c r="F283" s="140" t="n">
        <v>145.7713783783784</v>
      </c>
      <c r="G283" s="140" t="n">
        <v>145.7713783783784</v>
      </c>
      <c r="H283" s="140" t="n">
        <v>145.7713783783784</v>
      </c>
      <c r="I283" s="140" t="n">
        <v>145.7713783783784</v>
      </c>
      <c r="J283" s="359" t="n">
        <v>145.7713783783784</v>
      </c>
    </row>
    <row r="284">
      <c r="B284" t="inlineStr">
        <is>
          <t>Offer value / per share</t>
        </is>
      </c>
      <c r="C284" s="346" t="n">
        <v>46.25</v>
      </c>
      <c r="E284" s="335" t="n">
        <v>58.47072655958814</v>
      </c>
      <c r="F284" s="136" t="n">
        <v>53.9450833247763</v>
      </c>
      <c r="G284" s="136" t="n">
        <v>50.42152941021861</v>
      </c>
      <c r="H284" s="136" t="n">
        <v>47.65051377009077</v>
      </c>
      <c r="I284" s="136" t="n">
        <v>45.45104265824024</v>
      </c>
      <c r="J284" s="306" t="n">
        <v>43.69020199429825</v>
      </c>
    </row>
    <row r="285">
      <c r="B285" s="202" t="inlineStr">
        <is>
          <t>% Premium / discount</t>
        </is>
      </c>
      <c r="C285" s="500" t="n">
        <v>0.01827388815499775</v>
      </c>
      <c r="E285" s="501" t="n">
        <v>0.2873343584233408</v>
      </c>
      <c r="F285" s="502" t="n">
        <v>0.1876944809506009</v>
      </c>
      <c r="G285" s="502" t="n">
        <v>0.1101173362003216</v>
      </c>
      <c r="H285" s="502" t="n">
        <v>0.04910862549737494</v>
      </c>
      <c r="I285" s="502" t="n">
        <v>0.0006834579092962478</v>
      </c>
      <c r="J285" s="503" t="n">
        <v>-0.03808450034570132</v>
      </c>
    </row>
    <row r="286">
      <c r="B286" s="202" t="n"/>
      <c r="C286" s="348" t="n"/>
      <c r="E286" s="501" t="n"/>
      <c r="F286" s="502" t="n"/>
      <c r="G286" s="502" t="n"/>
      <c r="H286" s="502" t="n"/>
      <c r="I286" s="502" t="n"/>
      <c r="J286" s="503" t="n"/>
    </row>
    <row r="287">
      <c r="B287" s="147" t="inlineStr">
        <is>
          <t>Enterprise value</t>
        </is>
      </c>
      <c r="C287" s="349" t="n">
        <v>6466.026250000001</v>
      </c>
      <c r="E287" s="337" t="n">
        <v>8247.458405376423</v>
      </c>
      <c r="F287" s="57" t="n">
        <v>7587.749152989118</v>
      </c>
      <c r="G287" s="57" t="n">
        <v>7074.11584207351</v>
      </c>
      <c r="H287" s="57" t="n">
        <v>6670.18107270403</v>
      </c>
      <c r="I287" s="57" t="n">
        <v>6349.561137026154</v>
      </c>
      <c r="J287" s="358" t="n">
        <v>6092.880966338633</v>
      </c>
    </row>
    <row r="288">
      <c r="B288" s="202" t="inlineStr">
        <is>
          <t>EV / LTM EBITDA multiple</t>
        </is>
      </c>
      <c r="C288" s="504" t="n">
        <v>7.325281805823042</v>
      </c>
      <c r="E288" s="505" t="n">
        <v>9.343444437947683</v>
      </c>
      <c r="F288" s="506" t="n">
        <v>8.596067920005796</v>
      </c>
      <c r="G288" s="506" t="n">
        <v>8.014179043926031</v>
      </c>
      <c r="H288" s="506" t="n">
        <v>7.556566299653368</v>
      </c>
      <c r="I288" s="506" t="n">
        <v>7.193339908265721</v>
      </c>
      <c r="J288" s="507" t="n">
        <v>6.902550092147537</v>
      </c>
    </row>
    <row r="289">
      <c r="B289" s="73" t="n"/>
      <c r="E289" s="508" t="n"/>
    </row>
    <row r="290">
      <c r="D290" s="319" t="inlineStr">
        <is>
          <t>Sponsor IRR At Various Leverage And Initial EBITDA Multiple Sensitivity</t>
        </is>
      </c>
      <c r="E290" s="207" t="n"/>
      <c r="F290" s="207" t="n"/>
      <c r="G290" s="493" t="n"/>
      <c r="H290" s="207" t="n"/>
      <c r="I290" s="207" t="n"/>
      <c r="J290" s="207" t="n"/>
    </row>
    <row r="291">
      <c r="B291" s="363" t="inlineStr">
        <is>
          <t>Highlight IRR &gt;</t>
        </is>
      </c>
      <c r="D291" s="289" t="inlineStr">
        <is>
          <t>EXPLICIT EBITDA (APPROACH 1) MUST BE SELECTED FOR DATA TABLE TO APPEAR</t>
        </is>
      </c>
      <c r="E291" s="290" t="n"/>
      <c r="F291" s="290" t="n"/>
      <c r="G291" s="290" t="n"/>
      <c r="H291" s="290" t="n"/>
      <c r="I291" s="290" t="n"/>
      <c r="J291" s="290" t="n"/>
    </row>
    <row r="292">
      <c r="B292" s="509" t="n">
        <v>0.3</v>
      </c>
      <c r="F292" s="209" t="inlineStr">
        <is>
          <t>Term A / EBITDA ratio (other cumulative leverage of 2.6x)</t>
        </is>
      </c>
      <c r="G292" s="211" t="n"/>
      <c r="H292" s="211" t="n"/>
      <c r="I292" s="211" t="n"/>
      <c r="J292" s="211" t="n"/>
      <c r="M292" s="290" t="n"/>
      <c r="N292" s="290" t="n"/>
    </row>
    <row r="293">
      <c r="E293" s="212" t="n">
        <v>0.3305050828444873</v>
      </c>
      <c r="F293" s="510" t="n">
        <v>3</v>
      </c>
      <c r="G293" s="511" t="n">
        <v>3.25</v>
      </c>
      <c r="H293" s="511" t="n">
        <v>3.5</v>
      </c>
      <c r="I293" s="511" t="n">
        <v>3.75</v>
      </c>
      <c r="J293" s="511" t="n">
        <v>4</v>
      </c>
    </row>
    <row r="294" ht="15" customHeight="1" s="244">
      <c r="D294" s="286" t="n"/>
      <c r="E294" s="510" t="n">
        <v>7</v>
      </c>
      <c r="F294" s="451" t="n">
        <v>0.306597235533177</v>
      </c>
      <c r="G294" s="451" t="n">
        <v>0.3285696518248762</v>
      </c>
      <c r="H294" s="451" t="n">
        <v>0.3550765360456567</v>
      </c>
      <c r="I294" s="451" t="n">
        <v>0.3878570517986382</v>
      </c>
      <c r="J294" s="435" t="n">
        <v>0.4297704340734299</v>
      </c>
    </row>
    <row r="295">
      <c r="D295" s="286" t="inlineStr">
        <is>
          <t>Initial</t>
        </is>
      </c>
      <c r="E295" s="512" t="n">
        <v>7.25</v>
      </c>
      <c r="F295" s="451" t="n">
        <v>0.3065972788196272</v>
      </c>
      <c r="G295" s="451" t="n">
        <v>0.3285696518248762</v>
      </c>
      <c r="H295" s="451" t="n">
        <v>0.3550765360456567</v>
      </c>
      <c r="I295" s="451" t="n">
        <v>0.3878570517986382</v>
      </c>
      <c r="J295" s="435" t="n">
        <v>0.4297704340734299</v>
      </c>
    </row>
    <row r="296">
      <c r="D296" s="286" t="inlineStr">
        <is>
          <t>EBITDA</t>
        </is>
      </c>
      <c r="E296" s="512" t="n">
        <v>7.5</v>
      </c>
      <c r="F296" s="451" t="n">
        <v>0.3065972788196272</v>
      </c>
      <c r="G296" s="451" t="n">
        <v>0.3285696518248762</v>
      </c>
      <c r="H296" s="451" t="n">
        <v>0.3550765360456567</v>
      </c>
      <c r="I296" s="451" t="n">
        <v>0.3878570517986382</v>
      </c>
      <c r="J296" s="435" t="n">
        <v>0.4297704340734299</v>
      </c>
    </row>
    <row r="297">
      <c r="D297" s="286" t="inlineStr">
        <is>
          <t>Multiple:</t>
        </is>
      </c>
      <c r="E297" s="512" t="n">
        <v>7.75</v>
      </c>
      <c r="F297" s="451" t="n">
        <v>0.3065972788196272</v>
      </c>
      <c r="G297" s="451" t="n">
        <v>0.3285696518248762</v>
      </c>
      <c r="H297" s="451" t="n">
        <v>0.3550765360456567</v>
      </c>
      <c r="I297" s="451" t="n">
        <v>0.3878570517986382</v>
      </c>
      <c r="J297" s="435" t="n">
        <v>0.4297704340734299</v>
      </c>
    </row>
    <row r="298">
      <c r="D298" s="286" t="n"/>
      <c r="E298" s="512" t="n">
        <v>8</v>
      </c>
      <c r="F298" s="451" t="n">
        <v>0.3065972788196272</v>
      </c>
      <c r="G298" s="451" t="n">
        <v>0.3285696518248762</v>
      </c>
      <c r="H298" s="451" t="n">
        <v>0.3550765360456567</v>
      </c>
      <c r="I298" s="451" t="n">
        <v>0.3878570517986382</v>
      </c>
      <c r="J298" s="435" t="n">
        <v>0.4297704340734299</v>
      </c>
    </row>
    <row r="300">
      <c r="D300" s="319" t="inlineStr">
        <is>
          <t>Sponsor IRR At Various Leverage And Offer Price / Share Sensitivity</t>
        </is>
      </c>
      <c r="E300" s="207" t="n"/>
      <c r="F300" s="207" t="n"/>
      <c r="G300" s="493" t="n"/>
      <c r="H300" s="207" t="n"/>
      <c r="I300" s="207" t="n"/>
      <c r="J300" s="207" t="n"/>
    </row>
    <row r="301">
      <c r="D301" s="289" t="inlineStr">
        <is>
          <t>EXPLICIT OFFER PRICE / SHARE (APPROACH 2) MUST BE SELECTED FOR DATA TABLE TO APPEAR</t>
        </is>
      </c>
      <c r="E301" s="290" t="n"/>
      <c r="F301" s="290" t="n"/>
      <c r="G301" s="290" t="n"/>
      <c r="H301" s="290" t="n"/>
      <c r="I301" s="290" t="n"/>
      <c r="J301" s="290" t="n"/>
    </row>
    <row r="302">
      <c r="F302" s="209" t="inlineStr">
        <is>
          <t>Term A / EBITDA ratio (other cumulative leverage of 2.6x)</t>
        </is>
      </c>
      <c r="G302" s="211" t="n"/>
      <c r="H302" s="211" t="n"/>
      <c r="I302" s="211" t="n"/>
      <c r="J302" s="211" t="n"/>
    </row>
    <row r="303">
      <c r="E303" s="212" t="n">
        <v>0.3305050828444873</v>
      </c>
      <c r="F303" s="510" t="n">
        <v>3</v>
      </c>
      <c r="G303" s="511" t="n">
        <v>3.25</v>
      </c>
      <c r="H303" s="511" t="n">
        <v>3.5</v>
      </c>
      <c r="I303" s="511" t="n">
        <v>3.75</v>
      </c>
      <c r="J303" s="511" t="n">
        <v>4</v>
      </c>
    </row>
    <row r="304">
      <c r="D304" s="286" t="n"/>
      <c r="E304" s="513" t="n">
        <v>45</v>
      </c>
      <c r="F304" s="451" t="n">
        <v>0.333852523632834</v>
      </c>
      <c r="G304" s="451" t="n">
        <v>0.3601376555309279</v>
      </c>
      <c r="H304" s="451" t="n">
        <v>0.3924776788740911</v>
      </c>
      <c r="I304" s="451" t="n">
        <v>0.433550866893905</v>
      </c>
      <c r="J304" s="435" t="n">
        <v>0.488104080056188</v>
      </c>
    </row>
    <row r="305">
      <c r="D305" s="286" t="inlineStr">
        <is>
          <t>Initial</t>
        </is>
      </c>
      <c r="E305" s="285" t="n">
        <v>45.25</v>
      </c>
      <c r="F305" s="451" t="n">
        <v>0.3281252707882212</v>
      </c>
      <c r="G305" s="451" t="n">
        <v>0.3534590099865351</v>
      </c>
      <c r="H305" s="451" t="n">
        <v>0.3844939801886209</v>
      </c>
      <c r="I305" s="451" t="n">
        <v>0.4236762156017959</v>
      </c>
      <c r="J305" s="435" t="n">
        <v>0.4752682250597036</v>
      </c>
    </row>
    <row r="306">
      <c r="D306" s="286" t="inlineStr">
        <is>
          <t>Offer</t>
        </is>
      </c>
      <c r="E306" s="285" t="n">
        <v>45.5</v>
      </c>
      <c r="F306" s="451" t="n">
        <v>0.322542428040524</v>
      </c>
      <c r="G306" s="451" t="n">
        <v>0.3469724205248608</v>
      </c>
      <c r="H306" s="451" t="n">
        <v>0.3767772861737244</v>
      </c>
      <c r="I306" s="451" t="n">
        <v>0.4141961196694628</v>
      </c>
      <c r="J306" s="435" t="n">
        <v>0.4630692819485509</v>
      </c>
    </row>
    <row r="307">
      <c r="D307" s="286" t="inlineStr">
        <is>
          <t>Price:</t>
        </is>
      </c>
      <c r="E307" s="285" t="n">
        <v>45.75</v>
      </c>
      <c r="F307" s="451" t="n">
        <v>0.3170974972664742</v>
      </c>
      <c r="G307" s="451" t="n">
        <v>0.3406679984195311</v>
      </c>
      <c r="H307" s="451" t="n">
        <v>0.369311668941261</v>
      </c>
      <c r="I307" s="451" t="n">
        <v>0.4050826060064987</v>
      </c>
      <c r="J307" s="435" t="n">
        <v>0.4514516059303442</v>
      </c>
    </row>
    <row r="308">
      <c r="D308" s="286" t="n"/>
      <c r="E308" s="285" t="n">
        <v>46</v>
      </c>
      <c r="F308" s="451" t="n">
        <v>0.3117843584538174</v>
      </c>
      <c r="G308" s="451" t="n">
        <v>0.3345365786265331</v>
      </c>
      <c r="H308" s="451" t="n">
        <v>0.3620825462333435</v>
      </c>
      <c r="I308" s="451" t="n">
        <v>0.3963104963405388</v>
      </c>
      <c r="J308" s="435" t="n">
        <v>0.4403663540732419</v>
      </c>
    </row>
    <row r="310">
      <c r="D310" s="319" t="inlineStr">
        <is>
          <t>Sponsor IRR @ Preferred &amp; Sub Note Equity Kicker Sensitivity</t>
        </is>
      </c>
      <c r="E310" s="207" t="n"/>
      <c r="F310" s="207" t="n"/>
      <c r="G310" s="493" t="n"/>
      <c r="H310" s="207" t="n"/>
      <c r="I310" s="207" t="n"/>
      <c r="J310" s="207" t="n"/>
    </row>
    <row r="311">
      <c r="F311" s="209" t="inlineStr">
        <is>
          <t>Sub Note Equity Kicker</t>
        </is>
      </c>
      <c r="G311" s="211" t="n"/>
      <c r="H311" s="211" t="n"/>
      <c r="I311" s="211" t="n"/>
      <c r="J311" s="211" t="n"/>
    </row>
    <row r="312">
      <c r="E312" s="212" t="n">
        <v>0.3305050828444873</v>
      </c>
      <c r="F312" s="514" t="n">
        <v>0</v>
      </c>
      <c r="G312" s="213" t="n">
        <v>0.02</v>
      </c>
      <c r="H312" s="213" t="n">
        <v>0.04</v>
      </c>
      <c r="I312" s="213" t="n">
        <v>0.06</v>
      </c>
      <c r="J312" s="213" t="n">
        <v>0.08</v>
      </c>
    </row>
    <row r="313">
      <c r="D313" s="286" t="n"/>
      <c r="E313" s="514" t="n">
        <v>0</v>
      </c>
      <c r="F313" s="451" t="n">
        <v>0.3305050799786786</v>
      </c>
      <c r="G313" s="451" t="n">
        <v>0.3251399681067006</v>
      </c>
      <c r="H313" s="451" t="n">
        <v>0.3196865321790505</v>
      </c>
      <c r="I313" s="451" t="n">
        <v>0.3141414345792028</v>
      </c>
      <c r="J313" s="435" t="n">
        <v>0.3085011343441604</v>
      </c>
    </row>
    <row r="314">
      <c r="D314" s="286" t="inlineStr">
        <is>
          <t>Preferred</t>
        </is>
      </c>
      <c r="E314" s="515" t="n">
        <v>0.02</v>
      </c>
      <c r="F314" s="451" t="n">
        <v>0.3251399681732201</v>
      </c>
      <c r="G314" s="451" t="n">
        <v>0.3196865321805167</v>
      </c>
      <c r="H314" s="451" t="n">
        <v>0.3141414345792337</v>
      </c>
      <c r="I314" s="451" t="n">
        <v>0.308501134344161</v>
      </c>
      <c r="J314" s="435" t="n">
        <v>0.3027618729690769</v>
      </c>
    </row>
    <row r="315">
      <c r="D315" s="286" t="inlineStr">
        <is>
          <t>Equity</t>
        </is>
      </c>
      <c r="E315" s="515" t="n">
        <v>0.04</v>
      </c>
      <c r="F315" s="451" t="n">
        <v>0.3196865321805167</v>
      </c>
      <c r="G315" s="451" t="n">
        <v>0.3141414345792337</v>
      </c>
      <c r="H315" s="451" t="n">
        <v>0.308501134344161</v>
      </c>
      <c r="I315" s="451" t="n">
        <v>0.3027618729690769</v>
      </c>
      <c r="J315" s="435" t="n">
        <v>0.2969196559822402</v>
      </c>
    </row>
    <row r="316">
      <c r="D316" s="286" t="inlineStr">
        <is>
          <t>Kicker:</t>
        </is>
      </c>
      <c r="E316" s="515" t="n">
        <v>0.06</v>
      </c>
      <c r="F316" s="451" t="n">
        <v>0.3141414345792337</v>
      </c>
      <c r="G316" s="451" t="n">
        <v>0.308501134344161</v>
      </c>
      <c r="H316" s="451" t="n">
        <v>0.3027618729690769</v>
      </c>
      <c r="I316" s="451" t="n">
        <v>0.2969196559822402</v>
      </c>
      <c r="J316" s="435" t="n">
        <v>0.2909702322912278</v>
      </c>
    </row>
    <row r="317">
      <c r="D317" s="286" t="n"/>
      <c r="E317" s="515" t="n">
        <v>0.08</v>
      </c>
      <c r="F317" s="451" t="n">
        <v>0.308501134344161</v>
      </c>
      <c r="G317" s="451" t="n">
        <v>0.3027618729690769</v>
      </c>
      <c r="H317" s="451" t="n">
        <v>0.2969196559822402</v>
      </c>
      <c r="I317" s="451" t="n">
        <v>0.290970232291228</v>
      </c>
      <c r="J317" s="435" t="n">
        <v>0.2849090713511313</v>
      </c>
    </row>
    <row r="319">
      <c r="B319" s="317" t="inlineStr">
        <is>
          <t>PRO FORMA BALANCE SHEET ADJUSTMENTS</t>
        </is>
      </c>
      <c r="C319" s="15" t="n"/>
      <c r="D319" s="15" t="n"/>
      <c r="E319" s="15" t="n"/>
      <c r="F319" s="15" t="n"/>
      <c r="G319" s="15" t="n"/>
      <c r="H319" s="15" t="n"/>
      <c r="I319" s="15" t="n"/>
      <c r="J319" s="15" t="n"/>
    </row>
    <row r="320">
      <c r="H320" s="267" t="n"/>
      <c r="J320" s="268" t="inlineStr">
        <is>
          <t>Pro forma</t>
        </is>
      </c>
    </row>
    <row r="321">
      <c r="E321" s="270" t="n">
        <v>2012</v>
      </c>
      <c r="F321" s="270" t="n">
        <v>2013</v>
      </c>
      <c r="G321" s="290" t="inlineStr">
        <is>
          <t>Pro forma adjustments</t>
        </is>
      </c>
      <c r="H321" s="260" t="n"/>
      <c r="I321" s="290" t="n"/>
      <c r="J321" s="383" t="n">
        <v>2013</v>
      </c>
    </row>
    <row r="322">
      <c r="B322" s="15" t="n"/>
      <c r="C322" s="15" t="n"/>
      <c r="D322" s="15" t="n"/>
      <c r="E322" s="259" t="n">
        <v>40999</v>
      </c>
      <c r="F322" s="259" t="n">
        <v>41364</v>
      </c>
      <c r="G322" s="261" t="inlineStr">
        <is>
          <t>Uses of funds</t>
        </is>
      </c>
      <c r="H322" s="261" t="inlineStr">
        <is>
          <t>Sources of funds</t>
        </is>
      </c>
      <c r="I322" s="261" t="inlineStr">
        <is>
          <t>Accounting</t>
        </is>
      </c>
      <c r="J322" s="259" t="n">
        <v>41364</v>
      </c>
    </row>
    <row r="323">
      <c r="B323" s="34" t="inlineStr">
        <is>
          <t>Cash</t>
        </is>
      </c>
      <c r="E323" s="434" t="n">
        <v>1635.6</v>
      </c>
      <c r="F323" s="434" t="n">
        <v>1581.9</v>
      </c>
      <c r="G323" s="488" t="n">
        <v>-8252.453940000001</v>
      </c>
      <c r="H323" s="488" t="n">
        <v>6850.553940000001</v>
      </c>
      <c r="I323" s="488" t="n"/>
      <c r="J323" s="434" t="n">
        <v>179.9999999999991</v>
      </c>
    </row>
    <row r="324">
      <c r="B324" s="34" t="inlineStr">
        <is>
          <t>Accounts receivable, EOP</t>
        </is>
      </c>
      <c r="E324" s="434" t="n">
        <v>484.8</v>
      </c>
      <c r="F324" s="434" t="n">
        <v>443.7</v>
      </c>
      <c r="G324" s="173" t="n"/>
      <c r="H324" s="488" t="n"/>
      <c r="I324" s="488" t="n"/>
      <c r="J324" s="434" t="n">
        <v>443.7</v>
      </c>
    </row>
    <row r="325">
      <c r="B325" s="34" t="inlineStr">
        <is>
          <t>Other current assets, EOP</t>
        </is>
      </c>
      <c r="E325" s="434" t="n">
        <v>195.1</v>
      </c>
      <c r="F325" s="434" t="n">
        <v>213.1</v>
      </c>
      <c r="G325" s="173" t="n"/>
      <c r="H325" s="488" t="n"/>
      <c r="I325" s="488" t="n"/>
      <c r="J325" s="434" t="n">
        <v>213.1</v>
      </c>
    </row>
    <row r="326">
      <c r="B326" s="34" t="inlineStr">
        <is>
          <t>PP&amp;E</t>
        </is>
      </c>
      <c r="E326" s="434" t="n">
        <v>87.8</v>
      </c>
      <c r="F326" s="434" t="n">
        <v>85.2</v>
      </c>
      <c r="G326" s="173" t="n"/>
      <c r="H326" s="488" t="n"/>
      <c r="I326" s="488" t="n">
        <v>300</v>
      </c>
      <c r="J326" s="434" t="n">
        <v>385.2</v>
      </c>
    </row>
    <row r="327">
      <c r="B327" s="34" t="inlineStr">
        <is>
          <t>Software development costs</t>
        </is>
      </c>
      <c r="E327" s="434" t="n">
        <v>244.7</v>
      </c>
      <c r="F327" s="434" t="n">
        <v>271.4</v>
      </c>
      <c r="G327" s="173" t="n"/>
      <c r="H327" s="488" t="n"/>
      <c r="I327" s="488" t="n"/>
      <c r="J327" s="434" t="n">
        <v>271.4</v>
      </c>
    </row>
    <row r="328">
      <c r="B328" s="34" t="inlineStr">
        <is>
          <t>Intangible assets</t>
        </is>
      </c>
      <c r="E328" s="434" t="n">
        <v>257.5</v>
      </c>
      <c r="F328" s="434" t="n">
        <v>189.8</v>
      </c>
      <c r="G328" s="488" t="n">
        <v>69.68916500000003</v>
      </c>
      <c r="H328" s="488" t="n"/>
      <c r="I328" s="488" t="n">
        <v>200</v>
      </c>
      <c r="J328" s="434" t="n">
        <v>459.4891650000001</v>
      </c>
    </row>
    <row r="329">
      <c r="B329" s="34" t="inlineStr">
        <is>
          <t>Goodwill and other assets</t>
        </is>
      </c>
      <c r="E329" s="445" t="n">
        <v>1940.3</v>
      </c>
      <c r="F329" s="445" t="n">
        <v>1935.2</v>
      </c>
      <c r="G329" s="263" t="n"/>
      <c r="H329" s="516" t="n"/>
      <c r="I329" s="265" t="n">
        <v>5536.653639577004</v>
      </c>
      <c r="J329" s="445" t="n">
        <v>7471.853639577004</v>
      </c>
    </row>
    <row r="330">
      <c r="B330" s="383" t="inlineStr">
        <is>
          <t>Total Assets</t>
        </is>
      </c>
      <c r="E330" s="438" t="n">
        <v>4845.799999999999</v>
      </c>
      <c r="F330" s="438" t="n">
        <v>4720.3</v>
      </c>
      <c r="G330" s="173" t="n"/>
      <c r="H330" s="173" t="n"/>
      <c r="I330" s="173" t="n"/>
      <c r="J330" s="438" t="n">
        <v>9424.742804577003</v>
      </c>
    </row>
    <row r="331">
      <c r="E331" s="140" t="n"/>
      <c r="F331" s="140" t="n"/>
      <c r="G331" s="173" t="n"/>
      <c r="H331" s="173" t="n"/>
      <c r="I331" s="173" t="n"/>
    </row>
    <row r="332">
      <c r="B332" s="34" t="inlineStr">
        <is>
          <t>Accounts payable, EOP</t>
        </is>
      </c>
      <c r="E332" s="434" t="n">
        <v>32.7</v>
      </c>
      <c r="F332" s="434" t="n">
        <v>42.1</v>
      </c>
      <c r="G332" s="173" t="n"/>
      <c r="H332" s="488" t="n"/>
      <c r="I332" s="488" t="n"/>
      <c r="J332" s="434" t="n">
        <v>42.1</v>
      </c>
    </row>
    <row r="333">
      <c r="B333" s="34" t="inlineStr">
        <is>
          <t>Accrued expenses &amp; def revenues, EOP</t>
        </is>
      </c>
      <c r="E333" s="434" t="n">
        <v>2313.3</v>
      </c>
      <c r="F333" s="434" t="n">
        <v>2301.7</v>
      </c>
      <c r="G333" s="173" t="n"/>
      <c r="H333" s="488" t="n"/>
      <c r="I333" s="488" t="n"/>
      <c r="J333" s="434" t="n">
        <v>2301.7</v>
      </c>
    </row>
    <row r="334">
      <c r="B334" s="34" t="inlineStr">
        <is>
          <t>Other liabilities</t>
        </is>
      </c>
      <c r="E334" s="434" t="n">
        <v>232.4</v>
      </c>
      <c r="F334" s="434" t="n">
        <v>252</v>
      </c>
      <c r="G334" s="173" t="n"/>
      <c r="H334" s="488" t="n"/>
      <c r="I334" s="488" t="n">
        <v>113.2273895770039</v>
      </c>
      <c r="J334" s="434" t="n">
        <v>365.2273895770039</v>
      </c>
    </row>
    <row r="335">
      <c r="B335" s="34" t="inlineStr">
        <is>
          <t xml:space="preserve">Debt </t>
        </is>
      </c>
      <c r="E335" s="204" t="n">
        <v>821.6</v>
      </c>
      <c r="F335" s="449" t="n">
        <v>1306</v>
      </c>
      <c r="G335" s="488" t="n">
        <v>-1306</v>
      </c>
      <c r="H335" s="172" t="n">
        <v>5190.276000000002</v>
      </c>
      <c r="I335" s="173" t="n"/>
      <c r="J335" s="434" t="n">
        <v>5190.276000000002</v>
      </c>
    </row>
    <row r="336">
      <c r="B336" s="383" t="inlineStr">
        <is>
          <t>Total Liabilities</t>
        </is>
      </c>
      <c r="E336" s="438" t="n">
        <v>3400</v>
      </c>
      <c r="F336" s="438" t="n">
        <v>3901.8</v>
      </c>
      <c r="G336" s="173" t="n"/>
      <c r="H336" s="173" t="n"/>
      <c r="I336" s="173" t="n"/>
      <c r="J336" s="438" t="n">
        <v>7899.303389577006</v>
      </c>
    </row>
    <row r="337">
      <c r="E337" s="140" t="n"/>
      <c r="F337" s="140" t="n"/>
      <c r="G337" s="173" t="n"/>
      <c r="H337" s="173" t="n"/>
      <c r="I337" s="173" t="n"/>
    </row>
    <row r="338">
      <c r="B338" s="34" t="inlineStr">
        <is>
          <t>LBO Preferred stock</t>
        </is>
      </c>
      <c r="E338" s="256" t="inlineStr">
        <is>
          <t>NM</t>
        </is>
      </c>
      <c r="F338" s="256" t="inlineStr">
        <is>
          <t>NM</t>
        </is>
      </c>
      <c r="G338" s="173" t="n"/>
      <c r="H338" s="172" t="n">
        <v>0</v>
      </c>
      <c r="I338" s="173" t="n"/>
      <c r="J338" s="434" t="n">
        <v>0</v>
      </c>
    </row>
    <row r="339">
      <c r="B339" s="34" t="inlineStr">
        <is>
          <t>Equity</t>
        </is>
      </c>
      <c r="E339" s="449" t="n">
        <v>1445.8</v>
      </c>
      <c r="F339" s="449" t="n">
        <v>818.5</v>
      </c>
      <c r="G339" s="488" t="n">
        <v>-6876.764775000001</v>
      </c>
      <c r="H339" s="172" t="n">
        <v>1660.277939999999</v>
      </c>
      <c r="I339" s="488" t="n">
        <v>5923.42625</v>
      </c>
      <c r="J339" s="434" t="n">
        <v>1525.439414999999</v>
      </c>
    </row>
    <row r="340">
      <c r="B340" s="383" t="inlineStr">
        <is>
          <t>Total equity</t>
        </is>
      </c>
      <c r="E340" s="57" t="n">
        <v>1445.8</v>
      </c>
      <c r="F340" s="57" t="n">
        <v>818.5</v>
      </c>
      <c r="J340" s="438" t="n">
        <v>1525.439414999999</v>
      </c>
    </row>
    <row r="341">
      <c r="B341" s="202" t="inlineStr">
        <is>
          <t>Balance check</t>
        </is>
      </c>
      <c r="E341" s="455" t="n">
        <v>0</v>
      </c>
      <c r="F341" s="455" t="n">
        <v>0</v>
      </c>
      <c r="G341" s="434" t="n"/>
      <c r="H341" s="140" t="n"/>
      <c r="J341" s="455" t="n">
        <v>-1.818989403545856e-12</v>
      </c>
    </row>
    <row r="342">
      <c r="B342" s="100" t="n"/>
      <c r="D342" s="100" t="n"/>
      <c r="E342" s="455" t="n"/>
      <c r="F342" s="455" t="n"/>
      <c r="G342" s="434" t="n"/>
      <c r="H342" s="140" t="n"/>
      <c r="J342" s="455" t="n"/>
    </row>
    <row r="343">
      <c r="B343" s="317" t="inlineStr">
        <is>
          <t>PRO FORMA BALANCE SHEET</t>
        </is>
      </c>
      <c r="D343" s="18" t="n"/>
      <c r="E343" s="517" t="n"/>
      <c r="F343" s="517" t="n"/>
      <c r="G343" s="445" t="n"/>
      <c r="H343" s="142" t="n"/>
      <c r="I343" s="15" t="n"/>
      <c r="J343" s="517" t="n"/>
      <c r="K343" s="15" t="n"/>
    </row>
    <row r="344">
      <c r="B344" s="43" t="inlineStr">
        <is>
          <t xml:space="preserve">Fiscal year  </t>
        </is>
      </c>
      <c r="C344" s="189" t="n"/>
      <c r="D344" s="37" t="n">
        <v>2011</v>
      </c>
      <c r="E344" s="37" t="n">
        <v>2012</v>
      </c>
      <c r="F344" s="37" t="n">
        <v>2013</v>
      </c>
      <c r="G344" s="38" t="n">
        <v>2014</v>
      </c>
      <c r="H344" s="38" t="n">
        <v>2015</v>
      </c>
      <c r="I344" s="38" t="n">
        <v>2016</v>
      </c>
      <c r="J344" s="38" t="n">
        <v>2017</v>
      </c>
      <c r="K344" s="38" t="n">
        <v>2018</v>
      </c>
    </row>
    <row r="345">
      <c r="B345" s="15" t="inlineStr">
        <is>
          <t>Fiscal year end date</t>
        </is>
      </c>
      <c r="C345" s="15" t="n"/>
      <c r="D345" s="39" t="n">
        <v>40633</v>
      </c>
      <c r="E345" s="39" t="n">
        <v>40999</v>
      </c>
      <c r="F345" s="39" t="n">
        <v>41364</v>
      </c>
      <c r="G345" s="39" t="n">
        <v>41729</v>
      </c>
      <c r="H345" s="39" t="n">
        <v>42094</v>
      </c>
      <c r="I345" s="39" t="n">
        <v>42460</v>
      </c>
      <c r="J345" s="39" t="n">
        <v>42825</v>
      </c>
      <c r="K345" s="39" t="n">
        <v>43190</v>
      </c>
    </row>
    <row r="346">
      <c r="B346" s="34" t="inlineStr">
        <is>
          <t>Cash</t>
        </is>
      </c>
      <c r="D346" s="434" t="n">
        <v>1635.6</v>
      </c>
      <c r="E346" s="434" t="n">
        <v>1581.9</v>
      </c>
      <c r="F346" s="434" t="n">
        <v>179.9999999999991</v>
      </c>
      <c r="G346" s="461" t="n">
        <v>180</v>
      </c>
      <c r="H346" s="461" t="n">
        <v>180</v>
      </c>
      <c r="I346" s="461" t="n">
        <v>180</v>
      </c>
      <c r="J346" s="461" t="n">
        <v>180</v>
      </c>
      <c r="K346" s="461" t="n">
        <v>180.0000000000002</v>
      </c>
    </row>
    <row r="347">
      <c r="B347" s="34" t="inlineStr">
        <is>
          <t>Accounts receivable, EOP</t>
        </is>
      </c>
      <c r="D347" s="434" t="n">
        <v>484.8</v>
      </c>
      <c r="E347" s="434" t="n">
        <v>443.7</v>
      </c>
      <c r="F347" s="434" t="n">
        <v>443.7</v>
      </c>
      <c r="G347" s="461" t="n">
        <v>459.2295</v>
      </c>
      <c r="H347" s="461" t="n">
        <v>484.4871225</v>
      </c>
      <c r="I347" s="461" t="n">
        <v>513.5563498500001</v>
      </c>
      <c r="J347" s="461" t="n">
        <v>539.2341673425001</v>
      </c>
      <c r="K347" s="461" t="n">
        <v>565.1174073749401</v>
      </c>
    </row>
    <row r="348">
      <c r="B348" s="34" t="inlineStr">
        <is>
          <t>Other current assets, EOP</t>
        </is>
      </c>
      <c r="D348" s="434" t="n">
        <v>195.1</v>
      </c>
      <c r="E348" s="434" t="n">
        <v>213.1</v>
      </c>
      <c r="F348" s="434" t="n">
        <v>213.1</v>
      </c>
      <c r="G348" s="461" t="n">
        <v>220.5585</v>
      </c>
      <c r="H348" s="461" t="n">
        <v>232.6892175</v>
      </c>
      <c r="I348" s="461" t="n">
        <v>246.65057055</v>
      </c>
      <c r="J348" s="461" t="n">
        <v>258.9830990775</v>
      </c>
      <c r="K348" s="461" t="n">
        <v>271.41428783322</v>
      </c>
    </row>
    <row r="349">
      <c r="B349" s="34" t="inlineStr">
        <is>
          <t>PP&amp;E</t>
        </is>
      </c>
      <c r="D349" s="434" t="n">
        <v>87.8</v>
      </c>
      <c r="E349" s="434" t="n">
        <v>85.2</v>
      </c>
      <c r="F349" s="434" t="n">
        <v>385.2</v>
      </c>
      <c r="G349" s="461" t="n">
        <v>343.1444897959184</v>
      </c>
      <c r="H349" s="461" t="n">
        <v>303.4073469387755</v>
      </c>
      <c r="I349" s="461" t="n">
        <v>266.4522448979592</v>
      </c>
      <c r="J349" s="461" t="n">
        <v>233.090612244898</v>
      </c>
      <c r="K349" s="461" t="n">
        <v>203.090612244898</v>
      </c>
    </row>
    <row r="350">
      <c r="B350" s="34" t="inlineStr">
        <is>
          <t>Software development costs</t>
        </is>
      </c>
      <c r="D350" s="434" t="n">
        <v>244.7</v>
      </c>
      <c r="E350" s="434" t="n">
        <v>271.4</v>
      </c>
      <c r="F350" s="434" t="n">
        <v>271.4</v>
      </c>
      <c r="G350" s="461" t="n">
        <v>286.5086419753086</v>
      </c>
      <c r="H350" s="461" t="n">
        <v>297.6447530864197</v>
      </c>
      <c r="I350" s="461" t="n">
        <v>305.199074074074</v>
      </c>
      <c r="J350" s="461" t="n">
        <v>309.3669753086419</v>
      </c>
      <c r="K350" s="461" t="n">
        <v>309.3669753086418</v>
      </c>
    </row>
    <row r="351">
      <c r="B351" s="34" t="inlineStr">
        <is>
          <t>Intangible assets</t>
        </is>
      </c>
      <c r="D351" s="434" t="n">
        <v>257.5</v>
      </c>
      <c r="E351" s="434" t="n">
        <v>189.8</v>
      </c>
      <c r="F351" s="434" t="n">
        <v>459.4891650000001</v>
      </c>
      <c r="G351" s="461" t="n">
        <v>436.4918429166667</v>
      </c>
      <c r="H351" s="461" t="n">
        <v>413.4945208333334</v>
      </c>
      <c r="I351" s="461" t="n">
        <v>390.4971987500001</v>
      </c>
      <c r="J351" s="461" t="n">
        <v>367.4998766666666</v>
      </c>
      <c r="K351" s="461" t="n">
        <v>344.5025545833333</v>
      </c>
    </row>
    <row r="352">
      <c r="B352" s="34" t="inlineStr">
        <is>
          <t>Goodwill and other assets</t>
        </is>
      </c>
      <c r="D352" s="445" t="n">
        <v>1940.3</v>
      </c>
      <c r="E352" s="445" t="n">
        <v>1935.2</v>
      </c>
      <c r="F352" s="445" t="n">
        <v>7471.853639577004</v>
      </c>
      <c r="G352" s="518" t="n">
        <v>7471.853639577004</v>
      </c>
      <c r="H352" s="518" t="n">
        <v>7471.853639577004</v>
      </c>
      <c r="I352" s="518" t="n">
        <v>7471.853639577004</v>
      </c>
      <c r="J352" s="518" t="n">
        <v>7471.853639577004</v>
      </c>
      <c r="K352" s="518" t="n">
        <v>7471.853639577004</v>
      </c>
    </row>
    <row r="353">
      <c r="B353" s="193" t="inlineStr">
        <is>
          <t>Total Assets</t>
        </is>
      </c>
      <c r="D353" s="438" t="n">
        <v>4845.799999999999</v>
      </c>
      <c r="E353" s="438" t="n">
        <v>4720.3</v>
      </c>
      <c r="F353" s="438" t="n">
        <v>9424.742804577003</v>
      </c>
      <c r="G353" s="519" t="n">
        <v>9397.786614264898</v>
      </c>
      <c r="H353" s="519" t="n">
        <v>9383.576600435532</v>
      </c>
      <c r="I353" s="519" t="n">
        <v>9374.209077699037</v>
      </c>
      <c r="J353" s="519" t="n">
        <v>9360.028370217211</v>
      </c>
      <c r="K353" s="519" t="n">
        <v>9345.345476922037</v>
      </c>
    </row>
    <row r="354">
      <c r="B354" s="34" t="n"/>
      <c r="D354" s="434" t="n"/>
      <c r="E354" s="434" t="n"/>
      <c r="F354" s="434" t="n"/>
      <c r="G354" s="461" t="n"/>
      <c r="H354" s="461" t="n"/>
      <c r="I354" s="461" t="n"/>
      <c r="J354" s="461" t="n"/>
      <c r="K354" s="461" t="n"/>
    </row>
    <row r="355">
      <c r="B355" s="34" t="inlineStr">
        <is>
          <t>Accounts payable, EOP</t>
        </is>
      </c>
      <c r="D355" s="434" t="n">
        <v>32.7</v>
      </c>
      <c r="E355" s="434" t="n">
        <v>42.1</v>
      </c>
      <c r="F355" s="434" t="n">
        <v>42.1</v>
      </c>
      <c r="G355" s="461" t="n">
        <v>41.35985068829212</v>
      </c>
      <c r="H355" s="461" t="n">
        <v>42.77992582446322</v>
      </c>
      <c r="I355" s="461" t="n">
        <v>44.44072172314495</v>
      </c>
      <c r="J355" s="461" t="n">
        <v>45.71145817597682</v>
      </c>
      <c r="K355" s="461" t="n">
        <v>46.90864615269874</v>
      </c>
    </row>
    <row r="356">
      <c r="B356" s="34" t="inlineStr">
        <is>
          <t>Accrued expenses &amp; def revenues, EOP</t>
        </is>
      </c>
      <c r="D356" s="434" t="n">
        <v>2313.3</v>
      </c>
      <c r="E356" s="434" t="n">
        <v>2301.7</v>
      </c>
      <c r="F356" s="434" t="n">
        <v>2301.7</v>
      </c>
      <c r="G356" s="461" t="n">
        <v>2382.2595</v>
      </c>
      <c r="H356" s="461" t="n">
        <v>2513.283772499999</v>
      </c>
      <c r="I356" s="461" t="n">
        <v>2664.08079885</v>
      </c>
      <c r="J356" s="461" t="n">
        <v>2797.2848387925</v>
      </c>
      <c r="K356" s="461" t="n">
        <v>2931.55451105454</v>
      </c>
    </row>
    <row r="357">
      <c r="B357" s="34" t="inlineStr">
        <is>
          <t>Other liabilities</t>
        </is>
      </c>
      <c r="D357" s="434" t="n">
        <v>232.4</v>
      </c>
      <c r="E357" s="434" t="n">
        <v>252</v>
      </c>
      <c r="F357" s="434" t="n">
        <v>365.2273895770039</v>
      </c>
      <c r="G357" s="461" t="n">
        <v>355.4143491469969</v>
      </c>
      <c r="H357" s="461" t="n">
        <v>345.6013087169899</v>
      </c>
      <c r="I357" s="461" t="n">
        <v>335.7882682869829</v>
      </c>
      <c r="J357" s="461" t="n">
        <v>325.9752278569759</v>
      </c>
      <c r="K357" s="461" t="n">
        <v>316.1621874269689</v>
      </c>
    </row>
    <row r="358">
      <c r="B358" s="34" t="inlineStr">
        <is>
          <t xml:space="preserve">Debt </t>
        </is>
      </c>
      <c r="D358" s="434" t="n">
        <v>821.6</v>
      </c>
      <c r="E358" s="434" t="n">
        <v>1306</v>
      </c>
      <c r="F358" s="434" t="n">
        <v>5190.276000000002</v>
      </c>
      <c r="G358" s="461" t="n">
        <v>4779.353838835204</v>
      </c>
      <c r="H358" s="461" t="n">
        <v>4260.14190032703</v>
      </c>
      <c r="I358" s="461" t="n">
        <v>3651.402983170007</v>
      </c>
      <c r="J358" s="461" t="n">
        <v>2978.254961822547</v>
      </c>
      <c r="K358" s="461" t="n">
        <v>2213.672731091117</v>
      </c>
    </row>
    <row r="359">
      <c r="B359" s="34" t="inlineStr">
        <is>
          <t>Total Liabilities</t>
        </is>
      </c>
      <c r="D359" s="438" t="n">
        <v>3400</v>
      </c>
      <c r="E359" s="438" t="n">
        <v>3901.8</v>
      </c>
      <c r="F359" s="438" t="n">
        <v>7899.303389577006</v>
      </c>
      <c r="G359" s="519" t="n">
        <v>7558.387538670493</v>
      </c>
      <c r="H359" s="519" t="n">
        <v>7161.806907368483</v>
      </c>
      <c r="I359" s="519" t="n">
        <v>6695.712772030135</v>
      </c>
      <c r="J359" s="519" t="n">
        <v>6147.226486648</v>
      </c>
      <c r="K359" s="519" t="n">
        <v>5508.298075725324</v>
      </c>
    </row>
    <row r="360">
      <c r="B360" s="34" t="n"/>
      <c r="D360" s="434" t="n"/>
      <c r="E360" s="434" t="n"/>
      <c r="F360" s="434" t="n"/>
      <c r="G360" s="461" t="n"/>
      <c r="H360" s="461" t="n"/>
      <c r="I360" s="461" t="n"/>
      <c r="J360" s="461" t="n"/>
      <c r="K360" s="461" t="n"/>
    </row>
    <row r="361">
      <c r="B361" s="34" t="inlineStr">
        <is>
          <t>LBO Preferred stock</t>
        </is>
      </c>
      <c r="D361" s="520" t="inlineStr">
        <is>
          <t>NM</t>
        </is>
      </c>
      <c r="E361" s="520" t="inlineStr">
        <is>
          <t>NM</t>
        </is>
      </c>
      <c r="F361" s="434" t="n">
        <v>0</v>
      </c>
      <c r="G361" s="461" t="n">
        <v>0</v>
      </c>
      <c r="H361" s="461" t="n">
        <v>0</v>
      </c>
      <c r="I361" s="461" t="n">
        <v>0</v>
      </c>
      <c r="J361" s="461" t="n">
        <v>0</v>
      </c>
      <c r="K361" s="461" t="n">
        <v>0</v>
      </c>
    </row>
    <row r="362">
      <c r="B362" s="34" t="inlineStr">
        <is>
          <t>Equity</t>
        </is>
      </c>
      <c r="D362" s="520" t="n">
        <v>1445.8</v>
      </c>
      <c r="E362" s="520" t="n">
        <v>818.5</v>
      </c>
      <c r="F362" s="434" t="n">
        <v>1525.439414999999</v>
      </c>
      <c r="G362" s="461" t="n">
        <v>1839.399075594405</v>
      </c>
      <c r="H362" s="461" t="n">
        <v>2221.76969306705</v>
      </c>
      <c r="I362" s="461" t="n">
        <v>2678.496305668903</v>
      </c>
      <c r="J362" s="461" t="n">
        <v>3212.801883569212</v>
      </c>
      <c r="K362" s="461" t="n">
        <v>3837.047401196713</v>
      </c>
    </row>
    <row r="363">
      <c r="B363" s="34" t="inlineStr">
        <is>
          <t>Total equity</t>
        </is>
      </c>
      <c r="D363" s="438" t="n">
        <v>1445.8</v>
      </c>
      <c r="E363" s="438" t="n">
        <v>818.5</v>
      </c>
      <c r="F363" s="438" t="n">
        <v>1525.439414999999</v>
      </c>
      <c r="G363" s="438" t="n">
        <v>1839.399075594405</v>
      </c>
      <c r="H363" s="438" t="n">
        <v>2221.76969306705</v>
      </c>
      <c r="I363" s="438" t="n">
        <v>2678.496305668903</v>
      </c>
      <c r="J363" s="438" t="n">
        <v>3212.801883569212</v>
      </c>
      <c r="K363" s="438" t="n">
        <v>3837.047401196713</v>
      </c>
    </row>
    <row r="364">
      <c r="B364" s="34" t="inlineStr">
        <is>
          <t>Balance check</t>
        </is>
      </c>
      <c r="D364" s="434" t="n">
        <v>0</v>
      </c>
      <c r="E364" s="434" t="n">
        <v>0</v>
      </c>
      <c r="F364" s="434" t="n">
        <v>-1.818989403545856e-12</v>
      </c>
      <c r="G364" s="434" t="n">
        <v>0</v>
      </c>
      <c r="H364" s="434" t="n">
        <v>0</v>
      </c>
      <c r="I364" s="434" t="n">
        <v>0</v>
      </c>
      <c r="J364" s="434" t="n">
        <v>0</v>
      </c>
      <c r="K364" s="434" t="n">
        <v>0</v>
      </c>
    </row>
    <row r="365">
      <c r="G365" s="434" t="n"/>
      <c r="H365" s="434" t="n"/>
      <c r="I365" s="434" t="n"/>
      <c r="J365" s="434" t="n"/>
    </row>
    <row r="366">
      <c r="B366" s="383" t="inlineStr">
        <is>
          <t>Equity, BOP</t>
        </is>
      </c>
      <c r="C366" s="383" t="n"/>
      <c r="D366" s="383" t="n"/>
      <c r="E366" s="383" t="n"/>
      <c r="F366" s="383" t="n"/>
      <c r="G366" s="438" t="n">
        <v>1525.439414999999</v>
      </c>
      <c r="H366" s="438" t="n">
        <v>1839.399075594405</v>
      </c>
      <c r="I366" s="438" t="n">
        <v>2221.76969306705</v>
      </c>
      <c r="J366" s="438" t="n">
        <v>2678.496305668903</v>
      </c>
      <c r="K366" s="438" t="n">
        <v>3212.801883569212</v>
      </c>
    </row>
    <row r="367">
      <c r="B367" s="34" t="inlineStr">
        <is>
          <t>Plus: Net income</t>
        </is>
      </c>
      <c r="G367" s="434" t="n">
        <v>152.9049237669344</v>
      </c>
      <c r="H367" s="434" t="n">
        <v>220.2885263074797</v>
      </c>
      <c r="I367" s="434" t="n">
        <v>293.02899231211</v>
      </c>
      <c r="J367" s="434" t="n">
        <v>370.7372885842398</v>
      </c>
      <c r="K367" s="434" t="n">
        <v>461.3289590130379</v>
      </c>
    </row>
    <row r="368">
      <c r="B368" s="34" t="inlineStr">
        <is>
          <t>Less: Dividends</t>
        </is>
      </c>
      <c r="G368" s="434" t="n">
        <v>0</v>
      </c>
      <c r="H368" s="434" t="n">
        <v>0</v>
      </c>
      <c r="I368" s="434" t="n">
        <v>0</v>
      </c>
      <c r="J368" s="434" t="n">
        <v>0</v>
      </c>
      <c r="K368" s="434" t="n">
        <v>0</v>
      </c>
    </row>
    <row r="369">
      <c r="B369" s="34" t="inlineStr">
        <is>
          <t>Plus: SBC</t>
        </is>
      </c>
      <c r="G369" s="434" t="n">
        <v>161.0547368274718</v>
      </c>
      <c r="H369" s="434" t="n">
        <v>162.0820911651659</v>
      </c>
      <c r="I369" s="434" t="n">
        <v>163.6976202897424</v>
      </c>
      <c r="J369" s="434" t="n">
        <v>163.5682893160696</v>
      </c>
      <c r="K369" s="434" t="n">
        <v>162.9165586144626</v>
      </c>
    </row>
    <row r="370">
      <c r="B370" s="193" t="inlineStr">
        <is>
          <t>Equity, EOP</t>
        </is>
      </c>
      <c r="C370" s="383" t="n"/>
      <c r="D370" s="383" t="n"/>
      <c r="E370" s="383" t="n"/>
      <c r="F370" s="383" t="n"/>
      <c r="G370" s="438" t="n">
        <v>1839.399075594405</v>
      </c>
      <c r="H370" s="438" t="n">
        <v>2221.76969306705</v>
      </c>
      <c r="I370" s="438" t="n">
        <v>2678.496305668903</v>
      </c>
      <c r="J370" s="438" t="n">
        <v>3212.801883569212</v>
      </c>
      <c r="K370" s="438" t="n">
        <v>3837.047401196713</v>
      </c>
    </row>
    <row r="372">
      <c r="B372" s="312" t="inlineStr">
        <is>
          <t>Purchase price allocation</t>
        </is>
      </c>
      <c r="C372" s="15" t="n"/>
      <c r="D372" s="15" t="n"/>
      <c r="E372" s="15" t="n"/>
      <c r="F372" s="15" t="n"/>
      <c r="G372" s="15" t="n"/>
      <c r="H372" s="15" t="n"/>
      <c r="I372" s="15" t="n"/>
      <c r="J372" s="15" t="n"/>
      <c r="K372" s="15" t="n"/>
    </row>
    <row r="373">
      <c r="B373" s="73" t="n"/>
    </row>
    <row r="374">
      <c r="B374" s="73" t="inlineStr">
        <is>
          <t>Select a tax type:</t>
        </is>
      </c>
      <c r="C374" s="381" t="inlineStr">
        <is>
          <t>Stock sale</t>
        </is>
      </c>
    </row>
    <row r="375">
      <c r="B375" s="73" t="inlineStr">
        <is>
          <t>Select an accounting type:</t>
        </is>
      </c>
      <c r="C375" s="381" t="inlineStr">
        <is>
          <t>LBO</t>
        </is>
      </c>
    </row>
    <row r="377" ht="15.75" customHeight="1" s="244" thickBot="1">
      <c r="B377" s="392" t="inlineStr">
        <is>
          <t>Purchase price allocation</t>
        </is>
      </c>
      <c r="C377" s="393" t="n"/>
      <c r="E377" s="519" t="n"/>
    </row>
    <row r="378">
      <c r="B378" s="73" t="inlineStr">
        <is>
          <t>Book value of equity</t>
        </is>
      </c>
      <c r="C378" s="434" t="n">
        <v>818.5</v>
      </c>
      <c r="D378" s="380" t="inlineStr">
        <is>
          <t>Input write-up</t>
        </is>
      </c>
      <c r="E378" s="380" t="inlineStr">
        <is>
          <t>Useful life</t>
        </is>
      </c>
      <c r="G378" s="140" t="n"/>
    </row>
    <row r="379">
      <c r="B379" s="34" t="inlineStr">
        <is>
          <t>PP&amp;E write up</t>
        </is>
      </c>
      <c r="C379" s="521" t="n">
        <v>300</v>
      </c>
      <c r="D379" s="522" t="n">
        <v>300</v>
      </c>
      <c r="E379" s="523" t="n">
        <v>10</v>
      </c>
    </row>
    <row r="380">
      <c r="B380" s="34" t="inlineStr">
        <is>
          <t>Intangible asset write up</t>
        </is>
      </c>
      <c r="C380" s="524" t="n">
        <v>200</v>
      </c>
      <c r="D380" s="522" t="n">
        <v>200</v>
      </c>
      <c r="E380" s="523" t="n">
        <v>15</v>
      </c>
    </row>
    <row r="381">
      <c r="B381" s="34" t="inlineStr">
        <is>
          <t>Total write-ups</t>
        </is>
      </c>
      <c r="C381" s="461" t="n">
        <v>500</v>
      </c>
      <c r="E381" s="525" t="n"/>
    </row>
    <row r="382">
      <c r="B382" s="34" t="inlineStr">
        <is>
          <t xml:space="preserve">DTLs created </t>
        </is>
      </c>
      <c r="C382" s="464" t="n">
        <v>113.2273895770039</v>
      </c>
    </row>
    <row r="383">
      <c r="B383" t="inlineStr">
        <is>
          <t>Fari market value</t>
        </is>
      </c>
      <c r="C383" s="434" t="n">
        <v>1205.272610422996</v>
      </c>
    </row>
    <row r="385">
      <c r="B385" s="383" t="inlineStr">
        <is>
          <t>Purchase price</t>
        </is>
      </c>
      <c r="C385" s="57" t="n">
        <v>6741.92625</v>
      </c>
    </row>
    <row r="386">
      <c r="B386" t="inlineStr">
        <is>
          <t>Goodwill</t>
        </is>
      </c>
      <c r="C386" s="140" t="n">
        <v>5536.653639577004</v>
      </c>
    </row>
    <row r="388">
      <c r="B388" s="317" t="inlineStr">
        <is>
          <t xml:space="preserve">Deal related GAAP accounting adjustments </t>
        </is>
      </c>
      <c r="C388" s="15" t="n"/>
      <c r="D388" s="15" t="n"/>
      <c r="E388" s="15" t="n"/>
      <c r="F388" s="15" t="n"/>
      <c r="G388" s="15" t="n"/>
      <c r="H388" s="15" t="n"/>
      <c r="I388" s="15" t="n"/>
      <c r="J388" s="15" t="n"/>
      <c r="K388" s="15" t="n"/>
    </row>
    <row r="389">
      <c r="G389" s="383" t="n">
        <v>2014</v>
      </c>
      <c r="H389" s="383" t="n">
        <v>2015</v>
      </c>
      <c r="I389" s="383" t="n">
        <v>2016</v>
      </c>
      <c r="J389" s="383" t="n">
        <v>2017</v>
      </c>
      <c r="K389" s="383" t="n">
        <v>2018</v>
      </c>
    </row>
    <row r="390">
      <c r="B390" s="15" t="n"/>
      <c r="C390" s="15" t="n"/>
      <c r="D390" s="15" t="n"/>
      <c r="E390" s="15" t="n"/>
      <c r="F390" s="15" t="n"/>
      <c r="G390" s="259" t="n">
        <v>41729</v>
      </c>
      <c r="H390" s="259" t="n">
        <v>42094</v>
      </c>
      <c r="I390" s="259" t="n">
        <v>42460</v>
      </c>
      <c r="J390" s="259" t="n">
        <v>42825</v>
      </c>
      <c r="K390" s="259" t="n">
        <v>43190</v>
      </c>
    </row>
    <row r="391">
      <c r="B391" t="inlineStr">
        <is>
          <t>PP&amp;E</t>
        </is>
      </c>
      <c r="D391" s="384" t="inlineStr">
        <is>
          <t>Incremental dep:</t>
        </is>
      </c>
      <c r="E391" s="526" t="n">
        <v>30</v>
      </c>
      <c r="G391" s="434" t="n">
        <v>270</v>
      </c>
      <c r="H391" s="434" t="n">
        <v>240</v>
      </c>
      <c r="I391" s="434" t="n">
        <v>210</v>
      </c>
      <c r="J391" s="434" t="n">
        <v>180</v>
      </c>
      <c r="K391" s="434" t="n">
        <v>150</v>
      </c>
    </row>
    <row r="392">
      <c r="B392" t="inlineStr">
        <is>
          <t>Intangible assets</t>
        </is>
      </c>
      <c r="D392" s="384" t="inlineStr">
        <is>
          <t>Incremental amort:</t>
        </is>
      </c>
      <c r="E392" s="526" t="n">
        <v>13.33333333333333</v>
      </c>
      <c r="G392" s="434" t="n">
        <v>186.6666666666667</v>
      </c>
      <c r="H392" s="434" t="n">
        <v>173.3333333333333</v>
      </c>
      <c r="I392" s="434" t="n">
        <v>160</v>
      </c>
      <c r="J392" s="434" t="n">
        <v>146.6666666666666</v>
      </c>
      <c r="K392" s="434" t="n">
        <v>133.3333333333333</v>
      </c>
    </row>
    <row r="393">
      <c r="B393" t="inlineStr">
        <is>
          <t>Deferred tax liabilities</t>
        </is>
      </c>
      <c r="D393" s="384" t="inlineStr">
        <is>
          <t>Annual reduction:</t>
        </is>
      </c>
      <c r="E393" s="527" t="n">
        <v>9.813040430007005</v>
      </c>
      <c r="G393" s="434" t="n">
        <v>103.4143491469969</v>
      </c>
      <c r="H393" s="434" t="n">
        <v>93.60130871698989</v>
      </c>
      <c r="I393" s="434" t="n">
        <v>83.78826828698288</v>
      </c>
      <c r="J393" s="434" t="n">
        <v>73.97522785697588</v>
      </c>
      <c r="K393" s="434" t="n">
        <v>64.16218742696887</v>
      </c>
    </row>
  </sheetData>
  <conditionalFormatting sqref="D292:J298">
    <cfRule type="expression" priority="56" dxfId="7" stopIfTrue="1">
      <formula>$H$7=2</formula>
    </cfRule>
  </conditionalFormatting>
  <conditionalFormatting sqref="D291:J291">
    <cfRule type="expression" priority="57" dxfId="3">
      <formula>$H$7=1</formula>
    </cfRule>
  </conditionalFormatting>
  <conditionalFormatting sqref="F294:J298 F313:J317">
    <cfRule type="cellIs" priority="68" operator="greaterThan" dxfId="5">
      <formula>$B$292</formula>
    </cfRule>
  </conditionalFormatting>
  <conditionalFormatting sqref="D302:J308">
    <cfRule type="expression" priority="2" dxfId="4">
      <formula>$H$7=1</formula>
    </cfRule>
    <cfRule type="expression" priority="3">
      <formula>$H$7=1</formula>
    </cfRule>
  </conditionalFormatting>
  <conditionalFormatting sqref="D301:J301">
    <cfRule type="expression" priority="1" dxfId="3">
      <formula>$H$7=2</formula>
    </cfRule>
  </conditionalFormatting>
  <dataValidations disablePrompts="1" count="7">
    <dataValidation sqref="B3" showDropDown="0" showInputMessage="1" showErrorMessage="1" allowBlank="1" type="list">
      <formula1>"$ bns except per share, $ mm except per share,$ in thousands except per share"</formula1>
    </dataValidation>
    <dataValidation sqref="D10" showDropDown="0" showInputMessage="1" showErrorMessage="1" allowBlank="1" type="list">
      <formula1>"ON,OFF"</formula1>
    </dataValidation>
    <dataValidation sqref="K94 K100" showDropDown="0" showInputMessage="1" showErrorMessage="1" allowBlank="1" type="list">
      <formula1>"Yes,No"</formula1>
    </dataValidation>
    <dataValidation sqref="H7" showDropDown="0" showInputMessage="1" showErrorMessage="1" allowBlank="1" type="list">
      <formula1>$I$7:$J$7</formula1>
    </dataValidation>
    <dataValidation sqref="C375" showDropDown="0" showInputMessage="1" showErrorMessage="1" allowBlank="1" type="list">
      <formula1>"LBO,Lev. Recap"</formula1>
    </dataValidation>
    <dataValidation sqref="C18 G36" showDropDown="0" showInputMessage="1" showErrorMessage="1" allowBlank="1" promptTitle="Input transaction fee assumption" prompt="Includes legal, accounting and advisory related fees.  Input as a % of the offer value."/>
    <dataValidation sqref="C374" showDropDown="0" showInputMessage="1" showErrorMessage="1" allowBlank="1" type="list">
      <formula1>"Asset sale/338,Stock sale"</formula1>
    </dataValidation>
  </dataValidations>
  <pageMargins left="0.7" right="0.7" top="0.75" bottom="0.75" header="0.3" footer="0.3"/>
  <pageSetup orientation="portrait"/>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B2:K118"/>
  <sheetViews>
    <sheetView zoomScaleNormal="100" workbookViewId="0">
      <selection activeCell="A1" sqref="A1"/>
    </sheetView>
  </sheetViews>
  <sheetFormatPr baseColWidth="8" defaultRowHeight="15"/>
  <cols>
    <col width="1.7109375" customWidth="1" style="244" min="1" max="1"/>
    <col width="40.28515625" customWidth="1" style="244" min="2" max="2"/>
    <col width="12.140625" bestFit="1" customWidth="1" style="244" min="3" max="3"/>
    <col width="11.140625" bestFit="1" customWidth="1" style="244" min="4" max="4"/>
    <col width="10.140625" bestFit="1" customWidth="1" style="244" min="5" max="7"/>
    <col width="11" customWidth="1" style="244" min="8" max="10"/>
    <col width="12.140625" bestFit="1" customWidth="1" style="244" min="11" max="11"/>
    <col width="9.140625" customWidth="1" style="244" min="12" max="12"/>
    <col width="9.140625" customWidth="1" style="244" min="13" max="13"/>
    <col width="9.140625" customWidth="1" style="244" min="14" max="16384"/>
  </cols>
  <sheetData>
    <row r="1" ht="15.75" customHeight="1" s="244" thickBot="1"/>
    <row r="2" ht="27" customHeight="1" s="244" thickBot="1">
      <c r="B2" s="1" t="inlineStr">
        <is>
          <t>Discounted Cash Flow Model for BMC</t>
        </is>
      </c>
      <c r="C2" s="305" t="n"/>
      <c r="D2" s="305" t="n"/>
      <c r="E2" s="305" t="n"/>
      <c r="F2" s="305" t="n"/>
      <c r="G2" s="305" t="n"/>
      <c r="H2" s="305" t="n"/>
      <c r="I2" s="305" t="n"/>
      <c r="J2" s="305" t="n"/>
    </row>
    <row r="3">
      <c r="B3" s="84" t="inlineStr">
        <is>
          <t>$ mm except per share</t>
        </is>
      </c>
    </row>
    <row r="4">
      <c r="B4" s="84" t="n"/>
    </row>
    <row r="5" ht="15.75" customHeight="1" s="244" thickBot="1">
      <c r="B5" s="66" t="inlineStr">
        <is>
          <t>General assumptions</t>
        </is>
      </c>
      <c r="C5" s="93" t="n"/>
    </row>
    <row r="6">
      <c r="B6" t="inlineStr">
        <is>
          <t>Share price as of last close</t>
        </is>
      </c>
      <c r="C6" s="528" t="n">
        <v>46.25</v>
      </c>
    </row>
    <row r="7">
      <c r="B7" s="84" t="inlineStr">
        <is>
          <t>Latest closing share price date</t>
        </is>
      </c>
      <c r="C7" s="84" t="n">
        <v>41400</v>
      </c>
    </row>
    <row r="8">
      <c r="B8" s="84" t="inlineStr">
        <is>
          <t>Latest basic share count</t>
        </is>
      </c>
      <c r="C8" s="529" t="n">
        <v>143.973</v>
      </c>
    </row>
    <row r="9">
      <c r="B9" s="84" t="inlineStr">
        <is>
          <t>Weighted average cost of capital</t>
        </is>
      </c>
      <c r="C9" s="530" t="n">
        <v>0.06990222994664612</v>
      </c>
    </row>
    <row r="11" ht="15.75" customHeight="1" s="244" thickBot="1">
      <c r="B11" s="69" t="inlineStr">
        <is>
          <t>Free cash flow buildup</t>
        </is>
      </c>
      <c r="C11" s="93" t="n"/>
      <c r="D11" s="93" t="n"/>
      <c r="E11" s="93" t="n"/>
      <c r="F11" s="93" t="n"/>
      <c r="G11" s="93" t="n"/>
      <c r="H11" s="93" t="n"/>
      <c r="I11" s="93" t="n"/>
      <c r="J11" s="93" t="n"/>
    </row>
    <row r="12">
      <c r="B12" t="inlineStr">
        <is>
          <t xml:space="preserve">Fiscal year  </t>
        </is>
      </c>
      <c r="C12" s="270" t="n">
        <v>2011</v>
      </c>
      <c r="D12" s="270" t="n">
        <v>2012</v>
      </c>
      <c r="E12" s="270" t="n">
        <v>2013</v>
      </c>
      <c r="F12" s="157" t="n">
        <v>2014</v>
      </c>
      <c r="G12" s="157" t="n">
        <v>2015</v>
      </c>
      <c r="H12" s="157" t="n">
        <v>2016</v>
      </c>
      <c r="I12" s="157" t="n">
        <v>2017</v>
      </c>
      <c r="J12" s="157" t="n">
        <v>2018</v>
      </c>
    </row>
    <row r="13">
      <c r="B13" s="18" t="inlineStr">
        <is>
          <t>Fiscal year end date</t>
        </is>
      </c>
      <c r="C13" s="39" t="n">
        <v>40633</v>
      </c>
      <c r="D13" s="39" t="n">
        <v>40999</v>
      </c>
      <c r="E13" s="39" t="n">
        <v>41364</v>
      </c>
      <c r="F13" s="39" t="n">
        <v>41729</v>
      </c>
      <c r="G13" s="39" t="n">
        <v>42094</v>
      </c>
      <c r="H13" s="39" t="n">
        <v>42460</v>
      </c>
      <c r="I13" s="39" t="n">
        <v>42825</v>
      </c>
      <c r="J13" s="39" t="n">
        <v>43190</v>
      </c>
    </row>
    <row r="14">
      <c r="B14" s="70" t="n"/>
      <c r="F14" s="435" t="n"/>
      <c r="G14" s="435" t="n"/>
      <c r="H14" s="435" t="n"/>
      <c r="I14" s="435" t="n"/>
      <c r="J14" s="435" t="n"/>
    </row>
    <row r="15">
      <c r="B15" t="inlineStr">
        <is>
          <t>EBITDA</t>
        </is>
      </c>
      <c r="C15" s="162" t="n">
        <v>843.6000000000003</v>
      </c>
      <c r="D15" s="162" t="n">
        <v>906.4999999999999</v>
      </c>
      <c r="E15" s="162" t="n">
        <v>882.7000000000003</v>
      </c>
      <c r="F15" s="162" t="n">
        <v>947.6792413199889</v>
      </c>
      <c r="G15" s="162" t="n">
        <v>1000.484484594448</v>
      </c>
      <c r="H15" s="162" t="n">
        <v>1078.88768747765</v>
      </c>
      <c r="I15" s="162" t="n">
        <v>1150.07160606407</v>
      </c>
      <c r="J15" s="162" t="n">
        <v>1226.874119002437</v>
      </c>
    </row>
    <row r="16">
      <c r="B16" t="inlineStr">
        <is>
          <t>EBIT</t>
        </is>
      </c>
      <c r="C16" s="162" t="n">
        <v>532.8000000000003</v>
      </c>
      <c r="D16" s="162" t="n">
        <v>543.8999999999999</v>
      </c>
      <c r="E16" s="162" t="n">
        <v>465.4000000000003</v>
      </c>
      <c r="F16" s="162" t="n">
        <v>493.6803141804108</v>
      </c>
      <c r="G16" s="162" t="n">
        <v>559.8040395999167</v>
      </c>
      <c r="H16" s="162" t="n">
        <v>634.7919640514119</v>
      </c>
      <c r="I16" s="162" t="n">
        <v>709.3122632461741</v>
      </c>
      <c r="J16" s="162" t="n">
        <v>787.9602383046408</v>
      </c>
    </row>
    <row r="17">
      <c r="B17" t="inlineStr">
        <is>
          <t>tax rate</t>
        </is>
      </c>
      <c r="C17" s="531" t="n">
        <v>0.1413514022209673</v>
      </c>
      <c r="D17" s="531" t="n">
        <v>0.2433962264150944</v>
      </c>
      <c r="E17" s="531" t="n">
        <v>0.2264547791540078</v>
      </c>
      <c r="F17" s="531" t="n">
        <v>0.2264547791540078</v>
      </c>
      <c r="G17" s="531" t="n">
        <v>0.2264547791540078</v>
      </c>
      <c r="H17" s="531" t="n">
        <v>0.2264547791540078</v>
      </c>
      <c r="I17" s="531" t="n">
        <v>0.2264547791540078</v>
      </c>
      <c r="J17" s="531" t="n">
        <v>0.2264547791540078</v>
      </c>
    </row>
    <row r="18">
      <c r="B18" s="383" t="inlineStr">
        <is>
          <t>EBIAT (NOPAT)</t>
        </is>
      </c>
      <c r="C18" s="71" t="n">
        <v>457.4879728966689</v>
      </c>
      <c r="D18" s="71" t="n">
        <v>411.51679245283</v>
      </c>
      <c r="E18" s="71" t="n">
        <v>360.007945781725</v>
      </c>
      <c r="F18" s="71" t="n">
        <v>381.8840476600047</v>
      </c>
      <c r="G18" s="71" t="n">
        <v>433.0337394427961</v>
      </c>
      <c r="H18" s="71" t="n">
        <v>491.0402900234106</v>
      </c>
      <c r="I18" s="71" t="n">
        <v>548.6851113215323</v>
      </c>
      <c r="J18" s="71" t="n">
        <v>609.522876557224</v>
      </c>
    </row>
    <row r="19">
      <c r="B19" s="383" t="n"/>
    </row>
    <row r="20">
      <c r="B20" s="73" t="inlineStr">
        <is>
          <t>Depreciation and amortization</t>
        </is>
      </c>
      <c r="F20" s="162" t="n">
        <v>223.946868228773</v>
      </c>
      <c r="G20" s="162" t="n">
        <v>220.6010317460318</v>
      </c>
      <c r="H20" s="162" t="n">
        <v>222.400781053162</v>
      </c>
      <c r="I20" s="162" t="n">
        <v>224.1937314184933</v>
      </c>
      <c r="J20" s="162" t="n">
        <v>223</v>
      </c>
    </row>
    <row r="21">
      <c r="B21" s="73" t="inlineStr">
        <is>
          <t>Stock based compensation</t>
        </is>
      </c>
      <c r="F21" s="162" t="n">
        <v>161.0547368274718</v>
      </c>
      <c r="G21" s="162" t="n">
        <v>162.0820911651659</v>
      </c>
      <c r="H21" s="162" t="n">
        <v>163.6976202897424</v>
      </c>
      <c r="I21" s="162" t="n">
        <v>163.5682893160696</v>
      </c>
      <c r="J21" s="162" t="n">
        <v>162.9165586144626</v>
      </c>
    </row>
    <row r="22">
      <c r="B22" t="inlineStr">
        <is>
          <t>Changes in net working capital</t>
        </is>
      </c>
      <c r="F22" s="162" t="n">
        <v>56.83135068829188</v>
      </c>
      <c r="G22" s="162" t="n">
        <v>95.05600763617076</v>
      </c>
      <c r="H22" s="162" t="n">
        <v>109.4272418486823</v>
      </c>
      <c r="I22" s="162" t="n">
        <v>96.46443037533186</v>
      </c>
      <c r="J22" s="162" t="n">
        <v>97.15243145060185</v>
      </c>
    </row>
    <row r="23">
      <c r="B23" t="inlineStr">
        <is>
          <t>Other assets &amp; liabilities</t>
        </is>
      </c>
      <c r="F23" s="162" t="n">
        <v>0</v>
      </c>
      <c r="G23" s="162" t="n">
        <v>0</v>
      </c>
      <c r="H23" s="162" t="n">
        <v>0</v>
      </c>
      <c r="I23" s="162" t="n">
        <v>0</v>
      </c>
      <c r="J23" s="162" t="n">
        <v>0</v>
      </c>
    </row>
    <row r="24">
      <c r="B24" s="383" t="inlineStr">
        <is>
          <t>Unlevered CFO</t>
        </is>
      </c>
      <c r="F24" s="57" t="n">
        <v>823.7170034045414</v>
      </c>
      <c r="G24" s="57" t="n">
        <v>910.7728699901645</v>
      </c>
      <c r="H24" s="57" t="n">
        <v>986.5659332149974</v>
      </c>
      <c r="I24" s="57" t="n">
        <v>1032.911562431427</v>
      </c>
      <c r="J24" s="57" t="n">
        <v>1092.591866622289</v>
      </c>
    </row>
    <row r="25">
      <c r="B25" s="34" t="inlineStr">
        <is>
          <t>Less: Capital expenditures</t>
        </is>
      </c>
      <c r="F25" s="162" t="n">
        <v>-26</v>
      </c>
      <c r="G25" s="162" t="n">
        <v>-28</v>
      </c>
      <c r="H25" s="162" t="n">
        <v>-30</v>
      </c>
      <c r="I25" s="162" t="n">
        <v>-29</v>
      </c>
      <c r="J25" s="162" t="n">
        <v>-31</v>
      </c>
    </row>
    <row r="26">
      <c r="B26" s="34" t="inlineStr">
        <is>
          <t>Less: Purchases of intangible assets</t>
        </is>
      </c>
      <c r="F26" s="162" t="n">
        <v>-201</v>
      </c>
      <c r="G26" s="162" t="n">
        <v>-194</v>
      </c>
      <c r="H26" s="162" t="n">
        <v>-193</v>
      </c>
      <c r="I26" s="162" t="n">
        <v>-196</v>
      </c>
      <c r="J26" s="162" t="n">
        <v>-192</v>
      </c>
    </row>
    <row r="27">
      <c r="B27" s="383" t="inlineStr">
        <is>
          <t>Unlevered FCF</t>
        </is>
      </c>
      <c r="F27" s="57" t="n">
        <v>596.7170034045414</v>
      </c>
      <c r="G27" s="57" t="n">
        <v>688.7728699901645</v>
      </c>
      <c r="H27" s="57" t="n">
        <v>763.5659332149974</v>
      </c>
      <c r="I27" s="57" t="n">
        <v>807.9115624314272</v>
      </c>
      <c r="J27" s="57" t="n">
        <v>869.5918666222885</v>
      </c>
    </row>
    <row r="28">
      <c r="B28" s="202" t="inlineStr">
        <is>
          <t>% growth</t>
        </is>
      </c>
      <c r="G28" s="435" t="n">
        <v>0.1542705605176367</v>
      </c>
      <c r="H28" s="435" t="n">
        <v>0.1085888635914201</v>
      </c>
      <c r="I28" s="435" t="n">
        <v>0.05807701376842789</v>
      </c>
      <c r="J28" s="435" t="n">
        <v>0.07634536632355293</v>
      </c>
    </row>
    <row r="29">
      <c r="B29" s="202" t="n"/>
      <c r="G29" s="435" t="n"/>
      <c r="H29" s="435" t="n"/>
      <c r="I29" s="435" t="n"/>
      <c r="J29" s="435" t="n"/>
    </row>
    <row r="30">
      <c r="B30" s="73" t="inlineStr">
        <is>
          <t>Discount factor</t>
        </is>
      </c>
      <c r="F30" s="437" t="n">
        <v>0.9027777777777778</v>
      </c>
      <c r="G30" s="437" t="n">
        <v>1.902777777777778</v>
      </c>
      <c r="H30" s="437" t="n">
        <v>2.902777777777778</v>
      </c>
      <c r="I30" s="437" t="n">
        <v>3.902777777777778</v>
      </c>
      <c r="J30" s="437" t="n">
        <v>4.902777777777778</v>
      </c>
    </row>
    <row r="31">
      <c r="B31" t="inlineStr">
        <is>
          <t>Assume cash flows are generated at:</t>
        </is>
      </c>
      <c r="C31" s="97" t="inlineStr">
        <is>
          <t>Middle of period</t>
        </is>
      </c>
      <c r="G31" s="437" t="n"/>
      <c r="H31" s="437" t="n"/>
      <c r="I31" s="437" t="n"/>
      <c r="J31" s="437" t="n"/>
    </row>
    <row r="32">
      <c r="B32" t="inlineStr">
        <is>
          <t>Midperiod adjustment factor</t>
        </is>
      </c>
      <c r="C32" s="532" t="n">
        <v>1.034360783260196</v>
      </c>
    </row>
    <row r="33">
      <c r="B33" s="73" t="inlineStr">
        <is>
          <t>Present value of Unlevered FCF</t>
        </is>
      </c>
      <c r="F33" s="95" t="n">
        <v>580.6965753021989</v>
      </c>
      <c r="G33" s="95" t="n">
        <v>626.488049752141</v>
      </c>
      <c r="H33" s="95" t="n">
        <v>649.1412539283756</v>
      </c>
      <c r="I33" s="95" t="n">
        <v>641.9665463307613</v>
      </c>
      <c r="J33" s="95" t="n">
        <v>645.8325799660284</v>
      </c>
    </row>
    <row r="34">
      <c r="B34" s="383" t="n"/>
      <c r="C34" s="435" t="n"/>
    </row>
    <row r="35" ht="15.75" customHeight="1" s="244" thickBot="1">
      <c r="B35" s="63" t="inlineStr">
        <is>
          <t>Perpetuity approach</t>
        </is>
      </c>
      <c r="C35" s="93" t="n"/>
      <c r="E35" s="63" t="inlineStr">
        <is>
          <t>Exit EBITDA multiple approach</t>
        </is>
      </c>
      <c r="F35" s="93" t="n"/>
      <c r="G35" s="93" t="n"/>
      <c r="H35" s="93" t="n"/>
      <c r="I35" s="93" t="n"/>
      <c r="J35" s="93" t="n"/>
    </row>
    <row r="36" ht="17.25" customHeight="1" s="244">
      <c r="B36" t="inlineStr">
        <is>
          <t xml:space="preserve">Normalized FCFt+1 </t>
        </is>
      </c>
      <c r="C36" s="196" t="n">
        <v>869.5918666222885</v>
      </c>
      <c r="E36" t="inlineStr">
        <is>
          <t>Terminal year EBITDA</t>
        </is>
      </c>
      <c r="J36" s="140" t="n">
        <v>1226.874119002437</v>
      </c>
    </row>
    <row r="37">
      <c r="B37" t="inlineStr">
        <is>
          <t>Long term growth rate (g)</t>
        </is>
      </c>
      <c r="C37" s="53" t="n">
        <v>0</v>
      </c>
      <c r="E37" t="inlineStr">
        <is>
          <t>Terminal value EBITDA multiple</t>
        </is>
      </c>
      <c r="J37" s="429" t="n">
        <v>7.3</v>
      </c>
      <c r="K37" s="428" t="n"/>
    </row>
    <row r="38">
      <c r="B38" t="inlineStr">
        <is>
          <t xml:space="preserve">Terminal value </t>
        </is>
      </c>
      <c r="C38" s="140" t="n">
        <v>12440.11624931017</v>
      </c>
      <c r="E38" t="inlineStr">
        <is>
          <t xml:space="preserve">Terminal value </t>
        </is>
      </c>
      <c r="J38" s="140" t="n">
        <v>8956.181068717789</v>
      </c>
    </row>
    <row r="39">
      <c r="B39" t="inlineStr">
        <is>
          <t>Present value of terminal value</t>
        </is>
      </c>
      <c r="C39" s="140" t="n">
        <v>9239.084081566059</v>
      </c>
      <c r="E39" t="inlineStr">
        <is>
          <t>Present value of terminal value</t>
        </is>
      </c>
      <c r="J39" s="140" t="n">
        <v>6651.618705589049</v>
      </c>
    </row>
    <row r="40">
      <c r="B40" t="inlineStr">
        <is>
          <t>Present value of stage 1 cash flows</t>
        </is>
      </c>
      <c r="C40" s="140" t="n">
        <v>3144.125005279505</v>
      </c>
      <c r="E40" t="inlineStr">
        <is>
          <t>Present value of stage 1 cash flows</t>
        </is>
      </c>
      <c r="J40" s="140" t="n">
        <v>3144.125005279505</v>
      </c>
    </row>
    <row r="41">
      <c r="B41" s="383" t="inlineStr">
        <is>
          <t xml:space="preserve">Enterprise value </t>
        </is>
      </c>
      <c r="C41" s="57" t="n">
        <v>12383.20908684557</v>
      </c>
      <c r="E41" s="383" t="inlineStr">
        <is>
          <t xml:space="preserve">Enterprise value </t>
        </is>
      </c>
      <c r="J41" s="57" t="n">
        <v>9795.743710868554</v>
      </c>
    </row>
    <row r="42">
      <c r="B42" s="100" t="inlineStr">
        <is>
          <t>Implied TV exit EBITDA multiple</t>
        </is>
      </c>
      <c r="C42" s="533" t="n">
        <v>10.13968430553018</v>
      </c>
      <c r="E42" s="100" t="inlineStr">
        <is>
          <t>Implied TV perpetual growth rate</t>
        </is>
      </c>
      <c r="F42" s="100" t="n"/>
      <c r="G42" s="100" t="n"/>
      <c r="H42" s="100" t="n"/>
      <c r="I42" s="100" t="n"/>
      <c r="J42" s="458" t="n">
        <v>-0.02719181716452775</v>
      </c>
    </row>
    <row r="43">
      <c r="C43" s="57" t="n"/>
      <c r="J43" s="435" t="n"/>
    </row>
    <row r="44" ht="15.75" customHeight="1" s="244" thickBot="1">
      <c r="B44" s="63" t="inlineStr">
        <is>
          <t>Net Debt</t>
        </is>
      </c>
      <c r="C44" s="93" t="n"/>
      <c r="E44" s="63" t="inlineStr">
        <is>
          <t>Fair value per share</t>
        </is>
      </c>
      <c r="F44" s="93" t="n"/>
      <c r="G44" s="93" t="n"/>
      <c r="H44" s="93" t="n"/>
      <c r="I44" s="93" t="n"/>
      <c r="J44" s="93" t="n"/>
    </row>
    <row r="45" ht="17.25" customHeight="1" s="244">
      <c r="B45" t="inlineStr">
        <is>
          <t>Cash &amp; equivalents ST &amp; LT market. securities</t>
        </is>
      </c>
      <c r="C45" s="162" t="n">
        <v>179.9999999999991</v>
      </c>
      <c r="H45" s="400" t="inlineStr">
        <is>
          <t>LBO Offer</t>
        </is>
      </c>
      <c r="I45" s="400" t="inlineStr">
        <is>
          <t>Perpetuity</t>
        </is>
      </c>
      <c r="J45" s="400" t="inlineStr">
        <is>
          <t>EBITDA</t>
        </is>
      </c>
    </row>
    <row r="46">
      <c r="B46" t="inlineStr">
        <is>
          <t xml:space="preserve">Long term debt </t>
        </is>
      </c>
      <c r="C46" s="162" t="n">
        <v>5190.276000000002</v>
      </c>
      <c r="E46" t="inlineStr">
        <is>
          <t>Enterprise value</t>
        </is>
      </c>
      <c r="H46" s="140" t="n"/>
      <c r="I46" s="140" t="n">
        <v>12383.20908684557</v>
      </c>
      <c r="J46" s="140" t="n">
        <v>9795.743710868554</v>
      </c>
    </row>
    <row r="47">
      <c r="B47" s="383" t="inlineStr">
        <is>
          <t>Net debt</t>
        </is>
      </c>
      <c r="C47" s="71" t="n">
        <v>5010.276000000003</v>
      </c>
      <c r="E47" t="inlineStr">
        <is>
          <t>Less: Net debt</t>
        </is>
      </c>
      <c r="I47" s="140" t="n">
        <v>-5010.276000000003</v>
      </c>
      <c r="J47" s="140" t="n">
        <v>-5010.276000000003</v>
      </c>
    </row>
    <row r="48">
      <c r="C48" s="228" t="n"/>
      <c r="E48" s="383" t="inlineStr">
        <is>
          <t>Equity value</t>
        </is>
      </c>
      <c r="F48" s="383" t="n"/>
      <c r="G48" s="383" t="n"/>
      <c r="H48" s="399" t="n">
        <v>6741.92625</v>
      </c>
      <c r="I48" s="57" t="n">
        <v>7372.933086845563</v>
      </c>
      <c r="J48" s="57" t="n">
        <v>4785.467710868551</v>
      </c>
    </row>
    <row r="49" ht="15.75" customHeight="1" s="244" thickBot="1">
      <c r="B49" s="63" t="inlineStr">
        <is>
          <t>Cost of capital assumptions</t>
        </is>
      </c>
      <c r="C49" s="93" t="n"/>
      <c r="E49" t="inlineStr">
        <is>
          <t>Diluted shares</t>
        </is>
      </c>
      <c r="H49" s="529" t="n">
        <v>145.7713783783784</v>
      </c>
      <c r="I49" s="534" t="n">
        <v>145.7713783783784</v>
      </c>
      <c r="J49" s="534" t="n">
        <v>145.7713783783784</v>
      </c>
    </row>
    <row r="50">
      <c r="B50" s="76" t="inlineStr">
        <is>
          <t>Cost of debt</t>
        </is>
      </c>
      <c r="C50" s="535" t="n">
        <v>0.08</v>
      </c>
      <c r="E50" s="383" t="inlineStr">
        <is>
          <t>Equity value per share</t>
        </is>
      </c>
      <c r="H50" s="536" t="n">
        <v>46.25</v>
      </c>
      <c r="I50" s="536" t="n">
        <v>50.57874302119625</v>
      </c>
      <c r="J50" s="536" t="n">
        <v>32.82858242889715</v>
      </c>
    </row>
    <row r="51">
      <c r="B51" t="inlineStr">
        <is>
          <t>Tax rate</t>
        </is>
      </c>
      <c r="C51" s="435" t="n">
        <v>0.2264547791540078</v>
      </c>
      <c r="E51" s="100" t="inlineStr">
        <is>
          <t>Premium (discount) to LBO offer</t>
        </is>
      </c>
      <c r="H51" s="537" t="inlineStr">
        <is>
          <t>NM</t>
        </is>
      </c>
      <c r="I51" s="435" t="n">
        <v>0.09359444370154035</v>
      </c>
      <c r="J51" s="435" t="n">
        <v>-0.2901928123481697</v>
      </c>
    </row>
    <row r="52">
      <c r="B52" t="inlineStr">
        <is>
          <t>Debt and equivalents</t>
        </is>
      </c>
      <c r="C52" s="140" t="n">
        <v>5010.276000000003</v>
      </c>
    </row>
    <row r="53">
      <c r="B53" t="inlineStr">
        <is>
          <t xml:space="preserve">Debt as a % of total capital </t>
        </is>
      </c>
      <c r="C53" s="538" t="n">
        <v>0.7748616857223557</v>
      </c>
    </row>
    <row r="55">
      <c r="B55" t="inlineStr">
        <is>
          <t>Risk free rate</t>
        </is>
      </c>
      <c r="C55" s="431" t="n">
        <v>0.025</v>
      </c>
    </row>
    <row r="56">
      <c r="B56" t="inlineStr">
        <is>
          <t>Beta</t>
        </is>
      </c>
      <c r="C56" s="135" t="n">
        <v>1.45</v>
      </c>
    </row>
    <row r="57">
      <c r="B57" t="inlineStr">
        <is>
          <t>Market risk premium</t>
        </is>
      </c>
      <c r="C57" s="431" t="n">
        <v>0.05</v>
      </c>
    </row>
    <row r="58">
      <c r="B58" t="inlineStr">
        <is>
          <t xml:space="preserve">Equity as % of total capital structure </t>
        </is>
      </c>
      <c r="C58" s="435" t="n">
        <v>0.2251383142776443</v>
      </c>
    </row>
    <row r="59">
      <c r="B59" t="inlineStr">
        <is>
          <t>Cost of capital (WACC)</t>
        </is>
      </c>
      <c r="C59" s="435" t="n">
        <v>0.06990222994664612</v>
      </c>
    </row>
    <row r="61" ht="15.75" customHeight="1" s="244" thickBot="1">
      <c r="B61" s="63" t="inlineStr">
        <is>
          <t>Sensitivity analysis</t>
        </is>
      </c>
      <c r="C61" s="93" t="n"/>
      <c r="D61" s="93" t="n"/>
      <c r="E61" s="93" t="n"/>
      <c r="F61" s="93" t="n"/>
      <c r="G61" s="93" t="n"/>
      <c r="H61" s="93" t="n"/>
    </row>
    <row r="62">
      <c r="B62" s="383" t="n"/>
    </row>
    <row r="63" ht="17.25" customHeight="1" s="244">
      <c r="B63" s="383" t="n"/>
      <c r="C63" s="112" t="inlineStr">
        <is>
          <t>Equity value per share</t>
        </is>
      </c>
      <c r="D63" s="112" t="n"/>
      <c r="E63" s="112" t="n"/>
      <c r="F63" s="112" t="n"/>
      <c r="G63" s="112" t="n"/>
      <c r="H63" s="112" t="n"/>
    </row>
    <row r="64">
      <c r="C64" s="73" t="n"/>
      <c r="D64" s="290" t="inlineStr">
        <is>
          <t>Long term growth rate (g):</t>
        </is>
      </c>
      <c r="E64" s="290" t="n"/>
      <c r="F64" s="290" t="n"/>
      <c r="G64" s="290" t="n"/>
      <c r="H64" s="290" t="n"/>
    </row>
    <row r="65">
      <c r="B65" s="378" t="n"/>
      <c r="C65" s="539" t="n">
        <v>50.57874302119625</v>
      </c>
      <c r="D65" s="540" t="n">
        <v>0.02</v>
      </c>
      <c r="E65" s="541" t="n">
        <v>0.025</v>
      </c>
      <c r="F65" s="542" t="n">
        <v>0.03</v>
      </c>
      <c r="G65" s="541" t="n">
        <v>0.035</v>
      </c>
      <c r="H65" s="543" t="n">
        <v>0.03999999999999999</v>
      </c>
    </row>
    <row r="66">
      <c r="C66" s="117" t="n">
        <v>0.13</v>
      </c>
      <c r="D66" s="544" t="n">
        <v>16.21484649892585</v>
      </c>
      <c r="E66" s="544" t="n">
        <v>17.72262878709584</v>
      </c>
      <c r="F66" s="544" t="n">
        <v>19.38118930408283</v>
      </c>
      <c r="G66" s="544" t="n">
        <v>21.21433513864741</v>
      </c>
      <c r="H66" s="544" t="n">
        <v>23.25116384371916</v>
      </c>
    </row>
    <row r="67">
      <c r="C67" s="118" t="n">
        <v>0.12</v>
      </c>
      <c r="D67" s="544" t="n">
        <v>21.17084407877228</v>
      </c>
      <c r="E67" s="544" t="n">
        <v>23.07715436501025</v>
      </c>
      <c r="F67" s="544" t="n">
        <v>25.19527690527467</v>
      </c>
      <c r="G67" s="544" t="n">
        <v>27.562590332629</v>
      </c>
      <c r="H67" s="544" t="n">
        <v>30.22581793840264</v>
      </c>
    </row>
    <row r="68">
      <c r="B68" s="378" t="inlineStr">
        <is>
          <t>WACC:</t>
        </is>
      </c>
      <c r="C68" s="118" t="n">
        <v>0.11</v>
      </c>
      <c r="D68" s="544" t="n">
        <v>27.23096234006731</v>
      </c>
      <c r="E68" s="544" t="n">
        <v>29.69362414158428</v>
      </c>
      <c r="F68" s="544" t="n">
        <v>32.46411866829089</v>
      </c>
      <c r="G68" s="544" t="n">
        <v>35.60401246522503</v>
      </c>
      <c r="H68" s="544" t="n">
        <v>39.19246251886405</v>
      </c>
    </row>
    <row r="69">
      <c r="C69" s="118" t="n">
        <v>0.1</v>
      </c>
      <c r="D69" s="544" t="n">
        <v>34.80938263855841</v>
      </c>
      <c r="E69" s="544" t="n">
        <v>38.07690951359217</v>
      </c>
      <c r="F69" s="544" t="n">
        <v>41.81122594220219</v>
      </c>
      <c r="G69" s="544" t="n">
        <v>46.12005259059837</v>
      </c>
      <c r="H69" s="544" t="n">
        <v>51.14701701372724</v>
      </c>
    </row>
    <row r="70">
      <c r="C70" s="118" t="n">
        <v>0.09000000000000002</v>
      </c>
      <c r="D70" s="544" t="n">
        <v>44.55696853151758</v>
      </c>
      <c r="E70" s="544" t="n">
        <v>49.04257596668177</v>
      </c>
      <c r="F70" s="544" t="n">
        <v>54.27578464103998</v>
      </c>
      <c r="G70" s="544" t="n">
        <v>60.46048580164512</v>
      </c>
      <c r="H70" s="544" t="n">
        <v>67.88212719437132</v>
      </c>
    </row>
    <row r="71">
      <c r="C71" s="119" t="n">
        <v>0.08000000000000003</v>
      </c>
      <c r="D71" s="544" t="n">
        <v>57.55850136891461</v>
      </c>
      <c r="E71" s="544" t="n">
        <v>63.99933238889363</v>
      </c>
      <c r="F71" s="544" t="n">
        <v>71.72832961286849</v>
      </c>
      <c r="G71" s="544" t="n">
        <v>81.17488177550437</v>
      </c>
      <c r="H71" s="544" t="n">
        <v>92.98307197879927</v>
      </c>
    </row>
    <row r="72">
      <c r="D72" s="544" t="n"/>
      <c r="E72" s="544" t="n"/>
      <c r="F72" s="544" t="n"/>
      <c r="G72" s="544" t="n"/>
      <c r="H72" s="544" t="n"/>
    </row>
    <row r="73" ht="17.25" customHeight="1" s="244">
      <c r="C73" s="112" t="inlineStr">
        <is>
          <t>Equity value per share</t>
        </is>
      </c>
      <c r="D73" s="112" t="n"/>
      <c r="E73" s="112" t="n"/>
      <c r="F73" s="112" t="n"/>
      <c r="G73" s="112" t="n"/>
      <c r="H73" s="112" t="n"/>
    </row>
    <row r="74">
      <c r="D74" s="290" t="inlineStr">
        <is>
          <t>Exit EBITDA Multiple</t>
        </is>
      </c>
      <c r="E74" s="290" t="n"/>
      <c r="F74" s="290" t="n"/>
      <c r="G74" s="290" t="n"/>
      <c r="H74" s="290" t="n"/>
    </row>
    <row r="75">
      <c r="C75" s="545" t="n">
        <v>32.82858242889715</v>
      </c>
      <c r="D75" s="546" t="n">
        <v>6.3</v>
      </c>
      <c r="E75" s="546" t="n">
        <v>6.8</v>
      </c>
      <c r="F75" s="547" t="n">
        <v>7.3</v>
      </c>
      <c r="G75" s="546" t="n">
        <v>7.8</v>
      </c>
      <c r="H75" s="548" t="n">
        <v>8.300000000000001</v>
      </c>
    </row>
    <row r="76">
      <c r="C76" s="123" t="n">
        <v>0.13</v>
      </c>
      <c r="D76" s="544" t="n">
        <v>15.50961852638511</v>
      </c>
      <c r="E76" s="544" t="n">
        <v>17.96661853265726</v>
      </c>
      <c r="F76" s="544" t="n">
        <v>20.4236185389294</v>
      </c>
      <c r="G76" s="544" t="n">
        <v>22.88061854520155</v>
      </c>
      <c r="H76" s="544" t="n">
        <v>25.33761855147371</v>
      </c>
    </row>
    <row r="77">
      <c r="C77" s="124" t="n">
        <v>0.12</v>
      </c>
      <c r="D77" s="544" t="n">
        <v>17.14475130521146</v>
      </c>
      <c r="E77" s="544" t="n">
        <v>19.69981500877978</v>
      </c>
      <c r="F77" s="544" t="n">
        <v>22.25487871234807</v>
      </c>
      <c r="G77" s="544" t="n">
        <v>24.80994241591637</v>
      </c>
      <c r="H77" s="544" t="n">
        <v>27.36500611948468</v>
      </c>
    </row>
    <row r="78">
      <c r="B78" s="378" t="inlineStr">
        <is>
          <t>WACC:</t>
        </is>
      </c>
      <c r="C78" s="124" t="n">
        <v>0.11</v>
      </c>
      <c r="D78" s="544" t="n">
        <v>18.85618541009948</v>
      </c>
      <c r="E78" s="544" t="n">
        <v>21.51415951294241</v>
      </c>
      <c r="F78" s="544" t="n">
        <v>24.17213361578533</v>
      </c>
      <c r="G78" s="544" t="n">
        <v>26.83010771862826</v>
      </c>
      <c r="H78" s="544" t="n">
        <v>29.48808182147118</v>
      </c>
    </row>
    <row r="79">
      <c r="C79" s="124" t="n">
        <v>0.1</v>
      </c>
      <c r="D79" s="544" t="n">
        <v>20.64830251596892</v>
      </c>
      <c r="E79" s="544" t="n">
        <v>23.41432021461313</v>
      </c>
      <c r="F79" s="544" t="n">
        <v>26.18033791325734</v>
      </c>
      <c r="G79" s="544" t="n">
        <v>28.94635561190155</v>
      </c>
      <c r="H79" s="544" t="n">
        <v>31.71237331054576</v>
      </c>
    </row>
    <row r="80">
      <c r="C80" s="124" t="n">
        <v>0.09000000000000002</v>
      </c>
      <c r="D80" s="544" t="n">
        <v>22.52578129267701</v>
      </c>
      <c r="E80" s="544" t="n">
        <v>25.40528204016064</v>
      </c>
      <c r="F80" s="544" t="n">
        <v>28.28478278764427</v>
      </c>
      <c r="G80" s="544" t="n">
        <v>31.16428353512789</v>
      </c>
      <c r="H80" s="544" t="n">
        <v>34.04378428261153</v>
      </c>
    </row>
    <row r="81">
      <c r="C81" s="125" t="n">
        <v>0.08000000000000003</v>
      </c>
      <c r="D81" s="544" t="n">
        <v>24.49362060261981</v>
      </c>
      <c r="E81" s="544" t="n">
        <v>27.49237143226065</v>
      </c>
      <c r="F81" s="544" t="n">
        <v>30.49112226190149</v>
      </c>
      <c r="G81" s="544" t="n">
        <v>33.48987309154233</v>
      </c>
      <c r="H81" s="544" t="n">
        <v>36.4886239211832</v>
      </c>
    </row>
    <row r="83" ht="17.25" customHeight="1" s="244">
      <c r="C83" s="112" t="inlineStr">
        <is>
          <t>Equity value per share</t>
        </is>
      </c>
      <c r="D83" s="112" t="n"/>
      <c r="E83" s="112" t="n"/>
      <c r="F83" s="112" t="n"/>
      <c r="G83" s="112" t="n"/>
      <c r="H83" s="112" t="n"/>
    </row>
    <row r="84">
      <c r="D84" s="290" t="inlineStr">
        <is>
          <t>Exit EBITDA Multiple</t>
        </is>
      </c>
      <c r="E84" s="290" t="n"/>
      <c r="F84" s="290" t="n"/>
      <c r="G84" s="290" t="n"/>
      <c r="H84" s="290" t="n"/>
    </row>
    <row r="85">
      <c r="C85" s="195" t="inlineStr">
        <is>
          <t>EBITDA % of plan</t>
        </is>
      </c>
      <c r="D85" s="549" t="n">
        <v>32.82858242889715</v>
      </c>
      <c r="E85" s="550" t="n">
        <v>6.3</v>
      </c>
      <c r="F85" s="546" t="n">
        <v>6.8</v>
      </c>
      <c r="G85" s="547" t="n">
        <v>7.3</v>
      </c>
      <c r="H85" s="548" t="n">
        <v>7.8</v>
      </c>
    </row>
    <row r="86">
      <c r="C86" s="132" t="n">
        <v>0.8</v>
      </c>
      <c r="D86" s="127" t="n">
        <v>981.7144138269495</v>
      </c>
      <c r="E86" s="544" t="n">
        <v>47.84757390464826</v>
      </c>
      <c r="F86" s="544" t="n">
        <v>49.91146747628064</v>
      </c>
      <c r="G86" s="544" t="n">
        <v>51.97536104791303</v>
      </c>
      <c r="H86" s="544" t="n">
        <v>54.03925461954542</v>
      </c>
    </row>
    <row r="87">
      <c r="C87" s="133" t="n">
        <v>0.9</v>
      </c>
      <c r="D87" s="128" t="n">
        <v>1104.428715555318</v>
      </c>
      <c r="E87" s="544" t="n">
        <v>51.09820627996928</v>
      </c>
      <c r="F87" s="544" t="n">
        <v>53.42008654805571</v>
      </c>
      <c r="G87" s="544" t="n">
        <v>55.74196681614215</v>
      </c>
      <c r="H87" s="544" t="n">
        <v>58.06384708422858</v>
      </c>
    </row>
    <row r="88">
      <c r="C88" s="133" t="n">
        <v>1</v>
      </c>
      <c r="D88" s="129" t="n">
        <v>1227.143017283687</v>
      </c>
      <c r="E88" s="544" t="n">
        <v>54.34883865529027</v>
      </c>
      <c r="F88" s="544" t="n">
        <v>56.92870561983077</v>
      </c>
      <c r="G88" s="544" t="n">
        <v>59.50857258437125</v>
      </c>
      <c r="H88" s="544" t="n">
        <v>62.08843954891173</v>
      </c>
    </row>
    <row r="89">
      <c r="C89" s="133" t="n">
        <v>1.1</v>
      </c>
      <c r="D89" s="128" t="n">
        <v>1349.857319012056</v>
      </c>
      <c r="E89" s="544" t="n">
        <v>57.59947103061128</v>
      </c>
      <c r="F89" s="544" t="n">
        <v>60.43732469160583</v>
      </c>
      <c r="G89" s="544" t="n">
        <v>63.27517835260036</v>
      </c>
      <c r="H89" s="544" t="n">
        <v>66.1130320135949</v>
      </c>
    </row>
    <row r="90">
      <c r="C90" s="133" t="n">
        <v>1.2</v>
      </c>
      <c r="D90" s="128" t="n">
        <v>1472.571620740424</v>
      </c>
      <c r="E90" s="544" t="n">
        <v>60.85010340593232</v>
      </c>
      <c r="F90" s="544" t="n">
        <v>63.9459437633809</v>
      </c>
      <c r="G90" s="544" t="n">
        <v>67.04178412082949</v>
      </c>
      <c r="H90" s="544" t="n">
        <v>70.13762447827806</v>
      </c>
    </row>
    <row r="91">
      <c r="C91" s="133" t="n">
        <v>1.3</v>
      </c>
      <c r="D91" s="130" t="n">
        <v>1595.285922468793</v>
      </c>
      <c r="E91" s="544" t="n">
        <v>1472.571620740424</v>
      </c>
      <c r="F91" s="544" t="n">
        <v>1472.571620740424</v>
      </c>
      <c r="G91" s="544" t="n">
        <v>1472.571620740424</v>
      </c>
      <c r="H91" s="544" t="n">
        <v>1472.571620740424</v>
      </c>
    </row>
    <row r="93" ht="15.75" customHeight="1" s="244" thickBot="1">
      <c r="B93" s="63" t="inlineStr">
        <is>
          <t>Football field</t>
        </is>
      </c>
      <c r="C93" s="93" t="n"/>
      <c r="D93" s="93" t="n"/>
      <c r="E93" s="93" t="n"/>
    </row>
    <row r="114">
      <c r="B114" s="108" t="n"/>
      <c r="C114" s="109" t="inlineStr">
        <is>
          <t>Low</t>
        </is>
      </c>
      <c r="D114" s="109" t="inlineStr">
        <is>
          <t>Diff.</t>
        </is>
      </c>
      <c r="E114" s="110" t="inlineStr">
        <is>
          <t>High</t>
        </is>
      </c>
    </row>
    <row r="115">
      <c r="B115" s="105" t="inlineStr">
        <is>
          <t>DCF Value at 6.3x-8.3x Exit EBITDA Range</t>
        </is>
      </c>
      <c r="C115" s="544" t="n">
        <v>20.64830251596892</v>
      </c>
      <c r="D115" s="544" t="n">
        <v>11.06407079457684</v>
      </c>
      <c r="E115" s="551" t="n">
        <v>31.71237331054576</v>
      </c>
    </row>
    <row r="116">
      <c r="B116" s="102" t="inlineStr">
        <is>
          <t>DCF Value at 2.0%-4.0% Perpetuity Range</t>
        </is>
      </c>
      <c r="C116" s="544" t="n">
        <v>34.80938263855841</v>
      </c>
      <c r="D116" s="544" t="n">
        <v>16.33763437516883</v>
      </c>
      <c r="E116" s="551" t="n">
        <v>51.14701701372724</v>
      </c>
    </row>
    <row r="117">
      <c r="B117" s="102" t="inlineStr">
        <is>
          <t>LBO Value at 15.0%-35.0% Sponsor Hurdle Rate</t>
        </is>
      </c>
      <c r="C117" s="544" t="n">
        <v>45.45104265824024</v>
      </c>
      <c r="D117" s="544" t="n">
        <v>13.0196839013479</v>
      </c>
      <c r="E117" s="551" t="n">
        <v>58.47072655958814</v>
      </c>
    </row>
    <row r="118">
      <c r="B118" s="106" t="inlineStr">
        <is>
          <t>52 Week Market High/Low</t>
        </is>
      </c>
      <c r="C118" s="552" t="n">
        <v>37.51</v>
      </c>
      <c r="D118" s="552" t="n">
        <v>8.82</v>
      </c>
      <c r="E118" s="553" t="n">
        <v>46.33</v>
      </c>
    </row>
  </sheetData>
  <conditionalFormatting sqref="D66:H71">
    <cfRule type="cellIs" priority="3" operator="lessThan" dxfId="0">
      <formula>$C$6</formula>
    </cfRule>
  </conditionalFormatting>
  <conditionalFormatting sqref="D76:H81">
    <cfRule type="cellIs" priority="2" operator="lessThan" dxfId="0">
      <formula>$C$6</formula>
    </cfRule>
  </conditionalFormatting>
  <conditionalFormatting sqref="E86:H91">
    <cfRule type="cellIs" priority="1" operator="lessThan" dxfId="0">
      <formula>$C$6</formula>
    </cfRule>
  </conditionalFormatting>
  <dataValidations disablePrompts="1" count="1">
    <dataValidation sqref="C31" showDropDown="0" showInputMessage="1" showErrorMessage="1" allowBlank="1" type="list">
      <formula1>"End of period,Middle of period"</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2:E28"/>
  <sheetViews>
    <sheetView zoomScaleNormal="100" workbookViewId="0">
      <selection activeCell="A1" sqref="A1"/>
    </sheetView>
  </sheetViews>
  <sheetFormatPr baseColWidth="8" defaultRowHeight="15"/>
  <cols>
    <col width="1.7109375" customWidth="1" style="244" min="1" max="1"/>
    <col width="36.5703125" bestFit="1" customWidth="1" style="244" min="2" max="2"/>
    <col width="15.85546875" customWidth="1" style="244" min="3" max="5"/>
  </cols>
  <sheetData>
    <row r="1" ht="15.75" customHeight="1" s="244" thickBot="1"/>
    <row r="2" ht="27" customHeight="1" s="244" thickBot="1">
      <c r="B2" s="1" t="inlineStr">
        <is>
          <t>Diluted shares for BMC</t>
        </is>
      </c>
      <c r="C2" s="305" t="n"/>
      <c r="D2" s="305" t="n"/>
      <c r="E2" s="305" t="n"/>
    </row>
    <row r="3">
      <c r="B3" s="302" t="inlineStr">
        <is>
          <t>$ mm except per share</t>
        </is>
      </c>
    </row>
    <row r="4">
      <c r="B4" s="34" t="n"/>
    </row>
    <row r="5">
      <c r="B5" s="34" t="inlineStr">
        <is>
          <t>Offer price</t>
        </is>
      </c>
      <c r="E5" s="513" t="n">
        <v>46.25</v>
      </c>
    </row>
    <row r="6">
      <c r="B6" s="304" t="inlineStr">
        <is>
          <t>Model-derived offer value sanity check</t>
        </is>
      </c>
      <c r="E6" s="554" t="n">
        <v>46.25</v>
      </c>
    </row>
    <row r="7">
      <c r="B7" s="159" t="inlineStr">
        <is>
          <t>Basic shares outstanding (latest filing)</t>
        </is>
      </c>
      <c r="E7" s="522" t="n">
        <v>143.973</v>
      </c>
    </row>
    <row r="8">
      <c r="B8" s="34" t="inlineStr">
        <is>
          <t>In-the-money exercisable options</t>
        </is>
      </c>
      <c r="E8" s="521" t="n">
        <v>10.7</v>
      </c>
    </row>
    <row r="9">
      <c r="B9" s="34" t="inlineStr">
        <is>
          <t>Total proceeds ($mm)</t>
        </is>
      </c>
      <c r="E9" s="461" t="n">
        <v>411.7</v>
      </c>
    </row>
    <row r="10">
      <c r="B10" s="34" t="inlineStr">
        <is>
          <t>Total shares repurchased (mm)</t>
        </is>
      </c>
      <c r="E10" s="461" t="n">
        <v>8.901621621621622</v>
      </c>
    </row>
    <row r="11">
      <c r="B11" s="34" t="inlineStr">
        <is>
          <t>Net dilutive options</t>
        </is>
      </c>
      <c r="E11" s="461" t="n">
        <v>1.798378378378377</v>
      </c>
    </row>
    <row r="12">
      <c r="B12" s="34" t="inlineStr">
        <is>
          <t xml:space="preserve">Dilutive impact of shares from other securities </t>
        </is>
      </c>
      <c r="E12" s="522" t="n">
        <v>0</v>
      </c>
    </row>
    <row r="13">
      <c r="B13" s="34" t="n"/>
      <c r="E13" s="522" t="n"/>
    </row>
    <row r="14">
      <c r="B14" s="147" t="inlineStr">
        <is>
          <t>Net diluted shares outstanding</t>
        </is>
      </c>
      <c r="D14" s="434" t="n"/>
      <c r="E14" s="461" t="n">
        <v>145.7713783783784</v>
      </c>
    </row>
    <row r="15">
      <c r="B15" s="147" t="n"/>
      <c r="D15" s="434" t="n"/>
      <c r="E15" s="461" t="n"/>
    </row>
    <row r="16">
      <c r="B16" s="312" t="inlineStr">
        <is>
          <t>Options outstanding</t>
        </is>
      </c>
      <c r="C16" s="15" t="n"/>
      <c r="D16" s="445" t="n"/>
      <c r="E16" s="518" t="n"/>
    </row>
    <row r="17">
      <c r="C17" s="242" t="inlineStr">
        <is>
          <t>Out. shares</t>
        </is>
      </c>
      <c r="D17" s="242" t="inlineStr">
        <is>
          <t>Exercise price</t>
        </is>
      </c>
      <c r="E17" s="242" t="inlineStr">
        <is>
          <t>In-the-$-shares</t>
        </is>
      </c>
    </row>
    <row r="18">
      <c r="B18" s="555" t="n">
        <v>1</v>
      </c>
      <c r="C18" s="298" t="n">
        <v>0.2</v>
      </c>
      <c r="D18" s="298" t="n">
        <v>15</v>
      </c>
      <c r="E18" s="299" t="n">
        <v>0.2</v>
      </c>
    </row>
    <row r="19">
      <c r="B19" s="555" t="n">
        <v>2</v>
      </c>
      <c r="C19" s="298" t="n">
        <v>0.7</v>
      </c>
      <c r="D19" s="298" t="n">
        <v>18</v>
      </c>
      <c r="E19" s="299" t="n">
        <v>0.7</v>
      </c>
    </row>
    <row r="20">
      <c r="B20" s="555" t="n">
        <v>3</v>
      </c>
      <c r="C20" s="298" t="n">
        <v>0.1</v>
      </c>
      <c r="D20" s="298" t="n">
        <v>22</v>
      </c>
      <c r="E20" s="299" t="n">
        <v>0.1</v>
      </c>
    </row>
    <row r="21">
      <c r="B21" s="555" t="n">
        <v>4</v>
      </c>
      <c r="C21" s="298" t="n">
        <v>0.3</v>
      </c>
      <c r="D21" s="298" t="n">
        <v>28</v>
      </c>
      <c r="E21" s="299" t="n">
        <v>0.3</v>
      </c>
    </row>
    <row r="22">
      <c r="B22" s="555" t="n">
        <v>5</v>
      </c>
      <c r="C22" s="298" t="n">
        <v>0.3</v>
      </c>
      <c r="D22" s="298" t="n">
        <v>32</v>
      </c>
      <c r="E22" s="299" t="n">
        <v>0.3</v>
      </c>
    </row>
    <row r="23">
      <c r="B23" s="555" t="n">
        <v>6</v>
      </c>
      <c r="C23" s="298" t="n">
        <v>0.4</v>
      </c>
      <c r="D23" s="298" t="n">
        <v>36</v>
      </c>
      <c r="E23" s="299" t="n">
        <v>0.4</v>
      </c>
    </row>
    <row r="24">
      <c r="B24" s="555" t="n">
        <v>7</v>
      </c>
      <c r="C24" s="298" t="n">
        <v>1.3</v>
      </c>
      <c r="D24" s="298" t="n">
        <v>39</v>
      </c>
      <c r="E24" s="299" t="n">
        <v>1.3</v>
      </c>
    </row>
    <row r="25">
      <c r="B25" s="555" t="n">
        <v>8</v>
      </c>
      <c r="C25" s="298" t="n">
        <v>7.4</v>
      </c>
      <c r="D25" s="298" t="n">
        <v>42</v>
      </c>
      <c r="E25" s="299" t="n">
        <v>7.4</v>
      </c>
    </row>
    <row r="26">
      <c r="B26" s="555" t="n">
        <v>9</v>
      </c>
      <c r="C26" s="298" t="n"/>
      <c r="D26" s="298" t="n"/>
      <c r="E26" s="299" t="n">
        <v>0</v>
      </c>
    </row>
    <row r="27">
      <c r="B27" s="555" t="n">
        <v>10</v>
      </c>
      <c r="C27" s="298" t="n"/>
      <c r="D27" s="298" t="n"/>
      <c r="E27" s="300" t="n">
        <v>0</v>
      </c>
    </row>
    <row r="28">
      <c r="E28" s="301" t="n">
        <v>10.7</v>
      </c>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2:F268"/>
  <sheetViews>
    <sheetView zoomScaleNormal="100" workbookViewId="0">
      <selection activeCell="A1" sqref="A1"/>
    </sheetView>
  </sheetViews>
  <sheetFormatPr baseColWidth="8" defaultRowHeight="15"/>
  <cols>
    <col width="19.42578125" bestFit="1" customWidth="1" style="244" min="1" max="1"/>
    <col width="9.28515625" bestFit="1" customWidth="1" style="244" min="2" max="5"/>
    <col width="10" bestFit="1" customWidth="1" style="244" min="6" max="6"/>
    <col width="9.28515625" bestFit="1" customWidth="1" style="244" min="9" max="9"/>
  </cols>
  <sheetData>
    <row r="2" ht="18" customHeight="1" s="244" thickBot="1">
      <c r="A2" s="101" t="inlineStr">
        <is>
          <t>52 week high low</t>
        </is>
      </c>
      <c r="B2" s="93" t="n"/>
      <c r="C2" s="93" t="n"/>
      <c r="D2" s="93" t="n"/>
      <c r="E2" s="93" t="n"/>
      <c r="F2" s="93" t="n"/>
    </row>
    <row r="4">
      <c r="A4" t="inlineStr">
        <is>
          <t>52 week high</t>
        </is>
      </c>
      <c r="E4" s="383" t="n">
        <v>46.33</v>
      </c>
    </row>
    <row r="5">
      <c r="A5" t="inlineStr">
        <is>
          <t>52 week low</t>
        </is>
      </c>
      <c r="E5" s="383" t="n">
        <v>37.51</v>
      </c>
    </row>
    <row r="7">
      <c r="A7" t="inlineStr">
        <is>
          <t>Date</t>
        </is>
      </c>
      <c r="B7" t="inlineStr">
        <is>
          <t>Open</t>
        </is>
      </c>
      <c r="C7" t="inlineStr">
        <is>
          <t>High</t>
        </is>
      </c>
      <c r="D7" t="inlineStr">
        <is>
          <t>Low</t>
        </is>
      </c>
      <c r="E7" s="383" t="inlineStr">
        <is>
          <t>Close</t>
        </is>
      </c>
      <c r="F7" t="inlineStr">
        <is>
          <t>Volume</t>
        </is>
      </c>
    </row>
    <row r="8">
      <c r="A8" s="84" t="n">
        <v>41400</v>
      </c>
      <c r="B8" t="n">
        <v>45.5</v>
      </c>
      <c r="C8" t="n">
        <v>45.71</v>
      </c>
      <c r="D8" t="n">
        <v>45.07</v>
      </c>
      <c r="E8" s="383" t="n">
        <v>45.42</v>
      </c>
      <c r="F8" t="n">
        <v>34229100</v>
      </c>
    </row>
    <row r="9">
      <c r="A9" s="84" t="n">
        <v>41397</v>
      </c>
      <c r="B9" t="n">
        <v>45.67</v>
      </c>
      <c r="C9" t="n">
        <v>45.77</v>
      </c>
      <c r="D9" t="n">
        <v>45.35</v>
      </c>
      <c r="E9" s="383" t="n">
        <v>45.42</v>
      </c>
      <c r="F9" t="n">
        <v>2058200</v>
      </c>
    </row>
    <row r="10">
      <c r="A10" s="84" t="n">
        <v>41396</v>
      </c>
      <c r="B10" t="n">
        <v>45.45</v>
      </c>
      <c r="C10" t="n">
        <v>45.49</v>
      </c>
      <c r="D10" t="n">
        <v>44.97</v>
      </c>
      <c r="E10" s="383" t="n">
        <v>45.24</v>
      </c>
      <c r="F10" t="n">
        <v>3022300</v>
      </c>
    </row>
    <row r="11">
      <c r="A11" s="84" t="n">
        <v>41395</v>
      </c>
      <c r="B11" t="n">
        <v>45.84</v>
      </c>
      <c r="C11" t="n">
        <v>45.96</v>
      </c>
      <c r="D11" t="n">
        <v>45.25</v>
      </c>
      <c r="E11" s="383" t="n">
        <v>45.39</v>
      </c>
      <c r="F11" t="n">
        <v>2306800</v>
      </c>
    </row>
    <row r="12">
      <c r="A12" s="84" t="n">
        <v>41394</v>
      </c>
      <c r="B12" t="n">
        <v>45.34</v>
      </c>
      <c r="C12" t="n">
        <v>45.52</v>
      </c>
      <c r="D12" t="n">
        <v>45.17</v>
      </c>
      <c r="E12" s="383" t="n">
        <v>45.48</v>
      </c>
      <c r="F12" t="n">
        <v>2096700</v>
      </c>
    </row>
    <row r="13">
      <c r="A13" s="84" t="n">
        <v>41393</v>
      </c>
      <c r="B13" t="n">
        <v>45.5</v>
      </c>
      <c r="C13" t="n">
        <v>45.7</v>
      </c>
      <c r="D13" t="n">
        <v>45.28</v>
      </c>
      <c r="E13" s="383" t="n">
        <v>45.43</v>
      </c>
      <c r="F13" t="n">
        <v>2294400</v>
      </c>
    </row>
    <row r="14">
      <c r="A14" s="84" t="n">
        <v>41390</v>
      </c>
      <c r="B14" t="n">
        <v>45.68</v>
      </c>
      <c r="C14" t="n">
        <v>45.86</v>
      </c>
      <c r="D14" t="n">
        <v>45.53</v>
      </c>
      <c r="E14" s="383" t="n">
        <v>45.6</v>
      </c>
      <c r="F14" t="n">
        <v>1694700</v>
      </c>
    </row>
    <row r="15">
      <c r="A15" s="84" t="n">
        <v>41389</v>
      </c>
      <c r="B15" t="n">
        <v>45.07</v>
      </c>
      <c r="C15" t="n">
        <v>45.83</v>
      </c>
      <c r="D15" t="n">
        <v>44.87</v>
      </c>
      <c r="E15" s="383" t="n">
        <v>45.69</v>
      </c>
      <c r="F15" t="n">
        <v>2360900</v>
      </c>
    </row>
    <row r="16">
      <c r="A16" s="84" t="n">
        <v>41388</v>
      </c>
      <c r="B16" t="n">
        <v>45</v>
      </c>
      <c r="C16" t="n">
        <v>45.62</v>
      </c>
      <c r="D16" t="n">
        <v>44.22</v>
      </c>
      <c r="E16" s="383" t="n">
        <v>44.9</v>
      </c>
      <c r="F16" t="n">
        <v>6814000</v>
      </c>
    </row>
    <row r="17">
      <c r="A17" s="84" t="n">
        <v>41387</v>
      </c>
      <c r="B17" t="n">
        <v>44.05</v>
      </c>
      <c r="C17" t="n">
        <v>44.29</v>
      </c>
      <c r="D17" t="n">
        <v>43.66</v>
      </c>
      <c r="E17" s="383" t="n">
        <v>44.13</v>
      </c>
      <c r="F17" t="n">
        <v>2856300</v>
      </c>
    </row>
    <row r="18">
      <c r="A18" s="84" t="n">
        <v>41386</v>
      </c>
      <c r="B18" t="n">
        <v>44.08</v>
      </c>
      <c r="C18" t="n">
        <v>44.09</v>
      </c>
      <c r="D18" t="n">
        <v>43.41</v>
      </c>
      <c r="E18" s="383" t="n">
        <v>43.88</v>
      </c>
      <c r="F18" t="n">
        <v>1078900</v>
      </c>
    </row>
    <row r="19">
      <c r="A19" s="84" t="n">
        <v>41383</v>
      </c>
      <c r="B19" t="n">
        <v>43.56</v>
      </c>
      <c r="C19" t="n">
        <v>44.08</v>
      </c>
      <c r="D19" t="n">
        <v>43.3</v>
      </c>
      <c r="E19" s="383" t="n">
        <v>43.86</v>
      </c>
      <c r="F19" t="n">
        <v>1367800</v>
      </c>
    </row>
    <row r="20">
      <c r="A20" s="84" t="n">
        <v>41382</v>
      </c>
      <c r="B20" t="n">
        <v>44.21</v>
      </c>
      <c r="C20" t="n">
        <v>44.25</v>
      </c>
      <c r="D20" t="n">
        <v>43.44</v>
      </c>
      <c r="E20" s="383" t="n">
        <v>43.75</v>
      </c>
      <c r="F20" t="n">
        <v>1451300</v>
      </c>
    </row>
    <row r="21">
      <c r="A21" s="84" t="n">
        <v>41381</v>
      </c>
      <c r="B21" t="n">
        <v>44.51</v>
      </c>
      <c r="C21" t="n">
        <v>44.68</v>
      </c>
      <c r="D21" t="n">
        <v>43.54</v>
      </c>
      <c r="E21" s="383" t="n">
        <v>44.03</v>
      </c>
      <c r="F21" t="n">
        <v>2156400</v>
      </c>
    </row>
    <row r="22">
      <c r="A22" s="84" t="n">
        <v>41380</v>
      </c>
      <c r="B22" t="n">
        <v>44.59</v>
      </c>
      <c r="C22" t="n">
        <v>45.03</v>
      </c>
      <c r="D22" t="n">
        <v>44.5</v>
      </c>
      <c r="E22" s="383" t="n">
        <v>44.88</v>
      </c>
      <c r="F22" t="n">
        <v>1223400</v>
      </c>
    </row>
    <row r="23">
      <c r="A23" s="84" t="n">
        <v>41379</v>
      </c>
      <c r="B23" t="n">
        <v>44.9</v>
      </c>
      <c r="C23" t="n">
        <v>45</v>
      </c>
      <c r="D23" t="n">
        <v>44.32</v>
      </c>
      <c r="E23" s="383" t="n">
        <v>44.32</v>
      </c>
      <c r="F23" t="n">
        <v>1273900</v>
      </c>
    </row>
    <row r="24">
      <c r="A24" s="84" t="n">
        <v>41376</v>
      </c>
      <c r="B24" t="n">
        <v>45.02</v>
      </c>
      <c r="C24" t="n">
        <v>45.02</v>
      </c>
      <c r="D24" t="n">
        <v>44.65</v>
      </c>
      <c r="E24" s="383" t="n">
        <v>44.93</v>
      </c>
      <c r="F24" t="n">
        <v>1566600</v>
      </c>
    </row>
    <row r="25">
      <c r="A25" s="84" t="n">
        <v>41375</v>
      </c>
      <c r="B25" t="n">
        <v>44.72</v>
      </c>
      <c r="C25" t="n">
        <v>45.65</v>
      </c>
      <c r="D25" t="n">
        <v>44.53</v>
      </c>
      <c r="E25" s="383" t="n">
        <v>45.02</v>
      </c>
      <c r="F25" t="n">
        <v>4248900</v>
      </c>
    </row>
    <row r="26">
      <c r="A26" s="84" t="n">
        <v>41374</v>
      </c>
      <c r="B26" t="n">
        <v>44.45</v>
      </c>
      <c r="C26" t="n">
        <v>44.93</v>
      </c>
      <c r="D26" t="n">
        <v>44.37</v>
      </c>
      <c r="E26" s="383" t="n">
        <v>44.75</v>
      </c>
      <c r="F26" t="n">
        <v>2023200</v>
      </c>
    </row>
    <row r="27">
      <c r="A27" s="84" t="n">
        <v>41373</v>
      </c>
      <c r="B27" t="n">
        <v>44.5</v>
      </c>
      <c r="C27" t="n">
        <v>44.62</v>
      </c>
      <c r="D27" t="n">
        <v>43.98</v>
      </c>
      <c r="E27" s="383" t="n">
        <v>44.34</v>
      </c>
      <c r="F27" t="n">
        <v>1952800</v>
      </c>
    </row>
    <row r="28">
      <c r="A28" s="84" t="n">
        <v>41372</v>
      </c>
      <c r="B28" t="n">
        <v>45.05</v>
      </c>
      <c r="C28" t="n">
        <v>45.1</v>
      </c>
      <c r="D28" t="n">
        <v>44.42</v>
      </c>
      <c r="E28" s="383" t="n">
        <v>44.45</v>
      </c>
      <c r="F28" t="n">
        <v>1625500</v>
      </c>
    </row>
    <row r="29">
      <c r="A29" s="84" t="n">
        <v>41369</v>
      </c>
      <c r="B29" t="n">
        <v>44.55</v>
      </c>
      <c r="C29" t="n">
        <v>45.28</v>
      </c>
      <c r="D29" t="n">
        <v>44.03</v>
      </c>
      <c r="E29" s="383" t="n">
        <v>45.11</v>
      </c>
      <c r="F29" t="n">
        <v>1635700</v>
      </c>
    </row>
    <row r="30">
      <c r="A30" s="84" t="n">
        <v>41368</v>
      </c>
      <c r="B30" t="n">
        <v>45.42</v>
      </c>
      <c r="C30" t="n">
        <v>45.59</v>
      </c>
      <c r="D30" t="n">
        <v>44.93</v>
      </c>
      <c r="E30" s="383" t="n">
        <v>45.14</v>
      </c>
      <c r="F30" t="n">
        <v>1004100</v>
      </c>
    </row>
    <row r="31">
      <c r="A31" s="84" t="n">
        <v>41367</v>
      </c>
      <c r="B31" t="n">
        <v>46.09</v>
      </c>
      <c r="C31" t="n">
        <v>46.3</v>
      </c>
      <c r="D31" t="n">
        <v>45.07</v>
      </c>
      <c r="E31" s="383" t="n">
        <v>45.44</v>
      </c>
      <c r="F31" t="n">
        <v>1471300</v>
      </c>
    </row>
    <row r="32">
      <c r="A32" s="84" t="n">
        <v>41366</v>
      </c>
      <c r="B32" t="n">
        <v>46.19</v>
      </c>
      <c r="C32" t="n">
        <v>46.49</v>
      </c>
      <c r="D32" t="n">
        <v>46.03</v>
      </c>
      <c r="E32" s="383" t="n">
        <v>46.06</v>
      </c>
      <c r="F32" t="n">
        <v>1169600</v>
      </c>
    </row>
    <row r="33">
      <c r="A33" s="84" t="n">
        <v>41365</v>
      </c>
      <c r="B33" t="n">
        <v>46.29</v>
      </c>
      <c r="C33" t="n">
        <v>46.5</v>
      </c>
      <c r="D33" t="n">
        <v>45.87</v>
      </c>
      <c r="E33" s="383" t="n">
        <v>46.02</v>
      </c>
      <c r="F33" t="n">
        <v>1124600</v>
      </c>
    </row>
    <row r="34">
      <c r="A34" s="84" t="n">
        <v>41362</v>
      </c>
      <c r="B34" t="n">
        <v>46.33</v>
      </c>
      <c r="C34" t="n">
        <v>46.33</v>
      </c>
      <c r="D34" t="n">
        <v>46.33</v>
      </c>
      <c r="E34" s="383" t="n">
        <v>46.33</v>
      </c>
      <c r="F34" t="n">
        <v>0</v>
      </c>
    </row>
    <row r="35">
      <c r="A35" s="84" t="n">
        <v>41361</v>
      </c>
      <c r="B35" t="n">
        <v>45.61</v>
      </c>
      <c r="C35" t="n">
        <v>46.48</v>
      </c>
      <c r="D35" t="n">
        <v>45.61</v>
      </c>
      <c r="E35" s="383" t="n">
        <v>46.33</v>
      </c>
      <c r="F35" t="n">
        <v>1145800</v>
      </c>
    </row>
    <row r="36">
      <c r="A36" s="84" t="n">
        <v>41360</v>
      </c>
      <c r="B36" t="n">
        <v>45.63</v>
      </c>
      <c r="C36" t="n">
        <v>45.92</v>
      </c>
      <c r="D36" t="n">
        <v>45.25</v>
      </c>
      <c r="E36" s="383" t="n">
        <v>45.73</v>
      </c>
      <c r="F36" t="n">
        <v>1127000</v>
      </c>
    </row>
    <row r="37">
      <c r="A37" s="84" t="n">
        <v>41359</v>
      </c>
      <c r="B37" t="n">
        <v>45.86</v>
      </c>
      <c r="C37" t="n">
        <v>46.18</v>
      </c>
      <c r="D37" t="n">
        <v>45.66</v>
      </c>
      <c r="E37" s="383" t="n">
        <v>45.78</v>
      </c>
      <c r="F37" t="n">
        <v>1283100</v>
      </c>
    </row>
    <row r="38">
      <c r="A38" s="84" t="n">
        <v>41358</v>
      </c>
      <c r="B38" t="n">
        <v>45.95</v>
      </c>
      <c r="C38" t="n">
        <v>46.05</v>
      </c>
      <c r="D38" t="n">
        <v>45.49</v>
      </c>
      <c r="E38" s="383" t="n">
        <v>45.7</v>
      </c>
      <c r="F38" t="n">
        <v>1757200</v>
      </c>
    </row>
    <row r="39">
      <c r="A39" s="84" t="n">
        <v>41355</v>
      </c>
      <c r="B39" t="n">
        <v>45.49</v>
      </c>
      <c r="C39" t="n">
        <v>45.93</v>
      </c>
      <c r="D39" t="n">
        <v>45.39</v>
      </c>
      <c r="E39" s="383" t="n">
        <v>45.74</v>
      </c>
      <c r="F39" t="n">
        <v>2110000</v>
      </c>
    </row>
    <row r="40">
      <c r="A40" s="84" t="n">
        <v>41354</v>
      </c>
      <c r="B40" t="n">
        <v>43.61</v>
      </c>
      <c r="C40" t="n">
        <v>47.98</v>
      </c>
      <c r="D40" t="n">
        <v>43.5</v>
      </c>
      <c r="E40" s="383" t="n">
        <v>45.48</v>
      </c>
      <c r="F40" t="n">
        <v>6592300</v>
      </c>
    </row>
    <row r="41">
      <c r="A41" s="84" t="n">
        <v>41353</v>
      </c>
      <c r="B41" t="n">
        <v>44.03</v>
      </c>
      <c r="C41" t="n">
        <v>44.45</v>
      </c>
      <c r="D41" t="n">
        <v>43.83</v>
      </c>
      <c r="E41" s="383" t="n">
        <v>43.99</v>
      </c>
      <c r="F41" t="n">
        <v>914200</v>
      </c>
    </row>
    <row r="42">
      <c r="A42" s="84" t="n">
        <v>41352</v>
      </c>
      <c r="B42" t="n">
        <v>44.09</v>
      </c>
      <c r="C42" t="n">
        <v>44.16</v>
      </c>
      <c r="D42" t="n">
        <v>43.4</v>
      </c>
      <c r="E42" s="383" t="n">
        <v>43.68</v>
      </c>
      <c r="F42" t="n">
        <v>1214500</v>
      </c>
    </row>
    <row r="43">
      <c r="A43" s="84" t="n">
        <v>41351</v>
      </c>
      <c r="B43" t="n">
        <v>43.65</v>
      </c>
      <c r="C43" t="n">
        <v>44.4</v>
      </c>
      <c r="D43" t="n">
        <v>43.56</v>
      </c>
      <c r="E43" s="383" t="n">
        <v>43.98</v>
      </c>
      <c r="F43" t="n">
        <v>1173700</v>
      </c>
    </row>
    <row r="44">
      <c r="A44" s="84" t="n">
        <v>41348</v>
      </c>
      <c r="B44" t="n">
        <v>44.12</v>
      </c>
      <c r="C44" t="n">
        <v>44.69</v>
      </c>
      <c r="D44" t="n">
        <v>44.09</v>
      </c>
      <c r="E44" s="383" t="n">
        <v>44.12</v>
      </c>
      <c r="F44" t="n">
        <v>2730000</v>
      </c>
    </row>
    <row r="45">
      <c r="A45" s="84" t="n">
        <v>41347</v>
      </c>
      <c r="B45" t="n">
        <v>43.88</v>
      </c>
      <c r="C45" t="n">
        <v>44.5</v>
      </c>
      <c r="D45" t="n">
        <v>43.83</v>
      </c>
      <c r="E45" s="383" t="n">
        <v>44.29</v>
      </c>
      <c r="F45" t="n">
        <v>2030500</v>
      </c>
    </row>
    <row r="46">
      <c r="A46" s="84" t="n">
        <v>41346</v>
      </c>
      <c r="B46" t="n">
        <v>43.72</v>
      </c>
      <c r="C46" t="n">
        <v>44.12</v>
      </c>
      <c r="D46" t="n">
        <v>43.62</v>
      </c>
      <c r="E46" s="383" t="n">
        <v>43.66</v>
      </c>
      <c r="F46" t="n">
        <v>1725200</v>
      </c>
    </row>
    <row r="47">
      <c r="A47" s="84" t="n">
        <v>41345</v>
      </c>
      <c r="B47" t="n">
        <v>43</v>
      </c>
      <c r="C47" t="n">
        <v>43.77</v>
      </c>
      <c r="D47" t="n">
        <v>43</v>
      </c>
      <c r="E47" s="383" t="n">
        <v>43.72</v>
      </c>
      <c r="F47" t="n">
        <v>1969000</v>
      </c>
    </row>
    <row r="48">
      <c r="A48" s="84" t="n">
        <v>41344</v>
      </c>
      <c r="B48" t="n">
        <v>42.88</v>
      </c>
      <c r="C48" t="n">
        <v>43.48</v>
      </c>
      <c r="D48" t="n">
        <v>42.81</v>
      </c>
      <c r="E48" s="383" t="n">
        <v>43.4</v>
      </c>
      <c r="F48" t="n">
        <v>1858400</v>
      </c>
    </row>
    <row r="49">
      <c r="A49" s="84" t="n">
        <v>41341</v>
      </c>
      <c r="B49" t="n">
        <v>42.46</v>
      </c>
      <c r="C49" t="n">
        <v>43.13</v>
      </c>
      <c r="D49" t="n">
        <v>42.35</v>
      </c>
      <c r="E49" s="383" t="n">
        <v>42.91</v>
      </c>
      <c r="F49" t="n">
        <v>1595900</v>
      </c>
    </row>
    <row r="50">
      <c r="A50" s="84" t="n">
        <v>41340</v>
      </c>
      <c r="B50" t="n">
        <v>42.2</v>
      </c>
      <c r="C50" t="n">
        <v>42.55</v>
      </c>
      <c r="D50" t="n">
        <v>42.18</v>
      </c>
      <c r="E50" s="383" t="n">
        <v>42.33</v>
      </c>
      <c r="F50" t="n">
        <v>844600</v>
      </c>
    </row>
    <row r="51">
      <c r="A51" s="84" t="n">
        <v>41339</v>
      </c>
      <c r="B51" t="n">
        <v>42.34</v>
      </c>
      <c r="C51" t="n">
        <v>42.63</v>
      </c>
      <c r="D51" t="n">
        <v>42.18</v>
      </c>
      <c r="E51" s="383" t="n">
        <v>42.22</v>
      </c>
      <c r="F51" t="n">
        <v>1318300</v>
      </c>
    </row>
    <row r="52">
      <c r="A52" s="84" t="n">
        <v>41338</v>
      </c>
      <c r="B52" t="n">
        <v>41.41</v>
      </c>
      <c r="C52" t="n">
        <v>42.77</v>
      </c>
      <c r="D52" t="n">
        <v>41.37</v>
      </c>
      <c r="E52" s="383" t="n">
        <v>42.32</v>
      </c>
      <c r="F52" t="n">
        <v>2841500</v>
      </c>
    </row>
    <row r="53">
      <c r="A53" s="84" t="n">
        <v>41337</v>
      </c>
      <c r="B53" t="n">
        <v>40.35</v>
      </c>
      <c r="C53" t="n">
        <v>40.88</v>
      </c>
      <c r="D53" t="n">
        <v>40.35</v>
      </c>
      <c r="E53" s="383" t="n">
        <v>40.8</v>
      </c>
      <c r="F53" t="n">
        <v>1428200</v>
      </c>
    </row>
    <row r="54">
      <c r="A54" s="84" t="n">
        <v>41334</v>
      </c>
      <c r="B54" t="n">
        <v>39.83</v>
      </c>
      <c r="C54" t="n">
        <v>40.69</v>
      </c>
      <c r="D54" t="n">
        <v>39.46</v>
      </c>
      <c r="E54" s="383" t="n">
        <v>40.43</v>
      </c>
      <c r="F54" t="n">
        <v>1672500</v>
      </c>
    </row>
    <row r="55">
      <c r="A55" s="84" t="n">
        <v>41333</v>
      </c>
      <c r="B55" t="n">
        <v>40.17</v>
      </c>
      <c r="C55" t="n">
        <v>40.62</v>
      </c>
      <c r="D55" t="n">
        <v>40.05</v>
      </c>
      <c r="E55" s="383" t="n">
        <v>40.11</v>
      </c>
      <c r="F55" t="n">
        <v>2814900</v>
      </c>
    </row>
    <row r="56">
      <c r="A56" s="84" t="n">
        <v>41332</v>
      </c>
      <c r="B56" t="n">
        <v>40.01</v>
      </c>
      <c r="C56" t="n">
        <v>40.53</v>
      </c>
      <c r="D56" t="n">
        <v>39.88</v>
      </c>
      <c r="E56" s="383" t="n">
        <v>40.06</v>
      </c>
      <c r="F56" t="n">
        <v>1715200</v>
      </c>
    </row>
    <row r="57">
      <c r="A57" s="84" t="n">
        <v>41331</v>
      </c>
      <c r="B57" t="n">
        <v>40.2</v>
      </c>
      <c r="C57" t="n">
        <v>40.27</v>
      </c>
      <c r="D57" t="n">
        <v>39.55</v>
      </c>
      <c r="E57" s="383" t="n">
        <v>40.03</v>
      </c>
      <c r="F57" t="n">
        <v>1904600</v>
      </c>
    </row>
    <row r="58">
      <c r="A58" s="84" t="n">
        <v>41330</v>
      </c>
      <c r="B58" t="n">
        <v>40.61</v>
      </c>
      <c r="C58" t="n">
        <v>40.9</v>
      </c>
      <c r="D58" t="n">
        <v>40.06</v>
      </c>
      <c r="E58" s="383" t="n">
        <v>40.1</v>
      </c>
      <c r="F58" t="n">
        <v>1926800</v>
      </c>
    </row>
    <row r="59">
      <c r="A59" s="84" t="n">
        <v>41327</v>
      </c>
      <c r="B59" t="n">
        <v>40.62</v>
      </c>
      <c r="C59" t="n">
        <v>40.74</v>
      </c>
      <c r="D59" t="n">
        <v>40.4</v>
      </c>
      <c r="E59" s="383" t="n">
        <v>40.54</v>
      </c>
      <c r="F59" t="n">
        <v>1363200</v>
      </c>
    </row>
    <row r="60">
      <c r="A60" s="84" t="n">
        <v>41326</v>
      </c>
      <c r="B60" t="n">
        <v>41.09</v>
      </c>
      <c r="C60" t="n">
        <v>41.2</v>
      </c>
      <c r="D60" t="n">
        <v>40.15</v>
      </c>
      <c r="E60" s="383" t="n">
        <v>40.46</v>
      </c>
      <c r="F60" t="n">
        <v>1580100</v>
      </c>
    </row>
    <row r="61">
      <c r="A61" s="84" t="n">
        <v>41325</v>
      </c>
      <c r="B61" t="n">
        <v>41.62</v>
      </c>
      <c r="C61" t="n">
        <v>42.13</v>
      </c>
      <c r="D61" t="n">
        <v>41.1</v>
      </c>
      <c r="E61" s="383" t="n">
        <v>41.11</v>
      </c>
      <c r="F61" t="n">
        <v>1591200</v>
      </c>
    </row>
    <row r="62">
      <c r="A62" s="84" t="n">
        <v>41324</v>
      </c>
      <c r="B62" t="n">
        <v>41.42</v>
      </c>
      <c r="C62" t="n">
        <v>41.79</v>
      </c>
      <c r="D62" t="n">
        <v>41.2</v>
      </c>
      <c r="E62" s="383" t="n">
        <v>41.59</v>
      </c>
      <c r="F62" t="n">
        <v>1148200</v>
      </c>
    </row>
    <row r="63">
      <c r="A63" s="84" t="n">
        <v>41323</v>
      </c>
      <c r="B63" t="n">
        <v>41.37</v>
      </c>
      <c r="C63" t="n">
        <v>41.37</v>
      </c>
      <c r="D63" t="n">
        <v>41.37</v>
      </c>
      <c r="E63" s="383" t="n">
        <v>41.37</v>
      </c>
      <c r="F63" t="n">
        <v>0</v>
      </c>
    </row>
    <row r="64">
      <c r="A64" s="84" t="n">
        <v>41320</v>
      </c>
      <c r="B64" t="n">
        <v>41.29</v>
      </c>
      <c r="C64" t="n">
        <v>41.82</v>
      </c>
      <c r="D64" t="n">
        <v>41.27</v>
      </c>
      <c r="E64" s="383" t="n">
        <v>41.37</v>
      </c>
      <c r="F64" t="n">
        <v>1437300</v>
      </c>
    </row>
    <row r="65">
      <c r="A65" s="84" t="n">
        <v>41319</v>
      </c>
      <c r="B65" t="n">
        <v>41</v>
      </c>
      <c r="C65" t="n">
        <v>41.57</v>
      </c>
      <c r="D65" t="n">
        <v>40.92</v>
      </c>
      <c r="E65" s="383" t="n">
        <v>41.46</v>
      </c>
      <c r="F65" t="n">
        <v>1182500</v>
      </c>
    </row>
    <row r="66">
      <c r="A66" s="84" t="n">
        <v>41318</v>
      </c>
      <c r="B66" t="n">
        <v>41.28</v>
      </c>
      <c r="C66" t="n">
        <v>41.43</v>
      </c>
      <c r="D66" t="n">
        <v>40.97</v>
      </c>
      <c r="E66" s="383" t="n">
        <v>41.09</v>
      </c>
      <c r="F66" t="n">
        <v>1813600</v>
      </c>
    </row>
    <row r="67">
      <c r="A67" s="84" t="n">
        <v>41317</v>
      </c>
      <c r="B67" t="n">
        <v>41.4</v>
      </c>
      <c r="C67" t="n">
        <v>41.59</v>
      </c>
      <c r="D67" t="n">
        <v>41.17</v>
      </c>
      <c r="E67" s="383" t="n">
        <v>41.24</v>
      </c>
      <c r="F67" t="n">
        <v>1378100</v>
      </c>
    </row>
    <row r="68">
      <c r="A68" s="84" t="n">
        <v>41316</v>
      </c>
      <c r="B68" t="n">
        <v>41.8</v>
      </c>
      <c r="C68" t="n">
        <v>41.86</v>
      </c>
      <c r="D68" t="n">
        <v>40.94</v>
      </c>
      <c r="E68" s="383" t="n">
        <v>41.4</v>
      </c>
      <c r="F68" t="n">
        <v>2472600</v>
      </c>
    </row>
    <row r="69">
      <c r="A69" s="84" t="n">
        <v>41313</v>
      </c>
      <c r="B69" t="n">
        <v>42</v>
      </c>
      <c r="C69" t="n">
        <v>42.46</v>
      </c>
      <c r="D69" t="n">
        <v>41.56</v>
      </c>
      <c r="E69" s="383" t="n">
        <v>41.86</v>
      </c>
      <c r="F69" t="n">
        <v>1231600</v>
      </c>
    </row>
    <row r="70">
      <c r="A70" s="84" t="n">
        <v>41312</v>
      </c>
      <c r="B70" t="n">
        <v>41.6</v>
      </c>
      <c r="C70" t="n">
        <v>41.98</v>
      </c>
      <c r="D70" t="n">
        <v>41.49</v>
      </c>
      <c r="E70" s="383" t="n">
        <v>41.95</v>
      </c>
      <c r="F70" t="n">
        <v>1919200</v>
      </c>
    </row>
    <row r="71">
      <c r="A71" s="84" t="n">
        <v>41311</v>
      </c>
      <c r="B71" t="n">
        <v>41.91</v>
      </c>
      <c r="C71" t="n">
        <v>42.17</v>
      </c>
      <c r="D71" t="n">
        <v>41.6</v>
      </c>
      <c r="E71" s="383" t="n">
        <v>41.85</v>
      </c>
      <c r="F71" t="n">
        <v>2420600</v>
      </c>
    </row>
    <row r="72">
      <c r="A72" s="84" t="n">
        <v>41310</v>
      </c>
      <c r="B72" t="n">
        <v>41.84</v>
      </c>
      <c r="C72" t="n">
        <v>42.25</v>
      </c>
      <c r="D72" t="n">
        <v>41.59</v>
      </c>
      <c r="E72" s="383" t="n">
        <v>42.1</v>
      </c>
      <c r="F72" t="n">
        <v>1671600</v>
      </c>
    </row>
    <row r="73">
      <c r="A73" s="84" t="n">
        <v>41309</v>
      </c>
      <c r="B73" t="n">
        <v>41.81</v>
      </c>
      <c r="C73" t="n">
        <v>42.21</v>
      </c>
      <c r="D73" t="n">
        <v>41.55</v>
      </c>
      <c r="E73" s="383" t="n">
        <v>41.56</v>
      </c>
      <c r="F73" t="n">
        <v>1851700</v>
      </c>
    </row>
    <row r="74">
      <c r="A74" s="84" t="n">
        <v>41306</v>
      </c>
      <c r="B74" t="n">
        <v>41.97</v>
      </c>
      <c r="C74" t="n">
        <v>42.44</v>
      </c>
      <c r="D74" t="n">
        <v>41.63</v>
      </c>
      <c r="E74" s="383" t="n">
        <v>42.17</v>
      </c>
      <c r="F74" t="n">
        <v>1643200</v>
      </c>
    </row>
    <row r="75">
      <c r="A75" s="84" t="n">
        <v>41305</v>
      </c>
      <c r="B75" t="n">
        <v>41.34</v>
      </c>
      <c r="C75" t="n">
        <v>41.95</v>
      </c>
      <c r="D75" t="n">
        <v>41.34</v>
      </c>
      <c r="E75" s="383" t="n">
        <v>41.55</v>
      </c>
      <c r="F75" t="n">
        <v>1523700</v>
      </c>
    </row>
    <row r="76">
      <c r="A76" s="84" t="n">
        <v>41304</v>
      </c>
      <c r="B76" t="n">
        <v>41.65</v>
      </c>
      <c r="C76" t="n">
        <v>41.85</v>
      </c>
      <c r="D76" t="n">
        <v>41.22</v>
      </c>
      <c r="E76" s="383" t="n">
        <v>41.47</v>
      </c>
      <c r="F76" t="n">
        <v>2894600</v>
      </c>
    </row>
    <row r="77">
      <c r="A77" s="84" t="n">
        <v>41303</v>
      </c>
      <c r="B77" t="n">
        <v>40</v>
      </c>
      <c r="C77" t="n">
        <v>41.71</v>
      </c>
      <c r="D77" t="n">
        <v>40</v>
      </c>
      <c r="E77" s="383" t="n">
        <v>41.71</v>
      </c>
      <c r="F77" t="n">
        <v>4776700</v>
      </c>
    </row>
    <row r="78">
      <c r="A78" s="84" t="n">
        <v>41302</v>
      </c>
      <c r="B78" t="n">
        <v>44.8</v>
      </c>
      <c r="C78" t="n">
        <v>44.99</v>
      </c>
      <c r="D78" t="n">
        <v>44.42</v>
      </c>
      <c r="E78" s="383" t="n">
        <v>44.48</v>
      </c>
      <c r="F78" t="n">
        <v>1739200</v>
      </c>
    </row>
    <row r="79">
      <c r="A79" s="84" t="n">
        <v>41299</v>
      </c>
      <c r="B79" t="n">
        <v>44.25</v>
      </c>
      <c r="C79" t="n">
        <v>44.82</v>
      </c>
      <c r="D79" t="n">
        <v>44.1</v>
      </c>
      <c r="E79" s="383" t="n">
        <v>44.5</v>
      </c>
      <c r="F79" t="n">
        <v>1062100</v>
      </c>
    </row>
    <row r="80">
      <c r="A80" s="84" t="n">
        <v>41298</v>
      </c>
      <c r="B80" t="n">
        <v>43.86</v>
      </c>
      <c r="C80" t="n">
        <v>44.53</v>
      </c>
      <c r="D80" t="n">
        <v>43.85</v>
      </c>
      <c r="E80" s="383" t="n">
        <v>44.05</v>
      </c>
      <c r="F80" t="n">
        <v>993700</v>
      </c>
    </row>
    <row r="81">
      <c r="A81" s="84" t="n">
        <v>41297</v>
      </c>
      <c r="B81" t="n">
        <v>43.73</v>
      </c>
      <c r="C81" t="n">
        <v>44.22</v>
      </c>
      <c r="D81" t="n">
        <v>43.54</v>
      </c>
      <c r="E81" s="383" t="n">
        <v>43.91</v>
      </c>
      <c r="F81" t="n">
        <v>1443000</v>
      </c>
    </row>
    <row r="82">
      <c r="A82" s="84" t="n">
        <v>41296</v>
      </c>
      <c r="B82" t="n">
        <v>43.7</v>
      </c>
      <c r="C82" t="n">
        <v>43.83</v>
      </c>
      <c r="D82" t="n">
        <v>43.22</v>
      </c>
      <c r="E82" s="383" t="n">
        <v>43.36</v>
      </c>
      <c r="F82" t="n">
        <v>1117200</v>
      </c>
    </row>
    <row r="83">
      <c r="A83" s="84" t="n">
        <v>41295</v>
      </c>
      <c r="B83" t="n">
        <v>43.81</v>
      </c>
      <c r="C83" t="n">
        <v>43.81</v>
      </c>
      <c r="D83" t="n">
        <v>43.81</v>
      </c>
      <c r="E83" s="383" t="n">
        <v>43.81</v>
      </c>
      <c r="F83" t="n">
        <v>0</v>
      </c>
    </row>
    <row r="84">
      <c r="A84" s="84" t="n">
        <v>41292</v>
      </c>
      <c r="B84" t="n">
        <v>42.87</v>
      </c>
      <c r="C84" t="n">
        <v>43.82</v>
      </c>
      <c r="D84" t="n">
        <v>42.87</v>
      </c>
      <c r="E84" s="383" t="n">
        <v>43.81</v>
      </c>
      <c r="F84" t="n">
        <v>2141600</v>
      </c>
    </row>
    <row r="85">
      <c r="A85" s="84" t="n">
        <v>41291</v>
      </c>
      <c r="B85" t="n">
        <v>42.82</v>
      </c>
      <c r="C85" t="n">
        <v>42.95</v>
      </c>
      <c r="D85" t="n">
        <v>42.65</v>
      </c>
      <c r="E85" s="383" t="n">
        <v>42.76</v>
      </c>
      <c r="F85" t="n">
        <v>995600</v>
      </c>
    </row>
    <row r="86">
      <c r="A86" s="84" t="n">
        <v>41290</v>
      </c>
      <c r="B86" t="n">
        <v>42.61</v>
      </c>
      <c r="C86" t="n">
        <v>42.83</v>
      </c>
      <c r="D86" t="n">
        <v>42.17</v>
      </c>
      <c r="E86" s="383" t="n">
        <v>42.62</v>
      </c>
      <c r="F86" t="n">
        <v>1140500</v>
      </c>
    </row>
    <row r="87">
      <c r="A87" s="84" t="n">
        <v>41289</v>
      </c>
      <c r="B87" t="n">
        <v>42.25</v>
      </c>
      <c r="C87" t="n">
        <v>42.82</v>
      </c>
      <c r="D87" t="n">
        <v>42.2</v>
      </c>
      <c r="E87" s="383" t="n">
        <v>42.65</v>
      </c>
      <c r="F87" t="n">
        <v>1545100</v>
      </c>
    </row>
    <row r="88">
      <c r="A88" s="84" t="n">
        <v>41288</v>
      </c>
      <c r="B88" t="n">
        <v>42.49</v>
      </c>
      <c r="C88" t="n">
        <v>42.86</v>
      </c>
      <c r="D88" t="n">
        <v>42.28</v>
      </c>
      <c r="E88" s="383" t="n">
        <v>42.64</v>
      </c>
      <c r="F88" t="n">
        <v>957400</v>
      </c>
    </row>
    <row r="89">
      <c r="A89" s="84" t="n">
        <v>41285</v>
      </c>
      <c r="B89" t="n">
        <v>42.25</v>
      </c>
      <c r="C89" t="n">
        <v>42.76</v>
      </c>
      <c r="D89" t="n">
        <v>42.13</v>
      </c>
      <c r="E89" s="383" t="n">
        <v>42.68</v>
      </c>
      <c r="F89" t="n">
        <v>1276800</v>
      </c>
    </row>
    <row r="90">
      <c r="A90" s="84" t="n">
        <v>41284</v>
      </c>
      <c r="B90" t="n">
        <v>42.02</v>
      </c>
      <c r="C90" t="n">
        <v>42.41</v>
      </c>
      <c r="D90" t="n">
        <v>41.88</v>
      </c>
      <c r="E90" s="383" t="n">
        <v>42.23</v>
      </c>
      <c r="F90" t="n">
        <v>1810400</v>
      </c>
    </row>
    <row r="91">
      <c r="A91" s="84" t="n">
        <v>41283</v>
      </c>
      <c r="B91" t="n">
        <v>41.05</v>
      </c>
      <c r="C91" t="n">
        <v>41.95</v>
      </c>
      <c r="D91" t="n">
        <v>41.01</v>
      </c>
      <c r="E91" s="383" t="n">
        <v>41.82</v>
      </c>
      <c r="F91" t="n">
        <v>1743400</v>
      </c>
    </row>
    <row r="92">
      <c r="A92" s="84" t="n">
        <v>41282</v>
      </c>
      <c r="B92" t="n">
        <v>40.24</v>
      </c>
      <c r="C92" t="n">
        <v>41.08</v>
      </c>
      <c r="D92" t="n">
        <v>40.17</v>
      </c>
      <c r="E92" s="383" t="n">
        <v>40.92</v>
      </c>
      <c r="F92" t="n">
        <v>1186000</v>
      </c>
    </row>
    <row r="93">
      <c r="A93" s="84" t="n">
        <v>41281</v>
      </c>
      <c r="B93" t="n">
        <v>40.7</v>
      </c>
      <c r="C93" t="n">
        <v>40.9</v>
      </c>
      <c r="D93" t="n">
        <v>40.28</v>
      </c>
      <c r="E93" s="383" t="n">
        <v>40.42</v>
      </c>
      <c r="F93" t="n">
        <v>916100</v>
      </c>
    </row>
    <row r="94">
      <c r="A94" s="84" t="n">
        <v>41278</v>
      </c>
      <c r="B94" t="n">
        <v>40.92</v>
      </c>
      <c r="C94" t="n">
        <v>41.17</v>
      </c>
      <c r="D94" t="n">
        <v>40.72</v>
      </c>
      <c r="E94" s="383" t="n">
        <v>40.93</v>
      </c>
      <c r="F94" t="n">
        <v>818000</v>
      </c>
    </row>
    <row r="95">
      <c r="A95" s="84" t="n">
        <v>41277</v>
      </c>
      <c r="B95" t="n">
        <v>41.04</v>
      </c>
      <c r="C95" t="n">
        <v>41.23</v>
      </c>
      <c r="D95" t="n">
        <v>40.68</v>
      </c>
      <c r="E95" s="383" t="n">
        <v>40.76</v>
      </c>
      <c r="F95" t="n">
        <v>976000</v>
      </c>
    </row>
    <row r="96">
      <c r="A96" s="84" t="n">
        <v>41276</v>
      </c>
      <c r="B96" t="n">
        <v>40.28</v>
      </c>
      <c r="C96" t="n">
        <v>41.09</v>
      </c>
      <c r="D96" t="n">
        <v>40.21</v>
      </c>
      <c r="E96" s="383" t="n">
        <v>41.09</v>
      </c>
      <c r="F96" t="n">
        <v>2498700</v>
      </c>
    </row>
    <row r="97">
      <c r="A97" s="84" t="n">
        <v>41275</v>
      </c>
      <c r="B97" t="n">
        <v>39.62</v>
      </c>
      <c r="C97" t="n">
        <v>39.62</v>
      </c>
      <c r="D97" t="n">
        <v>39.62</v>
      </c>
      <c r="E97" s="383" t="n">
        <v>39.62</v>
      </c>
      <c r="F97" t="n">
        <v>0</v>
      </c>
    </row>
    <row r="98">
      <c r="A98" s="84" t="n">
        <v>41274</v>
      </c>
      <c r="B98" t="n">
        <v>39.56</v>
      </c>
      <c r="C98" t="n">
        <v>39.75</v>
      </c>
      <c r="D98" t="n">
        <v>39.31</v>
      </c>
      <c r="E98" s="383" t="n">
        <v>39.62</v>
      </c>
      <c r="F98" t="n">
        <v>1433100</v>
      </c>
    </row>
    <row r="99">
      <c r="A99" s="84" t="n">
        <v>41271</v>
      </c>
      <c r="B99" t="n">
        <v>39.72</v>
      </c>
      <c r="C99" t="n">
        <v>39.88</v>
      </c>
      <c r="D99" t="n">
        <v>39.45</v>
      </c>
      <c r="E99" s="383" t="n">
        <v>39.56</v>
      </c>
      <c r="F99" t="n">
        <v>799400</v>
      </c>
    </row>
    <row r="100">
      <c r="A100" s="84" t="n">
        <v>41270</v>
      </c>
      <c r="B100" t="n">
        <v>40.35</v>
      </c>
      <c r="C100" t="n">
        <v>40.39</v>
      </c>
      <c r="D100" t="n">
        <v>39.41</v>
      </c>
      <c r="E100" s="383" t="n">
        <v>39.88</v>
      </c>
      <c r="F100" t="n">
        <v>1381500</v>
      </c>
    </row>
    <row r="101">
      <c r="A101" s="84" t="n">
        <v>41269</v>
      </c>
      <c r="B101" t="n">
        <v>40.74</v>
      </c>
      <c r="C101" t="n">
        <v>40.97</v>
      </c>
      <c r="D101" t="n">
        <v>40.29</v>
      </c>
      <c r="E101" s="383" t="n">
        <v>40.39</v>
      </c>
      <c r="F101" t="n">
        <v>982900</v>
      </c>
    </row>
    <row r="102">
      <c r="A102" s="84" t="n">
        <v>41268</v>
      </c>
      <c r="B102" t="n">
        <v>40.87</v>
      </c>
      <c r="C102" t="n">
        <v>40.87</v>
      </c>
      <c r="D102" t="n">
        <v>40.87</v>
      </c>
      <c r="E102" s="383" t="n">
        <v>40.87</v>
      </c>
      <c r="F102" t="n">
        <v>0</v>
      </c>
    </row>
    <row r="103">
      <c r="A103" s="84" t="n">
        <v>41267</v>
      </c>
      <c r="B103" t="n">
        <v>40.83</v>
      </c>
      <c r="C103" t="n">
        <v>41.04</v>
      </c>
      <c r="D103" t="n">
        <v>40.45</v>
      </c>
      <c r="E103" s="383" t="n">
        <v>40.87</v>
      </c>
      <c r="F103" t="n">
        <v>446900</v>
      </c>
    </row>
    <row r="104">
      <c r="A104" s="84" t="n">
        <v>41264</v>
      </c>
      <c r="B104" t="n">
        <v>40.86</v>
      </c>
      <c r="C104" t="n">
        <v>41.1</v>
      </c>
      <c r="D104" t="n">
        <v>40.29</v>
      </c>
      <c r="E104" s="383" t="n">
        <v>40.71</v>
      </c>
      <c r="F104" t="n">
        <v>2968100</v>
      </c>
    </row>
    <row r="105">
      <c r="A105" s="84" t="n">
        <v>41263</v>
      </c>
      <c r="B105" t="n">
        <v>41.98</v>
      </c>
      <c r="C105" t="n">
        <v>42.04</v>
      </c>
      <c r="D105" t="n">
        <v>41.79</v>
      </c>
      <c r="E105" s="383" t="n">
        <v>41.94</v>
      </c>
      <c r="F105" t="n">
        <v>1632100</v>
      </c>
    </row>
    <row r="106">
      <c r="A106" s="84" t="n">
        <v>41262</v>
      </c>
      <c r="B106" t="n">
        <v>41.79</v>
      </c>
      <c r="C106" t="n">
        <v>42.3</v>
      </c>
      <c r="D106" t="n">
        <v>41.69</v>
      </c>
      <c r="E106" s="383" t="n">
        <v>41.91</v>
      </c>
      <c r="F106" t="n">
        <v>2858900</v>
      </c>
    </row>
    <row r="107">
      <c r="A107" s="84" t="n">
        <v>41261</v>
      </c>
      <c r="B107" t="n">
        <v>41.11</v>
      </c>
      <c r="C107" t="n">
        <v>41.69</v>
      </c>
      <c r="D107" t="n">
        <v>40.82</v>
      </c>
      <c r="E107" s="383" t="n">
        <v>41.67</v>
      </c>
      <c r="F107" t="n">
        <v>2153400</v>
      </c>
    </row>
    <row r="108">
      <c r="A108" s="84" t="n">
        <v>41260</v>
      </c>
      <c r="B108" t="n">
        <v>40.16</v>
      </c>
      <c r="C108" t="n">
        <v>41.1</v>
      </c>
      <c r="D108" t="n">
        <v>39.99</v>
      </c>
      <c r="E108" s="383" t="n">
        <v>41.08</v>
      </c>
      <c r="F108" t="n">
        <v>2233600</v>
      </c>
    </row>
    <row r="109">
      <c r="A109" s="84" t="n">
        <v>41257</v>
      </c>
      <c r="B109" t="n">
        <v>39.73</v>
      </c>
      <c r="C109" t="n">
        <v>40.32</v>
      </c>
      <c r="D109" t="n">
        <v>39.61</v>
      </c>
      <c r="E109" s="383" t="n">
        <v>40.18</v>
      </c>
      <c r="F109" t="n">
        <v>995400</v>
      </c>
    </row>
    <row r="110">
      <c r="A110" s="84" t="n">
        <v>41256</v>
      </c>
      <c r="B110" t="n">
        <v>40.68</v>
      </c>
      <c r="C110" t="n">
        <v>40.98</v>
      </c>
      <c r="D110" t="n">
        <v>39.8</v>
      </c>
      <c r="E110" s="383" t="n">
        <v>39.89</v>
      </c>
      <c r="F110" t="n">
        <v>1573100</v>
      </c>
    </row>
    <row r="111">
      <c r="A111" s="84" t="n">
        <v>41255</v>
      </c>
      <c r="B111" t="n">
        <v>41.59</v>
      </c>
      <c r="C111" t="n">
        <v>41.6</v>
      </c>
      <c r="D111" t="n">
        <v>40.67</v>
      </c>
      <c r="E111" s="383" t="n">
        <v>40.8</v>
      </c>
      <c r="F111" t="n">
        <v>2112200</v>
      </c>
    </row>
    <row r="112">
      <c r="A112" s="84" t="n">
        <v>41254</v>
      </c>
      <c r="B112" t="n">
        <v>41.3</v>
      </c>
      <c r="C112" t="n">
        <v>41.59</v>
      </c>
      <c r="D112" t="n">
        <v>40.95</v>
      </c>
      <c r="E112" s="383" t="n">
        <v>41.53</v>
      </c>
      <c r="F112" t="n">
        <v>1884300</v>
      </c>
    </row>
    <row r="113">
      <c r="A113" s="84" t="n">
        <v>41253</v>
      </c>
      <c r="B113" t="n">
        <v>40.51</v>
      </c>
      <c r="C113" t="n">
        <v>41.42</v>
      </c>
      <c r="D113" t="n">
        <v>40.51</v>
      </c>
      <c r="E113" s="383" t="n">
        <v>41.42</v>
      </c>
      <c r="F113" t="n">
        <v>1126200</v>
      </c>
    </row>
    <row r="114">
      <c r="A114" s="84" t="n">
        <v>41250</v>
      </c>
      <c r="B114" t="n">
        <v>41.01</v>
      </c>
      <c r="C114" t="n">
        <v>41.05</v>
      </c>
      <c r="D114" t="n">
        <v>40.69</v>
      </c>
      <c r="E114" s="383" t="n">
        <v>40.81</v>
      </c>
      <c r="F114" t="n">
        <v>1099200</v>
      </c>
    </row>
    <row r="115">
      <c r="A115" s="84" t="n">
        <v>41249</v>
      </c>
      <c r="B115" t="n">
        <v>40.22</v>
      </c>
      <c r="C115" t="n">
        <v>40.74</v>
      </c>
      <c r="D115" t="n">
        <v>40.03</v>
      </c>
      <c r="E115" s="383" t="n">
        <v>40.73</v>
      </c>
      <c r="F115" t="n">
        <v>732200</v>
      </c>
    </row>
    <row r="116">
      <c r="A116" s="84" t="n">
        <v>41248</v>
      </c>
      <c r="B116" t="n">
        <v>40.28</v>
      </c>
      <c r="C116" t="n">
        <v>40.38</v>
      </c>
      <c r="D116" t="n">
        <v>39.87</v>
      </c>
      <c r="E116" s="383" t="n">
        <v>40.2</v>
      </c>
      <c r="F116" t="n">
        <v>1217500</v>
      </c>
    </row>
    <row r="117">
      <c r="A117" s="84" t="n">
        <v>41247</v>
      </c>
      <c r="B117" t="n">
        <v>40.6</v>
      </c>
      <c r="C117" t="n">
        <v>40.74</v>
      </c>
      <c r="D117" t="n">
        <v>40.22</v>
      </c>
      <c r="E117" s="383" t="n">
        <v>40.42</v>
      </c>
      <c r="F117" t="n">
        <v>937400</v>
      </c>
    </row>
    <row r="118">
      <c r="A118" s="84" t="n">
        <v>41246</v>
      </c>
      <c r="B118" t="n">
        <v>41.08</v>
      </c>
      <c r="C118" t="n">
        <v>41.1</v>
      </c>
      <c r="D118" t="n">
        <v>40.54</v>
      </c>
      <c r="E118" s="383" t="n">
        <v>40.54</v>
      </c>
      <c r="F118" t="n">
        <v>861200</v>
      </c>
    </row>
    <row r="119">
      <c r="A119" s="84" t="n">
        <v>41243</v>
      </c>
      <c r="B119" t="n">
        <v>40.95</v>
      </c>
      <c r="C119" t="n">
        <v>41.03</v>
      </c>
      <c r="D119" t="n">
        <v>40.72</v>
      </c>
      <c r="E119" s="383" t="n">
        <v>40.96</v>
      </c>
      <c r="F119" t="n">
        <v>1196900</v>
      </c>
    </row>
    <row r="120">
      <c r="A120" s="84" t="n">
        <v>41242</v>
      </c>
      <c r="B120" t="n">
        <v>41</v>
      </c>
      <c r="C120" t="n">
        <v>41.08</v>
      </c>
      <c r="D120" t="n">
        <v>40.63</v>
      </c>
      <c r="E120" s="383" t="n">
        <v>40.88</v>
      </c>
      <c r="F120" t="n">
        <v>1101900</v>
      </c>
    </row>
    <row r="121">
      <c r="A121" s="84" t="n">
        <v>41241</v>
      </c>
      <c r="B121" t="n">
        <v>40.34</v>
      </c>
      <c r="C121" t="n">
        <v>40.98</v>
      </c>
      <c r="D121" t="n">
        <v>39.93</v>
      </c>
      <c r="E121" s="383" t="n">
        <v>40.95</v>
      </c>
      <c r="F121" t="n">
        <v>1041000</v>
      </c>
    </row>
    <row r="122">
      <c r="A122" s="84" t="n">
        <v>41240</v>
      </c>
      <c r="B122" t="n">
        <v>40.19</v>
      </c>
      <c r="C122" t="n">
        <v>41.36</v>
      </c>
      <c r="D122" t="n">
        <v>40.02</v>
      </c>
      <c r="E122" s="383" t="n">
        <v>40.62</v>
      </c>
      <c r="F122" t="n">
        <v>1894700</v>
      </c>
    </row>
    <row r="123">
      <c r="A123" s="84" t="n">
        <v>41239</v>
      </c>
      <c r="B123" t="n">
        <v>40.09</v>
      </c>
      <c r="C123" t="n">
        <v>40.3</v>
      </c>
      <c r="D123" t="n">
        <v>39.79</v>
      </c>
      <c r="E123" s="383" t="n">
        <v>40.26</v>
      </c>
      <c r="F123" t="n">
        <v>1097800</v>
      </c>
    </row>
    <row r="124">
      <c r="A124" s="84" t="n">
        <v>41236</v>
      </c>
      <c r="B124" t="n">
        <v>39.84</v>
      </c>
      <c r="C124" t="n">
        <v>40.26</v>
      </c>
      <c r="D124" t="n">
        <v>39.64</v>
      </c>
      <c r="E124" s="383" t="n">
        <v>40.19</v>
      </c>
      <c r="F124" t="n">
        <v>318800</v>
      </c>
    </row>
    <row r="125">
      <c r="A125" s="84" t="n">
        <v>41235</v>
      </c>
      <c r="B125" t="n">
        <v>39.68</v>
      </c>
      <c r="C125" t="n">
        <v>39.68</v>
      </c>
      <c r="D125" t="n">
        <v>39.68</v>
      </c>
      <c r="E125" s="383" t="n">
        <v>39.68</v>
      </c>
      <c r="F125" t="n">
        <v>0</v>
      </c>
    </row>
    <row r="126">
      <c r="A126" s="84" t="n">
        <v>41234</v>
      </c>
      <c r="B126" t="n">
        <v>39.53</v>
      </c>
      <c r="C126" t="n">
        <v>39.88</v>
      </c>
      <c r="D126" t="n">
        <v>39.48</v>
      </c>
      <c r="E126" s="383" t="n">
        <v>39.68</v>
      </c>
      <c r="F126" t="n">
        <v>536800</v>
      </c>
    </row>
    <row r="127">
      <c r="A127" s="84" t="n">
        <v>41233</v>
      </c>
      <c r="B127" t="n">
        <v>39.58</v>
      </c>
      <c r="C127" t="n">
        <v>39.71</v>
      </c>
      <c r="D127" t="n">
        <v>39.33</v>
      </c>
      <c r="E127" s="383" t="n">
        <v>39.56</v>
      </c>
      <c r="F127" t="n">
        <v>1292700</v>
      </c>
    </row>
    <row r="128">
      <c r="A128" s="84" t="n">
        <v>41232</v>
      </c>
      <c r="B128" t="n">
        <v>39.29</v>
      </c>
      <c r="C128" t="n">
        <v>39.66</v>
      </c>
      <c r="D128" t="n">
        <v>39.03</v>
      </c>
      <c r="E128" s="383" t="n">
        <v>39.59</v>
      </c>
      <c r="F128" t="n">
        <v>1018900</v>
      </c>
    </row>
    <row r="129">
      <c r="A129" s="84" t="n">
        <v>41229</v>
      </c>
      <c r="B129" t="n">
        <v>38.89</v>
      </c>
      <c r="C129" t="n">
        <v>38.99</v>
      </c>
      <c r="D129" t="n">
        <v>38.04</v>
      </c>
      <c r="E129" s="383" t="n">
        <v>38.73</v>
      </c>
      <c r="F129" t="n">
        <v>1214600</v>
      </c>
    </row>
    <row r="130">
      <c r="A130" s="84" t="n">
        <v>41228</v>
      </c>
      <c r="B130" t="n">
        <v>39.33</v>
      </c>
      <c r="C130" t="n">
        <v>39.47</v>
      </c>
      <c r="D130" t="n">
        <v>38.61</v>
      </c>
      <c r="E130" s="383" t="n">
        <v>39.01</v>
      </c>
      <c r="F130" t="n">
        <v>971800</v>
      </c>
    </row>
    <row r="131">
      <c r="A131" s="84" t="n">
        <v>41227</v>
      </c>
      <c r="B131" t="n">
        <v>39.9</v>
      </c>
      <c r="C131" t="n">
        <v>40</v>
      </c>
      <c r="D131" t="n">
        <v>39.05</v>
      </c>
      <c r="E131" s="383" t="n">
        <v>39.26</v>
      </c>
      <c r="F131" t="n">
        <v>1222000</v>
      </c>
    </row>
    <row r="132">
      <c r="A132" s="84" t="n">
        <v>41226</v>
      </c>
      <c r="B132" t="n">
        <v>39.92</v>
      </c>
      <c r="C132" t="n">
        <v>39.99</v>
      </c>
      <c r="D132" t="n">
        <v>39.54</v>
      </c>
      <c r="E132" s="383" t="n">
        <v>39.74</v>
      </c>
      <c r="F132" t="n">
        <v>805800</v>
      </c>
    </row>
    <row r="133">
      <c r="A133" s="84" t="n">
        <v>41225</v>
      </c>
      <c r="B133" t="n">
        <v>40.3</v>
      </c>
      <c r="C133" t="n">
        <v>40.32</v>
      </c>
      <c r="D133" t="n">
        <v>39.73</v>
      </c>
      <c r="E133" s="383" t="n">
        <v>40.12</v>
      </c>
      <c r="F133" t="n">
        <v>642000</v>
      </c>
    </row>
    <row r="134">
      <c r="A134" s="84" t="n">
        <v>41222</v>
      </c>
      <c r="B134" t="n">
        <v>39.82</v>
      </c>
      <c r="C134" t="n">
        <v>40.59</v>
      </c>
      <c r="D134" t="n">
        <v>39.82</v>
      </c>
      <c r="E134" s="383" t="n">
        <v>40.24</v>
      </c>
      <c r="F134" t="n">
        <v>972900</v>
      </c>
    </row>
    <row r="135">
      <c r="A135" s="84" t="n">
        <v>41221</v>
      </c>
      <c r="B135" t="n">
        <v>40.94</v>
      </c>
      <c r="C135" t="n">
        <v>41.05</v>
      </c>
      <c r="D135" t="n">
        <v>39.96</v>
      </c>
      <c r="E135" s="383" t="n">
        <v>39.98</v>
      </c>
      <c r="F135" t="n">
        <v>1022600</v>
      </c>
    </row>
    <row r="136">
      <c r="A136" s="84" t="n">
        <v>41220</v>
      </c>
      <c r="B136" t="n">
        <v>41.25</v>
      </c>
      <c r="C136" t="n">
        <v>41.34</v>
      </c>
      <c r="D136" t="n">
        <v>40.96</v>
      </c>
      <c r="E136" s="383" t="n">
        <v>41.08</v>
      </c>
      <c r="F136" t="n">
        <v>1507400</v>
      </c>
    </row>
    <row r="137">
      <c r="A137" s="84" t="n">
        <v>41219</v>
      </c>
      <c r="B137" t="n">
        <v>41.21</v>
      </c>
      <c r="C137" t="n">
        <v>41.86</v>
      </c>
      <c r="D137" t="n">
        <v>41.19</v>
      </c>
      <c r="E137" s="383" t="n">
        <v>41.55</v>
      </c>
      <c r="F137" t="n">
        <v>2564300</v>
      </c>
    </row>
    <row r="138">
      <c r="A138" s="84" t="n">
        <v>41218</v>
      </c>
      <c r="B138" t="n">
        <v>40.7</v>
      </c>
      <c r="C138" t="n">
        <v>41.16</v>
      </c>
      <c r="D138" t="n">
        <v>40.67</v>
      </c>
      <c r="E138" s="383" t="n">
        <v>41.06</v>
      </c>
      <c r="F138" t="n">
        <v>1298300</v>
      </c>
    </row>
    <row r="139">
      <c r="A139" s="84" t="n">
        <v>41215</v>
      </c>
      <c r="B139" t="n">
        <v>41.11</v>
      </c>
      <c r="C139" t="n">
        <v>41.34</v>
      </c>
      <c r="D139" t="n">
        <v>40.97</v>
      </c>
      <c r="E139" s="383" t="n">
        <v>41.04</v>
      </c>
      <c r="F139" t="n">
        <v>1719300</v>
      </c>
    </row>
    <row r="140">
      <c r="A140" s="84" t="n">
        <v>41214</v>
      </c>
      <c r="B140" t="n">
        <v>41.5</v>
      </c>
      <c r="C140" t="n">
        <v>41.72</v>
      </c>
      <c r="D140" t="n">
        <v>40.5</v>
      </c>
      <c r="E140" s="383" t="n">
        <v>40.98</v>
      </c>
      <c r="F140" t="n">
        <v>3891600</v>
      </c>
    </row>
    <row r="141">
      <c r="A141" s="84" t="n">
        <v>41213</v>
      </c>
      <c r="B141" t="n">
        <v>41.02</v>
      </c>
      <c r="C141" t="n">
        <v>41.74</v>
      </c>
      <c r="D141" t="n">
        <v>40.49</v>
      </c>
      <c r="E141" s="383" t="n">
        <v>40.7</v>
      </c>
      <c r="F141" t="n">
        <v>1588900</v>
      </c>
    </row>
    <row r="142">
      <c r="A142" s="84" t="n">
        <v>41212</v>
      </c>
      <c r="B142" t="n">
        <v>40.98</v>
      </c>
      <c r="C142" t="n">
        <v>40.98</v>
      </c>
      <c r="D142" t="n">
        <v>40.98</v>
      </c>
      <c r="E142" s="383" t="n">
        <v>40.98</v>
      </c>
      <c r="F142" t="n">
        <v>0</v>
      </c>
    </row>
    <row r="143">
      <c r="A143" s="84" t="n">
        <v>41211</v>
      </c>
      <c r="B143" t="n">
        <v>40.98</v>
      </c>
      <c r="C143" t="n">
        <v>40.98</v>
      </c>
      <c r="D143" t="n">
        <v>40.98</v>
      </c>
      <c r="E143" s="383" t="n">
        <v>40.98</v>
      </c>
      <c r="F143" t="n">
        <v>0</v>
      </c>
    </row>
    <row r="144">
      <c r="A144" s="84" t="n">
        <v>41208</v>
      </c>
      <c r="B144" t="n">
        <v>41.02</v>
      </c>
      <c r="C144" t="n">
        <v>41.58</v>
      </c>
      <c r="D144" t="n">
        <v>40.71</v>
      </c>
      <c r="E144" s="383" t="n">
        <v>40.98</v>
      </c>
      <c r="F144" t="n">
        <v>884200</v>
      </c>
    </row>
    <row r="145">
      <c r="A145" s="84" t="n">
        <v>41207</v>
      </c>
      <c r="B145" t="n">
        <v>41.54</v>
      </c>
      <c r="C145" t="n">
        <v>41.74</v>
      </c>
      <c r="D145" t="n">
        <v>41.16</v>
      </c>
      <c r="E145" s="383" t="n">
        <v>41.47</v>
      </c>
      <c r="F145" t="n">
        <v>647800</v>
      </c>
    </row>
    <row r="146">
      <c r="A146" s="84" t="n">
        <v>41206</v>
      </c>
      <c r="B146" t="n">
        <v>41.5</v>
      </c>
      <c r="C146" t="n">
        <v>41.76</v>
      </c>
      <c r="D146" t="n">
        <v>41.03</v>
      </c>
      <c r="E146" s="383" t="n">
        <v>41.38</v>
      </c>
      <c r="F146" t="n">
        <v>1233600</v>
      </c>
    </row>
    <row r="147">
      <c r="A147" s="84" t="n">
        <v>41205</v>
      </c>
      <c r="B147" t="n">
        <v>40.77</v>
      </c>
      <c r="C147" t="n">
        <v>41.63</v>
      </c>
      <c r="D147" t="n">
        <v>40.35</v>
      </c>
      <c r="E147" s="383" t="n">
        <v>41.53</v>
      </c>
      <c r="F147" t="n">
        <v>1707300</v>
      </c>
    </row>
    <row r="148">
      <c r="A148" s="84" t="n">
        <v>41204</v>
      </c>
      <c r="B148" t="n">
        <v>41.89</v>
      </c>
      <c r="C148" t="n">
        <v>41.89</v>
      </c>
      <c r="D148" t="n">
        <v>40.49</v>
      </c>
      <c r="E148" s="383" t="n">
        <v>41.02</v>
      </c>
      <c r="F148" t="n">
        <v>2081800</v>
      </c>
    </row>
    <row r="149">
      <c r="A149" s="84" t="n">
        <v>41201</v>
      </c>
      <c r="B149" t="n">
        <v>41.12</v>
      </c>
      <c r="C149" t="n">
        <v>41.27</v>
      </c>
      <c r="D149" t="n">
        <v>40.24</v>
      </c>
      <c r="E149" s="383" t="n">
        <v>40.34</v>
      </c>
      <c r="F149" t="n">
        <v>1029700</v>
      </c>
    </row>
    <row r="150">
      <c r="A150" s="84" t="n">
        <v>41200</v>
      </c>
      <c r="B150" t="n">
        <v>41.19</v>
      </c>
      <c r="C150" t="n">
        <v>41.46</v>
      </c>
      <c r="D150" t="n">
        <v>40.89</v>
      </c>
      <c r="E150" s="383" t="n">
        <v>41.1</v>
      </c>
      <c r="F150" t="n">
        <v>1115600</v>
      </c>
    </row>
    <row r="151">
      <c r="A151" s="84" t="n">
        <v>41199</v>
      </c>
      <c r="B151" t="n">
        <v>41.59</v>
      </c>
      <c r="C151" t="n">
        <v>41.74</v>
      </c>
      <c r="D151" t="n">
        <v>41.05</v>
      </c>
      <c r="E151" s="383" t="n">
        <v>41.13</v>
      </c>
      <c r="F151" t="n">
        <v>1319000</v>
      </c>
    </row>
    <row r="152">
      <c r="A152" s="84" t="n">
        <v>41198</v>
      </c>
      <c r="B152" t="n">
        <v>41.44</v>
      </c>
      <c r="C152" t="n">
        <v>42.17</v>
      </c>
      <c r="D152" t="n">
        <v>41.23</v>
      </c>
      <c r="E152" s="383" t="n">
        <v>42.02</v>
      </c>
      <c r="F152" t="n">
        <v>1311300</v>
      </c>
    </row>
    <row r="153">
      <c r="A153" s="84" t="n">
        <v>41197</v>
      </c>
      <c r="B153" t="n">
        <v>42</v>
      </c>
      <c r="C153" t="n">
        <v>42.2</v>
      </c>
      <c r="D153" t="n">
        <v>41.14</v>
      </c>
      <c r="E153" s="383" t="n">
        <v>41.49</v>
      </c>
      <c r="F153" t="n">
        <v>1611200</v>
      </c>
    </row>
    <row r="154">
      <c r="A154" s="84" t="n">
        <v>41194</v>
      </c>
      <c r="B154" t="n">
        <v>42.51</v>
      </c>
      <c r="C154" t="n">
        <v>42.78</v>
      </c>
      <c r="D154" t="n">
        <v>42.31</v>
      </c>
      <c r="E154" s="383" t="n">
        <v>42.55</v>
      </c>
      <c r="F154" t="n">
        <v>837300</v>
      </c>
    </row>
    <row r="155">
      <c r="A155" s="84" t="n">
        <v>41193</v>
      </c>
      <c r="B155" t="n">
        <v>42.15</v>
      </c>
      <c r="C155" t="n">
        <v>42.52</v>
      </c>
      <c r="D155" t="n">
        <v>41.94</v>
      </c>
      <c r="E155" s="383" t="n">
        <v>42.43</v>
      </c>
      <c r="F155" t="n">
        <v>1319100</v>
      </c>
    </row>
    <row r="156">
      <c r="A156" s="84" t="n">
        <v>41192</v>
      </c>
      <c r="B156" t="n">
        <v>42.46</v>
      </c>
      <c r="C156" t="n">
        <v>42.58</v>
      </c>
      <c r="D156" t="n">
        <v>41.91</v>
      </c>
      <c r="E156" s="383" t="n">
        <v>41.96</v>
      </c>
      <c r="F156" t="n">
        <v>1936500</v>
      </c>
    </row>
    <row r="157">
      <c r="A157" s="84" t="n">
        <v>41191</v>
      </c>
      <c r="B157" t="n">
        <v>43.17</v>
      </c>
      <c r="C157" t="n">
        <v>43.24</v>
      </c>
      <c r="D157" t="n">
        <v>42.22</v>
      </c>
      <c r="E157" s="383" t="n">
        <v>42.45</v>
      </c>
      <c r="F157" t="n">
        <v>1101300</v>
      </c>
    </row>
    <row r="158">
      <c r="A158" s="84" t="n">
        <v>41190</v>
      </c>
      <c r="B158" t="n">
        <v>43.19</v>
      </c>
      <c r="C158" t="n">
        <v>43.54</v>
      </c>
      <c r="D158" t="n">
        <v>43.05</v>
      </c>
      <c r="E158" s="383" t="n">
        <v>43.28</v>
      </c>
      <c r="F158" t="n">
        <v>712200</v>
      </c>
    </row>
    <row r="159">
      <c r="A159" s="84" t="n">
        <v>41187</v>
      </c>
      <c r="B159" t="n">
        <v>43.67</v>
      </c>
      <c r="C159" t="n">
        <v>43.79</v>
      </c>
      <c r="D159" t="n">
        <v>43.2</v>
      </c>
      <c r="E159" s="383" t="n">
        <v>43.34</v>
      </c>
      <c r="F159" t="n">
        <v>1280300</v>
      </c>
    </row>
    <row r="160">
      <c r="A160" s="84" t="n">
        <v>41186</v>
      </c>
      <c r="B160" t="n">
        <v>43.41</v>
      </c>
      <c r="C160" t="n">
        <v>43.62</v>
      </c>
      <c r="D160" t="n">
        <v>42.9</v>
      </c>
      <c r="E160" s="383" t="n">
        <v>43.39</v>
      </c>
      <c r="F160" t="n">
        <v>1049700</v>
      </c>
    </row>
    <row r="161">
      <c r="A161" s="84" t="n">
        <v>41185</v>
      </c>
      <c r="B161" t="n">
        <v>43.45</v>
      </c>
      <c r="C161" t="n">
        <v>43.81</v>
      </c>
      <c r="D161" t="n">
        <v>42.97</v>
      </c>
      <c r="E161" s="383" t="n">
        <v>43.34</v>
      </c>
      <c r="F161" t="n">
        <v>1345100</v>
      </c>
    </row>
    <row r="162">
      <c r="A162" s="84" t="n">
        <v>41184</v>
      </c>
      <c r="B162" t="n">
        <v>43</v>
      </c>
      <c r="C162" t="n">
        <v>44.06</v>
      </c>
      <c r="D162" t="n">
        <v>42.95</v>
      </c>
      <c r="E162" s="383" t="n">
        <v>43.48</v>
      </c>
      <c r="F162" t="n">
        <v>2710800</v>
      </c>
    </row>
    <row r="163">
      <c r="A163" s="84" t="n">
        <v>41183</v>
      </c>
      <c r="B163" t="n">
        <v>41.88</v>
      </c>
      <c r="C163" t="n">
        <v>45</v>
      </c>
      <c r="D163" t="n">
        <v>41.22</v>
      </c>
      <c r="E163" s="383" t="n">
        <v>42.85</v>
      </c>
      <c r="F163" t="n">
        <v>6330500</v>
      </c>
    </row>
    <row r="164">
      <c r="A164" s="84" t="n">
        <v>41180</v>
      </c>
      <c r="B164" t="n">
        <v>41.43</v>
      </c>
      <c r="C164" t="n">
        <v>41.75</v>
      </c>
      <c r="D164" t="n">
        <v>41.18</v>
      </c>
      <c r="E164" s="383" t="n">
        <v>41.49</v>
      </c>
      <c r="F164" t="n">
        <v>751200</v>
      </c>
    </row>
    <row r="165">
      <c r="A165" s="84" t="n">
        <v>41179</v>
      </c>
      <c r="B165" t="n">
        <v>41.53</v>
      </c>
      <c r="C165" t="n">
        <v>41.86</v>
      </c>
      <c r="D165" t="n">
        <v>41.1</v>
      </c>
      <c r="E165" s="383" t="n">
        <v>41.67</v>
      </c>
      <c r="F165" t="n">
        <v>1022700</v>
      </c>
    </row>
    <row r="166">
      <c r="A166" s="84" t="n">
        <v>41178</v>
      </c>
      <c r="B166" t="n">
        <v>41.91</v>
      </c>
      <c r="C166" t="n">
        <v>41.92</v>
      </c>
      <c r="D166" t="n">
        <v>41.26</v>
      </c>
      <c r="E166" s="383" t="n">
        <v>41.33</v>
      </c>
      <c r="F166" t="n">
        <v>1287500</v>
      </c>
    </row>
    <row r="167">
      <c r="A167" s="84" t="n">
        <v>41177</v>
      </c>
      <c r="B167" t="n">
        <v>42.73</v>
      </c>
      <c r="C167" t="n">
        <v>42.87</v>
      </c>
      <c r="D167" t="n">
        <v>41.78</v>
      </c>
      <c r="E167" s="383" t="n">
        <v>41.85</v>
      </c>
      <c r="F167" t="n">
        <v>1204400</v>
      </c>
    </row>
    <row r="168">
      <c r="A168" s="84" t="n">
        <v>41176</v>
      </c>
      <c r="B168" t="n">
        <v>42.51</v>
      </c>
      <c r="C168" t="n">
        <v>42.99</v>
      </c>
      <c r="D168" t="n">
        <v>42.38</v>
      </c>
      <c r="E168" s="383" t="n">
        <v>42.68</v>
      </c>
      <c r="F168" t="n">
        <v>862200</v>
      </c>
    </row>
    <row r="169">
      <c r="A169" s="84" t="n">
        <v>41173</v>
      </c>
      <c r="B169" t="n">
        <v>42.83</v>
      </c>
      <c r="C169" t="n">
        <v>43.09</v>
      </c>
      <c r="D169" t="n">
        <v>42.51</v>
      </c>
      <c r="E169" s="383" t="n">
        <v>42.79</v>
      </c>
      <c r="F169" t="n">
        <v>3561100</v>
      </c>
    </row>
    <row r="170">
      <c r="A170" s="84" t="n">
        <v>41172</v>
      </c>
      <c r="B170" t="n">
        <v>42.71</v>
      </c>
      <c r="C170" t="n">
        <v>43</v>
      </c>
      <c r="D170" t="n">
        <v>42.65</v>
      </c>
      <c r="E170" s="383" t="n">
        <v>42.83</v>
      </c>
      <c r="F170" t="n">
        <v>671700</v>
      </c>
    </row>
    <row r="171">
      <c r="A171" s="84" t="n">
        <v>41171</v>
      </c>
      <c r="B171" t="n">
        <v>43</v>
      </c>
      <c r="C171" t="n">
        <v>43.48</v>
      </c>
      <c r="D171" t="n">
        <v>42.85</v>
      </c>
      <c r="E171" s="383" t="n">
        <v>42.94</v>
      </c>
      <c r="F171" t="n">
        <v>737300</v>
      </c>
    </row>
    <row r="172">
      <c r="A172" s="84" t="n">
        <v>41170</v>
      </c>
      <c r="B172" t="n">
        <v>43.6</v>
      </c>
      <c r="C172" t="n">
        <v>44.2</v>
      </c>
      <c r="D172" t="n">
        <v>42.99</v>
      </c>
      <c r="E172" s="383" t="n">
        <v>43.09</v>
      </c>
      <c r="F172" t="n">
        <v>1080200</v>
      </c>
    </row>
    <row r="173">
      <c r="A173" s="84" t="n">
        <v>41169</v>
      </c>
      <c r="B173" t="n">
        <v>43.2</v>
      </c>
      <c r="C173" t="n">
        <v>43.25</v>
      </c>
      <c r="D173" t="n">
        <v>42.71</v>
      </c>
      <c r="E173" s="383" t="n">
        <v>42.99</v>
      </c>
      <c r="F173" t="n">
        <v>769600</v>
      </c>
    </row>
    <row r="174">
      <c r="A174" s="84" t="n">
        <v>41166</v>
      </c>
      <c r="B174" t="n">
        <v>42.95</v>
      </c>
      <c r="C174" t="n">
        <v>43.42</v>
      </c>
      <c r="D174" t="n">
        <v>42.76</v>
      </c>
      <c r="E174" s="383" t="n">
        <v>43.09</v>
      </c>
      <c r="F174" t="n">
        <v>920600</v>
      </c>
    </row>
    <row r="175">
      <c r="A175" s="84" t="n">
        <v>41165</v>
      </c>
      <c r="B175" t="n">
        <v>42.7</v>
      </c>
      <c r="C175" t="n">
        <v>43.24</v>
      </c>
      <c r="D175" t="n">
        <v>42.37</v>
      </c>
      <c r="E175" s="383" t="n">
        <v>42.96</v>
      </c>
      <c r="F175" t="n">
        <v>785600</v>
      </c>
    </row>
    <row r="176">
      <c r="A176" s="84" t="n">
        <v>41164</v>
      </c>
      <c r="B176" t="n">
        <v>42.81</v>
      </c>
      <c r="C176" t="n">
        <v>42.95</v>
      </c>
      <c r="D176" t="n">
        <v>42.49</v>
      </c>
      <c r="E176" s="383" t="n">
        <v>42.67</v>
      </c>
      <c r="F176" t="n">
        <v>769900</v>
      </c>
    </row>
    <row r="177">
      <c r="A177" s="84" t="n">
        <v>41163</v>
      </c>
      <c r="B177" t="n">
        <v>42.59</v>
      </c>
      <c r="C177" t="n">
        <v>43</v>
      </c>
      <c r="D177" t="n">
        <v>42.07</v>
      </c>
      <c r="E177" s="383" t="n">
        <v>42.76</v>
      </c>
      <c r="F177" t="n">
        <v>896400</v>
      </c>
    </row>
    <row r="178">
      <c r="A178" s="84" t="n">
        <v>41162</v>
      </c>
      <c r="B178" t="n">
        <v>43.08</v>
      </c>
      <c r="C178" t="n">
        <v>43.16</v>
      </c>
      <c r="D178" t="n">
        <v>42.52</v>
      </c>
      <c r="E178" s="383" t="n">
        <v>42.7</v>
      </c>
      <c r="F178" t="n">
        <v>1323600</v>
      </c>
    </row>
    <row r="179">
      <c r="A179" s="84" t="n">
        <v>41159</v>
      </c>
      <c r="B179" t="n">
        <v>43.34</v>
      </c>
      <c r="C179" t="n">
        <v>43.48</v>
      </c>
      <c r="D179" t="n">
        <v>43.11</v>
      </c>
      <c r="E179" s="383" t="n">
        <v>43.33</v>
      </c>
      <c r="F179" t="n">
        <v>856800</v>
      </c>
    </row>
    <row r="180">
      <c r="A180" s="84" t="n">
        <v>41158</v>
      </c>
      <c r="B180" t="n">
        <v>42.36</v>
      </c>
      <c r="C180" t="n">
        <v>43.61</v>
      </c>
      <c r="D180" t="n">
        <v>42.29</v>
      </c>
      <c r="E180" s="383" t="n">
        <v>43.49</v>
      </c>
      <c r="F180" t="n">
        <v>1710200</v>
      </c>
    </row>
    <row r="181">
      <c r="A181" s="84" t="n">
        <v>41157</v>
      </c>
      <c r="B181" t="n">
        <v>41.86</v>
      </c>
      <c r="C181" t="n">
        <v>42.24</v>
      </c>
      <c r="D181" t="n">
        <v>41.74</v>
      </c>
      <c r="E181" s="383" t="n">
        <v>42.18</v>
      </c>
      <c r="F181" t="n">
        <v>1323100</v>
      </c>
    </row>
    <row r="182">
      <c r="A182" s="84" t="n">
        <v>41156</v>
      </c>
      <c r="B182" t="n">
        <v>41.43</v>
      </c>
      <c r="C182" t="n">
        <v>42.13</v>
      </c>
      <c r="D182" t="n">
        <v>41.31</v>
      </c>
      <c r="E182" s="383" t="n">
        <v>42</v>
      </c>
      <c r="F182" t="n">
        <v>1093100</v>
      </c>
    </row>
    <row r="183">
      <c r="A183" s="84" t="n">
        <v>41155</v>
      </c>
      <c r="B183" t="n">
        <v>41.4</v>
      </c>
      <c r="C183" t="n">
        <v>41.4</v>
      </c>
      <c r="D183" t="n">
        <v>41.4</v>
      </c>
      <c r="E183" s="383" t="n">
        <v>41.4</v>
      </c>
      <c r="F183" t="n">
        <v>0</v>
      </c>
    </row>
    <row r="184">
      <c r="A184" s="84" t="n">
        <v>41152</v>
      </c>
      <c r="B184" t="n">
        <v>41.46</v>
      </c>
      <c r="C184" t="n">
        <v>41.82</v>
      </c>
      <c r="D184" t="n">
        <v>41.07</v>
      </c>
      <c r="E184" s="383" t="n">
        <v>41.4</v>
      </c>
      <c r="F184" t="n">
        <v>1066600</v>
      </c>
    </row>
    <row r="185">
      <c r="A185" s="84" t="n">
        <v>41151</v>
      </c>
      <c r="B185" t="n">
        <v>41.57</v>
      </c>
      <c r="C185" t="n">
        <v>41.6</v>
      </c>
      <c r="D185" t="n">
        <v>40.98</v>
      </c>
      <c r="E185" s="383" t="n">
        <v>41.09</v>
      </c>
      <c r="F185" t="n">
        <v>780100</v>
      </c>
    </row>
    <row r="186">
      <c r="A186" s="84" t="n">
        <v>41150</v>
      </c>
      <c r="B186" t="n">
        <v>41.54</v>
      </c>
      <c r="C186" t="n">
        <v>41.82</v>
      </c>
      <c r="D186" t="n">
        <v>41.44</v>
      </c>
      <c r="E186" s="383" t="n">
        <v>41.75</v>
      </c>
      <c r="F186" t="n">
        <v>815200</v>
      </c>
    </row>
    <row r="187">
      <c r="A187" s="84" t="n">
        <v>41149</v>
      </c>
      <c r="B187" t="n">
        <v>41.58</v>
      </c>
      <c r="C187" t="n">
        <v>41.94</v>
      </c>
      <c r="D187" t="n">
        <v>41.36</v>
      </c>
      <c r="E187" s="383" t="n">
        <v>41.68</v>
      </c>
      <c r="F187" t="n">
        <v>980000</v>
      </c>
    </row>
    <row r="188">
      <c r="A188" s="84" t="n">
        <v>41148</v>
      </c>
      <c r="B188" t="n">
        <v>42.2</v>
      </c>
      <c r="C188" t="n">
        <v>42.22</v>
      </c>
      <c r="D188" t="n">
        <v>41.48</v>
      </c>
      <c r="E188" s="383" t="n">
        <v>41.54</v>
      </c>
      <c r="F188" t="n">
        <v>1056700</v>
      </c>
    </row>
    <row r="189">
      <c r="A189" s="84" t="n">
        <v>41145</v>
      </c>
      <c r="B189" t="n">
        <v>41.86</v>
      </c>
      <c r="C189" t="n">
        <v>42.51</v>
      </c>
      <c r="D189" t="n">
        <v>41.81</v>
      </c>
      <c r="E189" s="383" t="n">
        <v>42.14</v>
      </c>
      <c r="F189" t="n">
        <v>1097900</v>
      </c>
    </row>
    <row r="190">
      <c r="A190" s="84" t="n">
        <v>41144</v>
      </c>
      <c r="B190" t="n">
        <v>41.99</v>
      </c>
      <c r="C190" t="n">
        <v>42.35</v>
      </c>
      <c r="D190" t="n">
        <v>41.82</v>
      </c>
      <c r="E190" s="383" t="n">
        <v>42.04</v>
      </c>
      <c r="F190" t="n">
        <v>909300</v>
      </c>
    </row>
    <row r="191">
      <c r="A191" s="84" t="n">
        <v>41143</v>
      </c>
      <c r="B191" t="n">
        <v>42.27</v>
      </c>
      <c r="C191" t="n">
        <v>42.42</v>
      </c>
      <c r="D191" t="n">
        <v>42.05</v>
      </c>
      <c r="E191" s="383" t="n">
        <v>42.17</v>
      </c>
      <c r="F191" t="n">
        <v>1272600</v>
      </c>
    </row>
    <row r="192">
      <c r="A192" s="84" t="n">
        <v>41142</v>
      </c>
      <c r="B192" t="n">
        <v>42.26</v>
      </c>
      <c r="C192" t="n">
        <v>42.59</v>
      </c>
      <c r="D192" t="n">
        <v>42.14</v>
      </c>
      <c r="E192" s="383" t="n">
        <v>42.28</v>
      </c>
      <c r="F192" t="n">
        <v>1156900</v>
      </c>
    </row>
    <row r="193">
      <c r="A193" s="84" t="n">
        <v>41141</v>
      </c>
      <c r="B193" t="n">
        <v>42.8</v>
      </c>
      <c r="C193" t="n">
        <v>42.8</v>
      </c>
      <c r="D193" t="n">
        <v>42.15</v>
      </c>
      <c r="E193" s="383" t="n">
        <v>42.24</v>
      </c>
      <c r="F193" t="n">
        <v>1209100</v>
      </c>
    </row>
    <row r="194">
      <c r="A194" s="84" t="n">
        <v>41138</v>
      </c>
      <c r="B194" t="n">
        <v>42.48</v>
      </c>
      <c r="C194" t="n">
        <v>42.8</v>
      </c>
      <c r="D194" t="n">
        <v>41.89</v>
      </c>
      <c r="E194" s="383" t="n">
        <v>42.66</v>
      </c>
      <c r="F194" t="n">
        <v>1534100</v>
      </c>
    </row>
    <row r="195">
      <c r="A195" s="84" t="n">
        <v>41137</v>
      </c>
      <c r="B195" t="n">
        <v>41.5</v>
      </c>
      <c r="C195" t="n">
        <v>42.43</v>
      </c>
      <c r="D195" t="n">
        <v>41.43</v>
      </c>
      <c r="E195" s="383" t="n">
        <v>42.4</v>
      </c>
      <c r="F195" t="n">
        <v>1482700</v>
      </c>
    </row>
    <row r="196">
      <c r="A196" s="84" t="n">
        <v>41136</v>
      </c>
      <c r="B196" t="n">
        <v>40.99</v>
      </c>
      <c r="C196" t="n">
        <v>41.51</v>
      </c>
      <c r="D196" t="n">
        <v>40.85</v>
      </c>
      <c r="E196" s="383" t="n">
        <v>41.4</v>
      </c>
      <c r="F196" t="n">
        <v>609600</v>
      </c>
    </row>
    <row r="197">
      <c r="A197" s="84" t="n">
        <v>41135</v>
      </c>
      <c r="B197" t="n">
        <v>41.11</v>
      </c>
      <c r="C197" t="n">
        <v>41.65</v>
      </c>
      <c r="D197" t="n">
        <v>40.94</v>
      </c>
      <c r="E197" s="383" t="n">
        <v>41.05</v>
      </c>
      <c r="F197" t="n">
        <v>1387400</v>
      </c>
    </row>
    <row r="198">
      <c r="A198" s="84" t="n">
        <v>41134</v>
      </c>
      <c r="B198" t="n">
        <v>41.13</v>
      </c>
      <c r="C198" t="n">
        <v>41.33</v>
      </c>
      <c r="D198" t="n">
        <v>40.9</v>
      </c>
      <c r="E198" s="383" t="n">
        <v>41.01</v>
      </c>
      <c r="F198" t="n">
        <v>1147800</v>
      </c>
    </row>
    <row r="199">
      <c r="A199" s="84" t="n">
        <v>41131</v>
      </c>
      <c r="B199" t="n">
        <v>40.93</v>
      </c>
      <c r="C199" t="n">
        <v>41.29</v>
      </c>
      <c r="D199" t="n">
        <v>40.9</v>
      </c>
      <c r="E199" s="383" t="n">
        <v>41.25</v>
      </c>
      <c r="F199" t="n">
        <v>843700</v>
      </c>
    </row>
    <row r="200">
      <c r="A200" s="84" t="n">
        <v>41130</v>
      </c>
      <c r="B200" t="n">
        <v>40.71</v>
      </c>
      <c r="C200" t="n">
        <v>41.4</v>
      </c>
      <c r="D200" t="n">
        <v>40.68</v>
      </c>
      <c r="E200" s="383" t="n">
        <v>41</v>
      </c>
      <c r="F200" t="n">
        <v>1527000</v>
      </c>
    </row>
    <row r="201">
      <c r="A201" s="84" t="n">
        <v>41129</v>
      </c>
      <c r="B201" t="n">
        <v>40.59</v>
      </c>
      <c r="C201" t="n">
        <v>41.23</v>
      </c>
      <c r="D201" t="n">
        <v>40.5</v>
      </c>
      <c r="E201" s="383" t="n">
        <v>40.93</v>
      </c>
      <c r="F201" t="n">
        <v>2104600</v>
      </c>
    </row>
    <row r="202">
      <c r="A202" s="84" t="n">
        <v>41128</v>
      </c>
      <c r="B202" t="n">
        <v>40.34</v>
      </c>
      <c r="C202" t="n">
        <v>41.07</v>
      </c>
      <c r="D202" t="n">
        <v>40.32</v>
      </c>
      <c r="E202" s="383" t="n">
        <v>40.76</v>
      </c>
      <c r="F202" t="n">
        <v>2185300</v>
      </c>
    </row>
    <row r="203">
      <c r="A203" s="84" t="n">
        <v>41127</v>
      </c>
      <c r="B203" t="n">
        <v>39.35</v>
      </c>
      <c r="C203" t="n">
        <v>40.72</v>
      </c>
      <c r="D203" t="n">
        <v>39.25</v>
      </c>
      <c r="E203" s="383" t="n">
        <v>40.34</v>
      </c>
      <c r="F203" t="n">
        <v>2203300</v>
      </c>
    </row>
    <row r="204">
      <c r="A204" s="84" t="n">
        <v>41124</v>
      </c>
      <c r="B204" t="n">
        <v>38.26</v>
      </c>
      <c r="C204" t="n">
        <v>39.36</v>
      </c>
      <c r="D204" t="n">
        <v>38.08</v>
      </c>
      <c r="E204" s="383" t="n">
        <v>39.13</v>
      </c>
      <c r="F204" t="n">
        <v>2363800</v>
      </c>
    </row>
    <row r="205">
      <c r="A205" s="84" t="n">
        <v>41123</v>
      </c>
      <c r="B205" t="n">
        <v>36.87</v>
      </c>
      <c r="C205" t="n">
        <v>37.86</v>
      </c>
      <c r="D205" t="n">
        <v>36.61</v>
      </c>
      <c r="E205" s="383" t="n">
        <v>37.81</v>
      </c>
      <c r="F205" t="n">
        <v>1965800</v>
      </c>
    </row>
    <row r="206">
      <c r="A206" s="84" t="n">
        <v>41122</v>
      </c>
      <c r="B206" t="n">
        <v>36.92</v>
      </c>
      <c r="C206" t="n">
        <v>37.96</v>
      </c>
      <c r="D206" t="n">
        <v>35.48</v>
      </c>
      <c r="E206" s="383" t="n">
        <v>37.51</v>
      </c>
      <c r="F206" t="n">
        <v>4906500</v>
      </c>
    </row>
    <row r="207">
      <c r="A207" s="84" t="n">
        <v>41121</v>
      </c>
      <c r="B207" t="n">
        <v>39.77</v>
      </c>
      <c r="C207" t="n">
        <v>39.99</v>
      </c>
      <c r="D207" t="n">
        <v>39.17</v>
      </c>
      <c r="E207" s="383" t="n">
        <v>39.6</v>
      </c>
      <c r="F207" t="n">
        <v>2479700</v>
      </c>
    </row>
    <row r="208">
      <c r="A208" s="84" t="n">
        <v>41120</v>
      </c>
      <c r="B208" t="n">
        <v>39.93</v>
      </c>
      <c r="C208" t="n">
        <v>40.48</v>
      </c>
      <c r="D208" t="n">
        <v>39.29</v>
      </c>
      <c r="E208" s="383" t="n">
        <v>39.52</v>
      </c>
      <c r="F208" t="n">
        <v>1893200</v>
      </c>
    </row>
    <row r="209">
      <c r="A209" s="84" t="n">
        <v>41117</v>
      </c>
      <c r="B209" t="n">
        <v>40</v>
      </c>
      <c r="C209" t="n">
        <v>40.11</v>
      </c>
      <c r="D209" t="n">
        <v>39.18</v>
      </c>
      <c r="E209" s="383" t="n">
        <v>39.76</v>
      </c>
      <c r="F209" t="n">
        <v>1922400</v>
      </c>
    </row>
    <row r="210">
      <c r="A210" s="84" t="n">
        <v>41116</v>
      </c>
      <c r="B210" t="n">
        <v>39.84</v>
      </c>
      <c r="C210" t="n">
        <v>40.42</v>
      </c>
      <c r="D210" t="n">
        <v>39.4</v>
      </c>
      <c r="E210" s="383" t="n">
        <v>39.92</v>
      </c>
      <c r="F210" t="n">
        <v>1069200</v>
      </c>
    </row>
    <row r="211">
      <c r="A211" s="84" t="n">
        <v>41115</v>
      </c>
      <c r="B211" t="n">
        <v>38.71</v>
      </c>
      <c r="C211" t="n">
        <v>39.43</v>
      </c>
      <c r="D211" t="n">
        <v>38.58</v>
      </c>
      <c r="E211" s="383" t="n">
        <v>39.13</v>
      </c>
      <c r="F211" t="n">
        <v>1218100</v>
      </c>
    </row>
    <row r="212">
      <c r="A212" s="84" t="n">
        <v>41114</v>
      </c>
      <c r="B212" t="n">
        <v>39.31</v>
      </c>
      <c r="C212" t="n">
        <v>39.44</v>
      </c>
      <c r="D212" t="n">
        <v>38.52</v>
      </c>
      <c r="E212" s="383" t="n">
        <v>38.75</v>
      </c>
      <c r="F212" t="n">
        <v>1632900</v>
      </c>
    </row>
    <row r="213">
      <c r="A213" s="84" t="n">
        <v>41113</v>
      </c>
      <c r="B213" t="n">
        <v>39.64</v>
      </c>
      <c r="C213" t="n">
        <v>39.72</v>
      </c>
      <c r="D213" t="n">
        <v>38.56</v>
      </c>
      <c r="E213" s="383" t="n">
        <v>39.3</v>
      </c>
      <c r="F213" t="n">
        <v>1595300</v>
      </c>
    </row>
    <row r="214">
      <c r="A214" s="84" t="n">
        <v>41110</v>
      </c>
      <c r="B214" t="n">
        <v>40.88</v>
      </c>
      <c r="C214" t="n">
        <v>40.88</v>
      </c>
      <c r="D214" t="n">
        <v>40.23</v>
      </c>
      <c r="E214" s="383" t="n">
        <v>40.42</v>
      </c>
      <c r="F214" t="n">
        <v>1012800</v>
      </c>
    </row>
    <row r="215">
      <c r="A215" s="84" t="n">
        <v>41109</v>
      </c>
      <c r="B215" t="n">
        <v>40.66</v>
      </c>
      <c r="C215" t="n">
        <v>41.27</v>
      </c>
      <c r="D215" t="n">
        <v>40.54</v>
      </c>
      <c r="E215" s="383" t="n">
        <v>40.83</v>
      </c>
      <c r="F215" t="n">
        <v>1302100</v>
      </c>
    </row>
    <row r="216">
      <c r="A216" s="84" t="n">
        <v>41108</v>
      </c>
      <c r="B216" t="n">
        <v>39.17</v>
      </c>
      <c r="C216" t="n">
        <v>40.94</v>
      </c>
      <c r="D216" t="n">
        <v>39.09</v>
      </c>
      <c r="E216" s="383" t="n">
        <v>40.6</v>
      </c>
      <c r="F216" t="n">
        <v>1112200</v>
      </c>
    </row>
    <row r="217">
      <c r="A217" s="84" t="n">
        <v>41107</v>
      </c>
      <c r="B217" t="n">
        <v>39.47</v>
      </c>
      <c r="C217" t="n">
        <v>39.62</v>
      </c>
      <c r="D217" t="n">
        <v>38.85</v>
      </c>
      <c r="E217" s="383" t="n">
        <v>39.51</v>
      </c>
      <c r="F217" t="n">
        <v>717200</v>
      </c>
    </row>
    <row r="218">
      <c r="A218" s="84" t="n">
        <v>41106</v>
      </c>
      <c r="B218" t="n">
        <v>39.29</v>
      </c>
      <c r="C218" t="n">
        <v>39.48</v>
      </c>
      <c r="D218" t="n">
        <v>38.86</v>
      </c>
      <c r="E218" s="383" t="n">
        <v>39.32</v>
      </c>
      <c r="F218" t="n">
        <v>1218100</v>
      </c>
    </row>
    <row r="219">
      <c r="A219" s="84" t="n">
        <v>41103</v>
      </c>
      <c r="B219" t="n">
        <v>39.02</v>
      </c>
      <c r="C219" t="n">
        <v>39.61</v>
      </c>
      <c r="D219" t="n">
        <v>38.94</v>
      </c>
      <c r="E219" s="383" t="n">
        <v>39.53</v>
      </c>
      <c r="F219" t="n">
        <v>1245300</v>
      </c>
    </row>
    <row r="220">
      <c r="A220" s="84" t="n">
        <v>41102</v>
      </c>
      <c r="B220" t="n">
        <v>39.15</v>
      </c>
      <c r="C220" t="n">
        <v>39.33</v>
      </c>
      <c r="D220" t="n">
        <v>38.76</v>
      </c>
      <c r="E220" s="383" t="n">
        <v>39.07</v>
      </c>
      <c r="F220" t="n">
        <v>1199600</v>
      </c>
    </row>
    <row r="221">
      <c r="A221" s="84" t="n">
        <v>41101</v>
      </c>
      <c r="B221" t="n">
        <v>39.64</v>
      </c>
      <c r="C221" t="n">
        <v>40.1</v>
      </c>
      <c r="D221" t="n">
        <v>39.21</v>
      </c>
      <c r="E221" s="383" t="n">
        <v>39.45</v>
      </c>
      <c r="F221" t="n">
        <v>1108700</v>
      </c>
    </row>
    <row r="222">
      <c r="A222" s="84" t="n">
        <v>41100</v>
      </c>
      <c r="B222" t="n">
        <v>40.34</v>
      </c>
      <c r="C222" t="n">
        <v>40.6</v>
      </c>
      <c r="D222" t="n">
        <v>39.44</v>
      </c>
      <c r="E222" s="383" t="n">
        <v>39.64</v>
      </c>
      <c r="F222" t="n">
        <v>1340900</v>
      </c>
    </row>
    <row r="223">
      <c r="A223" s="84" t="n">
        <v>41099</v>
      </c>
      <c r="B223" t="n">
        <v>40.47</v>
      </c>
      <c r="C223" t="n">
        <v>40.61</v>
      </c>
      <c r="D223" t="n">
        <v>39.82</v>
      </c>
      <c r="E223" s="383" t="n">
        <v>40.18</v>
      </c>
      <c r="F223" t="n">
        <v>1689500</v>
      </c>
    </row>
    <row r="224">
      <c r="A224" s="84" t="n">
        <v>41096</v>
      </c>
      <c r="B224" t="n">
        <v>41.92</v>
      </c>
      <c r="C224" t="n">
        <v>42.12</v>
      </c>
      <c r="D224" t="n">
        <v>40.33</v>
      </c>
      <c r="E224" s="383" t="n">
        <v>40.67</v>
      </c>
      <c r="F224" t="n">
        <v>2169000</v>
      </c>
    </row>
    <row r="225">
      <c r="A225" s="84" t="n">
        <v>41095</v>
      </c>
      <c r="B225" t="n">
        <v>42.38</v>
      </c>
      <c r="C225" t="n">
        <v>42.8</v>
      </c>
      <c r="D225" t="n">
        <v>41.97</v>
      </c>
      <c r="E225" s="383" t="n">
        <v>42.18</v>
      </c>
      <c r="F225" t="n">
        <v>1235000</v>
      </c>
    </row>
    <row r="226">
      <c r="A226" s="84" t="n">
        <v>41094</v>
      </c>
      <c r="B226" t="n">
        <v>42.29</v>
      </c>
      <c r="C226" t="n">
        <v>42.29</v>
      </c>
      <c r="D226" t="n">
        <v>42.29</v>
      </c>
      <c r="E226" s="383" t="n">
        <v>42.29</v>
      </c>
      <c r="F226" t="n">
        <v>0</v>
      </c>
    </row>
    <row r="227">
      <c r="A227" s="84" t="n">
        <v>41093</v>
      </c>
      <c r="B227" t="n">
        <v>42.91</v>
      </c>
      <c r="C227" t="n">
        <v>42.94</v>
      </c>
      <c r="D227" t="n">
        <v>42.04</v>
      </c>
      <c r="E227" s="383" t="n">
        <v>42.29</v>
      </c>
      <c r="F227" t="n">
        <v>1223400</v>
      </c>
    </row>
    <row r="228">
      <c r="A228" s="84" t="n">
        <v>41092</v>
      </c>
      <c r="B228" t="n">
        <v>43</v>
      </c>
      <c r="C228" t="n">
        <v>43.6</v>
      </c>
      <c r="D228" t="n">
        <v>42.44</v>
      </c>
      <c r="E228" s="383" t="n">
        <v>42.58</v>
      </c>
      <c r="F228" t="n">
        <v>1157800</v>
      </c>
    </row>
    <row r="229">
      <c r="A229" s="84" t="n">
        <v>41089</v>
      </c>
      <c r="B229" t="n">
        <v>42.14</v>
      </c>
      <c r="C229" t="n">
        <v>42.7</v>
      </c>
      <c r="D229" t="n">
        <v>41.81</v>
      </c>
      <c r="E229" s="383" t="n">
        <v>42.68</v>
      </c>
      <c r="F229" t="n">
        <v>1657200</v>
      </c>
    </row>
    <row r="230">
      <c r="A230" s="84" t="n">
        <v>41088</v>
      </c>
      <c r="B230" t="n">
        <v>41.5</v>
      </c>
      <c r="C230" t="n">
        <v>41.64</v>
      </c>
      <c r="D230" t="n">
        <v>40.95</v>
      </c>
      <c r="E230" s="383" t="n">
        <v>41.53</v>
      </c>
      <c r="F230" t="n">
        <v>733700</v>
      </c>
    </row>
    <row r="231">
      <c r="A231" s="84" t="n">
        <v>41087</v>
      </c>
      <c r="B231" t="n">
        <v>41.69</v>
      </c>
      <c r="C231" t="n">
        <v>42.04</v>
      </c>
      <c r="D231" t="n">
        <v>41.39</v>
      </c>
      <c r="E231" s="383" t="n">
        <v>41.71</v>
      </c>
      <c r="F231" t="n">
        <v>1079600</v>
      </c>
    </row>
    <row r="232">
      <c r="A232" s="84" t="n">
        <v>41086</v>
      </c>
      <c r="B232" t="n">
        <v>41.83</v>
      </c>
      <c r="C232" t="n">
        <v>42</v>
      </c>
      <c r="D232" t="n">
        <v>41.45</v>
      </c>
      <c r="E232" s="383" t="n">
        <v>41.52</v>
      </c>
      <c r="F232" t="n">
        <v>1325900</v>
      </c>
    </row>
    <row r="233">
      <c r="A233" s="84" t="n">
        <v>41085</v>
      </c>
      <c r="B233" t="n">
        <v>42.67</v>
      </c>
      <c r="C233" t="n">
        <v>42.72</v>
      </c>
      <c r="D233" t="n">
        <v>41.73</v>
      </c>
      <c r="E233" s="383" t="n">
        <v>41.78</v>
      </c>
      <c r="F233" t="n">
        <v>1405400</v>
      </c>
    </row>
    <row r="234">
      <c r="A234" s="84" t="n">
        <v>41082</v>
      </c>
      <c r="B234" t="n">
        <v>42.32</v>
      </c>
      <c r="C234" t="n">
        <v>43.02</v>
      </c>
      <c r="D234" t="n">
        <v>42.32</v>
      </c>
      <c r="E234" s="383" t="n">
        <v>42.9</v>
      </c>
      <c r="F234" t="n">
        <v>1898100</v>
      </c>
    </row>
    <row r="235">
      <c r="A235" s="84" t="n">
        <v>41081</v>
      </c>
      <c r="B235" t="n">
        <v>43.77</v>
      </c>
      <c r="C235" t="n">
        <v>43.99</v>
      </c>
      <c r="D235" t="n">
        <v>42.18</v>
      </c>
      <c r="E235" s="383" t="n">
        <v>42.32</v>
      </c>
      <c r="F235" t="n">
        <v>2368500</v>
      </c>
    </row>
    <row r="236">
      <c r="A236" s="84" t="n">
        <v>41080</v>
      </c>
      <c r="B236" t="n">
        <v>43.94</v>
      </c>
      <c r="C236" t="n">
        <v>44.2</v>
      </c>
      <c r="D236" t="n">
        <v>43.68</v>
      </c>
      <c r="E236" s="383" t="n">
        <v>43.96</v>
      </c>
      <c r="F236" t="n">
        <v>1455100</v>
      </c>
    </row>
    <row r="237">
      <c r="A237" s="84" t="n">
        <v>41079</v>
      </c>
      <c r="B237" t="n">
        <v>44.3</v>
      </c>
      <c r="C237" t="n">
        <v>44.69</v>
      </c>
      <c r="D237" t="n">
        <v>43.64</v>
      </c>
      <c r="E237" s="383" t="n">
        <v>43.83</v>
      </c>
      <c r="F237" t="n">
        <v>1695400</v>
      </c>
    </row>
    <row r="238">
      <c r="A238" s="84" t="n">
        <v>41078</v>
      </c>
      <c r="B238" t="n">
        <v>43.69</v>
      </c>
      <c r="C238" t="n">
        <v>44.32</v>
      </c>
      <c r="D238" t="n">
        <v>43.45</v>
      </c>
      <c r="E238" s="383" t="n">
        <v>44.01</v>
      </c>
      <c r="F238" t="n">
        <v>1407300</v>
      </c>
    </row>
    <row r="239">
      <c r="A239" s="84" t="n">
        <v>41075</v>
      </c>
      <c r="B239" t="n">
        <v>43.07</v>
      </c>
      <c r="C239" t="n">
        <v>43.85</v>
      </c>
      <c r="D239" t="n">
        <v>42.92</v>
      </c>
      <c r="E239" s="383" t="n">
        <v>43.76</v>
      </c>
      <c r="F239" t="n">
        <v>2489400</v>
      </c>
    </row>
    <row r="240">
      <c r="A240" s="84" t="n">
        <v>41074</v>
      </c>
      <c r="B240" t="n">
        <v>43.31</v>
      </c>
      <c r="C240" t="n">
        <v>43.65</v>
      </c>
      <c r="D240" t="n">
        <v>42.68</v>
      </c>
      <c r="E240" s="383" t="n">
        <v>43</v>
      </c>
      <c r="F240" t="n">
        <v>2866600</v>
      </c>
    </row>
    <row r="241">
      <c r="A241" s="84" t="n">
        <v>41073</v>
      </c>
      <c r="B241" t="n">
        <v>43</v>
      </c>
      <c r="C241" t="n">
        <v>43.73</v>
      </c>
      <c r="D241" t="n">
        <v>42.52</v>
      </c>
      <c r="E241" s="383" t="n">
        <v>43.44</v>
      </c>
      <c r="F241" t="n">
        <v>2176800</v>
      </c>
    </row>
    <row r="242">
      <c r="A242" s="84" t="n">
        <v>41072</v>
      </c>
      <c r="B242" t="n">
        <v>42.48</v>
      </c>
      <c r="C242" t="n">
        <v>43.29</v>
      </c>
      <c r="D242" t="n">
        <v>42.3</v>
      </c>
      <c r="E242" s="383" t="n">
        <v>43.25</v>
      </c>
      <c r="F242" t="n">
        <v>1772100</v>
      </c>
    </row>
    <row r="243">
      <c r="A243" s="84" t="n">
        <v>41071</v>
      </c>
      <c r="B243" t="n">
        <v>43.67</v>
      </c>
      <c r="C243" t="n">
        <v>43.78</v>
      </c>
      <c r="D243" t="n">
        <v>42.38</v>
      </c>
      <c r="E243" s="383" t="n">
        <v>42.47</v>
      </c>
      <c r="F243" t="n">
        <v>1672800</v>
      </c>
    </row>
    <row r="244">
      <c r="A244" s="84" t="n">
        <v>41068</v>
      </c>
      <c r="B244" t="n">
        <v>43.36</v>
      </c>
      <c r="C244" t="n">
        <v>43.84</v>
      </c>
      <c r="D244" t="n">
        <v>43.21</v>
      </c>
      <c r="E244" s="383" t="n">
        <v>43.7</v>
      </c>
      <c r="F244" t="n">
        <v>1416100</v>
      </c>
    </row>
    <row r="245">
      <c r="A245" s="84" t="n">
        <v>41067</v>
      </c>
      <c r="B245" t="n">
        <v>44</v>
      </c>
      <c r="C245" t="n">
        <v>44.07</v>
      </c>
      <c r="D245" t="n">
        <v>43.32</v>
      </c>
      <c r="E245" s="383" t="n">
        <v>43.71</v>
      </c>
      <c r="F245" t="n">
        <v>2255900</v>
      </c>
    </row>
    <row r="246">
      <c r="A246" s="84" t="n">
        <v>41066</v>
      </c>
      <c r="B246" t="n">
        <v>42.52</v>
      </c>
      <c r="C246" t="n">
        <v>43.71</v>
      </c>
      <c r="D246" t="n">
        <v>42.36</v>
      </c>
      <c r="E246" s="383" t="n">
        <v>43.71</v>
      </c>
      <c r="F246" t="n">
        <v>1886000</v>
      </c>
    </row>
    <row r="247">
      <c r="A247" s="84" t="n">
        <v>41065</v>
      </c>
      <c r="B247" t="n">
        <v>41.24</v>
      </c>
      <c r="C247" t="n">
        <v>42.38</v>
      </c>
      <c r="D247" t="n">
        <v>41.23</v>
      </c>
      <c r="E247" s="383" t="n">
        <v>42.23</v>
      </c>
      <c r="F247" t="n">
        <v>1126500</v>
      </c>
    </row>
    <row r="248">
      <c r="A248" s="84" t="n">
        <v>41064</v>
      </c>
      <c r="B248" t="n">
        <v>42.04</v>
      </c>
      <c r="C248" t="n">
        <v>42.86</v>
      </c>
      <c r="D248" t="n">
        <v>41.27</v>
      </c>
      <c r="E248" s="383" t="n">
        <v>41.71</v>
      </c>
      <c r="F248" t="n">
        <v>1466500</v>
      </c>
    </row>
    <row r="249">
      <c r="A249" s="84" t="n">
        <v>41061</v>
      </c>
      <c r="B249" t="n">
        <v>41.73</v>
      </c>
      <c r="C249" t="n">
        <v>42.56</v>
      </c>
      <c r="D249" t="n">
        <v>41.62</v>
      </c>
      <c r="E249" s="383" t="n">
        <v>41.89</v>
      </c>
      <c r="F249" t="n">
        <v>2829900</v>
      </c>
    </row>
    <row r="250">
      <c r="A250" s="84" t="n">
        <v>41060</v>
      </c>
      <c r="B250" t="n">
        <v>43.12</v>
      </c>
      <c r="C250" t="n">
        <v>43.12</v>
      </c>
      <c r="D250" t="n">
        <v>41.77</v>
      </c>
      <c r="E250" s="383" t="n">
        <v>42.32</v>
      </c>
      <c r="F250" t="n">
        <v>3210800</v>
      </c>
    </row>
    <row r="251">
      <c r="A251" s="84" t="n">
        <v>41059</v>
      </c>
      <c r="B251" t="n">
        <v>43.36</v>
      </c>
      <c r="C251" t="n">
        <v>43.38</v>
      </c>
      <c r="D251" t="n">
        <v>42.83</v>
      </c>
      <c r="E251" s="383" t="n">
        <v>43</v>
      </c>
      <c r="F251" t="n">
        <v>1445800</v>
      </c>
    </row>
    <row r="252">
      <c r="A252" s="84" t="n">
        <v>41058</v>
      </c>
      <c r="B252" t="n">
        <v>44.05</v>
      </c>
      <c r="C252" t="n">
        <v>44.29</v>
      </c>
      <c r="D252" t="n">
        <v>43.27</v>
      </c>
      <c r="E252" s="383" t="n">
        <v>43.86</v>
      </c>
      <c r="F252" t="n">
        <v>1788200</v>
      </c>
    </row>
    <row r="253">
      <c r="A253" s="84" t="n">
        <v>41057</v>
      </c>
      <c r="B253" t="n">
        <v>43.69</v>
      </c>
      <c r="C253" t="n">
        <v>43.69</v>
      </c>
      <c r="D253" t="n">
        <v>43.69</v>
      </c>
      <c r="E253" s="383" t="n">
        <v>43.69</v>
      </c>
      <c r="F253" t="n">
        <v>0</v>
      </c>
    </row>
    <row r="254">
      <c r="A254" s="84" t="n">
        <v>41054</v>
      </c>
      <c r="B254" t="n">
        <v>43.15</v>
      </c>
      <c r="C254" t="n">
        <v>44.16</v>
      </c>
      <c r="D254" t="n">
        <v>43.01</v>
      </c>
      <c r="E254" s="383" t="n">
        <v>43.69</v>
      </c>
      <c r="F254" t="n">
        <v>2365600</v>
      </c>
    </row>
    <row r="255">
      <c r="A255" s="84" t="n">
        <v>41053</v>
      </c>
      <c r="B255" t="n">
        <v>43.19</v>
      </c>
      <c r="C255" t="n">
        <v>43.24</v>
      </c>
      <c r="D255" t="n">
        <v>42.44</v>
      </c>
      <c r="E255" s="383" t="n">
        <v>42.97</v>
      </c>
      <c r="F255" t="n">
        <v>2489100</v>
      </c>
    </row>
    <row r="256">
      <c r="A256" s="84" t="n">
        <v>41052</v>
      </c>
      <c r="B256" t="n">
        <v>42.37</v>
      </c>
      <c r="C256" t="n">
        <v>43.51</v>
      </c>
      <c r="D256" t="n">
        <v>42.01</v>
      </c>
      <c r="E256" s="383" t="n">
        <v>43.39</v>
      </c>
      <c r="F256" t="n">
        <v>2624200</v>
      </c>
    </row>
    <row r="257">
      <c r="A257" s="84" t="n">
        <v>41051</v>
      </c>
      <c r="B257" t="n">
        <v>42.9</v>
      </c>
      <c r="C257" t="n">
        <v>43.01</v>
      </c>
      <c r="D257" t="n">
        <v>42.47</v>
      </c>
      <c r="E257" s="383" t="n">
        <v>42.73</v>
      </c>
      <c r="F257" t="n">
        <v>1839100</v>
      </c>
    </row>
    <row r="258">
      <c r="A258" s="84" t="n">
        <v>41050</v>
      </c>
      <c r="B258" t="n">
        <v>41.59</v>
      </c>
      <c r="C258" t="n">
        <v>43.18</v>
      </c>
      <c r="D258" t="n">
        <v>41.49</v>
      </c>
      <c r="E258" s="383" t="n">
        <v>42.96</v>
      </c>
      <c r="F258" t="n">
        <v>2735200</v>
      </c>
    </row>
    <row r="259">
      <c r="A259" s="84" t="n">
        <v>41047</v>
      </c>
      <c r="B259" t="n">
        <v>42.52</v>
      </c>
      <c r="C259" t="n">
        <v>43.05</v>
      </c>
      <c r="D259" t="n">
        <v>41.54</v>
      </c>
      <c r="E259" s="383" t="n">
        <v>41.66</v>
      </c>
      <c r="F259" t="n">
        <v>4568800</v>
      </c>
    </row>
    <row r="260">
      <c r="A260" s="84" t="n">
        <v>41046</v>
      </c>
      <c r="B260" t="n">
        <v>43.5</v>
      </c>
      <c r="C260" t="n">
        <v>43.7</v>
      </c>
      <c r="D260" t="n">
        <v>42.35</v>
      </c>
      <c r="E260" s="383" t="n">
        <v>42.38</v>
      </c>
      <c r="F260" t="n">
        <v>2546500</v>
      </c>
    </row>
    <row r="261">
      <c r="A261" s="84" t="n">
        <v>41045</v>
      </c>
      <c r="B261" t="n">
        <v>44.5</v>
      </c>
      <c r="C261" t="n">
        <v>44.5</v>
      </c>
      <c r="D261" t="n">
        <v>43.29</v>
      </c>
      <c r="E261" s="383" t="n">
        <v>43.3</v>
      </c>
      <c r="F261" t="n">
        <v>5806700</v>
      </c>
    </row>
    <row r="262">
      <c r="A262" s="84" t="n">
        <v>41044</v>
      </c>
      <c r="B262" t="n">
        <v>43.75</v>
      </c>
      <c r="C262" t="n">
        <v>45.7</v>
      </c>
      <c r="D262" t="n">
        <v>42.88</v>
      </c>
      <c r="E262" s="383" t="n">
        <v>44.51</v>
      </c>
      <c r="F262" t="n">
        <v>9349900</v>
      </c>
    </row>
    <row r="263">
      <c r="A263" s="84" t="n">
        <v>41043</v>
      </c>
      <c r="B263" t="n">
        <v>42.03</v>
      </c>
      <c r="C263" t="n">
        <v>44.35</v>
      </c>
      <c r="D263" t="n">
        <v>41.73</v>
      </c>
      <c r="E263" s="383" t="n">
        <v>43.92</v>
      </c>
      <c r="F263" t="n">
        <v>7045700</v>
      </c>
    </row>
    <row r="264">
      <c r="A264" s="84" t="n">
        <v>41040</v>
      </c>
      <c r="B264" t="n">
        <v>40.11</v>
      </c>
      <c r="C264" t="n">
        <v>40.93</v>
      </c>
      <c r="D264" t="n">
        <v>40.07</v>
      </c>
      <c r="E264" s="383" t="n">
        <v>40.4</v>
      </c>
      <c r="F264" t="n">
        <v>1823400</v>
      </c>
    </row>
    <row r="265">
      <c r="A265" s="84" t="n">
        <v>41039</v>
      </c>
      <c r="B265" t="n">
        <v>38.97</v>
      </c>
      <c r="C265" t="n">
        <v>40.68</v>
      </c>
      <c r="D265" t="n">
        <v>38.97</v>
      </c>
      <c r="E265" s="383" t="n">
        <v>40.28</v>
      </c>
      <c r="F265" t="n">
        <v>3679900</v>
      </c>
    </row>
    <row r="266">
      <c r="A266" s="84" t="n">
        <v>41038</v>
      </c>
      <c r="B266" t="n">
        <v>39.46</v>
      </c>
      <c r="C266" t="n">
        <v>40.15</v>
      </c>
      <c r="D266" t="n">
        <v>39.08</v>
      </c>
      <c r="E266" s="383" t="n">
        <v>39.71</v>
      </c>
      <c r="F266" t="n">
        <v>2542600</v>
      </c>
    </row>
    <row r="267">
      <c r="A267" s="84" t="n">
        <v>41037</v>
      </c>
      <c r="B267" t="n">
        <v>39.81</v>
      </c>
      <c r="C267" t="n">
        <v>39.92</v>
      </c>
      <c r="D267" t="n">
        <v>39.13</v>
      </c>
      <c r="E267" s="383" t="n">
        <v>39.86</v>
      </c>
      <c r="F267" t="n">
        <v>2381000</v>
      </c>
    </row>
    <row r="268">
      <c r="A268" s="84" t="n">
        <v>41036</v>
      </c>
      <c r="B268" t="n">
        <v>39.9</v>
      </c>
      <c r="C268" t="n">
        <v>40.33</v>
      </c>
      <c r="D268" t="n">
        <v>39.86</v>
      </c>
      <c r="E268" s="383" t="n">
        <v>40.06</v>
      </c>
      <c r="F268" t="n">
        <v>1631100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Wall Street Prep</dc:creator>
  <dcterms:created xsi:type="dcterms:W3CDTF">2014-05-28T19:09:08Z</dcterms:created>
  <dcterms:modified xsi:type="dcterms:W3CDTF">2026-08-15T14:24:59Z</dcterms:modified>
  <cp:lastModifiedBy>scottmccarthy</cp:lastModifiedBy>
  <cp:lastPrinted>2014-05-30T16:55:05Z</cp:lastPrinted>
</cp:coreProperties>
</file>