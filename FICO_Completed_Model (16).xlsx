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25E9C090-F01F-485A-9674-A5576AF95A40}" xr6:coauthVersionLast="47" xr6:coauthVersionMax="47" xr10:uidLastSave="{00000000-0000-0000-0000-000000000000}"/>
  <bookViews>
    <workbookView xWindow="-110" yWindow="-110" windowWidth="19420" windowHeight="11500" tabRatio="685" activeTab="1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M20" i="3" s="1"/>
  <c r="N19" i="3"/>
  <c r="N18" i="3"/>
  <c r="J28" i="3"/>
  <c r="I37" i="3"/>
  <c r="N36" i="3"/>
  <c r="I34" i="3"/>
  <c r="D34" i="3"/>
  <c r="I33" i="3"/>
  <c r="D33" i="3"/>
  <c r="I32" i="3"/>
  <c r="I35" i="3" s="1"/>
  <c r="D27" i="3" s="1"/>
  <c r="D29" i="3" s="1"/>
  <c r="F20" i="3"/>
  <c r="E20" i="3"/>
  <c r="G19" i="3"/>
  <c r="H19" i="3" s="1"/>
  <c r="F19" i="3"/>
  <c r="G18" i="3"/>
  <c r="G17" i="3" s="1"/>
  <c r="F18" i="3"/>
  <c r="E18" i="3"/>
  <c r="D18" i="3"/>
  <c r="F17" i="3"/>
  <c r="E17" i="3"/>
  <c r="R12" i="3"/>
  <c r="R15" i="3" s="1"/>
  <c r="D6" i="3" s="1"/>
  <c r="R11" i="3"/>
  <c r="R9" i="3"/>
  <c r="G127" i="2"/>
  <c r="E127" i="2"/>
  <c r="I126" i="2"/>
  <c r="H126" i="2"/>
  <c r="G126" i="2"/>
  <c r="F126" i="2"/>
  <c r="I122" i="2"/>
  <c r="I121" i="2"/>
  <c r="H121" i="2"/>
  <c r="G121" i="2"/>
  <c r="F121" i="2"/>
  <c r="E121" i="2"/>
  <c r="N99" i="2"/>
  <c r="M99" i="2"/>
  <c r="L99" i="2"/>
  <c r="K99" i="2"/>
  <c r="J99" i="2"/>
  <c r="J98" i="2"/>
  <c r="I98" i="2"/>
  <c r="I12" i="2" s="1"/>
  <c r="H98" i="2"/>
  <c r="G98" i="2"/>
  <c r="G12" i="2" s="1"/>
  <c r="F98" i="2"/>
  <c r="F12" i="2" s="1"/>
  <c r="J92" i="2"/>
  <c r="I92" i="2"/>
  <c r="H92" i="2"/>
  <c r="G92" i="2"/>
  <c r="G11" i="2" s="1"/>
  <c r="F92" i="2"/>
  <c r="F11" i="2" s="1"/>
  <c r="E80" i="2"/>
  <c r="E78" i="2"/>
  <c r="J77" i="2"/>
  <c r="I77" i="2"/>
  <c r="I76" i="2" s="1"/>
  <c r="I78" i="2" s="1"/>
  <c r="I80" i="2" s="1"/>
  <c r="H77" i="2"/>
  <c r="H76" i="2" s="1"/>
  <c r="H78" i="2" s="1"/>
  <c r="H80" i="2" s="1"/>
  <c r="G77" i="2"/>
  <c r="G76" i="2" s="1"/>
  <c r="G78" i="2" s="1"/>
  <c r="G80" i="2" s="1"/>
  <c r="F77" i="2"/>
  <c r="F76" i="2" s="1"/>
  <c r="F78" i="2" s="1"/>
  <c r="F80" i="2" s="1"/>
  <c r="E76" i="2"/>
  <c r="N74" i="2"/>
  <c r="M74" i="2"/>
  <c r="L74" i="2"/>
  <c r="K74" i="2"/>
  <c r="J74" i="2"/>
  <c r="I74" i="2"/>
  <c r="I127" i="2" s="1"/>
  <c r="H74" i="2"/>
  <c r="H127" i="2" s="1"/>
  <c r="G74" i="2"/>
  <c r="F74" i="2"/>
  <c r="F127" i="2" s="1"/>
  <c r="E74" i="2"/>
  <c r="N73" i="2"/>
  <c r="M73" i="2"/>
  <c r="L73" i="2"/>
  <c r="K73" i="2"/>
  <c r="J73" i="2"/>
  <c r="N72" i="2"/>
  <c r="M72" i="2"/>
  <c r="L72" i="2"/>
  <c r="K72" i="2"/>
  <c r="J72" i="2"/>
  <c r="I69" i="2"/>
  <c r="H69" i="2"/>
  <c r="G69" i="2"/>
  <c r="F69" i="2"/>
  <c r="E69" i="2"/>
  <c r="E126" i="2" s="1"/>
  <c r="I63" i="2"/>
  <c r="H63" i="2"/>
  <c r="G63" i="2"/>
  <c r="F63" i="2"/>
  <c r="E63" i="2"/>
  <c r="F57" i="2"/>
  <c r="F3" i="2" s="1"/>
  <c r="H55" i="2"/>
  <c r="G55" i="2"/>
  <c r="F55" i="2"/>
  <c r="E55" i="2"/>
  <c r="E57" i="2" s="1"/>
  <c r="E3" i="2" s="1"/>
  <c r="I54" i="2"/>
  <c r="I55" i="2" s="1"/>
  <c r="I57" i="2" s="1"/>
  <c r="I3" i="2" s="1"/>
  <c r="H54" i="2"/>
  <c r="G54" i="2"/>
  <c r="F54" i="2"/>
  <c r="E54" i="2"/>
  <c r="J52" i="2"/>
  <c r="K52" i="2" s="1"/>
  <c r="I50" i="2"/>
  <c r="H50" i="2"/>
  <c r="G50" i="2"/>
  <c r="F50" i="2"/>
  <c r="E50" i="2"/>
  <c r="I45" i="2"/>
  <c r="H45" i="2"/>
  <c r="H57" i="2" s="1"/>
  <c r="H3" i="2" s="1"/>
  <c r="G45" i="2"/>
  <c r="G57" i="2" s="1"/>
  <c r="G3" i="2" s="1"/>
  <c r="F45" i="2"/>
  <c r="E45" i="2"/>
  <c r="F33" i="2"/>
  <c r="F36" i="2" s="1"/>
  <c r="F62" i="2" s="1"/>
  <c r="F65" i="2" s="1"/>
  <c r="F125" i="2" s="1"/>
  <c r="E33" i="2"/>
  <c r="E36" i="2" s="1"/>
  <c r="E62" i="2" s="1"/>
  <c r="E65" i="2" s="1"/>
  <c r="E125" i="2" s="1"/>
  <c r="I32" i="2"/>
  <c r="H32" i="2"/>
  <c r="G32" i="2"/>
  <c r="F32" i="2"/>
  <c r="E32" i="2"/>
  <c r="I26" i="2"/>
  <c r="I33" i="2" s="1"/>
  <c r="H26" i="2"/>
  <c r="G26" i="2"/>
  <c r="F26" i="2"/>
  <c r="F122" i="2" s="1"/>
  <c r="E26" i="2"/>
  <c r="E122" i="2" s="1"/>
  <c r="J24" i="2"/>
  <c r="I20" i="2"/>
  <c r="H20" i="2"/>
  <c r="G20" i="2"/>
  <c r="F20" i="2"/>
  <c r="E20" i="2"/>
  <c r="I19" i="2"/>
  <c r="H19" i="2"/>
  <c r="G19" i="2"/>
  <c r="F19" i="2"/>
  <c r="E19" i="2"/>
  <c r="N18" i="2"/>
  <c r="M18" i="2"/>
  <c r="L18" i="2"/>
  <c r="K18" i="2"/>
  <c r="J18" i="2"/>
  <c r="I18" i="2"/>
  <c r="H18" i="2"/>
  <c r="G18" i="2"/>
  <c r="F18" i="2"/>
  <c r="E18" i="2"/>
  <c r="N17" i="2"/>
  <c r="M17" i="2"/>
  <c r="L17" i="2"/>
  <c r="K17" i="2"/>
  <c r="J17" i="2"/>
  <c r="I17" i="2"/>
  <c r="H17" i="2"/>
  <c r="G17" i="2"/>
  <c r="F17" i="2"/>
  <c r="E17" i="2"/>
  <c r="I16" i="2"/>
  <c r="H16" i="2"/>
  <c r="G16" i="2"/>
  <c r="F16" i="2"/>
  <c r="E16" i="2"/>
  <c r="N15" i="2"/>
  <c r="M15" i="2"/>
  <c r="L15" i="2"/>
  <c r="K15" i="2"/>
  <c r="J15" i="2"/>
  <c r="I15" i="2"/>
  <c r="H15" i="2"/>
  <c r="G15" i="2"/>
  <c r="F15" i="2"/>
  <c r="E15" i="2"/>
  <c r="M13" i="2"/>
  <c r="L13" i="2"/>
  <c r="N12" i="2"/>
  <c r="M12" i="2"/>
  <c r="L12" i="2"/>
  <c r="K12" i="2"/>
  <c r="J12" i="2"/>
  <c r="J31" i="2" s="1"/>
  <c r="H12" i="2"/>
  <c r="E12" i="2"/>
  <c r="N11" i="2"/>
  <c r="M11" i="2"/>
  <c r="L11" i="2"/>
  <c r="K11" i="2"/>
  <c r="J11" i="2"/>
  <c r="I11" i="2"/>
  <c r="H11" i="2"/>
  <c r="E11" i="2"/>
  <c r="N10" i="2"/>
  <c r="M10" i="2"/>
  <c r="L10" i="2"/>
  <c r="K10" i="2"/>
  <c r="J10" i="2"/>
  <c r="I10" i="2"/>
  <c r="H10" i="2"/>
  <c r="G10" i="2"/>
  <c r="F10" i="2"/>
  <c r="E10" i="2"/>
  <c r="N9" i="2"/>
  <c r="M9" i="2"/>
  <c r="L9" i="2"/>
  <c r="K9" i="2"/>
  <c r="J9" i="2"/>
  <c r="I9" i="2"/>
  <c r="H9" i="2"/>
  <c r="G9" i="2"/>
  <c r="F9" i="2"/>
  <c r="E9" i="2"/>
  <c r="N8" i="2"/>
  <c r="M8" i="2"/>
  <c r="L8" i="2"/>
  <c r="K8" i="2"/>
  <c r="J8" i="2"/>
  <c r="I8" i="2"/>
  <c r="H8" i="2"/>
  <c r="G8" i="2"/>
  <c r="F8" i="2"/>
  <c r="E8" i="2"/>
  <c r="I7" i="2"/>
  <c r="H7" i="2"/>
  <c r="G7" i="2"/>
  <c r="F7" i="2"/>
  <c r="F2" i="2"/>
  <c r="G2" i="2" s="1"/>
  <c r="H2" i="2" s="1"/>
  <c r="I2" i="2" s="1"/>
  <c r="J2" i="2" s="1"/>
  <c r="K2" i="2" s="1"/>
  <c r="L2" i="2" s="1"/>
  <c r="M2" i="2" s="1"/>
  <c r="N2" i="2" s="1"/>
  <c r="J100" i="2" l="1"/>
  <c r="J68" i="2"/>
  <c r="J42" i="2"/>
  <c r="J85" i="2" s="1"/>
  <c r="J25" i="2"/>
  <c r="J93" i="2"/>
  <c r="J63" i="2" s="1"/>
  <c r="J88" i="2"/>
  <c r="J28" i="2"/>
  <c r="J26" i="2"/>
  <c r="J49" i="2"/>
  <c r="K98" i="2"/>
  <c r="H18" i="3"/>
  <c r="I19" i="3"/>
  <c r="I18" i="3" s="1"/>
  <c r="H33" i="2"/>
  <c r="H122" i="2"/>
  <c r="K24" i="2"/>
  <c r="L52" i="2"/>
  <c r="G122" i="2"/>
  <c r="G33" i="2"/>
  <c r="I123" i="2"/>
  <c r="K13" i="2"/>
  <c r="N13" i="2"/>
  <c r="J13" i="2"/>
  <c r="I36" i="2"/>
  <c r="I62" i="2" s="1"/>
  <c r="I65" i="2" s="1"/>
  <c r="I125" i="2" s="1"/>
  <c r="I13" i="2"/>
  <c r="J29" i="2"/>
  <c r="F123" i="2"/>
  <c r="E123" i="2"/>
  <c r="G20" i="3"/>
  <c r="J101" i="2"/>
  <c r="E13" i="2"/>
  <c r="F13" i="2"/>
  <c r="J30" i="2"/>
  <c r="E23" i="3" s="1"/>
  <c r="J94" i="2" l="1"/>
  <c r="J95" i="2" s="1"/>
  <c r="I20" i="3"/>
  <c r="H17" i="3"/>
  <c r="K101" i="2"/>
  <c r="K100" i="2"/>
  <c r="K31" i="2"/>
  <c r="I17" i="3"/>
  <c r="J18" i="3"/>
  <c r="L24" i="2"/>
  <c r="K25" i="2"/>
  <c r="K26" i="2" s="1"/>
  <c r="K88" i="2"/>
  <c r="K93" i="2"/>
  <c r="K68" i="2"/>
  <c r="K42" i="2"/>
  <c r="K85" i="2" s="1"/>
  <c r="K28" i="2"/>
  <c r="K29" i="2"/>
  <c r="M52" i="2"/>
  <c r="E21" i="3"/>
  <c r="J32" i="2"/>
  <c r="J33" i="2" s="1"/>
  <c r="G123" i="2"/>
  <c r="G36" i="2"/>
  <c r="G62" i="2" s="1"/>
  <c r="G65" i="2" s="1"/>
  <c r="G125" i="2" s="1"/>
  <c r="G13" i="2"/>
  <c r="H123" i="2"/>
  <c r="H36" i="2"/>
  <c r="H62" i="2" s="1"/>
  <c r="H65" i="2" s="1"/>
  <c r="H125" i="2" s="1"/>
  <c r="H13" i="2"/>
  <c r="H20" i="3"/>
  <c r="J44" i="2"/>
  <c r="K92" i="2"/>
  <c r="J48" i="2"/>
  <c r="J43" i="2"/>
  <c r="J86" i="2" s="1"/>
  <c r="J69" i="2"/>
  <c r="D15" i="3"/>
  <c r="E24" i="3"/>
  <c r="J62" i="2" l="1"/>
  <c r="J53" i="2"/>
  <c r="J36" i="2"/>
  <c r="J35" i="2"/>
  <c r="K49" i="2"/>
  <c r="L98" i="2"/>
  <c r="F24" i="3"/>
  <c r="K69" i="2"/>
  <c r="K43" i="2"/>
  <c r="K86" i="2" s="1"/>
  <c r="K48" i="2"/>
  <c r="R20" i="3"/>
  <c r="E22" i="3"/>
  <c r="M24" i="2"/>
  <c r="L25" i="2"/>
  <c r="L68" i="2"/>
  <c r="L42" i="2"/>
  <c r="L85" i="2" s="1"/>
  <c r="L28" i="2"/>
  <c r="L29" i="2"/>
  <c r="L93" i="2"/>
  <c r="L88" i="2"/>
  <c r="J87" i="2"/>
  <c r="J89" i="2" s="1"/>
  <c r="J90" i="2" s="1"/>
  <c r="J64" i="2" s="1"/>
  <c r="E25" i="3" s="1"/>
  <c r="J50" i="2"/>
  <c r="K63" i="2"/>
  <c r="K30" i="2"/>
  <c r="F23" i="3" s="1"/>
  <c r="K94" i="2"/>
  <c r="K95" i="2" s="1"/>
  <c r="N52" i="2"/>
  <c r="K32" i="2"/>
  <c r="K33" i="2" s="1"/>
  <c r="R19" i="3" l="1"/>
  <c r="E26" i="3"/>
  <c r="E29" i="3" s="1"/>
  <c r="K62" i="2"/>
  <c r="K36" i="2"/>
  <c r="K35" i="2"/>
  <c r="L92" i="2"/>
  <c r="K44" i="2"/>
  <c r="J65" i="2"/>
  <c r="J76" i="2" s="1"/>
  <c r="J78" i="2" s="1"/>
  <c r="K50" i="2"/>
  <c r="K87" i="2"/>
  <c r="K89" i="2" s="1"/>
  <c r="K90" i="2" s="1"/>
  <c r="K64" i="2" s="1"/>
  <c r="F25" i="3" s="1"/>
  <c r="G24" i="3"/>
  <c r="L69" i="2"/>
  <c r="L101" i="2"/>
  <c r="L100" i="2"/>
  <c r="L31" i="2"/>
  <c r="L43" i="2"/>
  <c r="L86" i="2" s="1"/>
  <c r="L48" i="2"/>
  <c r="M88" i="2"/>
  <c r="N24" i="2"/>
  <c r="M68" i="2"/>
  <c r="M42" i="2"/>
  <c r="M85" i="2" s="1"/>
  <c r="M28" i="2"/>
  <c r="M25" i="2"/>
  <c r="M26" i="2" s="1"/>
  <c r="M93" i="2"/>
  <c r="M29" i="2"/>
  <c r="F21" i="3"/>
  <c r="L26" i="2"/>
  <c r="K53" i="2"/>
  <c r="J54" i="2"/>
  <c r="J55" i="2" s="1"/>
  <c r="E28" i="3" l="1"/>
  <c r="H24" i="3"/>
  <c r="M69" i="2"/>
  <c r="N93" i="2"/>
  <c r="N88" i="2"/>
  <c r="N29" i="2"/>
  <c r="N25" i="2"/>
  <c r="N26" i="2" s="1"/>
  <c r="N42" i="2"/>
  <c r="N85" i="2" s="1"/>
  <c r="N68" i="2"/>
  <c r="N28" i="2"/>
  <c r="K54" i="2"/>
  <c r="K55" i="2" s="1"/>
  <c r="J41" i="2"/>
  <c r="J80" i="2" s="1"/>
  <c r="F22" i="3"/>
  <c r="F26" i="3"/>
  <c r="L49" i="2"/>
  <c r="L50" i="2" s="1"/>
  <c r="M98" i="2"/>
  <c r="L94" i="2"/>
  <c r="L95" i="2" s="1"/>
  <c r="L30" i="2"/>
  <c r="L63" i="2"/>
  <c r="L87" i="2"/>
  <c r="L89" i="2" s="1"/>
  <c r="L90" i="2" s="1"/>
  <c r="L64" i="2" s="1"/>
  <c r="G25" i="3" s="1"/>
  <c r="G21" i="3"/>
  <c r="M43" i="2"/>
  <c r="M86" i="2" s="1"/>
  <c r="M48" i="2"/>
  <c r="K65" i="2"/>
  <c r="K76" i="2" s="1"/>
  <c r="F28" i="3" l="1"/>
  <c r="F29" i="3"/>
  <c r="N43" i="2"/>
  <c r="N86" i="2" s="1"/>
  <c r="N48" i="2"/>
  <c r="G22" i="3"/>
  <c r="K77" i="2"/>
  <c r="K78" i="2" s="1"/>
  <c r="J45" i="2"/>
  <c r="J57" i="2" s="1"/>
  <c r="J3" i="2" s="1"/>
  <c r="G23" i="3"/>
  <c r="G26" i="3" s="1"/>
  <c r="L32" i="2"/>
  <c r="L33" i="2" s="1"/>
  <c r="L44" i="2"/>
  <c r="M92" i="2"/>
  <c r="I24" i="3"/>
  <c r="N69" i="2"/>
  <c r="M87" i="2"/>
  <c r="M89" i="2" s="1"/>
  <c r="M90" i="2" s="1"/>
  <c r="M64" i="2" s="1"/>
  <c r="H25" i="3" s="1"/>
  <c r="M101" i="2"/>
  <c r="M31" i="2"/>
  <c r="M100" i="2"/>
  <c r="G29" i="3" l="1"/>
  <c r="G28" i="3"/>
  <c r="L65" i="2"/>
  <c r="L76" i="2" s="1"/>
  <c r="L35" i="2"/>
  <c r="L62" i="2"/>
  <c r="L36" i="2"/>
  <c r="L53" i="2"/>
  <c r="K41" i="2"/>
  <c r="N87" i="2"/>
  <c r="N89" i="2" s="1"/>
  <c r="N90" i="2" s="1"/>
  <c r="N64" i="2" s="1"/>
  <c r="I25" i="3" s="1"/>
  <c r="T39" i="3" s="1"/>
  <c r="M63" i="2"/>
  <c r="M94" i="2"/>
  <c r="M95" i="2" s="1"/>
  <c r="M30" i="2"/>
  <c r="M49" i="2"/>
  <c r="M50" i="2" s="1"/>
  <c r="N98" i="2"/>
  <c r="N92" i="2" l="1"/>
  <c r="M44" i="2"/>
  <c r="K45" i="2"/>
  <c r="K57" i="2" s="1"/>
  <c r="K3" i="2" s="1"/>
  <c r="L77" i="2"/>
  <c r="L78" i="2" s="1"/>
  <c r="N31" i="2"/>
  <c r="N100" i="2"/>
  <c r="N49" i="2" s="1"/>
  <c r="N50" i="2" s="1"/>
  <c r="N101" i="2"/>
  <c r="K80" i="2"/>
  <c r="L54" i="2"/>
  <c r="L55" i="2" s="1"/>
  <c r="H23" i="3"/>
  <c r="M32" i="2"/>
  <c r="M33" i="2" s="1"/>
  <c r="H21" i="3"/>
  <c r="M65" i="2" l="1"/>
  <c r="M76" i="2" s="1"/>
  <c r="M62" i="2"/>
  <c r="M36" i="2"/>
  <c r="M35" i="2"/>
  <c r="H22" i="3"/>
  <c r="H26" i="3" s="1"/>
  <c r="N94" i="2"/>
  <c r="N95" i="2" s="1"/>
  <c r="N44" i="2" s="1"/>
  <c r="N30" i="2"/>
  <c r="N63" i="2"/>
  <c r="M53" i="2"/>
  <c r="L41" i="2"/>
  <c r="L80" i="2" s="1"/>
  <c r="L45" i="2" l="1"/>
  <c r="L57" i="2" s="1"/>
  <c r="L3" i="2" s="1"/>
  <c r="M77" i="2"/>
  <c r="M78" i="2" s="1"/>
  <c r="M54" i="2"/>
  <c r="M55" i="2" s="1"/>
  <c r="I23" i="3"/>
  <c r="I21" i="3"/>
  <c r="N32" i="2"/>
  <c r="N33" i="2" s="1"/>
  <c r="N53" i="2" s="1"/>
  <c r="N54" i="2" s="1"/>
  <c r="N55" i="2" s="1"/>
  <c r="H28" i="3"/>
  <c r="H29" i="3"/>
  <c r="N62" i="2" l="1"/>
  <c r="N35" i="2"/>
  <c r="N65" i="2"/>
  <c r="N76" i="2" s="1"/>
  <c r="N36" i="2"/>
  <c r="R25" i="3"/>
  <c r="J27" i="3"/>
  <c r="I22" i="3"/>
  <c r="I26" i="3" s="1"/>
  <c r="M41" i="2"/>
  <c r="N20" i="3" l="1"/>
  <c r="I28" i="3"/>
  <c r="R21" i="3"/>
  <c r="I29" i="3"/>
  <c r="R27" i="3"/>
  <c r="T25" i="3"/>
  <c r="J29" i="3"/>
  <c r="M18" i="3"/>
  <c r="N77" i="2"/>
  <c r="N78" i="2" s="1"/>
  <c r="M45" i="2"/>
  <c r="M57" i="2" s="1"/>
  <c r="M3" i="2" s="1"/>
  <c r="M80" i="2"/>
  <c r="N41" i="2" l="1"/>
  <c r="N45" i="2" s="1"/>
  <c r="N57" i="2" s="1"/>
  <c r="N3" i="2" s="1"/>
  <c r="R32" i="3"/>
  <c r="D32" i="3"/>
  <c r="N33" i="3"/>
  <c r="T27" i="3"/>
  <c r="R28" i="3" s="1"/>
  <c r="T32" i="3" l="1"/>
  <c r="D35" i="3"/>
  <c r="N80" i="2"/>
  <c r="R33" i="3" l="1"/>
  <c r="D37" i="3"/>
  <c r="N37" i="3" l="1"/>
  <c r="N38" i="3" s="1"/>
  <c r="R35" i="3"/>
  <c r="N32" i="3"/>
  <c r="R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vengeanceaiUSCMODEL6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Forecast year label
WHY: Adds one year to the prior column’s fiscal-year label so forecast headers stay sequential.
PATTERN: ={p}2+1
LINK: https://www.sec.gov/Archives/edgar/data/814547/000081454725000030/fico-20250930.htm</t>
        </r>
      </text>
    </comment>
    <comment ref="J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Forecast year label
FORMULA: =I2+1
WHY: Adds one year to the prior column’s fiscal-year label so forecast headers stay sequential.
LINK: https://www.sec.gov/Archives/edgar/data/814547/000081454725000030/fico-20250930.htm</t>
        </r>
      </text>
    </comment>
    <comment ref="K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Forecast year label
FORMULA: =J2+1
WHY: Adds one year to the prior column’s fiscal-year label so forecast headers stay sequential.
LINK: https://www.sec.gov/Archives/edgar/data/814547/000081454725000030/fico-20250930.htm</t>
        </r>
      </text>
    </comment>
    <comment ref="L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Forecast year label
FORMULA: =K2+1
WHY: Adds one year to the prior column’s fiscal-year label so forecast headers stay sequential.
LINK: https://www.sec.gov/Archives/edgar/data/814547/000081454725000030/fico-20250930.htm</t>
        </r>
      </text>
    </comment>
    <comment ref="M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Forecast year label
FORMULA: =L2+1
WHY: Adds one year to the prior column’s fiscal-year label so forecast headers stay sequential.
LINK: https://www.sec.gov/Archives/edgar/data/814547/000081454725000030/fico-20250930.htm</t>
        </r>
      </text>
    </comment>
    <comment ref="N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Forecast year label
FORMULA: =M2+1
WHY: Adds one year to the prior column’s fiscal-year label so forecast headers stay sequential.
LINK: https://www.sec.gov/Archives/edgar/data/814547/000081454725000030/fico-20250930.htm</t>
        </r>
      </text>
    </comment>
    <comment ref="B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Balance sheet check
WHY: Flags ERROR if Assets ≠ L+E by more than $1k; otherwise OK. Protects the plug.
PATTERN: =IFERROR(IF(ABS({c}57)&gt;1,"ERROR","OK"),"OK")
LINK: https://www.sec.gov/Archives/edgar/data/814547/000081454725000030/fico-20250930.htm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=IFERROR(IF(ABS(J57)&gt;1,"ERROR","OK"),"OK")
WHY: Flags ERROR if Assets ≠ L+E by more than $1k; otherwise OK. Protects the plug.
LINK: https://www.sec.gov/Archives/edgar/data/814547/000081454725000030/fico-20250930.htm</t>
        </r>
      </text>
    </comment>
    <comment ref="K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=IFERROR(IF(ABS(K57)&gt;1,"ERROR","OK"),"OK")
WHY: Flags ERROR if Assets ≠ L+E by more than $1k; otherwise OK. Protects the plug.
LINK: https://www.sec.gov/Archives/edgar/data/814547/000081454725000030/fico-20250930.htm</t>
        </r>
      </text>
    </comment>
    <comment ref="L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=IFERROR(IF(ABS(L57)&gt;1,"ERROR","OK"),"OK")
WHY: Flags ERROR if Assets ≠ L+E by more than $1k; otherwise OK. Protects the plug.
LINK: https://www.sec.gov/Archives/edgar/data/814547/000081454725000030/fico-20250930.htm</t>
        </r>
      </text>
    </comment>
    <comment ref="M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=IFERROR(IF(ABS(M57)&gt;1,"ERROR","OK"),"OK")
WHY: Flags ERROR if Assets ≠ L+E by more than $1k; otherwise OK. Protects the plug.
LINK: https://www.sec.gov/Archives/edgar/data/814547/000081454725000030/fico-20250930.htm</t>
        </r>
      </text>
    </comment>
    <comment ref="N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=IFERROR(IF(ABS(N57)&gt;1,"ERROR","OK"),"OK")
WHY: Flags ERROR if Assets ≠ L+E by more than $1k; otherwise OK. Protects the plug.
LINK: https://www.sec.gov/Archives/edgar/data/814547/000081454725000030/fico-20250930.htm</t>
        </r>
      </text>
    </comment>
    <comment ref="B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J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K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L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M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N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U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B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J8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K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L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M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N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U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B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J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K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L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M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N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U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SGA % of Revenue
HOW: Equation: MAX(20%, (I28 − 10,922)/I24 − 25bps × year). Strips FY25 restructuring; then −0.25% of sales each year.
WHY: MODEL6 fix: enterprise software needs lasting G&amp;A (sales, legal, compliance). Floor raised from 5%→20%; grind cut from 50→25 bps so SGA stays in a realistic ~22–25% band near FY25 normalized (~25%).
SOURCE: SEC 10-K FY2025 — SG&amp;A + restructuring note
LINK: https://www.sec.gov/Archives/edgar/data/814547/000081454725000030/fico-20250930.htm</t>
        </r>
      </text>
    </comment>
    <comment ref="B1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J1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K1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L10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M10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N1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U10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B1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J11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K11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L11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M11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N1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U1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B1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J1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K1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L1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M1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N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U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B13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J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K13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L13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M13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N13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U13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B15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J15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K1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L15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M15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N15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U15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GROSS AR (not net of deferred).
WHY: MODEL6 fix: DSO must use gross receivables. Deferred Revenue is a contract liability projected separately (WC row 88 = Rev × FY25 Def/Rev). NWC = GrossAR + Inv − AP − Deferred.
SOURCE: SEC companyfacts XBRL — AR; DeferredRevenueCurrent separate
LINK: https://data.sec.gov/api/xbrl/companyfacts/CIK0000814547.json</t>
        </r>
      </text>
    </comment>
    <comment ref="B16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J16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K16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L1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M16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N16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U16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B1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J1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K1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L1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M1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N1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U1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B18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J18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K18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L18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M1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N18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U18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B19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J1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K19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L19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M19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N19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U19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B20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J20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K2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L20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M20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N2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U20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B24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Revenue
WHY: Prior-year revenue grown by this year’s policy growth rate; top-line driver of the model.
PATTERN: ={p}24*(1+{c}7)
LINK: https://www.sec.gov/Archives/edgar/data/814547/000081454726000031/exhibit991erq32026.htm</t>
        </r>
      </text>
    </comment>
    <comment ref="J24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Revenue
FORMULA: =I24*(1+J7)
WHY: Prior-year revenue grown by this year’s policy growth rate; top-line driver of the model.
LINK: https://www.sec.gov/Archives/edgar/data/814547/000081454726000031/exhibit991erq32026.htm</t>
        </r>
      </text>
    </comment>
    <comment ref="K24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Revenue
FORMULA: =J24*(1+K7)
WHY: Prior-year revenue grown by this year’s policy growth rate; top-line driver of the model.
LINK: https://www.sec.gov/Archives/edgar/data/814547/000081454726000031/exhibit991erq32026.htm</t>
        </r>
      </text>
    </comment>
    <comment ref="L24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Revenue
FORMULA: =K24*(1+L7)
WHY: Prior-year revenue grown by this year’s policy growth rate; top-line driver of the model.
LINK: https://www.sec.gov/Archives/edgar/data/814547/000081454726000031/exhibit991erq32026.htm</t>
        </r>
      </text>
    </comment>
    <comment ref="M24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Revenue
FORMULA: =L24*(1+M7)
WHY: Prior-year revenue grown by this year’s policy growth rate; top-line driver of the model.
LINK: https://www.sec.gov/Archives/edgar/data/814547/000081454726000031/exhibit991erq32026.htm</t>
        </r>
      </text>
    </comment>
    <comment ref="N24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Revenue
FORMULA: =M24*(1+N7)
WHY: Prior-year revenue grown by this year’s policy growth rate; top-line driver of the model.
LINK: https://www.sec.gov/Archives/edgar/data/814547/000081454726000031/exhibit991erq32026.htm</t>
        </r>
      </text>
    </comment>
    <comment ref="B25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COGS $
WHY: Revenue times COGS%; converts the held margin assumption into dollar cost of sales.
PATTERN: ={c}24*{c}8
LINK: https://www.sec.gov/Archives/edgar/data/814547/000081454725000030/fico-20250930.htm</t>
        </r>
      </text>
    </comment>
    <comment ref="J25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COGS $
FORMULA: =J24*J8
WHY: Revenue times COGS%; converts the held margin assumption into dollar cost of sales.
LINK: https://www.sec.gov/Archives/edgar/data/814547/000081454725000030/fico-20250930.htm</t>
        </r>
      </text>
    </comment>
    <comment ref="K25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COGS $
FORMULA: =K24*K8
WHY: Revenue times COGS%; converts the held margin assumption into dollar cost of sales.
LINK: https://www.sec.gov/Archives/edgar/data/814547/000081454725000030/fico-20250930.htm</t>
        </r>
      </text>
    </comment>
    <comment ref="L25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COGS $
FORMULA: =L24*L8
WHY: Revenue times COGS%; converts the held margin assumption into dollar cost of sales.
LINK: https://www.sec.gov/Archives/edgar/data/814547/000081454725000030/fico-20250930.htm</t>
        </r>
      </text>
    </comment>
    <comment ref="M25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COGS $
FORMULA: =M24*M8
WHY: Revenue times COGS%; converts the held margin assumption into dollar cost of sales.
LINK: https://www.sec.gov/Archives/edgar/data/814547/000081454725000030/fico-20250930.htm</t>
        </r>
      </text>
    </comment>
    <comment ref="N25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COGS $
FORMULA: =N24*N8
WHY: Revenue times COGS%; converts the held margin assumption into dollar cost of sales.
LINK: https://www.sec.gov/Archives/edgar/data/814547/000081454725000030/fico-20250930.htm</t>
        </r>
      </text>
    </comment>
    <comment ref="B26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Gross profit
WHY: Revenue minus COGS; contribution after direct cost of revenues before operating expenses.
PATTERN: ={c}24-{c}25
LINK: https://www.sec.gov/Archives/edgar/data/814547/000081454725000030/fico-20250930.htm</t>
        </r>
      </text>
    </comment>
    <comment ref="J26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Gross profit
FORMULA: =J24-J25
WHY: Revenue minus COGS; contribution after direct cost of revenues before operating expenses.
LINK: https://www.sec.gov/Archives/edgar/data/814547/000081454725000030/fico-20250930.htm</t>
        </r>
      </text>
    </comment>
    <comment ref="K26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Gross profit
FORMULA: =K24-K25
WHY: Revenue minus COGS; contribution after direct cost of revenues before operating expenses.
LINK: https://www.sec.gov/Archives/edgar/data/814547/000081454725000030/fico-20250930.htm</t>
        </r>
      </text>
    </comment>
    <comment ref="L26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Gross profit
FORMULA: =L24-L25
WHY: Revenue minus COGS; contribution after direct cost of revenues before operating expenses.
LINK: https://www.sec.gov/Archives/edgar/data/814547/000081454725000030/fico-20250930.htm</t>
        </r>
      </text>
    </comment>
    <comment ref="M26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Gross profit
FORMULA: =M24-M25
WHY: Revenue minus COGS; contribution after direct cost of revenues before operating expenses.
LINK: https://www.sec.gov/Archives/edgar/data/814547/000081454725000030/fico-20250930.htm</t>
        </r>
      </text>
    </comment>
    <comment ref="N26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Gross profit
FORMULA: =N24-N25
WHY: Revenue minus COGS; contribution after direct cost of revenues before operating expenses.
LINK: https://www.sec.gov/Archives/edgar/data/814547/000081454725000030/fico-20250930.htm</t>
        </r>
      </text>
    </comment>
    <comment ref="B28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SGA $
WHY: Revenue times SGA%; salaries/benefits dollars after the efficiency grind on the rate.
PATTERN: ={c}24*{c}9
LINK: https://www.sec.gov/Archives/edgar/data/814547/000081454725000030/fico-20250930.htm</t>
        </r>
      </text>
    </comment>
    <comment ref="J28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SGA $
FORMULA: =J24*J9
WHY: Revenue times SGA%; salaries/benefits dollars after the efficiency grind on the rate.
LINK: https://www.sec.gov/Archives/edgar/data/814547/000081454725000030/fico-20250930.htm</t>
        </r>
      </text>
    </comment>
    <comment ref="K28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SGA $
FORMULA: =K24*K9
WHY: Revenue times SGA%; salaries/benefits dollars after the efficiency grind on the rate.
LINK: https://www.sec.gov/Archives/edgar/data/814547/000081454725000030/fico-20250930.htm</t>
        </r>
      </text>
    </comment>
    <comment ref="L28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SGA $
FORMULA: =L24*L9
WHY: Revenue times SGA%; salaries/benefits dollars after the efficiency grind on the rate.
LINK: https://www.sec.gov/Archives/edgar/data/814547/000081454725000030/fico-20250930.htm</t>
        </r>
      </text>
    </comment>
    <comment ref="M28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SGA $
FORMULA: =M24*M9
WHY: Revenue times SGA%; salaries/benefits dollars after the efficiency grind on the rate.
LINK: https://www.sec.gov/Archives/edgar/data/814547/000081454725000030/fico-20250930.htm</t>
        </r>
      </text>
    </comment>
    <comment ref="N28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SGA $
FORMULA: =N24*N9
WHY: Revenue times SGA%; salaries/benefits dollars after the efficiency grind on the rate.
LINK: https://www.sec.gov/Archives/edgar/data/814547/000081454725000030/fico-20250930.htm</t>
        </r>
      </text>
    </comment>
    <comment ref="B29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R&amp;D $
WHY: Revenue times R&amp;D%; research spend scales with sales at the FY25 reinvestment rate.
PATTERN: ={c}24*{c}10
LINK: https://www.sec.gov/Archives/edgar/data/814547/000081454725000030/fico-20250930.htm</t>
        </r>
      </text>
    </comment>
    <comment ref="J29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R&amp;D $
FORMULA: =J24*J10
WHY: Revenue times R&amp;D%; research spend scales with sales at the FY25 reinvestment rate.
LINK: https://www.sec.gov/Archives/edgar/data/814547/000081454725000030/fico-20250930.htm</t>
        </r>
      </text>
    </comment>
    <comment ref="K29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R&amp;D $
FORMULA: =K24*K10
WHY: Revenue times R&amp;D%; research spend scales with sales at the FY25 reinvestment rate.
LINK: https://www.sec.gov/Archives/edgar/data/814547/000081454725000030/fico-20250930.htm</t>
        </r>
      </text>
    </comment>
    <comment ref="L29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R&amp;D $
FORMULA: =L24*L10
WHY: Revenue times R&amp;D%; research spend scales with sales at the FY25 reinvestment rate.
LINK: https://www.sec.gov/Archives/edgar/data/814547/000081454725000030/fico-20250930.htm</t>
        </r>
      </text>
    </comment>
    <comment ref="M29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R&amp;D $
FORMULA: =M24*M10
WHY: Revenue times R&amp;D%; research spend scales with sales at the FY25 reinvestment rate.
LINK: https://www.sec.gov/Archives/edgar/data/814547/000081454725000030/fico-20250930.htm</t>
        </r>
      </text>
    </comment>
    <comment ref="N29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R&amp;D $
FORMULA: =N24*N10
WHY: Revenue times R&amp;D%; research spend scales with sales at the FY25 reinvestment rate.
LINK: https://www.sec.gov/Archives/edgar/data/814547/000081454725000030/fico-20250930.htm</t>
        </r>
      </text>
    </comment>
    <comment ref="B30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D&amp;A $
WHY: Average PP&amp;E times DA% so new CapEx is depreciated in the year added.
PATTERN: =((Open+Open+CapEx)/2)×DA%
LINK: https://www.sec.gov/Archives/edgar/data/814547/000081454725000030/fico-20250930.htm</t>
        </r>
      </text>
    </comment>
    <comment ref="J30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K30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L30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M30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N30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B31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Interest $
WHY: Opening debt times interest%; coupon on the debt stock while issuance policy is zero.
PATTERN: ={c}98*{c}12
LINK: https://www.sec.gov/Archives/edgar/data/814547/000081454725000030/fico-20250930.htm</t>
        </r>
      </text>
    </comment>
    <comment ref="J31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Interest $
FORMULA: =J98*J12
WHY: Opening debt times interest%; coupon on the debt stock while issuance policy is zero.
LINK: https://www.sec.gov/Archives/edgar/data/814547/000081454725000030/fico-20250930.htm</t>
        </r>
      </text>
    </comment>
    <comment ref="K31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Interest $
FORMULA: =K98*K12
WHY: Opening debt times interest%; coupon on the debt stock while issuance policy is zero.
LINK: https://www.sec.gov/Archives/edgar/data/814547/000081454725000030/fico-20250930.htm</t>
        </r>
      </text>
    </comment>
    <comment ref="L31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Interest $
FORMULA: =L98*L12
WHY: Opening debt times interest%; coupon on the debt stock while issuance policy is zero.
LINK: https://www.sec.gov/Archives/edgar/data/814547/000081454725000030/fico-20250930.htm</t>
        </r>
      </text>
    </comment>
    <comment ref="M31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Interest $
FORMULA: =M98*M12
WHY: Opening debt times interest%; coupon on the debt stock while issuance policy is zero.
LINK: https://www.sec.gov/Archives/edgar/data/814547/000081454725000030/fico-20250930.htm</t>
        </r>
      </text>
    </comment>
    <comment ref="N31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Interest $
FORMULA: =N98*N12
WHY: Opening debt times interest%; coupon on the debt stock while issuance policy is zero.
LINK: https://www.sec.gov/Archives/edgar/data/814547/000081454725000030/fico-20250930.htm</t>
        </r>
      </text>
    </comment>
    <comment ref="B32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Total expenses
WHY: Sum of SGA, R&amp;D, D&amp;A, and interest; all operating and financing costs above EBT.
PATTERN: =SUM({c}28:{c}31)
LINK: https://www.sec.gov/Archives/edgar/data/814547/000081454725000030/fico-20250930.htm</t>
        </r>
      </text>
    </comment>
    <comment ref="J32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Total expenses
FORMULA: =SUM(J28:J31)
WHY: Sum of SGA, R&amp;D, D&amp;A, and interest; all operating and financing costs above EBT.
LINK: https://www.sec.gov/Archives/edgar/data/814547/000081454725000030/fico-20250930.htm</t>
        </r>
      </text>
    </comment>
    <comment ref="K32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Total expenses
FORMULA: =SUM(K28:K31)
WHY: Sum of SGA, R&amp;D, D&amp;A, and interest; all operating and financing costs above EBT.
LINK: https://www.sec.gov/Archives/edgar/data/814547/000081454725000030/fico-20250930.htm</t>
        </r>
      </text>
    </comment>
    <comment ref="L32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Total expenses
FORMULA: =SUM(L28:L31)
WHY: Sum of SGA, R&amp;D, D&amp;A, and interest; all operating and financing costs above EBT.
LINK: https://www.sec.gov/Archives/edgar/data/814547/000081454725000030/fico-20250930.htm</t>
        </r>
      </text>
    </comment>
    <comment ref="M32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Total expenses
FORMULA: =SUM(M28:M31)
WHY: Sum of SGA, R&amp;D, D&amp;A, and interest; all operating and financing costs above EBT.
LINK: https://www.sec.gov/Archives/edgar/data/814547/000081454725000030/fico-20250930.htm</t>
        </r>
      </text>
    </comment>
    <comment ref="N32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Total expenses
FORMULA: =SUM(N28:N31)
WHY: Sum of SGA, R&amp;D, D&amp;A, and interest; all operating and financing costs above EBT.
LINK: https://www.sec.gov/Archives/edgar/data/814547/000081454725000030/fico-20250930.htm</t>
        </r>
      </text>
    </comment>
    <comment ref="B33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EBT
WHY: Gross profit minus total expenses; earnings before tax in this simplified template.
PATTERN: ={c}26-{c}32
LINK: https://www.sec.gov/Archives/edgar/data/814547/000081454725000030/fico-20250930.htm</t>
        </r>
      </text>
    </comment>
    <comment ref="J33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EBT
FORMULA: =J26-J32
WHY: Gross profit minus total expenses; earnings before tax in this simplified template.
LINK: https://www.sec.gov/Archives/edgar/data/814547/000081454725000030/fico-20250930.htm</t>
        </r>
      </text>
    </comment>
    <comment ref="K33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EBT
FORMULA: =K26-K32
WHY: Gross profit minus total expenses; earnings before tax in this simplified template.
LINK: https://www.sec.gov/Archives/edgar/data/814547/000081454725000030/fico-20250930.htm</t>
        </r>
      </text>
    </comment>
    <comment ref="L33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EBT
FORMULA: =L26-L32
WHY: Gross profit minus total expenses; earnings before tax in this simplified template.
LINK: https://www.sec.gov/Archives/edgar/data/814547/000081454725000030/fico-20250930.htm</t>
        </r>
      </text>
    </comment>
    <comment ref="M33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EBT
FORMULA: =M26-M32
WHY: Gross profit minus total expenses; earnings before tax in this simplified template.
LINK: https://www.sec.gov/Archives/edgar/data/814547/000081454725000030/fico-20250930.htm</t>
        </r>
      </text>
    </comment>
    <comment ref="N33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EBT
FORMULA: =N26-N32
WHY: Gross profit minus total expenses; earnings before tax in this simplified template.
LINK: https://www.sec.gov/Archives/edgar/data/814547/000081454725000030/fico-20250930.htm</t>
        </r>
      </text>
    </comment>
    <comment ref="B35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Taxes $
WHY: EBT times effective tax rate; book tax expense for the income statement.
PATTERN: ={c}33*{c}13
LINK: https://www.sec.gov/Archives/edgar/data/814547/000081454725000030/fico-20250930.htm</t>
        </r>
      </text>
    </comment>
    <comment ref="J35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Taxes $
FORMULA: =J33*J13
WHY: EBT times effective tax rate; book tax expense for the income statement.
LINK: https://www.sec.gov/Archives/edgar/data/814547/000081454725000030/fico-20250930.htm</t>
        </r>
      </text>
    </comment>
    <comment ref="K35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Taxes $
FORMULA: =K33*K13
WHY: EBT times effective tax rate; book tax expense for the income statement.
LINK: https://www.sec.gov/Archives/edgar/data/814547/000081454725000030/fico-20250930.htm</t>
        </r>
      </text>
    </comment>
    <comment ref="L35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Taxes $
FORMULA: =L33*L13
WHY: EBT times effective tax rate; book tax expense for the income statement.
LINK: https://www.sec.gov/Archives/edgar/data/814547/000081454725000030/fico-20250930.htm</t>
        </r>
      </text>
    </comment>
    <comment ref="M35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Taxes $
FORMULA: =M33*M13
WHY: EBT times effective tax rate; book tax expense for the income statement.
LINK: https://www.sec.gov/Archives/edgar/data/814547/000081454725000030/fico-20250930.htm</t>
        </r>
      </text>
    </comment>
    <comment ref="N35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Taxes $
FORMULA: =N33*N13
WHY: EBT times effective tax rate; book tax expense for the income statement.
LINK: https://www.sec.gov/Archives/edgar/data/814547/000081454725000030/fico-20250930.htm</t>
        </r>
      </text>
    </comment>
    <comment ref="B36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Net earnings
WHY: EBT kept after tax; full equation, not a pointer, so NI tracks the tax rate driver.
PATTERN: ={c}33*(1-{c}13)
LINK: https://www.sec.gov/Archives/edgar/data/814547/000081454725000030/fico-20250930.htm</t>
        </r>
      </text>
    </comment>
    <comment ref="J36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Net earnings
FORMULA: =J33*(1-J13)
WHY: EBT kept after tax; full equation, not a pointer, so NI tracks the tax rate driver.
LINK: https://www.sec.gov/Archives/edgar/data/814547/000081454725000030/fico-20250930.htm</t>
        </r>
      </text>
    </comment>
    <comment ref="K36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Net earnings
FORMULA: =K33*(1-K13)
WHY: EBT kept after tax; full equation, not a pointer, so NI tracks the tax rate driver.
LINK: https://www.sec.gov/Archives/edgar/data/814547/000081454725000030/fico-20250930.htm</t>
        </r>
      </text>
    </comment>
    <comment ref="L36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Net earnings
FORMULA: =L33*(1-L13)
WHY: EBT kept after tax; full equation, not a pointer, so NI tracks the tax rate driver.
LINK: https://www.sec.gov/Archives/edgar/data/814547/000081454725000030/fico-20250930.htm</t>
        </r>
      </text>
    </comment>
    <comment ref="M36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Net earnings
FORMULA: =M33*(1-M13)
WHY: EBT kept after tax; full equation, not a pointer, so NI tracks the tax rate driver.
LINK: https://www.sec.gov/Archives/edgar/data/814547/000081454725000030/fico-20250930.htm</t>
        </r>
      </text>
    </comment>
    <comment ref="N36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Net earnings
FORMULA: =N33*(1-N13)
WHY: EBT kept after tax; full equation, not a pointer, so NI tracks the tax rate driver.
LINK: https://www.sec.gov/Archives/edgar/data/814547/000081454725000030/fico-20250930.htm</t>
        </r>
      </text>
    </comment>
    <comment ref="B41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Cash (BS)
WHY: Balance-sheet cash equals cash-flow closing cash so the three statements stay linked.
PATTERN: ={c}78
LINK: https://www.sec.gov/Archives/edgar/data/814547/000081454725000030/fico-20250930.htm</t>
        </r>
      </text>
    </comment>
    <comment ref="J41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Cash (BS)
FORMULA: =J78
WHY: Balance-sheet cash equals cash-flow closing cash so the three statements stay linked.
LINK: https://www.sec.gov/Archives/edgar/data/814547/000081454725000030/fico-20250930.htm</t>
        </r>
      </text>
    </comment>
    <comment ref="K41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Cash (BS)
FORMULA: =K78
WHY: Balance-sheet cash equals cash-flow closing cash so the three statements stay linked.
LINK: https://www.sec.gov/Archives/edgar/data/814547/000081454725000030/fico-20250930.htm</t>
        </r>
      </text>
    </comment>
    <comment ref="L41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Cash (BS)
FORMULA: =L78
WHY: Balance-sheet cash equals cash-flow closing cash so the three statements stay linked.
LINK: https://www.sec.gov/Archives/edgar/data/814547/000081454725000030/fico-20250930.htm</t>
        </r>
      </text>
    </comment>
    <comment ref="M41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Cash (BS)
FORMULA: =M78
WHY: Balance-sheet cash equals cash-flow closing cash so the three statements stay linked.
LINK: https://www.sec.gov/Archives/edgar/data/814547/000081454725000030/fico-20250930.htm</t>
        </r>
      </text>
    </comment>
    <comment ref="N41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Cash (BS)
FORMULA: =N78
WHY: Balance-sheet cash equals cash-flow closing cash so the three statements stay linked.
LINK: https://www.sec.gov/Archives/edgar/data/814547/000081454725000030/fico-20250930.htm</t>
        </r>
      </text>
    </comment>
    <comment ref="B42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AR $
WHY: Revenue × AR days / 365; receivables from the days-sales-outstanding assumption.
PATTERN: ={c}24*{c}15/365
LINK: https://data.sec.gov/api/xbrl/companyfacts/CIK0000814547.json</t>
        </r>
      </text>
    </comment>
    <comment ref="J42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AR $
FORMULA: =J24*J15/365
WHY: Revenue × AR days / 365; receivables from the days-sales-outstanding assumption.
LINK: https://data.sec.gov/api/xbrl/companyfacts/CIK0000814547.json</t>
        </r>
      </text>
    </comment>
    <comment ref="K42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AR $
FORMULA: =K24*K15/365
WHY: Revenue × AR days / 365; receivables from the days-sales-outstanding assumption.
LINK: https://data.sec.gov/api/xbrl/companyfacts/CIK0000814547.json</t>
        </r>
      </text>
    </comment>
    <comment ref="L42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AR $
FORMULA: =L24*L15/365
WHY: Revenue × AR days / 365; receivables from the days-sales-outstanding assumption.
LINK: https://data.sec.gov/api/xbrl/companyfacts/CIK0000814547.json</t>
        </r>
      </text>
    </comment>
    <comment ref="M42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AR $
FORMULA: =M24*M15/365
WHY: Revenue × AR days / 365; receivables from the days-sales-outstanding assumption.
LINK: https://data.sec.gov/api/xbrl/companyfacts/CIK0000814547.json</t>
        </r>
      </text>
    </comment>
    <comment ref="N42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AR $
FORMULA: =N24*N15/365
WHY: Revenue × AR days / 365; receivables from the days-sales-outstanding assumption.
LINK: https://data.sec.gov/api/xbrl/companyfacts/CIK0000814547.json</t>
        </r>
      </text>
    </comment>
    <comment ref="B43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Inventory $
WHY: COGS × inventory days / 365; stays zero because inventory days are policy zero.
PATTERN: ={c}25*{c}16/365
LINK: https://www.sec.gov/Archives/edgar/data/814547/000081454725000030/fico-20250930.htm</t>
        </r>
      </text>
    </comment>
    <comment ref="J43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Inventory $
FORMULA: =J25*J16/365
WHY: COGS × inventory days / 365; stays zero because inventory days are policy zero.
LINK: https://www.sec.gov/Archives/edgar/data/814547/000081454725000030/fico-20250930.htm</t>
        </r>
      </text>
    </comment>
    <comment ref="K43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Inventory $
FORMULA: =K25*K16/365
WHY: COGS × inventory days / 365; stays zero because inventory days are policy zero.
LINK: https://www.sec.gov/Archives/edgar/data/814547/000081454725000030/fico-20250930.htm</t>
        </r>
      </text>
    </comment>
    <comment ref="L43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Inventory $
FORMULA: =L25*L16/365
WHY: COGS × inventory days / 365; stays zero because inventory days are policy zero.
LINK: https://www.sec.gov/Archives/edgar/data/814547/000081454725000030/fico-20250930.htm</t>
        </r>
      </text>
    </comment>
    <comment ref="M43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Inventory $
FORMULA: =M25*M16/365
WHY: COGS × inventory days / 365; stays zero because inventory days are policy zero.
LINK: https://www.sec.gov/Archives/edgar/data/814547/000081454725000030/fico-20250930.htm</t>
        </r>
      </text>
    </comment>
    <comment ref="N43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Inventory $
FORMULA: =N25*N16/365
WHY: COGS × inventory days / 365; stays zero because inventory days are policy zero.
LINK: https://www.sec.gov/Archives/edgar/data/814547/000081454725000030/fico-20250930.htm</t>
        </r>
      </text>
    </comment>
    <comment ref="B44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PP&amp;E (BS)
WHY: Net PP&amp;E equals the PPE schedule closing balance after CapEx and depreciation.
PATTERN: ={c}95
LINK: https://www.sec.gov/Archives/edgar/data/814547/000081454725000030/fico-20250930.htm</t>
        </r>
      </text>
    </comment>
    <comment ref="J44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PP&amp;E (BS)
FORMULA: =J95
WHY: Net PP&amp;E equals the PPE schedule closing balance after CapEx and depreciation.
LINK: https://www.sec.gov/Archives/edgar/data/814547/000081454725000030/fico-20250930.htm</t>
        </r>
      </text>
    </comment>
    <comment ref="K44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PP&amp;E (BS)
FORMULA: =K95
WHY: Net PP&amp;E equals the PPE schedule closing balance after CapEx and depreciation.
LINK: https://www.sec.gov/Archives/edgar/data/814547/000081454725000030/fico-20250930.htm</t>
        </r>
      </text>
    </comment>
    <comment ref="L44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PP&amp;E (BS)
FORMULA: =L95
WHY: Net PP&amp;E equals the PPE schedule closing balance after CapEx and depreciation.
LINK: https://www.sec.gov/Archives/edgar/data/814547/000081454725000030/fico-20250930.htm</t>
        </r>
      </text>
    </comment>
    <comment ref="M44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PP&amp;E (BS)
FORMULA: =M95
WHY: Net PP&amp;E equals the PPE schedule closing balance after CapEx and depreciation.
LINK: https://www.sec.gov/Archives/edgar/data/814547/000081454725000030/fico-20250930.htm</t>
        </r>
      </text>
    </comment>
    <comment ref="N44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PP&amp;E (BS)
FORMULA: =N95
WHY: Net PP&amp;E equals the PPE schedule closing balance after CapEx and depreciation.
LINK: https://www.sec.gov/Archives/edgar/data/814547/000081454725000030/fico-20250930.htm</t>
        </r>
      </text>
    </comment>
    <comment ref="B45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Total assets
WHY: Cash + AR + inventory + PP&amp;E; simplified asset base used for the balance-sheet check.
PATTERN: =SUM({c}41:{c}44)
LINK: https://www.sec.gov/Archives/edgar/data/814547/000081454725000030/fico-20250930.htm</t>
        </r>
      </text>
    </comment>
    <comment ref="J45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Total assets
FORMULA: =SUM(J41:J44)
WHY: Cash + AR + inventory + PP&amp;E; simplified asset base used for the balance-sheet check.
LINK: https://www.sec.gov/Archives/edgar/data/814547/000081454725000030/fico-20250930.htm</t>
        </r>
      </text>
    </comment>
    <comment ref="K45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Total assets
FORMULA: =SUM(K41:K44)
WHY: Cash + AR + inventory + PP&amp;E; simplified asset base used for the balance-sheet check.
LINK: https://www.sec.gov/Archives/edgar/data/814547/000081454725000030/fico-20250930.htm</t>
        </r>
      </text>
    </comment>
    <comment ref="L45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Total assets
FORMULA: =SUM(L41:L44)
WHY: Cash + AR + inventory + PP&amp;E; simplified asset base used for the balance-sheet check.
LINK: https://www.sec.gov/Archives/edgar/data/814547/000081454725000030/fico-20250930.htm</t>
        </r>
      </text>
    </comment>
    <comment ref="M45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Total assets
FORMULA: =SUM(M41:M44)
WHY: Cash + AR + inventory + PP&amp;E; simplified asset base used for the balance-sheet check.
LINK: https://www.sec.gov/Archives/edgar/data/814547/000081454725000030/fico-20250930.htm</t>
        </r>
      </text>
    </comment>
    <comment ref="N45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Total assets
FORMULA: =SUM(N41:N44)
WHY: Cash + AR + inventory + PP&amp;E; simplified asset base used for the balance-sheet check.
LINK: https://www.sec.gov/Archives/edgar/data/814547/000081454725000030/fico-20250930.htm</t>
        </r>
      </text>
    </comment>
    <comment ref="B48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AP $
WHY: COGS × AP days / 365; payables funded by the payable-days assumption.
PATTERN: ={c}25*{c}17/365
LINK: https://www.sec.gov/Archives/edgar/data/814547/000081454725000030/fico-20250930.htm</t>
        </r>
      </text>
    </comment>
    <comment ref="J48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AP $
FORMULA: =J25*J17/365
WHY: COGS × AP days / 365; payables funded by the payable-days assumption.
LINK: https://www.sec.gov/Archives/edgar/data/814547/000081454725000030/fico-20250930.htm</t>
        </r>
      </text>
    </comment>
    <comment ref="K48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AP $
FORMULA: =K25*K17/365
WHY: COGS × AP days / 365; payables funded by the payable-days assumption.
LINK: https://www.sec.gov/Archives/edgar/data/814547/000081454725000030/fico-20250930.htm</t>
        </r>
      </text>
    </comment>
    <comment ref="L48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AP $
FORMULA: =L25*L17/365
WHY: COGS × AP days / 365; payables funded by the payable-days assumption.
LINK: https://www.sec.gov/Archives/edgar/data/814547/000081454725000030/fico-20250930.htm</t>
        </r>
      </text>
    </comment>
    <comment ref="M48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AP $
FORMULA: =M25*M17/365
WHY: COGS × AP days / 365; payables funded by the payable-days assumption.
LINK: https://www.sec.gov/Archives/edgar/data/814547/000081454725000030/fico-20250930.htm</t>
        </r>
      </text>
    </comment>
    <comment ref="N48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AP $
FORMULA: =N25*N17/365
WHY: COGS × AP days / 365; payables funded by the payable-days assumption.
LINK: https://www.sec.gov/Archives/edgar/data/814547/000081454725000030/fico-20250930.htm</t>
        </r>
      </text>
    </comment>
    <comment ref="B49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Debt (BS)
WHY: Debt equals the debt-schedule closing balance (open + issuance, issuance usually 0).
PATTERN: ={c}100
LINK: https://www.sec.gov/Archives/edgar/data/814547/000081454725000030/fico-20250930.htm</t>
        </r>
      </text>
    </comment>
    <comment ref="J49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Debt (BS)
FORMULA: =J100
WHY: Debt equals the debt-schedule closing balance (open + issuance, issuance usually 0).
LINK: https://www.sec.gov/Archives/edgar/data/814547/000081454725000030/fico-20250930.htm</t>
        </r>
      </text>
    </comment>
    <comment ref="K49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Debt (BS)
FORMULA: =K100
WHY: Debt equals the debt-schedule closing balance (open + issuance, issuance usually 0).
LINK: https://www.sec.gov/Archives/edgar/data/814547/000081454725000030/fico-20250930.htm</t>
        </r>
      </text>
    </comment>
    <comment ref="L49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Debt (BS)
FORMULA: =L100
WHY: Debt equals the debt-schedule closing balance (open + issuance, issuance usually 0).
LINK: https://www.sec.gov/Archives/edgar/data/814547/000081454725000030/fico-20250930.htm</t>
        </r>
      </text>
    </comment>
    <comment ref="M49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Debt (BS)
FORMULA: =M100
WHY: Debt equals the debt-schedule closing balance (open + issuance, issuance usually 0).
LINK: https://www.sec.gov/Archives/edgar/data/814547/000081454725000030/fico-20250930.htm</t>
        </r>
      </text>
    </comment>
    <comment ref="N49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Debt (BS)
FORMULA: =N100
WHY: Debt equals the debt-schedule closing balance (open + issuance, issuance usually 0).
LINK: https://www.sec.gov/Archives/edgar/data/814547/000081454725000030/fico-20250930.htm</t>
        </r>
      </text>
    </comment>
    <comment ref="B50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Total liabilities
WHY: Accounts payable plus debt; simplified liability total in this teaching template.
PATTERN: =SUM({c}48:{c}49)
LINK: https://www.sec.gov/Archives/edgar/data/814547/000081454725000030/fico-20250930.htm</t>
        </r>
      </text>
    </comment>
    <comment ref="J50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Total liabilities
FORMULA: =SUM(J48:J49)
WHY: Accounts payable plus debt; simplified liability total in this teaching template.
LINK: https://www.sec.gov/Archives/edgar/data/814547/000081454725000030/fico-20250930.htm</t>
        </r>
      </text>
    </comment>
    <comment ref="K50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Total liabilities
FORMULA: =SUM(K48:K49)
WHY: Accounts payable plus debt; simplified liability total in this teaching template.
LINK: https://www.sec.gov/Archives/edgar/data/814547/000081454725000030/fico-20250930.htm</t>
        </r>
      </text>
    </comment>
    <comment ref="L50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Total liabilities
FORMULA: =SUM(L48:L49)
WHY: Accounts payable plus debt; simplified liability total in this teaching template.
LINK: https://www.sec.gov/Archives/edgar/data/814547/000081454725000030/fico-20250930.htm</t>
        </r>
      </text>
    </comment>
    <comment ref="M50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Total liabilities
FORMULA: =SUM(M48:M49)
WHY: Accounts payable plus debt; simplified liability total in this teaching template.
LINK: https://www.sec.gov/Archives/edgar/data/814547/000081454725000030/fico-20250930.htm</t>
        </r>
      </text>
    </comment>
    <comment ref="N50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Total liabilities
FORMULA: =SUM(N48:N49)
WHY: Accounts payable plus debt; simplified liability total in this teaching template.
LINK: https://www.sec.gov/Archives/edgar/data/814547/000081454725000030/fico-20250930.htm</t>
        </r>
      </text>
    </comment>
    <comment ref="B52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Equity capital
WHY: Prior equity capital plus equity issued/(repurchased); policy keeps issuance at zero.
PATTERN: ={p}52+{c}20
LINK: https://www.sec.gov/Archives/edgar/data/814547/000081454725000030/fico-20250930.htm</t>
        </r>
      </text>
    </comment>
    <comment ref="J52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Equity capital
FORMULA: =I52+J20
WHY: Prior equity capital plus equity issued/(repurchased); policy keeps issuance at zero.
LINK: https://www.sec.gov/Archives/edgar/data/814547/000081454725000030/fico-20250930.htm</t>
        </r>
      </text>
    </comment>
    <comment ref="K52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Equity capital
FORMULA: =J52+K20
WHY: Prior equity capital plus equity issued/(repurchased); policy keeps issuance at zero.
LINK: https://www.sec.gov/Archives/edgar/data/814547/000081454725000030/fico-20250930.htm</t>
        </r>
      </text>
    </comment>
    <comment ref="L52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Equity capital
FORMULA: =K52+L20
WHY: Prior equity capital plus equity issued/(repurchased); policy keeps issuance at zero.
LINK: https://www.sec.gov/Archives/edgar/data/814547/000081454725000030/fico-20250930.htm</t>
        </r>
      </text>
    </comment>
    <comment ref="M52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Equity capital
FORMULA: =L52+M20
WHY: Prior equity capital plus equity issued/(repurchased); policy keeps issuance at zero.
LINK: https://www.sec.gov/Archives/edgar/data/814547/000081454725000030/fico-20250930.htm</t>
        </r>
      </text>
    </comment>
    <comment ref="N52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Equity capital
FORMULA: =M52+N20
WHY: Prior equity capital plus equity issued/(repurchased); policy keeps issuance at zero.
LINK: https://www.sec.gov/Archives/edgar/data/814547/000081454725000030/fico-20250930.htm</t>
        </r>
      </text>
    </comment>
    <comment ref="B53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Retained earnings
WHY: Prior RE plus this year’s net earnings; accumulates NI into equity without dividends.
PATTERN: ={p}53+{c}33*(1-{c}13)
LINK: https://www.sec.gov/Archives/edgar/data/814547/000081454725000030/fico-20250930.htm</t>
        </r>
      </text>
    </comment>
    <comment ref="J53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Retained earnings
FORMULA: =I53+J33*(1-J13)
WHY: Prior RE plus this year’s net earnings; accumulates NI into equity without dividends.
LINK: https://www.sec.gov/Archives/edgar/data/814547/000081454725000030/fico-20250930.htm</t>
        </r>
      </text>
    </comment>
    <comment ref="K53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Retained earnings
FORMULA: =J53+K33*(1-K13)
WHY: Prior RE plus this year’s net earnings; accumulates NI into equity without dividends.
LINK: https://www.sec.gov/Archives/edgar/data/814547/000081454725000030/fico-20250930.htm</t>
        </r>
      </text>
    </comment>
    <comment ref="L53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Retained earnings
FORMULA: =K53+L33*(1-L13)
WHY: Prior RE plus this year’s net earnings; accumulates NI into equity without dividends.
LINK: https://www.sec.gov/Archives/edgar/data/814547/000081454725000030/fico-20250930.htm</t>
        </r>
      </text>
    </comment>
    <comment ref="M53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Retained earnings
FORMULA: =L53+M33*(1-M13)
WHY: Prior RE plus this year’s net earnings; accumulates NI into equity without dividends.
LINK: https://www.sec.gov/Archives/edgar/data/814547/000081454725000030/fico-20250930.htm</t>
        </r>
      </text>
    </comment>
    <comment ref="N53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Retained earnings
FORMULA: =M53+N33*(1-N13)
WHY: Prior RE plus this year’s net earnings; accumulates NI into equity without dividends.
LINK: https://www.sec.gov/Archives/edgar/data/814547/000081454725000030/fico-20250930.htm</t>
        </r>
      </text>
    </comment>
    <comment ref="B54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Shareholders’ equity
WHY: Equity capital plus retained earnings; book equity for the L+E side of the check.
PATTERN: =SUM({c}52:{c}53)
LINK: https://www.sec.gov/Archives/edgar/data/814547/000081454725000030/fico-20250930.htm</t>
        </r>
      </text>
    </comment>
    <comment ref="J54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Shareholders’ equity
FORMULA: =SUM(J52:J53)
WHY: Equity capital plus retained earnings; book equity for the L+E side of the check.
LINK: https://www.sec.gov/Archives/edgar/data/814547/000081454725000030/fico-20250930.htm</t>
        </r>
      </text>
    </comment>
    <comment ref="K54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Shareholders’ equity
FORMULA: =SUM(K52:K53)
WHY: Equity capital plus retained earnings; book equity for the L+E side of the check.
LINK: https://www.sec.gov/Archives/edgar/data/814547/000081454725000030/fico-20250930.htm</t>
        </r>
      </text>
    </comment>
    <comment ref="L54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Shareholders’ equity
FORMULA: =SUM(L52:L53)
WHY: Equity capital plus retained earnings; book equity for the L+E side of the check.
LINK: https://www.sec.gov/Archives/edgar/data/814547/000081454725000030/fico-20250930.htm</t>
        </r>
      </text>
    </comment>
    <comment ref="M54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Shareholders’ equity
FORMULA: =SUM(M52:M53)
WHY: Equity capital plus retained earnings; book equity for the L+E side of the check.
LINK: https://www.sec.gov/Archives/edgar/data/814547/000081454725000030/fico-20250930.htm</t>
        </r>
      </text>
    </comment>
    <comment ref="N54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Shareholders’ equity
FORMULA: =SUM(N52:N53)
WHY: Equity capital plus retained earnings; book equity for the L+E side of the check.
LINK: https://www.sec.gov/Archives/edgar/data/814547/000081454725000030/fico-20250930.htm</t>
        </r>
      </text>
    </comment>
    <comment ref="B55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Total L+E
WHY: Liabilities plus equity; must equal total assets when the model is in balance.
PATTERN: ={c}50+{c}54
LINK: https://www.sec.gov/Archives/edgar/data/814547/000081454725000030/fico-20250930.htm</t>
        </r>
      </text>
    </comment>
    <comment ref="J55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Total L+E
FORMULA: =J50+J54
WHY: Liabilities plus equity; must equal total assets when the model is in balance.
LINK: https://www.sec.gov/Archives/edgar/data/814547/000081454725000030/fico-20250930.htm</t>
        </r>
      </text>
    </comment>
    <comment ref="K55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Total L+E
FORMULA: =K50+K54
WHY: Liabilities plus equity; must equal total assets when the model is in balance.
LINK: https://www.sec.gov/Archives/edgar/data/814547/000081454725000030/fico-20250930.htm</t>
        </r>
      </text>
    </comment>
    <comment ref="L55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Total L+E
FORMULA: =L50+L54
WHY: Liabilities plus equity; must equal total assets when the model is in balance.
LINK: https://www.sec.gov/Archives/edgar/data/814547/000081454725000030/fico-20250930.htm</t>
        </r>
      </text>
    </comment>
    <comment ref="M55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Total L+E
FORMULA: =M50+M54
WHY: Liabilities plus equity; must equal total assets when the model is in balance.
LINK: https://www.sec.gov/Archives/edgar/data/814547/000081454725000030/fico-20250930.htm</t>
        </r>
      </text>
    </comment>
    <comment ref="N55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Total L+E
FORMULA: =N50+N54
WHY: Liabilities plus equity; must equal total assets when the model is in balance.
LINK: https://www.sec.gov/Archives/edgar/data/814547/000081454725000030/fico-20250930.htm</t>
        </r>
      </text>
    </comment>
    <comment ref="B5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BS imbalance
WHY: L+E minus assets; should be ~0. Nonzero means a link or plug is broken.
PATTERN: ={c}55-{c}45
LINK: https://www.sec.gov/Archives/edgar/data/814547/000081454725000030/fico-20250930.htm</t>
        </r>
      </text>
    </comment>
    <comment ref="J57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BS imbalance
FORMULA: =J55-J45
WHY: L+E minus assets; should be ~0. Nonzero means a link or plug is broken.
LINK: https://www.sec.gov/Archives/edgar/data/814547/000081454725000030/fico-20250930.htm</t>
        </r>
      </text>
    </comment>
    <comment ref="K57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BS imbalance
FORMULA: =K55-K45
WHY: L+E minus assets; should be ~0. Nonzero means a link or plug is broken.
LINK: https://www.sec.gov/Archives/edgar/data/814547/000081454725000030/fico-20250930.htm</t>
        </r>
      </text>
    </comment>
    <comment ref="L57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BS imbalance
FORMULA: =L55-L45
WHY: L+E minus assets; should be ~0. Nonzero means a link or plug is broken.
LINK: https://www.sec.gov/Archives/edgar/data/814547/000081454725000030/fico-20250930.htm</t>
        </r>
      </text>
    </comment>
    <comment ref="M57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BS imbalance
FORMULA: =M55-M45
WHY: L+E minus assets; should be ~0. Nonzero means a link or plug is broken.
LINK: https://www.sec.gov/Archives/edgar/data/814547/000081454725000030/fico-20250930.htm</t>
        </r>
      </text>
    </comment>
    <comment ref="N57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BS imbalance
FORMULA: =N55-N45
WHY: L+E minus assets; should be ~0. Nonzero means a link or plug is broken.
LINK: https://www.sec.gov/Archives/edgar/data/814547/000081454725000030/fico-20250930.htm</t>
        </r>
      </text>
    </comment>
    <comment ref="B62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CF net earnings
WHY: Same NI equation as the IS, written out so CFO does not hide behind a bare pointer.
PATTERN: ={c}33*(1-{c}13)
LINK: https://www.sec.gov/Archives/edgar/data/814547/000081454725000030/fico-20250930.htm</t>
        </r>
      </text>
    </comment>
    <comment ref="J62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CF net earnings
FORMULA: =J33*(1-J13)
WHY: Same NI equation as the IS, written out so CFO does not hide behind a bare pointer.
LINK: https://www.sec.gov/Archives/edgar/data/814547/000081454725000030/fico-20250930.htm</t>
        </r>
      </text>
    </comment>
    <comment ref="K62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CF net earnings
FORMULA: =K33*(1-K13)
WHY: Same NI equation as the IS, written out so CFO does not hide behind a bare pointer.
LINK: https://www.sec.gov/Archives/edgar/data/814547/000081454725000030/fico-20250930.htm</t>
        </r>
      </text>
    </comment>
    <comment ref="L62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CF net earnings
FORMULA: =L33*(1-L13)
WHY: Same NI equation as the IS, written out so CFO does not hide behind a bare pointer.
LINK: https://www.sec.gov/Archives/edgar/data/814547/000081454725000030/fico-20250930.htm</t>
        </r>
      </text>
    </comment>
    <comment ref="M62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CF net earnings
FORMULA: =M33*(1-M13)
WHY: Same NI equation as the IS, written out so CFO does not hide behind a bare pointer.
LINK: https://www.sec.gov/Archives/edgar/data/814547/000081454725000030/fico-20250930.htm</t>
        </r>
      </text>
    </comment>
    <comment ref="N62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CF net earnings
FORMULA: =N33*(1-N13)
WHY: Same NI equation as the IS, written out so CFO does not hide behind a bare pointer.
LINK: https://www.sec.gov/Archives/edgar/data/814547/000081454725000030/fico-20250930.htm</t>
        </r>
      </text>
    </comment>
    <comment ref="B63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CF + D&amp;A
WHY: Adds back non-cash D&amp;A on average PP&amp;E in the cash-from-operations bridge.
PATTERN: =AvgPPE×DA%
LINK: https://www.sec.gov/Archives/edgar/data/814547/000081454725000030/fico-20250930.htm</t>
        </r>
      </text>
    </comment>
    <comment ref="J63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K63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L63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M63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N63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B64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CF − ΔNWC
WHY: ΔNWC from GrossAR+Inv−AP−Deferred; increase uses cash in the CFO build.
PATTERN: ={c}90
LINK: https://www.sec.gov/Archives/edgar/data/814547/000081454725000030/fico-20250930.htm</t>
        </r>
      </text>
    </comment>
    <comment ref="J64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CF − ΔNWC
FORMULA: =J90
WHY: ΔNWC from GrossAR+Inv−AP−Deferred; increase uses cash in the CFO build.
LINK: https://www.sec.gov/Archives/edgar/data/814547/000081454725000030/fico-20250930.htm</t>
        </r>
      </text>
    </comment>
    <comment ref="K64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CF − ΔNWC
FORMULA: =K90
WHY: ΔNWC from GrossAR+Inv−AP−Deferred; increase uses cash in the CFO build.
LINK: https://www.sec.gov/Archives/edgar/data/814547/000081454725000030/fico-20250930.htm</t>
        </r>
      </text>
    </comment>
    <comment ref="L64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CF − ΔNWC
FORMULA: =L90
WHY: ΔNWC from GrossAR+Inv−AP−Deferred; increase uses cash in the CFO build.
LINK: https://www.sec.gov/Archives/edgar/data/814547/000081454725000030/fico-20250930.htm</t>
        </r>
      </text>
    </comment>
    <comment ref="M64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CF − ΔNWC
FORMULA: =M90
WHY: ΔNWC from GrossAR+Inv−AP−Deferred; increase uses cash in the CFO build.
LINK: https://www.sec.gov/Archives/edgar/data/814547/000081454725000030/fico-20250930.htm</t>
        </r>
      </text>
    </comment>
    <comment ref="N64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CF − ΔNWC
FORMULA: =N90
WHY: ΔNWC from GrossAR+Inv−AP−Deferred; increase uses cash in the CFO build.
LINK: https://www.sec.gov/Archives/edgar/data/814547/000081454725000030/fico-20250930.htm</t>
        </r>
      </text>
    </comment>
    <comment ref="B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Cash from operations
WHY: Full CFO: NI + avg-PPE D&amp;A − ΔNWC written as one equation.
PATTERN: =NI+DA−ΔNWC
LINK: https://www.sec.gov/Archives/edgar/data/814547/000081454725000030/fico-20250930.htm</t>
        </r>
      </text>
    </comment>
    <comment ref="J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K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L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M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N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B68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CapEx $
WHY: Revenue times CapEx%; investing outflow used in CF and the PPE roll-forward.
PATTERN: ={c}24*{c}18
LINK: https://www.sec.gov/Archives/edgar/data/814547/000081454725000030/fico-20250930.htm</t>
        </r>
      </text>
    </comment>
    <comment ref="J68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CapEx $
FORMULA: =J24*J18
WHY: Revenue times CapEx%; investing outflow used in CF and the PPE roll-forward.
LINK: https://www.sec.gov/Archives/edgar/data/814547/000081454725000030/fico-20250930.htm</t>
        </r>
      </text>
    </comment>
    <comment ref="K68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CapEx $
FORMULA: =K24*K18
WHY: Revenue times CapEx%; investing outflow used in CF and the PPE roll-forward.
LINK: https://www.sec.gov/Archives/edgar/data/814547/000081454725000030/fico-20250930.htm</t>
        </r>
      </text>
    </comment>
    <comment ref="L68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CapEx $
FORMULA: =L24*L18
WHY: Revenue times CapEx%; investing outflow used in CF and the PPE roll-forward.
LINK: https://www.sec.gov/Archives/edgar/data/814547/000081454725000030/fico-20250930.htm</t>
        </r>
      </text>
    </comment>
    <comment ref="M68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CapEx $
FORMULA: =M24*M18
WHY: Revenue times CapEx%; investing outflow used in CF and the PPE roll-forward.
LINK: https://www.sec.gov/Archives/edgar/data/814547/000081454725000030/fico-20250930.htm</t>
        </r>
      </text>
    </comment>
    <comment ref="N68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CapEx $
FORMULA: =N24*N18
WHY: Revenue times CapEx%; investing outflow used in CF and the PPE roll-forward.
LINK: https://www.sec.gov/Archives/edgar/data/814547/000081454725000030/fico-20250930.htm</t>
        </r>
      </text>
    </comment>
    <comment ref="B69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Cash from investing
WHY: In this template CFI is CapEx only; equals the CapEx dollar line above.
PATTERN: ={c}68
LINK: https://www.sec.gov/Archives/edgar/data/814547/000081454725000030/fico-20250930.htm</t>
        </r>
      </text>
    </comment>
    <comment ref="J69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Cash from investing
FORMULA: =J68
WHY: In this template CFI is CapEx only; equals the CapEx dollar line above.
LINK: https://www.sec.gov/Archives/edgar/data/814547/000081454725000030/fico-20250930.htm</t>
        </r>
      </text>
    </comment>
    <comment ref="K69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Cash from investing
FORMULA: =K68
WHY: In this template CFI is CapEx only; equals the CapEx dollar line above.
LINK: https://www.sec.gov/Archives/edgar/data/814547/000081454725000030/fico-20250930.htm</t>
        </r>
      </text>
    </comment>
    <comment ref="L69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Cash from investing
FORMULA: =L68
WHY: In this template CFI is CapEx only; equals the CapEx dollar line above.
LINK: https://www.sec.gov/Archives/edgar/data/814547/000081454725000030/fico-20250930.htm</t>
        </r>
      </text>
    </comment>
    <comment ref="M69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Cash from investing
FORMULA: =M68
WHY: In this template CFI is CapEx only; equals the CapEx dollar line above.
LINK: https://www.sec.gov/Archives/edgar/data/814547/000081454725000030/fico-20250930.htm</t>
        </r>
      </text>
    </comment>
    <comment ref="N69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Cash from investing
FORMULA: =N68
WHY: In this template CFI is CapEx only; equals the CapEx dollar line above.
LINK: https://www.sec.gov/Archives/edgar/data/814547/000081454725000030/fico-20250930.htm</t>
        </r>
      </text>
    </comment>
    <comment ref="B72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Debt issuance CF
WHY: Pulls the debt issuance/(repayment) policy into financing cash flow.
PATTERN: ={c}19
LINK: https://www.sec.gov/Archives/edgar/data/814547/000081454725000030/fico-20250930.htm</t>
        </r>
      </text>
    </comment>
    <comment ref="J72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Debt issuance CF
FORMULA: =J19
WHY: Pulls the debt issuance/(repayment) policy into financing cash flow.
LINK: https://www.sec.gov/Archives/edgar/data/814547/000081454725000030/fico-20250930.htm</t>
        </r>
      </text>
    </comment>
    <comment ref="K72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Debt issuance CF
FORMULA: =K19
WHY: Pulls the debt issuance/(repayment) policy into financing cash flow.
LINK: https://www.sec.gov/Archives/edgar/data/814547/000081454725000030/fico-20250930.htm</t>
        </r>
      </text>
    </comment>
    <comment ref="L72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Debt issuance CF
FORMULA: =L19
WHY: Pulls the debt issuance/(repayment) policy into financing cash flow.
LINK: https://www.sec.gov/Archives/edgar/data/814547/000081454725000030/fico-20250930.htm</t>
        </r>
      </text>
    </comment>
    <comment ref="M72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Debt issuance CF
FORMULA: =M19
WHY: Pulls the debt issuance/(repayment) policy into financing cash flow.
LINK: https://www.sec.gov/Archives/edgar/data/814547/000081454725000030/fico-20250930.htm</t>
        </r>
      </text>
    </comment>
    <comment ref="N72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Debt issuance CF
FORMULA: =N19
WHY: Pulls the debt issuance/(repayment) policy into financing cash flow.
LINK: https://www.sec.gov/Archives/edgar/data/814547/000081454725000030/fico-20250930.htm</t>
        </r>
      </text>
    </comment>
    <comment ref="B73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Equity issuance CF
WHY: Pulls the equity issuance/(buyback) policy into financing cash flow.
PATTERN: ={c}20
LINK: https://www.sec.gov/Archives/edgar/data/814547/000081454725000030/fico-20250930.htm</t>
        </r>
      </text>
    </comment>
    <comment ref="J73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Equity issuance CF
FORMULA: =J20
WHY: Pulls the equity issuance/(buyback) policy into financing cash flow.
LINK: https://www.sec.gov/Archives/edgar/data/814547/000081454725000030/fico-20250930.htm</t>
        </r>
      </text>
    </comment>
    <comment ref="K73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Equity issuance CF
FORMULA: =K20
WHY: Pulls the equity issuance/(buyback) policy into financing cash flow.
LINK: https://www.sec.gov/Archives/edgar/data/814547/000081454725000030/fico-20250930.htm</t>
        </r>
      </text>
    </comment>
    <comment ref="L73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Equity issuance CF
FORMULA: =L20
WHY: Pulls the equity issuance/(buyback) policy into financing cash flow.
LINK: https://www.sec.gov/Archives/edgar/data/814547/000081454725000030/fico-20250930.htm</t>
        </r>
      </text>
    </comment>
    <comment ref="M73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Equity issuance CF
FORMULA: =M20
WHY: Pulls the equity issuance/(buyback) policy into financing cash flow.
LINK: https://www.sec.gov/Archives/edgar/data/814547/000081454725000030/fico-20250930.htm</t>
        </r>
      </text>
    </comment>
    <comment ref="N73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Equity issuance CF
FORMULA: =N20
WHY: Pulls the equity issuance/(buyback) policy into financing cash flow.
LINK: https://www.sec.gov/Archives/edgar/data/814547/000081454725000030/fico-20250930.htm</t>
        </r>
      </text>
    </comment>
    <comment ref="B74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Cash from financing
WHY: Debt plus equity financing cash; both policies are zero in the base case.
PATTERN: ={c}19+{c}20
LINK: https://www.sec.gov/Archives/edgar/data/814547/000081454725000030/fico-20250930.htm</t>
        </r>
      </text>
    </comment>
    <comment ref="J74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Cash from financing
FORMULA: =J19+J20
WHY: Debt plus equity financing cash; both policies are zero in the base case.
LINK: https://www.sec.gov/Archives/edgar/data/814547/000081454725000030/fico-20250930.htm</t>
        </r>
      </text>
    </comment>
    <comment ref="K74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Cash from financing
FORMULA: =K19+K20
WHY: Debt plus equity financing cash; both policies are zero in the base case.
LINK: https://www.sec.gov/Archives/edgar/data/814547/000081454725000030/fico-20250930.htm</t>
        </r>
      </text>
    </comment>
    <comment ref="L74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Cash from financing
FORMULA: =L19+L20
WHY: Debt plus equity financing cash; both policies are zero in the base case.
LINK: https://www.sec.gov/Archives/edgar/data/814547/000081454725000030/fico-20250930.htm</t>
        </r>
      </text>
    </comment>
    <comment ref="M74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Cash from financing
FORMULA: =M19+M20
WHY: Debt plus equity financing cash; both policies are zero in the base case.
LINK: https://www.sec.gov/Archives/edgar/data/814547/000081454725000030/fico-20250930.htm</t>
        </r>
      </text>
    </comment>
    <comment ref="N74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Cash from financing
FORMULA: =N19+N20
WHY: Debt plus equity financing cash; both policies are zero in the base case.
LINK: https://www.sec.gov/Archives/edgar/data/814547/000081454725000030/fico-20250930.htm</t>
        </r>
      </text>
    </comment>
    <comment ref="B76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Δ Cash
WHY: CFO minus CapEx plus financing; net change that rolls opening cash to closing.
PATTERN: ={c}65-{c}69+{c}74
LINK: https://www.sec.gov/Archives/edgar/data/814547/000081454725000030/fico-20250930.htm</t>
        </r>
      </text>
    </comment>
    <comment ref="J76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Δ Cash
FORMULA: =J65-J69+J74
WHY: CFO minus CapEx plus financing; net change that rolls opening cash to closing.
LINK: https://www.sec.gov/Archives/edgar/data/814547/000081454725000030/fico-20250930.htm</t>
        </r>
      </text>
    </comment>
    <comment ref="K76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Δ Cash
FORMULA: =K65-K69+K74
WHY: CFO minus CapEx plus financing; net change that rolls opening cash to closing.
LINK: https://www.sec.gov/Archives/edgar/data/814547/000081454725000030/fico-20250930.htm</t>
        </r>
      </text>
    </comment>
    <comment ref="L76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Δ Cash
FORMULA: =L65-L69+L74
WHY: CFO minus CapEx plus financing; net change that rolls opening cash to closing.
LINK: https://www.sec.gov/Archives/edgar/data/814547/000081454725000030/fico-20250930.htm</t>
        </r>
      </text>
    </comment>
    <comment ref="M76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Δ Cash
FORMULA: =M65-M69+M74
WHY: CFO minus CapEx plus financing; net change that rolls opening cash to closing.
LINK: https://www.sec.gov/Archives/edgar/data/814547/000081454725000030/fico-20250930.htm</t>
        </r>
      </text>
    </comment>
    <comment ref="N76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Δ Cash
FORMULA: =N65-N69+N74
WHY: CFO minus CapEx plus financing; net change that rolls opening cash to closing.
LINK: https://www.sec.gov/Archives/edgar/data/814547/000081454725000030/fico-20250930.htm</t>
        </r>
      </text>
    </comment>
    <comment ref="B77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Opening cash
WHY: Starts at prior balance-sheet cash so the cash roll-forward matches history.
PATTERN: ={p}41
LINK: https://www.sec.gov/Archives/edgar/data/814547/000081454725000030/fico-20250930.htm</t>
        </r>
      </text>
    </comment>
    <comment ref="J77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Opening cash
FORMULA: =I41
WHY: Starts at prior balance-sheet cash so the cash roll-forward matches history.
LINK: https://www.sec.gov/Archives/edgar/data/814547/000081454725000030/fico-20250930.htm</t>
        </r>
      </text>
    </comment>
    <comment ref="K77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Opening cash
FORMULA: =J41
WHY: Starts at prior balance-sheet cash so the cash roll-forward matches history.
LINK: https://www.sec.gov/Archives/edgar/data/814547/000081454725000030/fico-20250930.htm</t>
        </r>
      </text>
    </comment>
    <comment ref="L77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Opening cash
FORMULA: =K41
WHY: Starts at prior balance-sheet cash so the cash roll-forward matches history.
LINK: https://www.sec.gov/Archives/edgar/data/814547/000081454725000030/fico-20250930.htm</t>
        </r>
      </text>
    </comment>
    <comment ref="M77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Opening cash
FORMULA: =L41
WHY: Starts at prior balance-sheet cash so the cash roll-forward matches history.
LINK: https://www.sec.gov/Archives/edgar/data/814547/000081454725000030/fico-20250930.htm</t>
        </r>
      </text>
    </comment>
    <comment ref="N77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Opening cash
FORMULA: =M41
WHY: Starts at prior balance-sheet cash so the cash roll-forward matches history.
LINK: https://www.sec.gov/Archives/edgar/data/814547/000081454725000030/fico-20250930.htm</t>
        </r>
      </text>
    </comment>
    <comment ref="B78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Closing cash
WHY: Opening cash plus Δ cash; feeds BS cash and the cash-flow check.
PATTERN: ={c}77+{c}76
LINK: https://www.sec.gov/Archives/edgar/data/814547/000081454725000030/fico-20250930.htm</t>
        </r>
      </text>
    </comment>
    <comment ref="J78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Closing cash
FORMULA: =J77+J76
WHY: Opening cash plus Δ cash; feeds BS cash and the cash-flow check.
LINK: https://www.sec.gov/Archives/edgar/data/814547/000081454725000030/fico-20250930.htm</t>
        </r>
      </text>
    </comment>
    <comment ref="K78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Closing cash
FORMULA: =K77+K76
WHY: Opening cash plus Δ cash; feeds BS cash and the cash-flow check.
LINK: https://www.sec.gov/Archives/edgar/data/814547/000081454725000030/fico-20250930.htm</t>
        </r>
      </text>
    </comment>
    <comment ref="L78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Closing cash
FORMULA: =L77+L76
WHY: Opening cash plus Δ cash; feeds BS cash and the cash-flow check.
LINK: https://www.sec.gov/Archives/edgar/data/814547/000081454725000030/fico-20250930.htm</t>
        </r>
      </text>
    </comment>
    <comment ref="M78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Closing cash
FORMULA: =M77+M76
WHY: Opening cash plus Δ cash; feeds BS cash and the cash-flow check.
LINK: https://www.sec.gov/Archives/edgar/data/814547/000081454725000030/fico-20250930.htm</t>
        </r>
      </text>
    </comment>
    <comment ref="N78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Closing cash
FORMULA: =N77+N76
WHY: Opening cash plus Δ cash; feeds BS cash and the cash-flow check.
LINK: https://www.sec.gov/Archives/edgar/data/814547/000081454725000030/fico-20250930.htm</t>
        </r>
      </text>
    </comment>
    <comment ref="B80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Cash check
WHY: Closing CF cash minus BS cash; must be zero when statements are linked.
PATTERN: ={c}78-{c}41
LINK: https://www.sec.gov/Archives/edgar/data/814547/000081454725000030/fico-20250930.htm</t>
        </r>
      </text>
    </comment>
    <comment ref="J80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Cash check
FORMULA: =J78-J41
WHY: Closing CF cash minus BS cash; must be zero when statements are linked.
LINK: https://www.sec.gov/Archives/edgar/data/814547/000081454725000030/fico-20250930.htm</t>
        </r>
      </text>
    </comment>
    <comment ref="K80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Cash check
FORMULA: =K78-K41
WHY: Closing CF cash minus BS cash; must be zero when statements are linked.
LINK: https://www.sec.gov/Archives/edgar/data/814547/000081454725000030/fico-20250930.htm</t>
        </r>
      </text>
    </comment>
    <comment ref="L80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Cash check
FORMULA: =L78-L41
WHY: Closing CF cash minus BS cash; must be zero when statements are linked.
LINK: https://www.sec.gov/Archives/edgar/data/814547/000081454725000030/fico-20250930.htm</t>
        </r>
      </text>
    </comment>
    <comment ref="M80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Cash check
FORMULA: =M78-M41
WHY: Closing CF cash minus BS cash; must be zero when statements are linked.
LINK: https://www.sec.gov/Archives/edgar/data/814547/000081454725000030/fico-20250930.htm</t>
        </r>
      </text>
    </comment>
    <comment ref="N80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Cash check
FORMULA: =N78-N41
WHY: Closing CF cash minus BS cash; must be zero when statements are linked.
LINK: https://www.sec.gov/Archives/edgar/data/814547/000081454725000030/fico-20250930.htm</t>
        </r>
      </text>
    </comment>
    <comment ref="B8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WC: Gross AR
WHY: WC gross AR mirrors BS gross AR used in standard DSO.
PATTERN: ={c}42
LINK: https://www.sec.gov/Archives/edgar/data/814547/000081454725000030/fico-20250930.htm</t>
        </r>
      </text>
    </comment>
    <comment ref="J8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WC: Gross AR
FORMULA: =J42
WHY: WC gross AR mirrors BS gross AR used in standard DSO.
LINK: https://www.sec.gov/Archives/edgar/data/814547/000081454725000030/fico-20250930.htm</t>
        </r>
      </text>
    </comment>
    <comment ref="K8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WC: Gross AR
FORMULA: =K42
WHY: WC gross AR mirrors BS gross AR used in standard DSO.
LINK: https://www.sec.gov/Archives/edgar/data/814547/000081454725000030/fico-20250930.htm</t>
        </r>
      </text>
    </comment>
    <comment ref="L8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WC: Gross AR
FORMULA: =L42
WHY: WC gross AR mirrors BS gross AR used in standard DSO.
LINK: https://www.sec.gov/Archives/edgar/data/814547/000081454725000030/fico-20250930.htm</t>
        </r>
      </text>
    </comment>
    <comment ref="M8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WC: Gross AR
FORMULA: =M42
WHY: WC gross AR mirrors BS gross AR used in standard DSO.
LINK: https://www.sec.gov/Archives/edgar/data/814547/000081454725000030/fico-20250930.htm</t>
        </r>
      </text>
    </comment>
    <comment ref="N8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WC: Gross AR
FORMULA: =N42
WHY: WC gross AR mirrors BS gross AR used in standard DSO.
LINK: https://www.sec.gov/Archives/edgar/data/814547/000081454725000030/fico-20250930.htm</t>
        </r>
      </text>
    </comment>
    <comment ref="B86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WC: Inventory
WHY: Working-capital inventory mirrors BS inventory (zero for this software business).
PATTERN: ={c}43
LINK: https://www.sec.gov/Archives/edgar/data/814547/000081454725000030/fico-20250930.htm</t>
        </r>
      </text>
    </comment>
    <comment ref="J86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WC: Inventory
FORMULA: =J43
WHY: Working-capital inventory mirrors BS inventory (zero for this software business).
LINK: https://www.sec.gov/Archives/edgar/data/814547/000081454725000030/fico-20250930.htm</t>
        </r>
      </text>
    </comment>
    <comment ref="K86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WC: Inventory
FORMULA: =K43
WHY: Working-capital inventory mirrors BS inventory (zero for this software business).
LINK: https://www.sec.gov/Archives/edgar/data/814547/000081454725000030/fico-20250930.htm</t>
        </r>
      </text>
    </comment>
    <comment ref="L86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WC: Inventory
FORMULA: =L43
WHY: Working-capital inventory mirrors BS inventory (zero for this software business).
LINK: https://www.sec.gov/Archives/edgar/data/814547/000081454725000030/fico-20250930.htm</t>
        </r>
      </text>
    </comment>
    <comment ref="M86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WC: Inventory
FORMULA: =M43
WHY: Working-capital inventory mirrors BS inventory (zero for this software business).
LINK: https://www.sec.gov/Archives/edgar/data/814547/000081454725000030/fico-20250930.htm</t>
        </r>
      </text>
    </comment>
    <comment ref="N86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WC: Inventory
FORMULA: =N43
WHY: Working-capital inventory mirrors BS inventory (zero for this software business).
LINK: https://www.sec.gov/Archives/edgar/data/814547/000081454725000030/fico-20250930.htm</t>
        </r>
      </text>
    </comment>
    <comment ref="B87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WC: AP
WHY: Working-capital AP mirrors BS AP so NWC uses the same operating balances.
PATTERN: ={c}48
LINK: https://www.sec.gov/Archives/edgar/data/814547/000081454725000030/fico-20250930.htm</t>
        </r>
      </text>
    </comment>
    <comment ref="J87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WC: AP
FORMULA: =J48
WHY: Working-capital AP mirrors BS AP so NWC uses the same operating balances.
LINK: https://www.sec.gov/Archives/edgar/data/814547/000081454725000030/fico-20250930.htm</t>
        </r>
      </text>
    </comment>
    <comment ref="K87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WC: AP
FORMULA: =K48
WHY: Working-capital AP mirrors BS AP so NWC uses the same operating balances.
LINK: https://www.sec.gov/Archives/edgar/data/814547/000081454725000030/fico-20250930.htm</t>
        </r>
      </text>
    </comment>
    <comment ref="L87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WC: AP
FORMULA: =L48
WHY: Working-capital AP mirrors BS AP so NWC uses the same operating balances.
LINK: https://www.sec.gov/Archives/edgar/data/814547/000081454725000030/fico-20250930.htm</t>
        </r>
      </text>
    </comment>
    <comment ref="M87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WC: AP
FORMULA: =M48
WHY: Working-capital AP mirrors BS AP so NWC uses the same operating balances.
LINK: https://www.sec.gov/Archives/edgar/data/814547/000081454725000030/fico-20250930.htm</t>
        </r>
      </text>
    </comment>
    <comment ref="N87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WC: AP
FORMULA: =N48
WHY: Working-capital AP mirrors BS AP so NWC uses the same operating balances.
LINK: https://www.sec.gov/Archives/edgar/data/814547/000081454725000030/fico-20250930.htm</t>
        </r>
      </text>
    </comment>
    <comment ref="B88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WC: Deferred Revenue
WHY: Contract liability projected at FY25 deferred/sales; separate from AR.
PATTERN: ={c}24×(I88/I24)
LINK: https://www.sec.gov/Archives/edgar/data/814547/000081454725000030/fico-20250930.htm</t>
        </r>
      </text>
    </comment>
    <comment ref="J88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WC: Deferred Revenue
FORMULA: =J24×(I88/I24)
WHY: Contract liability projected at FY25 deferred/sales; separate from AR.
LINK: https://www.sec.gov/Archives/edgar/data/814547/000081454725000030/fico-20250930.htm</t>
        </r>
      </text>
    </comment>
    <comment ref="K88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WC: Deferred Revenue
FORMULA: =K24×(I88/I24)
WHY: Contract liability projected at FY25 deferred/sales; separate from AR.
LINK: https://www.sec.gov/Archives/edgar/data/814547/000081454725000030/fico-20250930.htm</t>
        </r>
      </text>
    </comment>
    <comment ref="L88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WC: Deferred Revenue
FORMULA: =L24×(I88/I24)
WHY: Contract liability projected at FY25 deferred/sales; separate from AR.
LINK: https://www.sec.gov/Archives/edgar/data/814547/000081454725000030/fico-20250930.htm</t>
        </r>
      </text>
    </comment>
    <comment ref="M88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WC: Deferred Revenue
FORMULA: =M24×(I88/I24)
WHY: Contract liability projected at FY25 deferred/sales; separate from AR.
LINK: https://www.sec.gov/Archives/edgar/data/814547/000081454725000030/fico-20250930.htm</t>
        </r>
      </text>
    </comment>
    <comment ref="N88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WC: Deferred Revenue
FORMULA: =N24×(I88/I24)
WHY: Contract liability projected at FY25 deferred/sales; separate from AR.
LINK: https://www.sec.gov/Archives/edgar/data/814547/000081454725000030/fico-20250930.htm</t>
        </r>
      </text>
    </comment>
    <comment ref="B89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Net working capital
WHY: GrossAR + inventory − AP − Deferred; standard operating NWC.
PATTERN: ={c}85+{c}86-{c}87-{c}88
LINK: https://www.sec.gov/Archives/edgar/data/814547/000081454725000030/fico-20250930.htm</t>
        </r>
      </text>
    </comment>
    <comment ref="J89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Net working capital
FORMULA: =J85+J86-J87-J88
WHY: GrossAR + inventory − AP − Deferred; standard operating NWC.
LINK: https://www.sec.gov/Archives/edgar/data/814547/000081454725000030/fico-20250930.htm</t>
        </r>
      </text>
    </comment>
    <comment ref="K89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Net working capital
FORMULA: =K85+K86-K87-K88
WHY: GrossAR + inventory − AP − Deferred; standard operating NWC.
LINK: https://www.sec.gov/Archives/edgar/data/814547/000081454725000030/fico-20250930.htm</t>
        </r>
      </text>
    </comment>
    <comment ref="L89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Net working capital
FORMULA: =L85+L86-L87-L88
WHY: GrossAR + inventory − AP − Deferred; standard operating NWC.
LINK: https://www.sec.gov/Archives/edgar/data/814547/000081454725000030/fico-20250930.htm</t>
        </r>
      </text>
    </comment>
    <comment ref="M89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Net working capital
FORMULA: =M85+M86-M87-M88
WHY: GrossAR + inventory − AP − Deferred; standard operating NWC.
LINK: https://www.sec.gov/Archives/edgar/data/814547/000081454725000030/fico-20250930.htm</t>
        </r>
      </text>
    </comment>
    <comment ref="N89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Net working capital
FORMULA: =N85+N86-N87-N88
WHY: GrossAR + inventory − AP − Deferred; standard operating NWC.
LINK: https://www.sec.gov/Archives/edgar/data/814547/000081454725000030/fico-20250930.htm</t>
        </r>
      </text>
    </comment>
    <comment ref="B90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Change in NWC
WHY: Year-over-year NWC change; the cash investment/(release) used in CFO and FCFF.
PATTERN: ={c}89-{p}89
LINK: https://www.sec.gov/Archives/edgar/data/814547/000081454725000030/fico-20250930.htm</t>
        </r>
      </text>
    </comment>
    <comment ref="J90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Change in NWC
FORMULA: =J89-I89
WHY: Year-over-year NWC change; the cash investment/(release) used in CFO and FCFF.
LINK: https://www.sec.gov/Archives/edgar/data/814547/000081454725000030/fico-20250930.htm</t>
        </r>
      </text>
    </comment>
    <comment ref="K90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Change in NWC
FORMULA: =K89-J89
WHY: Year-over-year NWC change; the cash investment/(release) used in CFO and FCFF.
LINK: https://www.sec.gov/Archives/edgar/data/814547/000081454725000030/fico-20250930.htm</t>
        </r>
      </text>
    </comment>
    <comment ref="L90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Change in NWC
FORMULA: =L89-K89
WHY: Year-over-year NWC change; the cash investment/(release) used in CFO and FCFF.
LINK: https://www.sec.gov/Archives/edgar/data/814547/000081454725000030/fico-20250930.htm</t>
        </r>
      </text>
    </comment>
    <comment ref="M90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Change in NWC
FORMULA: =M89-L89
WHY: Year-over-year NWC change; the cash investment/(release) used in CFO and FCFF.
LINK: https://www.sec.gov/Archives/edgar/data/814547/000081454725000030/fico-20250930.htm</t>
        </r>
      </text>
    </comment>
    <comment ref="N90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Change in NWC
FORMULA: =N89-M89
WHY: Year-over-year NWC change; the cash investment/(release) used in CFO and FCFF.
LINK: https://www.sec.gov/Archives/edgar/data/814547/000081454725000030/fico-20250930.htm</t>
        </r>
      </text>
    </comment>
    <comment ref="B92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PPE opening
WHY: Prior closing PP&amp;E (FY1 opens at last historical I44); base for CapEx and D&amp;A.
PATTERN: ={p}95 or I44
LINK: https://www.sec.gov/Archives/edgar/data/814547/000081454725000030/fico-20250930.htm</t>
        </r>
      </text>
    </comment>
    <comment ref="J92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PPE opening
FORMULA: =I95 or I44
WHY: Prior closing PP&amp;E (FY1 opens at last historical I44); base for CapEx and D&amp;A.
LINK: https://www.sec.gov/Archives/edgar/data/814547/000081454725000030/fico-20250930.htm</t>
        </r>
      </text>
    </comment>
    <comment ref="K92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PPE opening
FORMULA: =J95 or I44
WHY: Prior closing PP&amp;E (FY1 opens at last historical I44); base for CapEx and D&amp;A.
LINK: https://www.sec.gov/Archives/edgar/data/814547/000081454725000030/fico-20250930.htm</t>
        </r>
      </text>
    </comment>
    <comment ref="L92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PPE opening
FORMULA: =K95 or I44
WHY: Prior closing PP&amp;E (FY1 opens at last historical I44); base for CapEx and D&amp;A.
LINK: https://www.sec.gov/Archives/edgar/data/814547/000081454725000030/fico-20250930.htm</t>
        </r>
      </text>
    </comment>
    <comment ref="M92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PPE opening
FORMULA: =L95 or I44
WHY: Prior closing PP&amp;E (FY1 opens at last historical I44); base for CapEx and D&amp;A.
LINK: https://www.sec.gov/Archives/edgar/data/814547/000081454725000030/fico-20250930.htm</t>
        </r>
      </text>
    </comment>
    <comment ref="N92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PPE opening
FORMULA: =M95 or I44
WHY: Prior closing PP&amp;E (FY1 opens at last historical I44); base for CapEx and D&amp;A.
LINK: https://www.sec.gov/Archives/edgar/data/814547/000081454725000030/fico-20250930.htm</t>
        </r>
      </text>
    </comment>
    <comment ref="B93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PPE + CapEx
WHY: Same CapEx dollars as CF; additions that grow the gross PP&amp;E stock.
PATTERN: ={c}24*{c}18
LINK: https://www.sec.gov/Archives/edgar/data/814547/000081454725000030/fico-20250930.htm</t>
        </r>
      </text>
    </comment>
    <comment ref="J93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PPE + CapEx
FORMULA: =J24*J18
WHY: Same CapEx dollars as CF; additions that grow the gross PP&amp;E stock.
LINK: https://www.sec.gov/Archives/edgar/data/814547/000081454725000030/fico-20250930.htm</t>
        </r>
      </text>
    </comment>
    <comment ref="K93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PPE + CapEx
FORMULA: =K24*K18
WHY: Same CapEx dollars as CF; additions that grow the gross PP&amp;E stock.
LINK: https://www.sec.gov/Archives/edgar/data/814547/000081454725000030/fico-20250930.htm</t>
        </r>
      </text>
    </comment>
    <comment ref="L93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PPE + CapEx
FORMULA: =L24*L18
WHY: Same CapEx dollars as CF; additions that grow the gross PP&amp;E stock.
LINK: https://www.sec.gov/Archives/edgar/data/814547/000081454725000030/fico-20250930.htm</t>
        </r>
      </text>
    </comment>
    <comment ref="M93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PPE + CapEx
FORMULA: =M24*M18
WHY: Same CapEx dollars as CF; additions that grow the gross PP&amp;E stock.
LINK: https://www.sec.gov/Archives/edgar/data/814547/000081454725000030/fico-20250930.htm</t>
        </r>
      </text>
    </comment>
    <comment ref="N93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PPE + CapEx
FORMULA: =N24*N18
WHY: Same CapEx dollars as CF; additions that grow the gross PP&amp;E stock.
LINK: https://www.sec.gov/Archives/edgar/data/814547/000081454725000030/fico-20250930.htm</t>
        </r>
      </text>
    </comment>
    <comment ref="B94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PPE − D&amp;A
WHY: Depreciation on average PP&amp;E; reduces net PP&amp;E and adds back in FCFF.
PATTERN: =((Open+Open+CapEx)/2)×DA%
LINK: https://www.sec.gov/Archives/edgar/data/814547/000081454725000030/fico-20250930.htm</t>
        </r>
      </text>
    </comment>
    <comment ref="J94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K94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L94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M94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N94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B95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PPE closing
WHY: Open + CapEx − D&amp;A; closing net PP&amp;E posted to the balance sheet.
PATTERN: ={c}92+{c}93-{c}94
LINK: https://www.sec.gov/Archives/edgar/data/814547/000081454725000030/fico-20250930.htm</t>
        </r>
      </text>
    </comment>
    <comment ref="J95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PPE closing
FORMULA: =J92+J93-J94
WHY: Open + CapEx − D&amp;A; closing net PP&amp;E posted to the balance sheet.
LINK: https://www.sec.gov/Archives/edgar/data/814547/000081454725000030/fico-20250930.htm</t>
        </r>
      </text>
    </comment>
    <comment ref="K95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PPE closing
FORMULA: =K92+K93-K94
WHY: Open + CapEx − D&amp;A; closing net PP&amp;E posted to the balance sheet.
LINK: https://www.sec.gov/Archives/edgar/data/814547/000081454725000030/fico-20250930.htm</t>
        </r>
      </text>
    </comment>
    <comment ref="L95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PPE closing
FORMULA: =L92+L93-L94
WHY: Open + CapEx − D&amp;A; closing net PP&amp;E posted to the balance sheet.
LINK: https://www.sec.gov/Archives/edgar/data/814547/000081454725000030/fico-20250930.htm</t>
        </r>
      </text>
    </comment>
    <comment ref="M95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PPE closing
FORMULA: =M92+M93-M94
WHY: Open + CapEx − D&amp;A; closing net PP&amp;E posted to the balance sheet.
LINK: https://www.sec.gov/Archives/edgar/data/814547/000081454725000030/fico-20250930.htm</t>
        </r>
      </text>
    </comment>
    <comment ref="N95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PPE closing
FORMULA: =N92+N93-N94
WHY: Open + CapEx − D&amp;A; closing net PP&amp;E posted to the balance sheet.
LINK: https://www.sec.gov/Archives/edgar/data/814547/000081454725000030/fico-20250930.htm</t>
        </r>
      </text>
    </comment>
    <comment ref="B98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Debt opening
WHY: Prior closing debt (FY1 opens at historical I49); base for interest and issuance.
PATTERN: ={p}100 or I49
LINK: https://www.sec.gov/Archives/edgar/data/814547/000081454726000030/fico-20260630.htm</t>
        </r>
      </text>
    </comment>
    <comment ref="J98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Debt opening
FORMULA: =I100 or I49
WHY: Prior closing debt (FY1 opens at historical I49); base for interest and issuance.
LINK: https://www.sec.gov/Archives/edgar/data/814547/000081454726000030/fico-20260630.htm</t>
        </r>
      </text>
    </comment>
    <comment ref="K98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Debt opening
FORMULA: =J100 or I49
WHY: Prior closing debt (FY1 opens at historical I49); base for interest and issuance.
LINK: https://www.sec.gov/Archives/edgar/data/814547/000081454726000030/fico-20260630.htm</t>
        </r>
      </text>
    </comment>
    <comment ref="L98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Debt opening
FORMULA: =K100 or I49
WHY: Prior closing debt (FY1 opens at historical I49); base for interest and issuance.
LINK: https://www.sec.gov/Archives/edgar/data/814547/000081454726000030/fico-20260630.htm</t>
        </r>
      </text>
    </comment>
    <comment ref="M98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Debt opening
FORMULA: =L100 or I49
WHY: Prior closing debt (FY1 opens at historical I49); base for interest and issuance.
LINK: https://www.sec.gov/Archives/edgar/data/814547/000081454726000030/fico-20260630.htm</t>
        </r>
      </text>
    </comment>
    <comment ref="N98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Debt opening
FORMULA: =M100 or I49
WHY: Prior closing debt (FY1 opens at historical I49); base for interest and issuance.
LINK: https://www.sec.gov/Archives/edgar/data/814547/000081454726000030/fico-20260630.htm</t>
        </r>
      </text>
    </comment>
    <comment ref="B99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Debt issuance
WHY: Links the debt policy row into the schedule; base case keeps this at zero.
PATTERN: ={c}19
LINK: https://www.sec.gov/Archives/edgar/data/814547/000081454725000030/fico-20250930.htm</t>
        </r>
      </text>
    </comment>
    <comment ref="J99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Debt issuance
FORMULA: =J19
WHY: Links the debt policy row into the schedule; base case keeps this at zero.
LINK: https://www.sec.gov/Archives/edgar/data/814547/000081454725000030/fico-20250930.htm</t>
        </r>
      </text>
    </comment>
    <comment ref="K99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Debt issuance
FORMULA: =K19
WHY: Links the debt policy row into the schedule; base case keeps this at zero.
LINK: https://www.sec.gov/Archives/edgar/data/814547/000081454725000030/fico-20250930.htm</t>
        </r>
      </text>
    </comment>
    <comment ref="L99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Debt issuance
FORMULA: =L19
WHY: Links the debt policy row into the schedule; base case keeps this at zero.
LINK: https://www.sec.gov/Archives/edgar/data/814547/000081454725000030/fico-20250930.htm</t>
        </r>
      </text>
    </comment>
    <comment ref="M99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Debt issuance
FORMULA: =M19
WHY: Links the debt policy row into the schedule; base case keeps this at zero.
LINK: https://www.sec.gov/Archives/edgar/data/814547/000081454725000030/fico-20250930.htm</t>
        </r>
      </text>
    </comment>
    <comment ref="N99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Debt issuance
FORMULA: =N19
WHY: Links the debt policy row into the schedule; base case keeps this at zero.
LINK: https://www.sec.gov/Archives/edgar/data/814547/000081454725000030/fico-20250930.htm</t>
        </r>
      </text>
    </comment>
    <comment ref="B100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Debt closing
WHY: Open plus issuance/(repayment); closing debt posted to the balance sheet.
PATTERN: ={c}98+{c}99
LINK: https://www.sec.gov/Archives/edgar/data/814547/000081454725000030/fico-20250930.htm</t>
        </r>
      </text>
    </comment>
    <comment ref="J100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Debt closing
FORMULA: =J98+J99
WHY: Open plus issuance/(repayment); closing debt posted to the balance sheet.
LINK: https://www.sec.gov/Archives/edgar/data/814547/000081454725000030/fico-20250930.htm</t>
        </r>
      </text>
    </comment>
    <comment ref="K100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Debt closing
FORMULA: =K98+K99
WHY: Open plus issuance/(repayment); closing debt posted to the balance sheet.
LINK: https://www.sec.gov/Archives/edgar/data/814547/000081454725000030/fico-20250930.htm</t>
        </r>
      </text>
    </comment>
    <comment ref="L100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Debt closing
FORMULA: =L98+L99
WHY: Open plus issuance/(repayment); closing debt posted to the balance sheet.
LINK: https://www.sec.gov/Archives/edgar/data/814547/000081454725000030/fico-20250930.htm</t>
        </r>
      </text>
    </comment>
    <comment ref="M100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Debt closing
FORMULA: =M98+M99
WHY: Open plus issuance/(repayment); closing debt posted to the balance sheet.
LINK: https://www.sec.gov/Archives/edgar/data/814547/000081454725000030/fico-20250930.htm</t>
        </r>
      </text>
    </comment>
    <comment ref="N100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Debt closing
FORMULA: =N98+N99
WHY: Open plus issuance/(repayment); closing debt posted to the balance sheet.
LINK: https://www.sec.gov/Archives/edgar/data/814547/000081454725000030/fico-20250930.htm</t>
        </r>
      </text>
    </comment>
    <comment ref="B101" authorId="0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Interest (schedule)
WHY: Opening debt × interest%; same economics as IS interest, from the debt schedule.
PATTERN: ={c}98*{c}12
LINK: https://www.sec.gov/Archives/edgar/data/814547/000081454725000030/fico-20250930.htm</t>
        </r>
      </text>
    </comment>
    <comment ref="J101" authorId="0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Interest (schedule)
FORMULA: =J98*J12
WHY: Opening debt × interest%; same economics as IS interest, from the debt schedule.
LINK: https://www.sec.gov/Archives/edgar/data/814547/000081454725000030/fico-20250930.htm</t>
        </r>
      </text>
    </comment>
    <comment ref="K101" authorId="0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Interest (schedule)
FORMULA: =K98*K12
WHY: Opening debt × interest%; same economics as IS interest, from the debt schedule.
LINK: https://www.sec.gov/Archives/edgar/data/814547/000081454725000030/fico-20250930.htm</t>
        </r>
      </text>
    </comment>
    <comment ref="L101" authorId="0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Interest (schedule)
FORMULA: =L98*L12
WHY: Opening debt × interest%; same economics as IS interest, from the debt schedule.
LINK: https://www.sec.gov/Archives/edgar/data/814547/000081454725000030/fico-20250930.htm</t>
        </r>
      </text>
    </comment>
    <comment ref="M101" authorId="0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Interest (schedule)
FORMULA: =M98*M12
WHY: Opening debt × interest%; same economics as IS interest, from the debt schedule.
LINK: https://www.sec.gov/Archives/edgar/data/814547/000081454725000030/fico-20250930.htm</t>
        </r>
      </text>
    </comment>
    <comment ref="N101" authorId="0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Interest (schedule)
FORMULA: =N98*N12
WHY: Opening debt × interest%; same economics as IS interest, from the debt schedule.
LINK: https://www.sec.gov/Archives/edgar/data/814547/000081454725000030/fico-20250930.htm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vengeanceaiUSCMODEL6</author>
  </authors>
  <commentList>
    <comment ref="D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WACC
FORMULA: =R15
WHY: Pulls the live CAPM WACC from the baked CAPM block so discounting uses researched Ke/Rd.</t>
        </r>
      </text>
    </comment>
    <comment ref="R1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WACC CAPM
FORMULA: =We×Ke+Wd×Rd×(1−t)
WHY: Weighted average cost of capital from CAPM Ke and after-tax cost of debt.</t>
        </r>
      </text>
    </comment>
    <comment ref="E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F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G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H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I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E2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F2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G2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H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I2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E2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F2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G2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H2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I2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E2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F2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G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H2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I2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E2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F2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G2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H2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I2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E2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F2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G2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H2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I2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J2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Exit TV
FORMULA: =EBITDA_n×exit multiple
WHY: Terminal enterprise value at year 5 using exit EV/EBITDA (primary exit method).</t>
        </r>
      </text>
    </comment>
    <comment ref="E2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F2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G2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H2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I2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D3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Enterprise value
FORMULA: =XNPV(WACC, CFs, mid-year dates)
WHY: Present value of FCFF + TV using mid-year dates and the live WACC.</t>
        </r>
      </text>
    </comment>
    <comment ref="D3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Equity value
FORMULA: =EV+Cash−Debt
WHY: Equity bridge: enterprise value plus cash minus gross debt (net debt adjustment).</t>
        </r>
      </text>
    </comment>
    <comment ref="D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Value / share
FORMULA: =Equity/Shares
WHY: Intrinsic equity value per share using diluted shares outstanding.</t>
        </r>
      </text>
    </comment>
  </commentList>
</comments>
</file>

<file path=xl/sharedStrings.xml><?xml version="1.0" encoding="utf-8"?>
<sst xmlns="http://schemas.openxmlformats.org/spreadsheetml/2006/main" count="466" uniqueCount="403">
  <si>
    <t>FICO — vengeanceaiUSCMODEL6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</si>
  <si>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</si>
  <si>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</si>
  <si>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</si>
  <si>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</si>
  <si>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</si>
  <si>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vengeanceaiUSCMODEL6: D&amp;A on avg PP&amp;E (new CapEx depreciated); gross AR days + separate Deferred Revenue in NWC; SGA floor 20% / grind −25bps. WACC=9.24%, Exit 25x. Every Source is a clickable URL. Click Cover Source Index (cols E–G) or 3S/DCF col U/V for filings.</t>
  </si>
  <si>
    <t>https://corporatefinanceinstitute.com/</t>
  </si>
  <si>
    <t>© 2019 CFI Education Inc.</t>
  </si>
  <si>
    <t>vengeanceaiUSCMODEL6 — SOURCE INDEX (click any link)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</si>
  <si>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</si>
  <si>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>Every assumption / WACC / filing source used in this workbook. Same links appear on 3-statement col U/V and DCF col U/V.</t>
  </si>
  <si>
    <t xml:space="preserve">No part of this publication may be modified, manipulated, reproduced, distributed, or transmitted in any form by any means, including photocopying, recording, or other electronic or mechanical methods, </t>
  </si>
  <si>
    <t>Source</t>
  </si>
  <si>
    <t>Clickable link</t>
  </si>
  <si>
    <t>URL</t>
  </si>
  <si>
    <t>without prior written permission of the publisher, except in the case of certain noncommercial uses permitted by copyright law.</t>
  </si>
  <si>
    <t>10-K FY2025</t>
  </si>
  <si>
    <t>https://www.sec.gov/Archives/edgar/data/814547/000081454725000030/fico-20250930.htm</t>
  </si>
  <si>
    <t>10-Q Q3 FY2026</t>
  </si>
  <si>
    <t>https://www.sec.gov/Archives/edgar/data/814547/000081454726000030/fico-20260630.htm</t>
  </si>
  <si>
    <t>8-K 6.250% notes</t>
  </si>
  <si>
    <t>https://www.sec.gov/Archives/edgar/data/814547/000119312526117936/d56220d8k.htm</t>
  </si>
  <si>
    <t>Damodaran ERP</t>
  </si>
  <si>
    <t>https://pages.stern.nyu.edu/adamodar/New_Home_Page/home.htm</t>
  </si>
  <si>
    <t>Damodaran FCFF</t>
  </si>
  <si>
    <t>https://pages.stern.nyu.edu/~adamodar/New_Home_Page/datafile/histfcff.html</t>
  </si>
  <si>
    <t>Damodaran implied ERP table</t>
  </si>
  <si>
    <t>https://pages.stern.nyu.edu/~adamodar/New_Home_Page/datafile/histimpl.html</t>
  </si>
  <si>
    <t>FICO IR</t>
  </si>
  <si>
    <t>https://www.fico.com/en/investors</t>
  </si>
  <si>
    <t>FRED DGS10</t>
  </si>
  <si>
    <t>https://fred.stlouisfed.org/series/DGS10</t>
  </si>
  <si>
    <t>FY2026 guidance EX-99.1</t>
  </si>
  <si>
    <t>https://www.sec.gov/Archives/edgar/data/814547/000081454726000031/exhibit991erq32026.htm</t>
  </si>
  <si>
    <t>US Treasury yield curve</t>
  </si>
  <si>
    <t>https://home.treasury.gov/resource-center/data-chart-center/interest-rates/TextView?type=daily_treasury_yield_curve</t>
  </si>
  <si>
    <t>Yahoo FICO</t>
  </si>
  <si>
    <t>https://finance.yahoo.com/quote/FICO/key-statistics/</t>
  </si>
  <si>
    <t>Yahoo FICO quote</t>
  </si>
  <si>
    <t>https://finance.yahoo.com/quote/FICO/</t>
  </si>
  <si>
    <t>companyfacts</t>
  </si>
  <si>
    <t>https://data.sec.gov/api/xbrl/companyfacts/CIK0000814547.json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</si>
  <si>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</si>
  <si>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</si>
  <si>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</si>
  <si>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</si>
  <si>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</si>
  <si>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vengeanceaiUSCMODEL6: hover J–N for WHY+SOURCE; click blue Source link in col U (or LINK: URL in col C / V) to open the filing</t>
  </si>
  <si>
    <t>ASSUMPTIONS EXPLAINED — click blue Source (col U) for the filing/data</t>
  </si>
  <si>
    <t>Assumptions</t>
  </si>
  <si>
    <t>Yellow = policy. Green = FY25-linked equations. Col U = clickable hyperlink. Col V = full URL (also clickable).</t>
  </si>
  <si>
    <t>Income statement</t>
  </si>
  <si>
    <t>Row</t>
  </si>
  <si>
    <t>Assumption</t>
  </si>
  <si>
    <t>What it is</t>
  </si>
  <si>
    <t>How set in model</t>
  </si>
  <si>
    <t>Why this choice</t>
  </si>
  <si>
    <t>Source (click)</t>
  </si>
  <si>
    <t>Source URL</t>
  </si>
  <si>
    <t>Revenue Growth (% Change)</t>
  </si>
  <si>
    <t>WHY: Y1 ≈ company FY2026 revenue guidance (~$2.53B / FY25 $1.991B − 1 ≈ 27%). Then fade toward terminal g=3% (not straight… | SOURCE: SEC EX-99.1 Q3 FY2026 — updated FY2026 revenue guidance $2.53B | LINK: https://www.sec.gov/Archives/edgar/data/814547/000081454726000031/exhibit991erq32026.htm | HOW: Yellow POLICY input: 27% / 16% / 13% / 10% / 7%.</t>
  </si>
  <si>
    <t>Revenue Growth</t>
  </si>
  <si>
    <t>Year-over-year % increase in revenue for each forecast year.</t>
  </si>
  <si>
    <t>Yellow POLICY input: 27% / 16% / 13% / 10% / 7%.</t>
  </si>
  <si>
    <t>Y1 ≈ company FY2026 revenue guidance (~$2.53B / FY25 $1.991B − 1 ≈ 27%). Then fade toward terminal g=3% (not straight-lined). This is the main forward-looking judgment; it drives Rev → GP → EBT → Net Earnings → CF.</t>
  </si>
  <si>
    <t>SEC EX-99.1 Q3 FY2026 — updated FY2026 revenue guidance $2.53B</t>
  </si>
  <si>
    <t>Cost of Goods Sold (% of Revenue)</t>
  </si>
  <si>
    <t>WHY: Locks in latest reported cost structure (~17.8%). Scores mix is high-margin; holding FY25 is conservative vs further … | SOURCE: SEC 10-K FY2025 — Cost of revenues / Total revenues | LINK: https://www.sec.gov/Archives/edgar/data/814547/000081454725000030/fico-20250930.htm | HOW: Excel equation: I25/I24 (FY25 COGS ÷ FY25 Revenue) held flat.</t>
  </si>
  <si>
    <t>COGS % of Revenue</t>
  </si>
  <si>
    <t>Cost of revenues as a % of sales (gross margin = 1 − this).</t>
  </si>
  <si>
    <t>Excel equation: I25/I24 (FY25 COGS ÷ FY25 Revenue) held flat.</t>
  </si>
  <si>
    <t>Locks in latest reported cost structure (~17.8%). Scores mix is high-margin; holding FY25 is conservative vs further mix shift.</t>
  </si>
  <si>
    <t>SEC 10-K FY2025 — Cost of revenues / Total revenues</t>
  </si>
  <si>
    <t>SGA % of Revenue (floor 20%, −25bps×t)</t>
  </si>
  <si>
    <t>WHY: MODEL6 fix: enterprise software needs lasting G&amp;A (sales, legal, compliance). Floor raised from 5%→20%; grind cut fro… | SOURCE: SEC 10-K FY2025 — SG&amp;A + restructuring note | LINK: https://www.sec.gov/Archives/edgar/data/814547/000081454725000030/fico-20250930.htm | HOW: Equation: MAX(20%, (I28 − 10,922)/I24 − 25bps × year). Strips FY25 restructuring; then −0.25% of sales each year.</t>
  </si>
  <si>
    <t>SGA % of Revenue</t>
  </si>
  <si>
    <t>Operating opex (Salaries &amp; Benefits / SG&amp;A) as % of sales.</t>
  </si>
  <si>
    <t>Equation: MAX(20%, (I28 − 10,922)/I24 − 25bps × year). Strips FY25 restructuring; then −0.25% of sales each year.</t>
  </si>
  <si>
    <t>MODEL6 fix: enterprise software needs lasting G&amp;A (sales, legal, compliance). Floor raised from 5%→20%; grind cut from 50→25 bps so SGA stays in a realistic ~22–25% band near FY25 normalized (~25%).</t>
  </si>
  <si>
    <t>SEC 10-K FY2025 — SG&amp;A + restructuring note</t>
  </si>
  <si>
    <t>R&amp;D % of Revenue (equation)</t>
  </si>
  <si>
    <t>WHY: FICO reinvests steadily in analytics/software. Flat % grows dollars with revenue. | SOURCE: SEC 10-K FY2025 — Research and development | LINK: https://www.sec.gov/Archives/edgar/data/814547/000081454725000030/fico-20250930.htm | HOW: Excel equation: I29/I24 held flat (~9.46%).</t>
  </si>
  <si>
    <t>R&amp;D % of Revenue</t>
  </si>
  <si>
    <t>Research &amp; development (template label may say Rent and Overhead) as % of sales.</t>
  </si>
  <si>
    <t>Excel equation: I29/I24 held flat (~9.46%).</t>
  </si>
  <si>
    <t>FICO reinvests steadily in analytics/software. Flat % grows dollars with revenue.</t>
  </si>
  <si>
    <t>SEC 10-K FY2025 — Research and development</t>
  </si>
  <si>
    <t>D&amp;A % of Avg PP&amp;E (rate=FY25 DA/PPE; $ uses avg base)</t>
  </si>
  <si>
    <t>WHY: MODEL6 fix: prior model depreciated only opening PP&amp;E, so ~$96M of forecast CapEx never hit D&amp;A/FCFF add-back. Averag… | SOURCE: SEC 10-K FY2025 — D&amp;A and PP&amp;E | LINK: https://www.sec.gov/Archives/edgar/data/814547/000081454725000030/fico-20250930.htm | HOW: Rate = I30/I44 (FY25 DA ÷ FY25 PPE). Forecast DA$ = ((Open + Open+CapEx)/2) × rate.</t>
  </si>
  <si>
    <t>D&amp;A % of Avg PP&amp;E</t>
  </si>
  <si>
    <t>Depreciation rate from FY25; dollars applied to average PP&amp;E so new CapEx is depreciated.</t>
  </si>
  <si>
    <t>Rate = I30/I44 (FY25 DA ÷ FY25 PPE). Forecast DA$ = ((Open + Open+CapEx)/2) × rate.</t>
  </si>
  <si>
    <t>MODEL6 fix: prior model depreciated only opening PP&amp;E, so ~$96M of forecast CapEx never hit D&amp;A/FCFF add-back. Average PP&amp;E (Open ↔ pre-DA close) depreciates additions in the year they are placed in service.</t>
  </si>
  <si>
    <t>SEC 10-K FY2025 — D&amp;A and PP&amp;E</t>
  </si>
  <si>
    <t>Interest (% of Debt Open Bal)</t>
  </si>
  <si>
    <t>WHY: Approximates average coupon / cost of debt on the book. Debt held flat (issuance = 0), so interest stays linked to th… | SOURCE: SEC 10-K FY2025 — Interest expense; see also 8-K 6.250% notes | LINK: https://www.sec.gov/Archives/edgar/data/814547/000081454725000030/fico-20250930.htm | HOW: Excel equation: I101/I98 (FY25 interest ÷ FY25 opening debt in schedule).</t>
  </si>
  <si>
    <t>Interest % of Debt Open</t>
  </si>
  <si>
    <t>Interest expense as % of opening debt balance.</t>
  </si>
  <si>
    <t>Excel equation: I101/I98 (FY25 interest ÷ FY25 opening debt in schedule).</t>
  </si>
  <si>
    <t>Approximates average coupon / cost of debt on the book. Debt held flat (issuance = 0), so interest stays linked to that stock.</t>
  </si>
  <si>
    <t>SEC 10-K FY2025 — Interest expense; see also 8-K 6.250% notes</t>
  </si>
  <si>
    <t>Tax Rate (% of Earnings Before Tax)</t>
  </si>
  <si>
    <t>WHY: Uses reported effective rate (~19% on template EBT; ~18.8% on 10-K EBT). UFCF in DCF also uses unlevered EBIT × t. | SOURCE: SEC 10-K FY2025 — Provision for income taxes / Income before taxes | LINK: https://www.sec.gov/Archives/edgar/data/814547/000081454725000030/fico-20250930.htm | HOW: Excel equation: I35/I33 (FY25 tax ÷ simplified FY25 EBT in this template).</t>
  </si>
  <si>
    <t>Tax Rate (% of EBT)</t>
  </si>
  <si>
    <t>Effective book tax rate applied to forecast EBT.</t>
  </si>
  <si>
    <t>Excel equation: I35/I33 (FY25 tax ÷ simplified FY25 EBT in this template).</t>
  </si>
  <si>
    <t>Uses reported effective rate (~19% on template EBT; ~18.8% on 10-K EBT). UFCF in DCF also uses unlevered EBIT × t.</t>
  </si>
  <si>
    <t>SEC 10-K FY2025 — Provision for income taxes / Income before taxes</t>
  </si>
  <si>
    <t>Balance Sheet</t>
  </si>
  <si>
    <t>Accounts Receivable (Days)</t>
  </si>
  <si>
    <t>WHY: MODEL6 fix: DSO must use gross receivables. Deferred Revenue is a contract liability projected separately (WC row 88 … | SOURCE: SEC companyfacts XBRL — AR; DeferredRevenueCurrent separate | LINK: https://data.sec.gov/api/xbrl/companyfacts/CIK0000814547.json | HOW: Excel equation: ROUND(I42/I24×365, 0). I42 is GROSS AR (not net of deferred).</t>
  </si>
  <si>
    <t>Standard DSO: gross AR days used to project Gross AR = Rev × days/365.</t>
  </si>
  <si>
    <t>Excel equation: ROUND(I42/I24×365, 0). I42 is GROSS AR (not net of deferred).</t>
  </si>
  <si>
    <t>MODEL6 fix: DSO must use gross receivables. Deferred Revenue is a contract liability projected separately (WC row 88 = Rev × FY25 Def/Rev). NWC = GrossAR + Inv − AP − Deferred.</t>
  </si>
  <si>
    <t>SEC companyfacts XBRL — AR; DeferredRevenueCurrent separate</t>
  </si>
  <si>
    <t>Inventory (Days)</t>
  </si>
  <si>
    <t>WHY: No inventory cycle to fund. | SOURCE: SEC 10-K FY2025 — Inventory ≈ $0 | LINK: https://www.sec.gov/Archives/edgar/data/814547/000081454725000030/fico-20250930.htm | HOW: Hard zero — FICO is software / scores; inventory is immaterial.</t>
  </si>
  <si>
    <t>Inventory days (Inv = COGS × days/365).</t>
  </si>
  <si>
    <t>Hard zero — FICO is software / scores; inventory is immaterial.</t>
  </si>
  <si>
    <t>No inventory cycle to fund.</t>
  </si>
  <si>
    <t>SEC 10-K FY2025 — Inventory ≈ $0</t>
  </si>
  <si>
    <t>Accounts Payable (Days)</t>
  </si>
  <si>
    <t>WHY: Payable timing offsets AR in operating NWC. | SOURCE: SEC 10-K FY2025 — Accounts payable | LINK: https://www.sec.gov/Archives/edgar/data/814547/000081454725000030/fico-20250930.htm | HOW: Excel equation: ROUND(I48/I25×365, 0) from FY25.</t>
  </si>
  <si>
    <t>AP days used to project AP = COGS × days/365.</t>
  </si>
  <si>
    <t>Excel equation: ROUND(I48/I25×365, 0) from FY25.</t>
  </si>
  <si>
    <t>Payable timing offsets AR in operating NWC.</t>
  </si>
  <si>
    <t>SEC 10-K FY2025 — Accounts payable</t>
  </si>
  <si>
    <t>CapEx % of Revenue (fade equation)</t>
  </si>
  <si>
    <t>WHY: FY25 CapEx was elevated by capitalized internal-use software. Fading avoids locking a peak reinvestment rate forever. | SOURCE: SEC 10-K FY2025 — PP&amp;E purchases + capitalized software | LINK: https://www.sec.gov/Archives/edgar/data/814547/000081454725000030/fico-20250930.htm | HOW: Equation: fade from I68/I24 (FY25 CapEx/Sales ~1.98%) toward 1.0% steady. Weights 85%→65%→45%→30%→0% on the peak.</t>
  </si>
  <si>
    <t>CapEx % of Revenue</t>
  </si>
  <si>
    <t>Capital investment (PPE + capitalized software) as % of sales.</t>
  </si>
  <si>
    <t>Equation: fade from I68/I24 (FY25 CapEx/Sales ~1.98%) toward 1.0% steady. Weights 85%→65%→45%→30%→0% on the peak.</t>
  </si>
  <si>
    <t>FY25 CapEx was elevated by capitalized internal-use software. Fading avoids locking a peak reinvestment rate forever.</t>
  </si>
  <si>
    <t>SEC 10-K FY2025 — PP&amp;E purchases + capitalized software</t>
  </si>
  <si>
    <t>Debt Issuance (Repayment) ($000's)</t>
  </si>
  <si>
    <t>WHY: Hold debt stock flat at FY25 level for the explicit period; interest follows. Net debt for DCF equity bridge uses the… | SOURCE: SEC 10-Q Q3 FY2026 — debt stock (financing excluded from FCFF) | LINK: https://www.sec.gov/Archives/edgar/data/814547/000081454726000030/fico-20260630.htm | HOW: POLICY input = 0 every year.</t>
  </si>
  <si>
    <t>Debt Issuance (Repayment)</t>
  </si>
  <si>
    <t>New borrowing (+) or repayment (−) in the forecast.</t>
  </si>
  <si>
    <t>POLICY input = 0 every year.</t>
  </si>
  <si>
    <t>Hold debt stock flat at FY25 level for the explicit period; interest follows. Net debt for DCF equity bridge uses the later 10-Q amount separately.</t>
  </si>
  <si>
    <t>SEC 10-Q Q3 FY2026 — debt stock (financing excluded from FCFF)</t>
  </si>
  <si>
    <t>Equity Issued (Repaid) ($000's)</t>
  </si>
  <si>
    <t>WHY: Buybacks are real historically but are financing — excluded from FCFF. Share count for $/share is the spot shares out… | SOURCE: Damodaran FCFF framework — financing (buybacks) not in FCFF | LINK: https://pages.stern.nyu.edu/~adamodar/New_Home_Page/datafile/histfcff.html | HOW: POLICY input = 0 every year.</t>
  </si>
  <si>
    <t>Equity Issued (Repaid)</t>
  </si>
  <si>
    <t>New equity issued (+) or buybacks (−) in the forecast BS/CF.</t>
  </si>
  <si>
    <t>Buybacks are real historically but are financing — excluded from FCFF. Share count for $/share is the spot shares outstanding assumption.</t>
  </si>
  <si>
    <t>Damodaran FCFF framework — financing (buybacks) not in FCFF</t>
  </si>
  <si>
    <t>Income Statement</t>
  </si>
  <si>
    <t>Reveneue</t>
  </si>
  <si>
    <t>eqn: PriorRev × (1 + growth)</t>
  </si>
  <si>
    <t>Cost of Goods Sold (COGS)</t>
  </si>
  <si>
    <t>eqn: Rev × COGS%</t>
  </si>
  <si>
    <t>Gross Profit</t>
  </si>
  <si>
    <t>eqn: Rev − COGS</t>
  </si>
  <si>
    <t>Expenses</t>
  </si>
  <si>
    <t>Salaries and Benefits</t>
  </si>
  <si>
    <t>eqn: Rev × SGA%</t>
  </si>
  <si>
    <t>Rent and Overhead</t>
  </si>
  <si>
    <t>eqn: Rev × R&amp;D%</t>
  </si>
  <si>
    <t>Depreciation &amp; Amortization</t>
  </si>
  <si>
    <t>eqn: AvgPPE × DA%  — Avg=(Open+Open+CapEx)/2</t>
  </si>
  <si>
    <t>Interest</t>
  </si>
  <si>
    <t>eqn: Debt_open × Int%</t>
  </si>
  <si>
    <t>Total Expenses</t>
  </si>
  <si>
    <t>Earnings Before Tax</t>
  </si>
  <si>
    <t>eqn: GP − Expenses</t>
  </si>
  <si>
    <t>Taxes</t>
  </si>
  <si>
    <t>eqn: EBT × tax%</t>
  </si>
  <si>
    <t>Net Earnings</t>
  </si>
  <si>
    <t>eqn: EBT × (1 − tax%)</t>
  </si>
  <si>
    <t>Assets</t>
  </si>
  <si>
    <t>Cash</t>
  </si>
  <si>
    <t>Accounts Receivable</t>
  </si>
  <si>
    <t>eqn: Rev × GROSS AR_days / 365</t>
  </si>
  <si>
    <t>Inventory</t>
  </si>
  <si>
    <t>Property &amp; Equipment</t>
  </si>
  <si>
    <t>Total Assets</t>
  </si>
  <si>
    <t>Liabilities</t>
  </si>
  <si>
    <t>Accounts Payable</t>
  </si>
  <si>
    <t>eqn: COGS × AP_days / 365</t>
  </si>
  <si>
    <t>Debt</t>
  </si>
  <si>
    <t>Total Liabilities</t>
  </si>
  <si>
    <t>eqn: AP + Debt + DeferredRev</t>
  </si>
  <si>
    <t>Shareholder's Equity</t>
  </si>
  <si>
    <t>Equity Capital</t>
  </si>
  <si>
    <t>Retained Earnings</t>
  </si>
  <si>
    <t>eqn: PriorRE + EBT×(1−t)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</si>
  <si>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</si>
  <si>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</si>
  <si>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</si>
  <si>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</si>
  <si>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</si>
  <si>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eqn: AvgPPE × DA%</t>
  </si>
  <si>
    <t>Less: Changes in Working Capital</t>
  </si>
  <si>
    <t>eqn: NWC_t − NWC_t−1  (NWC=AR+Inv−AP−Deferred)</t>
  </si>
  <si>
    <t>Cash from Operations</t>
  </si>
  <si>
    <t>eqn: NI + DA − ΔNWC</t>
  </si>
  <si>
    <t>Investing Cash Flow</t>
  </si>
  <si>
    <t>Investments in Property &amp; Equipment</t>
  </si>
  <si>
    <t>eqn: Rev × CapEx%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</si>
  <si>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</si>
  <si>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</si>
  <si>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</si>
  <si>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</si>
  <si>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</si>
  <si>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</si>
  <si>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eqn: CFO − CapEx + Financing</t>
  </si>
  <si>
    <t>Opening Cash Balance</t>
  </si>
  <si>
    <t>Closing Cash Balance</t>
  </si>
  <si>
    <t>Supporting Schedules</t>
  </si>
  <si>
    <t>Working Capital Schedule</t>
  </si>
  <si>
    <t>Accounts Receivable (Gross)</t>
  </si>
  <si>
    <t>Deferred Revenue (contract liability)</t>
  </si>
  <si>
    <t>eqn: Rev × (FY25 Deferred/FY25 Rev) — separate from AR</t>
  </si>
  <si>
    <t>Net Working Capital (NWC)</t>
  </si>
  <si>
    <t>eqn: GrossAR + Inv − AP − Deferred</t>
  </si>
  <si>
    <t>Change in NWC</t>
  </si>
  <si>
    <t>Depreciation Schedule</t>
  </si>
  <si>
    <t>PPE Opening</t>
  </si>
  <si>
    <t>Plus Capex</t>
  </si>
  <si>
    <t>Less Depreciation</t>
  </si>
  <si>
    <t>eqn: ((Open+Open+CapEx)/2) × DA%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</si>
  <si>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</si>
  <si>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</si>
  <si>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</si>
  <si>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</si>
  <si>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</si>
  <si>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</si>
  <si>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</si>
  <si>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</si>
  <si>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</si>
  <si>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</si>
  <si>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</si>
  <si>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</si>
  <si>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vengeanceaiUSCMODEL6 — LIVE EQUATIONS + SOURCE LINKS</t>
  </si>
  <si>
    <t>Yellow = inputs (edit). Green = formulas. Blue underlined = clickable sources.</t>
  </si>
  <si>
    <t>Input</t>
  </si>
  <si>
    <t>Value</t>
  </si>
  <si>
    <t>Description</t>
  </si>
  <si>
    <t>Role</t>
  </si>
  <si>
    <t>Primary source (click)</t>
  </si>
  <si>
    <t>Secondary source (click)</t>
  </si>
  <si>
    <t>Tax Rate (unlevered / on EBIT)</t>
  </si>
  <si>
    <t>Tax source: SEC 10-K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</si>
  <si>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</si>
  <si>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</si>
  <si>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</si>
  <si>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</si>
  <si>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</si>
  <si>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SEC 8-K Rd 6.250%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</si>
  <si>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</si>
  <si>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</si>
  <si>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</si>
  <si>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</si>
  <si>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</si>
  <si>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</si>
  <si>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Equity risk premium (ERP)</t>
  </si>
  <si>
    <t>Damodaran implied ERP</t>
  </si>
  <si>
    <t>Damodaran Online — Implied ERP</t>
  </si>
  <si>
    <t>Damodaran histimpl.xls / table</t>
  </si>
  <si>
    <t>EV/EBITDA Mulltiple</t>
  </si>
  <si>
    <t>Rd source: SEC 8-K 6.250% notes</t>
  </si>
  <si>
    <t>Beta (β)</t>
  </si>
  <si>
    <t>Yahoo 5Y monthly beta</t>
  </si>
  <si>
    <t>Yahoo Finance FICO Key Statistics</t>
  </si>
  <si>
    <t>Yahoo Finance FICO quote</t>
  </si>
  <si>
    <t>Transaction Date</t>
  </si>
  <si>
    <t>Ke = Rf + β × ERP</t>
  </si>
  <si>
    <t>Cost of equity (CAPM)</t>
  </si>
  <si>
    <t>→ WACC</t>
  </si>
  <si>
    <t>Derived: R6 + R8 × R7</t>
  </si>
  <si>
    <t>Fiscal Year End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</si>
  <si>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</si>
  <si>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</si>
  <si>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</si>
  <si>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</si>
  <si>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</si>
  <si>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</si>
  <si>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</si>
  <si>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FY25 effective = 150,649 / 802,595</t>
  </si>
  <si>
    <t>Linked D5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</si>
  <si>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</si>
  <si>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</si>
  <si>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</si>
  <si>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</si>
  <si>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</si>
  <si>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</si>
  <si>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</si>
  <si>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</si>
  <si>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</si>
  <si>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</si>
  <si>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</si>
  <si>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Debt weight (Wd)</t>
  </si>
  <si>
    <t>Target ~20% debt (We+Wd=100%)</t>
  </si>
  <si>
    <t>SEC 10-Q — total debt $5,582,389k</t>
  </si>
  <si>
    <t>SEC 10-K — senior notes footnote</t>
  </si>
  <si>
    <t>Capex (FY1 forecast, linked)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</si>
  <si>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</si>
  <si>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</si>
  <si>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</si>
  <si>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</si>
  <si>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</si>
  <si>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</si>
  <si>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</si>
  <si>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</si>
  <si>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methods (MODEL3)</t>
  </si>
  <si>
    <t>2) Unlevered Free Cash Flow</t>
  </si>
  <si>
    <t>Date (mid-year convention)</t>
  </si>
  <si>
    <t>Exit EV/EBITDA (in J27) — primary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</si>
  <si>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</si>
  <si>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</si>
  <si>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</si>
  <si>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</si>
  <si>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</t>
  </si>
  <si>
    <t>Excel (col E example)</t>
  </si>
  <si>
    <t>Year Fraction (display only; not applied to CF)</t>
  </si>
  <si>
    <t>Implied Gordon exit multiple</t>
  </si>
  <si>
    <t>Tax on EBIT (unlevered)</t>
  </si>
  <si>
    <t>NOT levered IS tax dollars</t>
  </si>
  <si>
    <t>Tax rate from SEC 10-K effective rate</t>
  </si>
  <si>
    <t>EBIT (linked to 3-stmt)</t>
  </si>
  <si>
    <t>EBIT</t>
  </si>
  <si>
    <t>FCFF check (FY5 / col I)</t>
  </si>
  <si>
    <t>Must equal I21−I22+I23−I24−I25</t>
  </si>
  <si>
    <t>Less: Unlevered Cash Taxes (EBIT×t)</t>
  </si>
  <si>
    <t>EBIT×t</t>
  </si>
  <si>
    <t>Plus: D&amp;A (linked to 3-stmt)</t>
  </si>
  <si>
    <t>+D&amp;A</t>
  </si>
  <si>
    <t>3) Terminal Value</t>
  </si>
  <si>
    <t>Less: Capex (linked to 3-stmt CF)</t>
  </si>
  <si>
    <t>−CapEx</t>
  </si>
  <si>
    <t>TV_exit = EBITDA_n × ExitMultiple   [PRIMARY]</t>
  </si>
  <si>
    <t>Less: ΔNWC (linked to 3-stmt CF)</t>
  </si>
  <si>
    <t>−ΔNWC</t>
  </si>
  <si>
    <t>Excel</t>
  </si>
  <si>
    <t>Exit multiple policy vs Yahoo / market multiples</t>
  </si>
  <si>
    <t>Unlevered FCF</t>
  </si>
  <si>
    <t>FCFF=EBIT−tax+DA−CapEx−ΔNWC</t>
  </si>
  <si>
    <t>TV_gordon = FCFF_n×(1+g)/(WACC−g)   [CHECK]</t>
  </si>
  <si>
    <t>(Entry)/Exit TV — Exit EV/EBITDA</t>
  </si>
  <si>
    <t>Gordon g vs Damodaran long-run growth framing</t>
  </si>
  <si>
    <t>Transaction CF</t>
  </si>
  <si>
    <t>Gordon TV / EBITDA_n</t>
  </si>
  <si>
    <t>4) Enterprise → Equity → $/share</t>
  </si>
  <si>
    <t>Intrinsic Value</t>
  </si>
  <si>
    <t>Market Value</t>
  </si>
  <si>
    <t>Rate of Return</t>
  </si>
  <si>
    <t>EV = XNPV(WACC, TransactionCF, mid-year dates)</t>
  </si>
  <si>
    <t>Enterprise Value (XNPV, mid-year dates)</t>
  </si>
  <si>
    <t>Market Cap</t>
  </si>
  <si>
    <t>Target Price Upside</t>
  </si>
  <si>
    <t>Plus: Cash</t>
  </si>
  <si>
    <t>Plus: Debt</t>
  </si>
  <si>
    <t>Internal Rate of Return (IRR)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</si>
  <si>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</si>
  <si>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</si>
  <si>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</si>
  <si>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</si>
  <si>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</si>
  <si>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</si>
  <si>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</si>
  <si>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</si>
  <si>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</si>
  <si>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</si>
  <si>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</si>
  <si>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</si>
  <si>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Market Value vs Intrinsic Value</t>
  </si>
  <si>
    <t>Upside vs market</t>
  </si>
  <si>
    <t>Intrinsic / Current Price − 1</t>
  </si>
  <si>
    <t>Equity Value/Share</t>
  </si>
  <si>
    <t>Upside</t>
  </si>
  <si>
    <t>5) Operating NWC (feeds ΔNWC → FCFF)</t>
  </si>
  <si>
    <t>NWC = AR + Inventory − AP − DeferredRevenue</t>
  </si>
  <si>
    <t>SEC 10-K — AR / AP / deferred revenue</t>
  </si>
  <si>
    <t>XBRL DeferredRevenueCurrent</t>
  </si>
  <si>
    <t>ΔNWC_t = NWC_t − NWC_(t−1)</t>
  </si>
  <si>
    <t>Linked from 3-statement CF row 64</t>
  </si>
  <si>
    <t>Instructions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</si>
  <si>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</si>
  <si>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</si>
  <si>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</si>
  <si>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</si>
  <si>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</si>
  <si>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</si>
  <si>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</si>
  <si>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</si>
  <si>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</si>
  <si>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</si>
  <si>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</si>
  <si>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</si>
  <si>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</si>
  <si>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</si>
  <si>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</si>
  <si>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</si>
  <si>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Risk-free rate (US 10Y)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</si>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</sst>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"/>
    <numFmt numFmtId="175" formatCode="0.00\x"/>
    <numFmt numFmtId="176" formatCode="\$#,##0.00"/>
    <numFmt numFmtId="177" formatCode="#,##0.0;\(#,##0.0\);\-"/>
    <numFmt numFmtId="178" formatCode="yyyy\-mm\-dd"/>
    <numFmt numFmtId="179" formatCode="0.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9"/>
      <color rgb="FF000000"/>
      <name val="Consolas"/>
    </font>
    <font>
      <i/>
      <sz val="8"/>
      <color rgb="FF595959"/>
      <name val="Calibri"/>
    </font>
    <font>
      <b/>
      <sz val="12"/>
      <color rgb="FFC65911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833C0C"/>
      <name val="Calibri"/>
    </font>
    <font>
      <sz val="9"/>
      <name val="Calibri"/>
    </font>
    <font>
      <u/>
      <sz val="9"/>
      <color rgb="FF0563C1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  <font>
      <u/>
      <sz val="10"/>
      <color rgb="FF0563C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833C0C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74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57" fillId="13" borderId="5" xfId="7" applyFont="1" applyFill="1" applyBorder="1"/>
    <xf numFmtId="0" fontId="58" fillId="2" borderId="5" xfId="7" applyFont="1" applyFill="1" applyBorder="1" applyAlignment="1">
      <alignment vertical="center" wrapText="1"/>
    </xf>
    <xf numFmtId="0" fontId="59" fillId="2" borderId="5" xfId="7" applyFont="1" applyFill="1" applyBorder="1" applyAlignment="1">
      <alignment vertical="center" wrapText="1"/>
    </xf>
    <xf numFmtId="0" fontId="58" fillId="5" borderId="5" xfId="7" applyFont="1" applyFill="1" applyBorder="1" applyAlignment="1">
      <alignment vertical="center" wrapText="1"/>
    </xf>
    <xf numFmtId="0" fontId="59" fillId="5" borderId="5" xfId="7" applyFont="1" applyFill="1" applyBorder="1" applyAlignment="1">
      <alignment vertical="center" wrapText="1"/>
    </xf>
    <xf numFmtId="0" fontId="58" fillId="0" borderId="5" xfId="0" applyFont="1" applyBorder="1" applyAlignment="1">
      <alignment vertical="center" wrapText="1"/>
    </xf>
    <xf numFmtId="0" fontId="59" fillId="0" borderId="5" xfId="0" applyFont="1" applyBorder="1" applyAlignment="1">
      <alignment vertical="center" wrapText="1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7" fontId="5" fillId="0" borderId="0" xfId="1" applyNumberFormat="1" applyFont="1" applyAlignment="1">
      <alignment horizontal="right"/>
    </xf>
    <xf numFmtId="0" fontId="39" fillId="9" borderId="0" xfId="0" applyFont="1" applyFill="1"/>
    <xf numFmtId="0" fontId="45" fillId="10" borderId="5" xfId="0" applyFont="1" applyFill="1" applyBorder="1" applyAlignment="1">
      <alignment vertical="center"/>
    </xf>
    <xf numFmtId="164" fontId="42" fillId="0" borderId="0" xfId="1" applyNumberFormat="1" applyFont="1" applyAlignment="1">
      <alignment vertical="top" wrapText="1"/>
    </xf>
    <xf numFmtId="166" fontId="40" fillId="8" borderId="5" xfId="2" applyNumberFormat="1" applyFont="1" applyFill="1" applyBorder="1"/>
    <xf numFmtId="0" fontId="46" fillId="11" borderId="5" xfId="0" applyFont="1" applyFill="1" applyBorder="1" applyAlignment="1">
      <alignment vertical="top" wrapText="1"/>
    </xf>
    <xf numFmtId="0" fontId="47" fillId="0" borderId="5" xfId="0" applyFont="1" applyBorder="1" applyAlignment="1">
      <alignment vertical="top" wrapText="1"/>
    </xf>
    <xf numFmtId="0" fontId="48" fillId="0" borderId="5" xfId="0" applyFont="1" applyBorder="1" applyAlignment="1">
      <alignment vertical="top" wrapText="1"/>
    </xf>
    <xf numFmtId="166" fontId="38" fillId="7" borderId="5" xfId="2" applyNumberFormat="1" applyFont="1" applyFill="1" applyBorder="1"/>
    <xf numFmtId="177" fontId="9" fillId="0" borderId="0" xfId="1" applyNumberFormat="1" applyFont="1"/>
    <xf numFmtId="166" fontId="38" fillId="7" borderId="5" xfId="1" applyNumberFormat="1" applyFont="1" applyFill="1" applyBorder="1"/>
    <xf numFmtId="0" fontId="42" fillId="0" borderId="0" xfId="0" applyFont="1" applyAlignment="1">
      <alignment vertical="top" wrapText="1"/>
    </xf>
    <xf numFmtId="177" fontId="38" fillId="7" borderId="5" xfId="1" applyNumberFormat="1" applyFont="1" applyFill="1" applyBorder="1"/>
    <xf numFmtId="177" fontId="40" fillId="8" borderId="5" xfId="1" applyNumberFormat="1" applyFont="1" applyFill="1" applyBorder="1"/>
    <xf numFmtId="166" fontId="40" fillId="8" borderId="5" xfId="1" applyNumberFormat="1" applyFont="1" applyFill="1" applyBorder="1"/>
    <xf numFmtId="164" fontId="41" fillId="0" borderId="0" xfId="1" applyNumberFormat="1" applyFont="1"/>
    <xf numFmtId="177" fontId="40" fillId="8" borderId="0" xfId="1" applyNumberFormat="1" applyFont="1" applyFill="1"/>
    <xf numFmtId="164" fontId="41" fillId="0" borderId="2" xfId="1" applyNumberFormat="1" applyFont="1" applyBorder="1"/>
    <xf numFmtId="177" fontId="6" fillId="0" borderId="2" xfId="1" applyNumberFormat="1" applyFont="1" applyBorder="1"/>
    <xf numFmtId="0" fontId="41" fillId="0" borderId="0" xfId="0" applyFont="1"/>
    <xf numFmtId="164" fontId="41" fillId="0" borderId="1" xfId="1" applyNumberFormat="1" applyFont="1" applyBorder="1"/>
    <xf numFmtId="177" fontId="40" fillId="8" borderId="1" xfId="1" applyNumberFormat="1" applyFont="1" applyFill="1" applyBorder="1"/>
    <xf numFmtId="177" fontId="6" fillId="0" borderId="0" xfId="1" applyNumberFormat="1" applyFont="1"/>
    <xf numFmtId="164" fontId="41" fillId="0" borderId="4" xfId="1" applyNumberFormat="1" applyFont="1" applyBorder="1"/>
    <xf numFmtId="177" fontId="6" fillId="0" borderId="4" xfId="1" applyNumberFormat="1" applyFont="1" applyBorder="1"/>
    <xf numFmtId="177" fontId="38" fillId="7" borderId="2" xfId="1" applyNumberFormat="1" applyFont="1" applyFill="1" applyBorder="1"/>
    <xf numFmtId="177" fontId="6" fillId="0" borderId="3" xfId="1" applyNumberFormat="1" applyFont="1" applyBorder="1"/>
    <xf numFmtId="177" fontId="5" fillId="0" borderId="0" xfId="1" applyNumberFormat="1" applyFont="1"/>
    <xf numFmtId="177" fontId="2" fillId="0" borderId="0" xfId="1" applyNumberFormat="1" applyFont="1"/>
    <xf numFmtId="177" fontId="38" fillId="7" borderId="0" xfId="1" applyNumberFormat="1" applyFont="1" applyFill="1"/>
    <xf numFmtId="177" fontId="40" fillId="8" borderId="2" xfId="1" applyNumberFormat="1" applyFont="1" applyFill="1" applyBorder="1" applyAlignment="1">
      <alignment horizontal="center"/>
    </xf>
    <xf numFmtId="177" fontId="40" fillId="8" borderId="2" xfId="1" applyNumberFormat="1" applyFont="1" applyFill="1" applyBorder="1"/>
    <xf numFmtId="177" fontId="40" fillId="8" borderId="0" xfId="0" applyNumberFormat="1" applyFont="1" applyFill="1"/>
    <xf numFmtId="177" fontId="38" fillId="7" borderId="5" xfId="0" applyNumberFormat="1" applyFont="1" applyFill="1" applyBorder="1"/>
    <xf numFmtId="0" fontId="39" fillId="9" borderId="5" xfId="0" applyFont="1" applyFill="1" applyBorder="1"/>
    <xf numFmtId="166" fontId="40" fillId="8" borderId="0" xfId="0" applyNumberFormat="1" applyFont="1" applyFill="1" applyAlignment="1">
      <alignment horizontal="right"/>
    </xf>
    <xf numFmtId="164" fontId="51" fillId="0" borderId="5" xfId="0" applyNumberFormat="1" applyFont="1" applyBorder="1" applyAlignment="1">
      <alignment vertical="center" wrapText="1"/>
    </xf>
    <xf numFmtId="164" fontId="54" fillId="0" borderId="0" xfId="0" applyNumberFormat="1" applyFont="1"/>
    <xf numFmtId="164" fontId="53" fillId="0" borderId="0" xfId="0" applyNumberFormat="1" applyFont="1"/>
    <xf numFmtId="166" fontId="38" fillId="7" borderId="5" xfId="0" applyNumberFormat="1" applyFont="1" applyFill="1" applyBorder="1" applyAlignment="1">
      <alignment horizontal="right"/>
    </xf>
    <xf numFmtId="0" fontId="38" fillId="0" borderId="0" xfId="0" applyFont="1" applyAlignment="1">
      <alignment vertical="center" wrapText="1"/>
    </xf>
    <xf numFmtId="10" fontId="40" fillId="8" borderId="5" xfId="0" applyNumberFormat="1" applyFont="1" applyFill="1" applyBorder="1"/>
    <xf numFmtId="0" fontId="51" fillId="0" borderId="5" xfId="0" applyFont="1" applyBorder="1" applyAlignment="1">
      <alignment vertical="center" wrapText="1"/>
    </xf>
    <xf numFmtId="179" fontId="40" fillId="8" borderId="0" xfId="0" applyNumberFormat="1" applyFont="1" applyFill="1" applyAlignment="1">
      <alignment horizontal="right"/>
    </xf>
    <xf numFmtId="2" fontId="40" fillId="8" borderId="5" xfId="0" applyNumberFormat="1" applyFont="1" applyFill="1" applyBorder="1"/>
    <xf numFmtId="178" fontId="32" fillId="0" borderId="0" xfId="0" applyNumberFormat="1" applyFont="1"/>
    <xf numFmtId="0" fontId="52" fillId="0" borderId="0" xfId="0" applyFont="1" applyAlignment="1">
      <alignment vertical="center" wrapText="1"/>
    </xf>
    <xf numFmtId="10" fontId="38" fillId="7" borderId="5" xfId="0" applyNumberFormat="1" applyFont="1" applyFill="1" applyBorder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9" fontId="40" fillId="8" borderId="5" xfId="0" applyNumberFormat="1" applyFont="1" applyFill="1" applyBorder="1"/>
    <xf numFmtId="177" fontId="38" fillId="7" borderId="0" xfId="0" applyNumberFormat="1" applyFont="1" applyFill="1"/>
    <xf numFmtId="1" fontId="31" fillId="6" borderId="0" xfId="0" applyNumberFormat="1" applyFont="1" applyFill="1"/>
    <xf numFmtId="177" fontId="35" fillId="0" borderId="0" xfId="0" applyNumberFormat="1" applyFont="1"/>
    <xf numFmtId="178" fontId="38" fillId="7" borderId="0" xfId="0" applyNumberFormat="1" applyFont="1" applyFill="1"/>
    <xf numFmtId="177" fontId="36" fillId="0" borderId="0" xfId="0" applyNumberFormat="1" applyFont="1"/>
    <xf numFmtId="177" fontId="37" fillId="0" borderId="0" xfId="0" applyNumberFormat="1" applyFont="1"/>
    <xf numFmtId="164" fontId="55" fillId="0" borderId="0" xfId="0" applyNumberFormat="1" applyFont="1"/>
    <xf numFmtId="174" fontId="38" fillId="7" borderId="5" xfId="0" applyNumberFormat="1" applyFont="1" applyFill="1" applyBorder="1"/>
    <xf numFmtId="177" fontId="30" fillId="0" borderId="2" xfId="0" applyNumberFormat="1" applyFont="1" applyBorder="1"/>
    <xf numFmtId="177" fontId="30" fillId="0" borderId="0" xfId="0" applyNumberFormat="1" applyFont="1"/>
    <xf numFmtId="177" fontId="38" fillId="7" borderId="2" xfId="0" applyNumberFormat="1" applyFont="1" applyFill="1" applyBorder="1"/>
    <xf numFmtId="175" fontId="38" fillId="7" borderId="5" xfId="0" applyNumberFormat="1" applyFont="1" applyFill="1" applyBorder="1"/>
    <xf numFmtId="176" fontId="38" fillId="7" borderId="5" xfId="0" applyNumberFormat="1" applyFont="1" applyFill="1" applyBorder="1"/>
    <xf numFmtId="166" fontId="38" fillId="7" borderId="5" xfId="0" applyNumberFormat="1" applyFont="1" applyFill="1" applyBorder="1"/>
    <xf numFmtId="0" fontId="49" fillId="10" borderId="0" xfId="7" applyFont="1" applyFill="1"/>
    <xf numFmtId="0" fontId="18" fillId="3" borderId="0" xfId="7" applyFont="1" applyFill="1"/>
    <xf numFmtId="0" fontId="56" fillId="11" borderId="0" xfId="7" applyFont="1" applyFill="1"/>
    <xf numFmtId="0" fontId="43" fillId="0" borderId="0" xfId="0" applyFont="1"/>
    <xf numFmtId="0" fontId="0" fillId="0" borderId="0" xfId="0"/>
    <xf numFmtId="0" fontId="44" fillId="0" borderId="0" xfId="0" applyFont="1"/>
    <xf numFmtId="0" fontId="38" fillId="0" borderId="0" xfId="0" applyFont="1" applyAlignment="1">
      <alignment vertical="center" wrapText="1"/>
    </xf>
    <xf numFmtId="0" fontId="39" fillId="9" borderId="0" xfId="0" applyFont="1" applyFill="1"/>
    <xf numFmtId="0" fontId="51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52" fillId="0" borderId="0" xfId="0" applyFont="1" applyAlignment="1">
      <alignment vertical="center" wrapText="1"/>
    </xf>
    <xf numFmtId="0" fontId="49" fillId="12" borderId="0" xfId="0" applyFont="1" applyFill="1"/>
    <xf numFmtId="0" fontId="50" fillId="0" borderId="0" xfId="0" applyFont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FE32-4F74-828D-F7453E45A5D6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FE32-4F74-828D-F7453E45A5D6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FE32-4F74-828D-F7453E45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0E82-4BCD-8AFE-BEF4D01C5E41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0E82-4BCD-8AFE-BEF4D01C5E41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0E82-4BCD-8AFE-BEF4D01C5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.stern.nyu.edu/adamodar/New_Home_Page/home.htm" TargetMode="External"/><Relationship Id="rId13" Type="http://schemas.openxmlformats.org/officeDocument/2006/relationships/hyperlink" Target="https://pages.stern.nyu.edu/~adamodar/New_Home_Page/datafile/histimpl.html" TargetMode="External"/><Relationship Id="rId18" Type="http://schemas.openxmlformats.org/officeDocument/2006/relationships/hyperlink" Target="https://www.sec.gov/Archives/edgar/data/814547/000081454726000031/exhibit991erq32026.htm" TargetMode="External"/><Relationship Id="rId26" Type="http://schemas.openxmlformats.org/officeDocument/2006/relationships/hyperlink" Target="https://data.sec.gov/api/xbrl/companyfacts/CIK0000814547.json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home.treasury.gov/resource-center/data-chart-center/interest-rates/TextView?type=daily_treasury_yield_curve" TargetMode="External"/><Relationship Id="rId7" Type="http://schemas.openxmlformats.org/officeDocument/2006/relationships/hyperlink" Target="https://www.sec.gov/Archives/edgar/data/814547/000119312526117936/d56220d8k.htm" TargetMode="External"/><Relationship Id="rId12" Type="http://schemas.openxmlformats.org/officeDocument/2006/relationships/hyperlink" Target="https://pages.stern.nyu.edu/~adamodar/New_Home_Page/datafile/histimpl.html" TargetMode="External"/><Relationship Id="rId17" Type="http://schemas.openxmlformats.org/officeDocument/2006/relationships/hyperlink" Target="https://fred.stlouisfed.org/series/DGS10" TargetMode="External"/><Relationship Id="rId25" Type="http://schemas.openxmlformats.org/officeDocument/2006/relationships/hyperlink" Target="https://finance.yahoo.com/quote/FICO/" TargetMode="External"/><Relationship Id="rId2" Type="http://schemas.openxmlformats.org/officeDocument/2006/relationships/hyperlink" Target="https://www.sec.gov/Archives/edgar/data/814547/000081454725000030/fico-20250930.htm" TargetMode="External"/><Relationship Id="rId16" Type="http://schemas.openxmlformats.org/officeDocument/2006/relationships/hyperlink" Target="https://fred.stlouisfed.org/series/DGS10" TargetMode="External"/><Relationship Id="rId20" Type="http://schemas.openxmlformats.org/officeDocument/2006/relationships/hyperlink" Target="https://home.treasury.gov/resource-center/data-chart-center/interest-rates/TextView?type=daily_treasury_yield_curve" TargetMode="External"/><Relationship Id="rId1" Type="http://schemas.openxmlformats.org/officeDocument/2006/relationships/hyperlink" Target="https://corporatefinanceinstitute.com/" TargetMode="External"/><Relationship Id="rId6" Type="http://schemas.openxmlformats.org/officeDocument/2006/relationships/hyperlink" Target="https://www.sec.gov/Archives/edgar/data/814547/000119312526117936/d56220d8k.htm" TargetMode="External"/><Relationship Id="rId11" Type="http://schemas.openxmlformats.org/officeDocument/2006/relationships/hyperlink" Target="https://pages.stern.nyu.edu/~adamodar/New_Home_Page/datafile/histfcff.html" TargetMode="External"/><Relationship Id="rId24" Type="http://schemas.openxmlformats.org/officeDocument/2006/relationships/hyperlink" Target="https://finance.yahoo.com/quote/FICO/" TargetMode="External"/><Relationship Id="rId5" Type="http://schemas.openxmlformats.org/officeDocument/2006/relationships/hyperlink" Target="https://www.sec.gov/Archives/edgar/data/814547/000081454726000030/fico-20260630.htm" TargetMode="External"/><Relationship Id="rId15" Type="http://schemas.openxmlformats.org/officeDocument/2006/relationships/hyperlink" Target="https://www.fico.com/en/investors" TargetMode="External"/><Relationship Id="rId23" Type="http://schemas.openxmlformats.org/officeDocument/2006/relationships/hyperlink" Target="https://finance.yahoo.com/quote/FICO/key-statistics/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pages.stern.nyu.edu/~adamodar/New_Home_Page/datafile/histfcff.html" TargetMode="External"/><Relationship Id="rId19" Type="http://schemas.openxmlformats.org/officeDocument/2006/relationships/hyperlink" Target="https://www.sec.gov/Archives/edgar/data/814547/000081454726000031/exhibit991erq32026.htm" TargetMode="External"/><Relationship Id="rId4" Type="http://schemas.openxmlformats.org/officeDocument/2006/relationships/hyperlink" Target="https://www.sec.gov/Archives/edgar/data/814547/000081454726000030/fico-20260630.htm" TargetMode="External"/><Relationship Id="rId9" Type="http://schemas.openxmlformats.org/officeDocument/2006/relationships/hyperlink" Target="https://pages.stern.nyu.edu/adamodar/New_Home_Page/home.htm" TargetMode="External"/><Relationship Id="rId14" Type="http://schemas.openxmlformats.org/officeDocument/2006/relationships/hyperlink" Target="https://www.fico.com/en/investors" TargetMode="External"/><Relationship Id="rId22" Type="http://schemas.openxmlformats.org/officeDocument/2006/relationships/hyperlink" Target="https://finance.yahoo.com/quote/FICO/key-statistics/" TargetMode="External"/><Relationship Id="rId27" Type="http://schemas.openxmlformats.org/officeDocument/2006/relationships/hyperlink" Target="https://data.sec.gov/api/xbrl/companyfacts/CIK0000814547.js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814547/000081454725000030/fico-20250930.htm" TargetMode="External"/><Relationship Id="rId13" Type="http://schemas.openxmlformats.org/officeDocument/2006/relationships/hyperlink" Target="https://www.sec.gov/Archives/edgar/data/814547/000081454725000030/fico-20250930.htm" TargetMode="External"/><Relationship Id="rId18" Type="http://schemas.openxmlformats.org/officeDocument/2006/relationships/hyperlink" Target="https://www.sec.gov/Archives/edgar/data/814547/000081454725000030/fico-20250930.htm" TargetMode="External"/><Relationship Id="rId26" Type="http://schemas.openxmlformats.org/officeDocument/2006/relationships/hyperlink" Target="https://pages.stern.nyu.edu/~adamodar/New_Home_Page/datafile/histfcff.html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www.sec.gov/Archives/edgar/data/814547/000081454725000030/fico-20250930.htm" TargetMode="External"/><Relationship Id="rId7" Type="http://schemas.openxmlformats.org/officeDocument/2006/relationships/hyperlink" Target="https://www.sec.gov/Archives/edgar/data/814547/000081454725000030/fico-20250930.htm" TargetMode="External"/><Relationship Id="rId12" Type="http://schemas.openxmlformats.org/officeDocument/2006/relationships/hyperlink" Target="https://www.sec.gov/Archives/edgar/data/814547/000081454725000030/fico-20250930.htm" TargetMode="External"/><Relationship Id="rId17" Type="http://schemas.openxmlformats.org/officeDocument/2006/relationships/hyperlink" Target="https://www.sec.gov/Archives/edgar/data/814547/000081454725000030/fico-20250930.htm" TargetMode="External"/><Relationship Id="rId25" Type="http://schemas.openxmlformats.org/officeDocument/2006/relationships/hyperlink" Target="https://pages.stern.nyu.edu/~adamodar/New_Home_Page/datafile/histfcff.html" TargetMode="External"/><Relationship Id="rId2" Type="http://schemas.openxmlformats.org/officeDocument/2006/relationships/hyperlink" Target="https://www.sec.gov/Archives/edgar/data/814547/000081454726000031/exhibit991erq32026.htm" TargetMode="External"/><Relationship Id="rId16" Type="http://schemas.openxmlformats.org/officeDocument/2006/relationships/hyperlink" Target="https://data.sec.gov/api/xbrl/companyfacts/CIK0000814547.json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www.sec.gov/Archives/edgar/data/814547/000081454726000031/exhibit991erq32026.htm" TargetMode="External"/><Relationship Id="rId6" Type="http://schemas.openxmlformats.org/officeDocument/2006/relationships/hyperlink" Target="https://www.sec.gov/Archives/edgar/data/814547/000081454725000030/fico-20250930.htm" TargetMode="External"/><Relationship Id="rId11" Type="http://schemas.openxmlformats.org/officeDocument/2006/relationships/hyperlink" Target="https://www.sec.gov/Archives/edgar/data/814547/000081454725000030/fico-20250930.htm" TargetMode="External"/><Relationship Id="rId24" Type="http://schemas.openxmlformats.org/officeDocument/2006/relationships/hyperlink" Target="https://www.sec.gov/Archives/edgar/data/814547/000081454726000030/fico-20260630.htm" TargetMode="External"/><Relationship Id="rId5" Type="http://schemas.openxmlformats.org/officeDocument/2006/relationships/hyperlink" Target="https://www.sec.gov/Archives/edgar/data/814547/000081454725000030/fico-20250930.htm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6000030/fico-20260630.ht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https://www.sec.gov/Archives/edgar/data/814547/000081454725000030/fico-20250930.htm" TargetMode="External"/><Relationship Id="rId19" Type="http://schemas.openxmlformats.org/officeDocument/2006/relationships/hyperlink" Target="https://www.sec.gov/Archives/edgar/data/814547/000081454725000030/fico-20250930.htm" TargetMode="External"/><Relationship Id="rId4" Type="http://schemas.openxmlformats.org/officeDocument/2006/relationships/hyperlink" Target="https://www.sec.gov/Archives/edgar/data/814547/000081454725000030/fico-20250930.htm" TargetMode="External"/><Relationship Id="rId9" Type="http://schemas.openxmlformats.org/officeDocument/2006/relationships/hyperlink" Target="https://www.sec.gov/Archives/edgar/data/814547/000081454725000030/fico-20250930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www.sec.gov/Archives/edgar/data/814547/000081454725000030/fico-20250930.htm" TargetMode="External"/><Relationship Id="rId27" Type="http://schemas.openxmlformats.org/officeDocument/2006/relationships/hyperlink" Target="https://corporatefinanceinstitute.com/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814547/000119312526102450/d92566dex991.htm" TargetMode="External"/><Relationship Id="rId18" Type="http://schemas.openxmlformats.org/officeDocument/2006/relationships/hyperlink" Target="https://www.sec.gov/Archives/edgar/data/814547/000081454726000030/fico-20260630.htm" TargetMode="External"/><Relationship Id="rId26" Type="http://schemas.openxmlformats.org/officeDocument/2006/relationships/hyperlink" Target="https://pages.stern.nyu.edu/adamodar/New_Home_Page/home.htm" TargetMode="External"/><Relationship Id="rId39" Type="http://schemas.openxmlformats.org/officeDocument/2006/relationships/hyperlink" Target="https://home.treasury.gov/resource-center/data-chart-center/interest-rates/TextView?type=daily_treasury_yield_curve" TargetMode="External"/><Relationship Id="rId21" Type="http://schemas.openxmlformats.org/officeDocument/2006/relationships/hyperlink" Target="https://pages.stern.nyu.edu/adamodar/New_Home_Page/home.htm" TargetMode="External"/><Relationship Id="rId34" Type="http://schemas.openxmlformats.org/officeDocument/2006/relationships/hyperlink" Target="https://www.sec.gov/Archives/edgar/data/814547/000081454726000030/fico-20260630.htm" TargetMode="External"/><Relationship Id="rId42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pages.stern.nyu.edu/adamodar/New_Home_Page/home.htm" TargetMode="External"/><Relationship Id="rId2" Type="http://schemas.openxmlformats.org/officeDocument/2006/relationships/hyperlink" Target="https://fred.stlouisfed.org/series/DGS10" TargetMode="External"/><Relationship Id="rId16" Type="http://schemas.openxmlformats.org/officeDocument/2006/relationships/hyperlink" Target="https://www.sec.gov/Archives/edgar/data/814547/000081454726000030/fico-202606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finance.yahoo.com/quote/FICO/key-statistics/" TargetMode="External"/><Relationship Id="rId41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sec.gov/Archives/edgar/data/814547/000081454725000030/fico-20250930.htm" TargetMode="External"/><Relationship Id="rId6" Type="http://schemas.openxmlformats.org/officeDocument/2006/relationships/hyperlink" Target="https://home.treasury.gov/resource-center/data-chart-center/interest-rates/TextView?type=daily_treasury_yield_curve" TargetMode="External"/><Relationship Id="rId11" Type="http://schemas.openxmlformats.org/officeDocument/2006/relationships/hyperlink" Target="https://finance.yahoo.com/quote/FICO/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hyperlink" Target="https://data.sec.gov/api/xbrl/companyfacts/CIK0000814547.json" TargetMode="External"/><Relationship Id="rId37" Type="http://schemas.openxmlformats.org/officeDocument/2006/relationships/hyperlink" Target="https://data.sec.gov/api/xbrl/companyfacts/CIK0000814547.json" TargetMode="External"/><Relationship Id="rId40" Type="http://schemas.openxmlformats.org/officeDocument/2006/relationships/hyperlink" Target="https://pages.stern.nyu.edu/adamodar/New_Home_Page/home.htm" TargetMode="External"/><Relationship Id="rId5" Type="http://schemas.openxmlformats.org/officeDocument/2006/relationships/hyperlink" Target="https://fred.stlouisfed.org/series/DGS10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www.sec.gov/Archives/edgar/data/814547/000081454725000030/fico-20250930.htm" TargetMode="External"/><Relationship Id="rId36" Type="http://schemas.openxmlformats.org/officeDocument/2006/relationships/hyperlink" Target="https://www.sec.gov/Archives/edgar/data/814547/000119312526102450/d92566dex991.htm" TargetMode="External"/><Relationship Id="rId10" Type="http://schemas.openxmlformats.org/officeDocument/2006/relationships/hyperlink" Target="https://finance.yahoo.com/quote/FICO/key-statistics/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hyperlink" Target="https://www.sec.gov/Archives/edgar/data/814547/000081454725000030/fico-20250930.htm" TargetMode="External"/><Relationship Id="rId44" Type="http://schemas.openxmlformats.org/officeDocument/2006/relationships/comments" Target="../comments2.xml"/><Relationship Id="rId4" Type="http://schemas.openxmlformats.org/officeDocument/2006/relationships/hyperlink" Target="https://www.sec.gov/Archives/edgar/data/814547/000119312526117936/d56220d8k.htm" TargetMode="External"/><Relationship Id="rId9" Type="http://schemas.openxmlformats.org/officeDocument/2006/relationships/hyperlink" Target="https://www.sec.gov/Archives/edgar/data/814547/000119312526117936/d56220d8k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data.sec.gov/api/xbrl/companyfacts/CIK0000814547.json" TargetMode="External"/><Relationship Id="rId27" Type="http://schemas.openxmlformats.org/officeDocument/2006/relationships/hyperlink" Target="https://www.sec.gov/Archives/edgar/data/814547/000081454726000030/fico-20260630.htm" TargetMode="External"/><Relationship Id="rId30" Type="http://schemas.openxmlformats.org/officeDocument/2006/relationships/hyperlink" Target="https://finance.yahoo.com/quote/FICO/" TargetMode="External"/><Relationship Id="rId35" Type="http://schemas.openxmlformats.org/officeDocument/2006/relationships/hyperlink" Target="https://www.sec.gov/Archives/edgar/data/814547/000119312526117936/d56220d8k.htm" TargetMode="External"/><Relationship Id="rId43" Type="http://schemas.openxmlformats.org/officeDocument/2006/relationships/vmlDrawing" Target="../drawings/vmlDrawing2.vml"/><Relationship Id="rId8" Type="http://schemas.openxmlformats.org/officeDocument/2006/relationships/hyperlink" Target="https://pages.stern.nyu.edu/~adamodar/New_Home_Page/datafile/histimpl.html" TargetMode="External"/><Relationship Id="rId3" Type="http://schemas.openxmlformats.org/officeDocument/2006/relationships/hyperlink" Target="https://pages.stern.nyu.edu/adamodar/New_Home_Page/home.htm" TargetMode="External"/><Relationship Id="rId12" Type="http://schemas.openxmlformats.org/officeDocument/2006/relationships/hyperlink" Target="https://www.sec.gov/Archives/edgar/data/814547/000119312526117936/d56220d8k.htm" TargetMode="External"/><Relationship Id="rId17" Type="http://schemas.openxmlformats.org/officeDocument/2006/relationships/hyperlink" Target="https://finance.yahoo.com/quote/FICO/key-statistics/" TargetMode="External"/><Relationship Id="rId25" Type="http://schemas.openxmlformats.org/officeDocument/2006/relationships/hyperlink" Target="https://finance.yahoo.com/quote/FICO/key-statistics/" TargetMode="External"/><Relationship Id="rId33" Type="http://schemas.openxmlformats.org/officeDocument/2006/relationships/hyperlink" Target="https://www.sec.gov/Archives/edgar/data/814547/000081454725000030/fico-20250930.htm" TargetMode="External"/><Relationship Id="rId38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.5" x14ac:dyDescent="0.35"/>
  <cols>
    <col min="1" max="2" width="11" style="40" customWidth="1"/>
    <col min="3" max="3" width="29.08984375" style="40" customWidth="1"/>
    <col min="4" max="4" width="11" style="40" customWidth="1"/>
    <col min="5" max="5" width="28" customWidth="1"/>
    <col min="6" max="6" width="36" customWidth="1"/>
    <col min="7" max="7" width="70" customWidth="1"/>
    <col min="8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5"/>
    <row r="2" spans="2:15" ht="19.5" customHeight="1" x14ac:dyDescent="0.35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5">
      <c r="B24" s="51"/>
      <c r="C24" s="54" t="s">
        <v>8</v>
      </c>
      <c r="D24" s="55"/>
      <c r="E24" s="160" t="s">
        <v>9</v>
      </c>
      <c r="F24" s="161"/>
      <c r="G24" s="161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10</v>
      </c>
      <c r="D25" s="54"/>
      <c r="E25" s="162" t="s">
        <v>11</v>
      </c>
      <c r="F25" s="161"/>
      <c r="G25" s="161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12</v>
      </c>
      <c r="D26" s="54"/>
      <c r="E26" s="85" t="s">
        <v>13</v>
      </c>
      <c r="F26" s="85" t="s">
        <v>14</v>
      </c>
      <c r="G26" s="85" t="s">
        <v>15</v>
      </c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16</v>
      </c>
      <c r="D27" s="54"/>
      <c r="E27" s="86" t="s">
        <v>17</v>
      </c>
      <c r="F27" s="87" t="s">
        <v>17</v>
      </c>
      <c r="G27" s="87" t="s">
        <v>18</v>
      </c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86" t="s">
        <v>19</v>
      </c>
      <c r="F28" s="87" t="s">
        <v>19</v>
      </c>
      <c r="G28" s="87" t="s">
        <v>20</v>
      </c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88" t="s">
        <v>21</v>
      </c>
      <c r="F29" s="89" t="s">
        <v>21</v>
      </c>
      <c r="G29" s="89" t="s">
        <v>22</v>
      </c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>
      <c r="E30" s="90" t="s">
        <v>23</v>
      </c>
      <c r="F30" s="91" t="s">
        <v>23</v>
      </c>
      <c r="G30" s="91" t="s">
        <v>24</v>
      </c>
    </row>
    <row r="31" spans="2:15" ht="19.5" customHeight="1" x14ac:dyDescent="0.3">
      <c r="E31" s="90" t="s">
        <v>25</v>
      </c>
      <c r="F31" s="91" t="s">
        <v>25</v>
      </c>
      <c r="G31" s="91" t="s">
        <v>26</v>
      </c>
    </row>
    <row r="32" spans="2:15" ht="19.5" customHeight="1" x14ac:dyDescent="0.3">
      <c r="E32" s="90" t="s">
        <v>27</v>
      </c>
      <c r="F32" s="91" t="s">
        <v>27</v>
      </c>
      <c r="G32" s="91" t="s">
        <v>28</v>
      </c>
    </row>
    <row r="33" spans="5:7" ht="19.5" customHeight="1" x14ac:dyDescent="0.3">
      <c r="E33" s="90" t="s">
        <v>29</v>
      </c>
      <c r="F33" s="91" t="s">
        <v>29</v>
      </c>
      <c r="G33" s="91" t="s">
        <v>30</v>
      </c>
    </row>
    <row r="34" spans="5:7" ht="19.5" customHeight="1" x14ac:dyDescent="0.3">
      <c r="E34" s="90" t="s">
        <v>31</v>
      </c>
      <c r="F34" s="91" t="s">
        <v>31</v>
      </c>
      <c r="G34" s="91" t="s">
        <v>32</v>
      </c>
    </row>
    <row r="35" spans="5:7" ht="19.5" customHeight="1" x14ac:dyDescent="0.3">
      <c r="E35" s="90" t="s">
        <v>33</v>
      </c>
      <c r="F35" s="91" t="s">
        <v>33</v>
      </c>
      <c r="G35" s="91" t="s">
        <v>34</v>
      </c>
    </row>
    <row r="36" spans="5:7" ht="19.5" customHeight="1" x14ac:dyDescent="0.3">
      <c r="E36" s="90" t="s">
        <v>35</v>
      </c>
      <c r="F36" s="91" t="s">
        <v>35</v>
      </c>
      <c r="G36" s="91" t="s">
        <v>36</v>
      </c>
    </row>
    <row r="37" spans="5:7" ht="19.5" customHeight="1" x14ac:dyDescent="0.3">
      <c r="E37" s="90" t="s">
        <v>37</v>
      </c>
      <c r="F37" s="91" t="s">
        <v>37</v>
      </c>
      <c r="G37" s="91" t="s">
        <v>38</v>
      </c>
    </row>
    <row r="38" spans="5:7" ht="19.5" customHeight="1" x14ac:dyDescent="0.3">
      <c r="E38" s="90" t="s">
        <v>39</v>
      </c>
      <c r="F38" s="91" t="s">
        <v>39</v>
      </c>
      <c r="G38" s="91" t="s">
        <v>40</v>
      </c>
    </row>
    <row r="39" spans="5:7" ht="19.5" customHeight="1" x14ac:dyDescent="0.3">
      <c r="E39" s="90" t="s">
        <v>41</v>
      </c>
      <c r="F39" s="91" t="s">
        <v>41</v>
      </c>
      <c r="G39" s="91" t="s">
        <v>42</v>
      </c>
    </row>
    <row r="40" spans="5:7" ht="19.5" customHeight="1" x14ac:dyDescent="0.35"/>
    <row r="41" spans="5:7" ht="19.5" customHeight="1" x14ac:dyDescent="0.35"/>
    <row r="42" spans="5:7" ht="19.5" customHeight="1" x14ac:dyDescent="0.35"/>
    <row r="43" spans="5:7" ht="19.5" customHeight="1" x14ac:dyDescent="0.35"/>
    <row r="44" spans="5:7" ht="19.5" customHeight="1" x14ac:dyDescent="0.35"/>
    <row r="45" spans="5:7" ht="19.5" customHeight="1" x14ac:dyDescent="0.35"/>
    <row r="46" spans="5:7" ht="19.5" customHeight="1" x14ac:dyDescent="0.35"/>
  </sheetData>
  <mergeCells count="2">
    <mergeCell ref="E24:G24"/>
    <mergeCell ref="E25:G25"/>
  </mergeCells>
  <hyperlinks>
    <hyperlink ref="C15" location="'3 Statement Model'!A1" display="3 Statement Model" xr:uid="{00000000-0004-0000-0000-000000000000}"/>
    <hyperlink ref="C22" r:id="rId1" xr:uid="{00000000-0004-0000-0000-000001000000}"/>
    <hyperlink ref="F27" r:id="rId2" xr:uid="{00000000-0004-0000-0000-000002000000}"/>
    <hyperlink ref="G27" r:id="rId3" xr:uid="{00000000-0004-0000-0000-000003000000}"/>
    <hyperlink ref="F28" r:id="rId4" xr:uid="{00000000-0004-0000-0000-000004000000}"/>
    <hyperlink ref="G28" r:id="rId5" xr:uid="{00000000-0004-0000-0000-000005000000}"/>
    <hyperlink ref="F29" r:id="rId6" xr:uid="{00000000-0004-0000-0000-000006000000}"/>
    <hyperlink ref="G29" r:id="rId7" xr:uid="{00000000-0004-0000-0000-000007000000}"/>
    <hyperlink ref="F30" r:id="rId8" xr:uid="{00000000-0004-0000-0000-000008000000}"/>
    <hyperlink ref="G30" r:id="rId9" xr:uid="{00000000-0004-0000-0000-000009000000}"/>
    <hyperlink ref="F31" r:id="rId10" xr:uid="{00000000-0004-0000-0000-00000A000000}"/>
    <hyperlink ref="G31" r:id="rId11" xr:uid="{00000000-0004-0000-0000-00000B000000}"/>
    <hyperlink ref="F32" r:id="rId12" xr:uid="{00000000-0004-0000-0000-00000C000000}"/>
    <hyperlink ref="G32" r:id="rId13" xr:uid="{00000000-0004-0000-0000-00000D000000}"/>
    <hyperlink ref="F33" r:id="rId14" xr:uid="{00000000-0004-0000-0000-00000E000000}"/>
    <hyperlink ref="G33" r:id="rId15" xr:uid="{00000000-0004-0000-0000-00000F000000}"/>
    <hyperlink ref="F34" r:id="rId16" xr:uid="{00000000-0004-0000-0000-000010000000}"/>
    <hyperlink ref="G34" r:id="rId17" xr:uid="{00000000-0004-0000-0000-000011000000}"/>
    <hyperlink ref="F35" r:id="rId18" xr:uid="{00000000-0004-0000-0000-000012000000}"/>
    <hyperlink ref="G35" r:id="rId19" xr:uid="{00000000-0004-0000-0000-000013000000}"/>
    <hyperlink ref="F36" r:id="rId20" xr:uid="{00000000-0004-0000-0000-000014000000}"/>
    <hyperlink ref="G36" r:id="rId21" xr:uid="{00000000-0004-0000-0000-000015000000}"/>
    <hyperlink ref="F37" r:id="rId22" xr:uid="{00000000-0004-0000-0000-000016000000}"/>
    <hyperlink ref="G37" r:id="rId23" xr:uid="{00000000-0004-0000-0000-000017000000}"/>
    <hyperlink ref="F38" r:id="rId24" xr:uid="{00000000-0004-0000-0000-000018000000}"/>
    <hyperlink ref="G38" r:id="rId25" xr:uid="{00000000-0004-0000-0000-000019000000}"/>
    <hyperlink ref="F39" r:id="rId26" xr:uid="{00000000-0004-0000-0000-00001A000000}"/>
    <hyperlink ref="G39" r:id="rId27" xr:uid="{00000000-0004-0000-0000-00001B000000}"/>
  </hyperlinks>
  <pageMargins left="0.7" right="0.7" top="0.75" bottom="0.75" header="0.3" footer="0.3"/>
  <pageSetup scale="64"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topLeftCell="I1" zoomScale="55" zoomScaleNormal="90" workbookViewId="0">
      <pane ySplit="3" topLeftCell="A4" activePane="bottomLeft" state="frozen"/>
      <selection pane="bottomLeft" activeCell="M8" sqref="M8"/>
    </sheetView>
  </sheetViews>
  <sheetFormatPr defaultColWidth="9.08984375" defaultRowHeight="15.5" outlineLevelRow="1" x14ac:dyDescent="0.35"/>
  <cols>
    <col min="1" max="1" width="1.90625" style="1" customWidth="1"/>
    <col min="2" max="2" width="42" style="1" customWidth="1"/>
    <col min="3" max="3" width="80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" width="6" customWidth="1"/>
    <col min="17" max="17" width="22" customWidth="1"/>
    <col min="18" max="18" width="36" customWidth="1"/>
    <col min="19" max="19" width="42" customWidth="1"/>
    <col min="20" max="20" width="48" customWidth="1"/>
    <col min="21" max="21" width="42" customWidth="1"/>
    <col min="22" max="22" width="55" customWidth="1"/>
    <col min="23" max="16384" width="9.08984375" style="1"/>
  </cols>
  <sheetData>
    <row r="1" spans="1:22" x14ac:dyDescent="0.35">
      <c r="A1" s="26"/>
      <c r="B1" s="27" t="s">
        <v>43</v>
      </c>
      <c r="C1" s="26"/>
      <c r="D1" s="28"/>
      <c r="E1" s="48" t="s">
        <v>44</v>
      </c>
      <c r="F1" s="49"/>
      <c r="G1" s="49"/>
      <c r="H1" s="49"/>
      <c r="I1" s="49"/>
      <c r="J1" s="29" t="s">
        <v>45</v>
      </c>
      <c r="K1" s="30"/>
      <c r="L1" s="30"/>
      <c r="M1" s="30"/>
      <c r="N1" s="30"/>
    </row>
    <row r="2" spans="1:22" ht="21" customHeight="1" x14ac:dyDescent="0.4">
      <c r="A2" s="26"/>
      <c r="B2" s="31" t="s">
        <v>46</v>
      </c>
      <c r="C2" s="32"/>
      <c r="D2" s="33"/>
      <c r="E2" s="92">
        <v>2021</v>
      </c>
      <c r="F2" s="93">
        <f t="shared" ref="F2:N2" si="0">+E2+1</f>
        <v>2022</v>
      </c>
      <c r="G2" s="93">
        <f t="shared" si="0"/>
        <v>2023</v>
      </c>
      <c r="H2" s="93">
        <f t="shared" si="0"/>
        <v>2024</v>
      </c>
      <c r="I2" s="93">
        <f t="shared" si="0"/>
        <v>2025</v>
      </c>
      <c r="J2" s="94">
        <f t="shared" si="0"/>
        <v>2026</v>
      </c>
      <c r="K2" s="94">
        <f t="shared" si="0"/>
        <v>2027</v>
      </c>
      <c r="L2" s="94">
        <f t="shared" si="0"/>
        <v>2028</v>
      </c>
      <c r="M2" s="94">
        <f t="shared" si="0"/>
        <v>2029</v>
      </c>
      <c r="N2" s="94">
        <f t="shared" si="0"/>
        <v>2030</v>
      </c>
    </row>
    <row r="3" spans="1:22" x14ac:dyDescent="0.35">
      <c r="B3" s="1" t="s">
        <v>47</v>
      </c>
      <c r="E3" s="95" t="str">
        <f t="shared" ref="E3:N3" si="1">IFERROR(IF(ABS(E57)&gt;1,"ERROR","OK"),"OK")</f>
        <v>OK</v>
      </c>
      <c r="F3" s="95" t="str">
        <f t="shared" si="1"/>
        <v>OK</v>
      </c>
      <c r="G3" s="95" t="str">
        <f t="shared" si="1"/>
        <v>OK</v>
      </c>
      <c r="H3" s="95" t="str">
        <f t="shared" si="1"/>
        <v>OK</v>
      </c>
      <c r="I3" s="95" t="str">
        <f t="shared" si="1"/>
        <v>OK</v>
      </c>
      <c r="J3" s="95" t="str">
        <f t="shared" si="1"/>
        <v>OK</v>
      </c>
      <c r="K3" s="95" t="str">
        <f t="shared" si="1"/>
        <v>OK</v>
      </c>
      <c r="L3" s="95" t="str">
        <f t="shared" si="1"/>
        <v>OK</v>
      </c>
      <c r="M3" s="95" t="str">
        <f t="shared" si="1"/>
        <v>OK</v>
      </c>
      <c r="N3" s="95" t="str">
        <f t="shared" si="1"/>
        <v>OK</v>
      </c>
    </row>
    <row r="4" spans="1:22" x14ac:dyDescent="0.35">
      <c r="B4" s="96" t="s">
        <v>48</v>
      </c>
      <c r="P4" s="163" t="s">
        <v>49</v>
      </c>
      <c r="Q4" s="164"/>
      <c r="R4" s="164"/>
      <c r="S4" s="164"/>
      <c r="T4" s="164"/>
      <c r="U4" s="164"/>
      <c r="V4" s="164"/>
    </row>
    <row r="5" spans="1:22" ht="18" customHeight="1" x14ac:dyDescent="0.35">
      <c r="B5" s="34" t="s">
        <v>50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P5" s="165" t="s">
        <v>51</v>
      </c>
      <c r="Q5" s="164"/>
      <c r="R5" s="164"/>
      <c r="S5" s="164"/>
      <c r="T5" s="164"/>
      <c r="U5" s="164"/>
      <c r="V5" s="164"/>
    </row>
    <row r="6" spans="1:22" outlineLevel="1" x14ac:dyDescent="0.35">
      <c r="B6" s="3" t="s">
        <v>52</v>
      </c>
      <c r="C6" s="1"/>
      <c r="F6" s="1"/>
      <c r="G6" s="1"/>
      <c r="H6" s="1"/>
      <c r="I6" s="1"/>
      <c r="K6" s="1"/>
      <c r="L6" s="1"/>
      <c r="M6" s="1"/>
      <c r="N6" s="1"/>
      <c r="P6" s="97" t="s">
        <v>53</v>
      </c>
      <c r="Q6" s="97" t="s">
        <v>54</v>
      </c>
      <c r="R6" s="97" t="s">
        <v>55</v>
      </c>
      <c r="S6" s="97" t="s">
        <v>56</v>
      </c>
      <c r="T6" s="97" t="s">
        <v>57</v>
      </c>
      <c r="U6" s="97" t="s">
        <v>58</v>
      </c>
      <c r="V6" s="97" t="s">
        <v>59</v>
      </c>
    </row>
    <row r="7" spans="1:22" ht="40" customHeight="1" outlineLevel="1" x14ac:dyDescent="0.35">
      <c r="B7" s="1" t="s">
        <v>60</v>
      </c>
      <c r="C7" s="98" t="s">
        <v>61</v>
      </c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99">
        <v>0.27</v>
      </c>
      <c r="K7" s="99">
        <v>0.16</v>
      </c>
      <c r="L7" s="99">
        <v>0.13</v>
      </c>
      <c r="M7" s="99">
        <v>0.1</v>
      </c>
      <c r="N7" s="99">
        <v>7.0000000000000007E-2</v>
      </c>
      <c r="P7" s="100">
        <v>7</v>
      </c>
      <c r="Q7" s="100" t="s">
        <v>62</v>
      </c>
      <c r="R7" s="101" t="s">
        <v>63</v>
      </c>
      <c r="S7" s="101" t="s">
        <v>64</v>
      </c>
      <c r="T7" s="101" t="s">
        <v>65</v>
      </c>
      <c r="U7" s="102" t="s">
        <v>66</v>
      </c>
      <c r="V7" s="102" t="s">
        <v>34</v>
      </c>
    </row>
    <row r="8" spans="1:22" ht="40" customHeight="1" outlineLevel="1" x14ac:dyDescent="0.35">
      <c r="B8" s="1" t="s">
        <v>67</v>
      </c>
      <c r="C8" s="98" t="s">
        <v>68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103">
        <f>$I$25/$I$24</f>
        <v>0.17767216225678334</v>
      </c>
      <c r="K8" s="103">
        <f>$I$25/$I$24</f>
        <v>0.17767216225678334</v>
      </c>
      <c r="L8" s="103">
        <f>$I$25/$I$24</f>
        <v>0.17767216225678334</v>
      </c>
      <c r="M8" s="103">
        <f>$I$25/$I$24</f>
        <v>0.17767216225678334</v>
      </c>
      <c r="N8" s="103">
        <f>$I$25/$I$24</f>
        <v>0.17767216225678334</v>
      </c>
      <c r="P8" s="100">
        <v>8</v>
      </c>
      <c r="Q8" s="100" t="s">
        <v>69</v>
      </c>
      <c r="R8" s="101" t="s">
        <v>70</v>
      </c>
      <c r="S8" s="101" t="s">
        <v>71</v>
      </c>
      <c r="T8" s="101" t="s">
        <v>72</v>
      </c>
      <c r="U8" s="102" t="s">
        <v>73</v>
      </c>
      <c r="V8" s="102" t="s">
        <v>18</v>
      </c>
    </row>
    <row r="9" spans="1:22" ht="40" customHeight="1" outlineLevel="1" x14ac:dyDescent="0.35">
      <c r="B9" s="1" t="s">
        <v>74</v>
      </c>
      <c r="C9" s="98" t="s">
        <v>75</v>
      </c>
      <c r="E9" s="104">
        <f t="shared" ref="E9:I10" si="2">E28</f>
        <v>396281</v>
      </c>
      <c r="F9" s="104">
        <f t="shared" si="2"/>
        <v>383863</v>
      </c>
      <c r="G9" s="104">
        <f t="shared" si="2"/>
        <v>400565</v>
      </c>
      <c r="H9" s="104">
        <f t="shared" si="2"/>
        <v>462834</v>
      </c>
      <c r="I9" s="104">
        <f t="shared" si="2"/>
        <v>513028</v>
      </c>
      <c r="J9" s="105">
        <f>MAX(0.2,(($I$28-10922)/$I$24)-0.0025)</f>
        <v>0.24970443936793429</v>
      </c>
      <c r="K9" s="105">
        <f>MAX(0.2,(($I$28-10922)/$I$24)-0.005)</f>
        <v>0.24720443936793429</v>
      </c>
      <c r="L9" s="105">
        <f>MAX(0.2,(($I$28-10922)/$I$24)-0.0075)</f>
        <v>0.24470443936793429</v>
      </c>
      <c r="M9" s="105">
        <f>MAX(0.2,(($I$28-10922)/$I$24)-0.01)</f>
        <v>0.24220443936793429</v>
      </c>
      <c r="N9" s="105">
        <f>MAX(0.2,(($I$28-10922)/$I$24)-0.0125)</f>
        <v>0.23970443936793429</v>
      </c>
      <c r="P9" s="100">
        <v>9</v>
      </c>
      <c r="Q9" s="100" t="s">
        <v>76</v>
      </c>
      <c r="R9" s="101" t="s">
        <v>77</v>
      </c>
      <c r="S9" s="101" t="s">
        <v>78</v>
      </c>
      <c r="T9" s="101" t="s">
        <v>79</v>
      </c>
      <c r="U9" s="102" t="s">
        <v>80</v>
      </c>
      <c r="V9" s="102" t="s">
        <v>18</v>
      </c>
    </row>
    <row r="10" spans="1:22" ht="40" customHeight="1" outlineLevel="1" x14ac:dyDescent="0.35">
      <c r="B10" s="1" t="s">
        <v>81</v>
      </c>
      <c r="C10" s="98" t="s">
        <v>82</v>
      </c>
      <c r="E10" s="104">
        <f t="shared" si="2"/>
        <v>171231</v>
      </c>
      <c r="F10" s="104">
        <f t="shared" si="2"/>
        <v>146758</v>
      </c>
      <c r="G10" s="104">
        <f t="shared" si="2"/>
        <v>159950</v>
      </c>
      <c r="H10" s="104">
        <f t="shared" si="2"/>
        <v>171940</v>
      </c>
      <c r="I10" s="104">
        <f t="shared" si="2"/>
        <v>188347</v>
      </c>
      <c r="J10" s="105">
        <f>$I$29/$I$24</f>
        <v>9.4605421049802879E-2</v>
      </c>
      <c r="K10" s="105">
        <f>$I$29/$I$24</f>
        <v>9.4605421049802879E-2</v>
      </c>
      <c r="L10" s="105">
        <f>$I$29/$I$24</f>
        <v>9.4605421049802879E-2</v>
      </c>
      <c r="M10" s="105">
        <f>$I$29/$I$24</f>
        <v>9.4605421049802879E-2</v>
      </c>
      <c r="N10" s="105">
        <f>$I$29/$I$24</f>
        <v>9.4605421049802879E-2</v>
      </c>
      <c r="P10" s="100">
        <v>10</v>
      </c>
      <c r="Q10" s="100" t="s">
        <v>83</v>
      </c>
      <c r="R10" s="101" t="s">
        <v>84</v>
      </c>
      <c r="S10" s="101" t="s">
        <v>85</v>
      </c>
      <c r="T10" s="101" t="s">
        <v>86</v>
      </c>
      <c r="U10" s="102" t="s">
        <v>87</v>
      </c>
      <c r="V10" s="102" t="s">
        <v>18</v>
      </c>
    </row>
    <row r="11" spans="1:22" ht="40" customHeight="1" outlineLevel="1" x14ac:dyDescent="0.35">
      <c r="B11" s="1" t="s">
        <v>88</v>
      </c>
      <c r="C11" s="98" t="s">
        <v>89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103">
        <f>IF($I$44=0,0.25,$I$30/$I$44)</f>
        <v>0.22081431925922645</v>
      </c>
      <c r="K11" s="103">
        <f>IF($I$44=0,0.25,$I$30/$I$44)</f>
        <v>0.22081431925922645</v>
      </c>
      <c r="L11" s="103">
        <f>IF($I$44=0,0.25,$I$30/$I$44)</f>
        <v>0.22081431925922645</v>
      </c>
      <c r="M11" s="103">
        <f>IF($I$44=0,0.25,$I$30/$I$44)</f>
        <v>0.22081431925922645</v>
      </c>
      <c r="N11" s="103">
        <f>IF($I$44=0,0.25,$I$30/$I$44)</f>
        <v>0.22081431925922645</v>
      </c>
      <c r="P11" s="100">
        <v>11</v>
      </c>
      <c r="Q11" s="100" t="s">
        <v>90</v>
      </c>
      <c r="R11" s="101" t="s">
        <v>91</v>
      </c>
      <c r="S11" s="101" t="s">
        <v>92</v>
      </c>
      <c r="T11" s="101" t="s">
        <v>93</v>
      </c>
      <c r="U11" s="102" t="s">
        <v>94</v>
      </c>
      <c r="V11" s="102" t="s">
        <v>18</v>
      </c>
    </row>
    <row r="12" spans="1:22" ht="40" customHeight="1" outlineLevel="1" x14ac:dyDescent="0.35">
      <c r="B12" s="1" t="s">
        <v>95</v>
      </c>
      <c r="C12" s="98" t="s">
        <v>96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103">
        <f>IF($I$98=0,0.05,$I$101/$I$98)</f>
        <v>6.0500556581399634E-2</v>
      </c>
      <c r="K12" s="103">
        <f>IF($I$98=0,0.05,$I$101/$I$98)</f>
        <v>6.0500556581399634E-2</v>
      </c>
      <c r="L12" s="103">
        <f>IF($I$98=0,0.05,$I$101/$I$98)</f>
        <v>6.0500556581399634E-2</v>
      </c>
      <c r="M12" s="103">
        <f>IF($I$98=0,0.05,$I$101/$I$98)</f>
        <v>6.0500556581399634E-2</v>
      </c>
      <c r="N12" s="103">
        <f>IF($I$98=0,0.05,$I$101/$I$98)</f>
        <v>6.0500556581399634E-2</v>
      </c>
      <c r="P12" s="100">
        <v>12</v>
      </c>
      <c r="Q12" s="100" t="s">
        <v>97</v>
      </c>
      <c r="R12" s="101" t="s">
        <v>98</v>
      </c>
      <c r="S12" s="101" t="s">
        <v>99</v>
      </c>
      <c r="T12" s="101" t="s">
        <v>100</v>
      </c>
      <c r="U12" s="102" t="s">
        <v>101</v>
      </c>
      <c r="V12" s="102" t="s">
        <v>18</v>
      </c>
    </row>
    <row r="13" spans="1:22" ht="40" customHeight="1" outlineLevel="1" x14ac:dyDescent="0.35">
      <c r="B13" s="1" t="s">
        <v>102</v>
      </c>
      <c r="C13" s="98" t="s">
        <v>103</v>
      </c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103">
        <f>IF($I$33=0,0.21,$I$35/$I$33)</f>
        <v>0.19137978563797284</v>
      </c>
      <c r="K13" s="103">
        <f>IF($I$33=0,0.21,$I$35/$I$33)</f>
        <v>0.19137978563797284</v>
      </c>
      <c r="L13" s="103">
        <f>IF($I$33=0,0.21,$I$35/$I$33)</f>
        <v>0.19137978563797284</v>
      </c>
      <c r="M13" s="103">
        <f>IF($I$33=0,0.21,$I$35/$I$33)</f>
        <v>0.19137978563797284</v>
      </c>
      <c r="N13" s="103">
        <f>IF($I$33=0,0.21,$I$35/$I$33)</f>
        <v>0.19137978563797284</v>
      </c>
      <c r="P13" s="100">
        <v>13</v>
      </c>
      <c r="Q13" s="100" t="s">
        <v>104</v>
      </c>
      <c r="R13" s="101" t="s">
        <v>105</v>
      </c>
      <c r="S13" s="101" t="s">
        <v>106</v>
      </c>
      <c r="T13" s="101" t="s">
        <v>107</v>
      </c>
      <c r="U13" s="102" t="s">
        <v>108</v>
      </c>
      <c r="V13" s="102" t="s">
        <v>18</v>
      </c>
    </row>
    <row r="14" spans="1:22" outlineLevel="1" x14ac:dyDescent="0.35">
      <c r="B14" s="3" t="s">
        <v>109</v>
      </c>
      <c r="C14" s="1"/>
      <c r="F14" s="1"/>
      <c r="G14" s="1"/>
      <c r="H14" s="1"/>
      <c r="I14" s="1"/>
      <c r="K14" s="1"/>
      <c r="L14" s="1"/>
      <c r="M14" s="1"/>
      <c r="N14" s="1"/>
    </row>
    <row r="15" spans="1:22" ht="40" customHeight="1" outlineLevel="1" x14ac:dyDescent="0.35">
      <c r="B15" s="1" t="s">
        <v>110</v>
      </c>
      <c r="C15" s="106" t="s">
        <v>111</v>
      </c>
      <c r="D15" s="21"/>
      <c r="E15" s="104">
        <f t="shared" ref="E15:I16" si="3">E42/E24*365</f>
        <v>86.529388486148505</v>
      </c>
      <c r="F15" s="104">
        <f t="shared" si="3"/>
        <v>85.444139493345531</v>
      </c>
      <c r="G15" s="104">
        <f t="shared" si="3"/>
        <v>93.554887592604715</v>
      </c>
      <c r="H15" s="104">
        <f t="shared" si="3"/>
        <v>90.667815217935569</v>
      </c>
      <c r="I15" s="104">
        <f t="shared" si="3"/>
        <v>97.012420204443387</v>
      </c>
      <c r="J15" s="107">
        <f>ROUND($I$42/$I$24*365,0)</f>
        <v>97</v>
      </c>
      <c r="K15" s="107">
        <f>ROUND($I$42/$I$24*365,0)</f>
        <v>97</v>
      </c>
      <c r="L15" s="107">
        <f>ROUND($I$42/$I$24*365,0)</f>
        <v>97</v>
      </c>
      <c r="M15" s="107">
        <f>ROUND($I$42/$I$24*365,0)</f>
        <v>97</v>
      </c>
      <c r="N15" s="107">
        <f>ROUND($I$42/$I$24*365,0)</f>
        <v>97</v>
      </c>
      <c r="P15" s="100">
        <v>15</v>
      </c>
      <c r="Q15" s="100" t="s">
        <v>110</v>
      </c>
      <c r="R15" s="101" t="s">
        <v>112</v>
      </c>
      <c r="S15" s="101" t="s">
        <v>113</v>
      </c>
      <c r="T15" s="101" t="s">
        <v>114</v>
      </c>
      <c r="U15" s="102" t="s">
        <v>115</v>
      </c>
      <c r="V15" s="102" t="s">
        <v>42</v>
      </c>
    </row>
    <row r="16" spans="1:22" ht="40" customHeight="1" outlineLevel="1" x14ac:dyDescent="0.35">
      <c r="B16" s="1" t="s">
        <v>116</v>
      </c>
      <c r="C16" s="106" t="s">
        <v>117</v>
      </c>
      <c r="D16" s="21"/>
      <c r="E16" s="104">
        <f t="shared" si="3"/>
        <v>0</v>
      </c>
      <c r="F16" s="104">
        <f t="shared" si="3"/>
        <v>0</v>
      </c>
      <c r="G16" s="104">
        <f t="shared" si="3"/>
        <v>0</v>
      </c>
      <c r="H16" s="104">
        <f t="shared" si="3"/>
        <v>0</v>
      </c>
      <c r="I16" s="104">
        <f t="shared" si="3"/>
        <v>0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P16" s="100">
        <v>16</v>
      </c>
      <c r="Q16" s="100" t="s">
        <v>116</v>
      </c>
      <c r="R16" s="101" t="s">
        <v>118</v>
      </c>
      <c r="S16" s="101" t="s">
        <v>119</v>
      </c>
      <c r="T16" s="101" t="s">
        <v>120</v>
      </c>
      <c r="U16" s="102" t="s">
        <v>121</v>
      </c>
      <c r="V16" s="102" t="s">
        <v>18</v>
      </c>
    </row>
    <row r="17" spans="2:22" ht="40" customHeight="1" outlineLevel="1" x14ac:dyDescent="0.35">
      <c r="B17" s="1" t="s">
        <v>122</v>
      </c>
      <c r="C17" s="106" t="s">
        <v>123</v>
      </c>
      <c r="D17" s="21"/>
      <c r="E17" s="104">
        <f>E48/E25*365</f>
        <v>22.779701138776762</v>
      </c>
      <c r="F17" s="104">
        <f>F48/F25*365</f>
        <v>20.864286801644088</v>
      </c>
      <c r="G17" s="104">
        <f>G48/G25*365</f>
        <v>22.305796761323631</v>
      </c>
      <c r="H17" s="104">
        <f>H48/H25*365</f>
        <v>23.556874378959581</v>
      </c>
      <c r="I17" s="104">
        <f>I48/I25*365</f>
        <v>33.345324859635532</v>
      </c>
      <c r="J17" s="107">
        <f>IF($I$25=0,0,ROUND($I$48/$I$25*365,0))</f>
        <v>33</v>
      </c>
      <c r="K17" s="107">
        <f>IF($I$25=0,0,ROUND($I$48/$I$25*365,0))</f>
        <v>33</v>
      </c>
      <c r="L17" s="107">
        <f>IF($I$25=0,0,ROUND($I$48/$I$25*365,0))</f>
        <v>33</v>
      </c>
      <c r="M17" s="107">
        <f>IF($I$25=0,0,ROUND($I$48/$I$25*365,0))</f>
        <v>33</v>
      </c>
      <c r="N17" s="107">
        <f>IF($I$25=0,0,ROUND($I$48/$I$25*365,0))</f>
        <v>33</v>
      </c>
      <c r="P17" s="100">
        <v>17</v>
      </c>
      <c r="Q17" s="100" t="s">
        <v>122</v>
      </c>
      <c r="R17" s="101" t="s">
        <v>124</v>
      </c>
      <c r="S17" s="101" t="s">
        <v>125</v>
      </c>
      <c r="T17" s="101" t="s">
        <v>126</v>
      </c>
      <c r="U17" s="102" t="s">
        <v>127</v>
      </c>
      <c r="V17" s="102" t="s">
        <v>18</v>
      </c>
    </row>
    <row r="18" spans="2:22" ht="40" customHeight="1" outlineLevel="1" x14ac:dyDescent="0.35">
      <c r="B18" s="1" t="s">
        <v>128</v>
      </c>
      <c r="C18" s="106" t="s">
        <v>129</v>
      </c>
      <c r="E18" s="104">
        <f>E68</f>
        <v>7569</v>
      </c>
      <c r="F18" s="104">
        <f>F68</f>
        <v>6029</v>
      </c>
      <c r="G18" s="104">
        <f>G68</f>
        <v>4237</v>
      </c>
      <c r="H18" s="104">
        <f>H68</f>
        <v>25551</v>
      </c>
      <c r="I18" s="104">
        <f>I68</f>
        <v>39407</v>
      </c>
      <c r="J18" s="105">
        <f>($I$68/$I$24)*0.85+0.01*(1-0.85)</f>
        <v>1.83247885722265E-2</v>
      </c>
      <c r="K18" s="105">
        <f>($I$68/$I$24)*0.65+0.01*(1-0.65)</f>
        <v>1.636601479052615E-2</v>
      </c>
      <c r="L18" s="105">
        <f>($I$68/$I$24)*0.45+0.01*(1-0.45)</f>
        <v>1.4407241008825795E-2</v>
      </c>
      <c r="M18" s="105">
        <f>($I$68/$I$24)*0.3+0.01*(1-0.3)</f>
        <v>1.293816067255053E-2</v>
      </c>
      <c r="N18" s="105">
        <f>($I$68/$I$24)*0+0.01*(1-0)</f>
        <v>0.01</v>
      </c>
      <c r="P18" s="100">
        <v>18</v>
      </c>
      <c r="Q18" s="100" t="s">
        <v>130</v>
      </c>
      <c r="R18" s="101" t="s">
        <v>131</v>
      </c>
      <c r="S18" s="101" t="s">
        <v>132</v>
      </c>
      <c r="T18" s="101" t="s">
        <v>133</v>
      </c>
      <c r="U18" s="102" t="s">
        <v>134</v>
      </c>
      <c r="V18" s="102" t="s">
        <v>18</v>
      </c>
    </row>
    <row r="19" spans="2:22" ht="40" customHeight="1" outlineLevel="1" x14ac:dyDescent="0.35">
      <c r="B19" s="1" t="s">
        <v>135</v>
      </c>
      <c r="C19" s="106" t="s">
        <v>136</v>
      </c>
      <c r="E19" s="104">
        <f>E99</f>
        <v>519583</v>
      </c>
      <c r="F19" s="104">
        <f>F99</f>
        <v>594651</v>
      </c>
      <c r="G19" s="104">
        <f>G99</f>
        <v>7989</v>
      </c>
      <c r="H19" s="104">
        <f>H99</f>
        <v>347363</v>
      </c>
      <c r="I19" s="104">
        <f>I99</f>
        <v>846670</v>
      </c>
      <c r="J19" s="109">
        <v>0</v>
      </c>
      <c r="K19" s="109">
        <v>0</v>
      </c>
      <c r="L19" s="109">
        <v>0</v>
      </c>
      <c r="M19" s="109">
        <v>0</v>
      </c>
      <c r="N19" s="109">
        <v>0</v>
      </c>
      <c r="P19" s="100">
        <v>19</v>
      </c>
      <c r="Q19" s="100" t="s">
        <v>137</v>
      </c>
      <c r="R19" s="101" t="s">
        <v>138</v>
      </c>
      <c r="S19" s="101" t="s">
        <v>139</v>
      </c>
      <c r="T19" s="101" t="s">
        <v>140</v>
      </c>
      <c r="U19" s="102" t="s">
        <v>141</v>
      </c>
      <c r="V19" s="102" t="s">
        <v>20</v>
      </c>
    </row>
    <row r="20" spans="2:22" ht="40" customHeight="1" outlineLevel="1" x14ac:dyDescent="0.35">
      <c r="B20" s="1" t="s">
        <v>142</v>
      </c>
      <c r="C20" s="106" t="s">
        <v>143</v>
      </c>
      <c r="E20" s="104">
        <f>E73</f>
        <v>0</v>
      </c>
      <c r="F20" s="104">
        <f>F73</f>
        <v>0</v>
      </c>
      <c r="G20" s="104">
        <f>G73</f>
        <v>0</v>
      </c>
      <c r="H20" s="104">
        <f>H73</f>
        <v>0</v>
      </c>
      <c r="I20" s="104">
        <f>I73</f>
        <v>0</v>
      </c>
      <c r="J20" s="109">
        <v>0</v>
      </c>
      <c r="K20" s="109">
        <v>0</v>
      </c>
      <c r="L20" s="109">
        <v>0</v>
      </c>
      <c r="M20" s="109">
        <v>0</v>
      </c>
      <c r="N20" s="109">
        <v>0</v>
      </c>
      <c r="P20" s="100">
        <v>20</v>
      </c>
      <c r="Q20" s="100" t="s">
        <v>144</v>
      </c>
      <c r="R20" s="101" t="s">
        <v>145</v>
      </c>
      <c r="S20" s="101" t="s">
        <v>139</v>
      </c>
      <c r="T20" s="101" t="s">
        <v>146</v>
      </c>
      <c r="U20" s="102" t="s">
        <v>147</v>
      </c>
      <c r="V20" s="102" t="s">
        <v>26</v>
      </c>
    </row>
    <row r="21" spans="2:22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22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22" ht="18" customHeight="1" x14ac:dyDescent="0.35">
      <c r="B23" s="34" t="s">
        <v>148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22" hidden="1" outlineLevel="1" x14ac:dyDescent="0.35">
      <c r="B24" s="3" t="s">
        <v>149</v>
      </c>
      <c r="C24" s="110" t="s">
        <v>150</v>
      </c>
      <c r="D24" s="11"/>
      <c r="E24" s="111">
        <v>1316536</v>
      </c>
      <c r="F24" s="111">
        <v>1377270</v>
      </c>
      <c r="G24" s="111">
        <v>1513557</v>
      </c>
      <c r="H24" s="111">
        <v>1717526</v>
      </c>
      <c r="I24" s="111">
        <v>1990869</v>
      </c>
      <c r="J24" s="107">
        <f>I24*(1+J7)</f>
        <v>2528403.63</v>
      </c>
      <c r="K24" s="107">
        <f>J24*(1+K7)</f>
        <v>2932948.2107999995</v>
      </c>
      <c r="L24" s="107">
        <f>K24*(1+L7)</f>
        <v>3314231.4782039993</v>
      </c>
      <c r="M24" s="107">
        <f>L24*(1+M7)</f>
        <v>3645654.6260243994</v>
      </c>
      <c r="N24" s="107">
        <f>M24*(1+N7)</f>
        <v>3900850.4498461075</v>
      </c>
    </row>
    <row r="25" spans="2:22" hidden="1" outlineLevel="1" x14ac:dyDescent="0.35">
      <c r="B25" s="1" t="s">
        <v>151</v>
      </c>
      <c r="C25" s="110" t="s">
        <v>152</v>
      </c>
      <c r="E25" s="111">
        <v>332462</v>
      </c>
      <c r="F25" s="111">
        <v>302174</v>
      </c>
      <c r="G25" s="111">
        <v>311053</v>
      </c>
      <c r="H25" s="111">
        <v>348206</v>
      </c>
      <c r="I25" s="111">
        <v>353722</v>
      </c>
      <c r="J25" s="107">
        <f>J24*J8</f>
        <v>449226.93999999994</v>
      </c>
      <c r="K25" s="107">
        <f>K24*K8</f>
        <v>521103.2503999999</v>
      </c>
      <c r="L25" s="107">
        <f>L24*L8</f>
        <v>588846.67295199982</v>
      </c>
      <c r="M25" s="107">
        <f>M24*M8</f>
        <v>647731.34024719987</v>
      </c>
      <c r="N25" s="107">
        <f>N24*N8</f>
        <v>693072.53406450385</v>
      </c>
    </row>
    <row r="26" spans="2:22" hidden="1" outlineLevel="1" x14ac:dyDescent="0.35">
      <c r="B26" s="4" t="s">
        <v>153</v>
      </c>
      <c r="C26" s="112" t="s">
        <v>154</v>
      </c>
      <c r="D26" s="13"/>
      <c r="E26" s="113">
        <f t="shared" ref="E26:N26" si="4">E24-E25</f>
        <v>984074</v>
      </c>
      <c r="F26" s="113">
        <f t="shared" si="4"/>
        <v>1075096</v>
      </c>
      <c r="G26" s="113">
        <f t="shared" si="4"/>
        <v>1202504</v>
      </c>
      <c r="H26" s="113">
        <f t="shared" si="4"/>
        <v>1369320</v>
      </c>
      <c r="I26" s="113">
        <f t="shared" si="4"/>
        <v>1637147</v>
      </c>
      <c r="J26" s="107">
        <f t="shared" si="4"/>
        <v>2079176.69</v>
      </c>
      <c r="K26" s="107">
        <f t="shared" si="4"/>
        <v>2411844.9603999997</v>
      </c>
      <c r="L26" s="107">
        <f t="shared" si="4"/>
        <v>2725384.8052519998</v>
      </c>
      <c r="M26" s="107">
        <f t="shared" si="4"/>
        <v>2997923.2857771995</v>
      </c>
      <c r="N26" s="107">
        <f t="shared" si="4"/>
        <v>3207777.9157816037</v>
      </c>
    </row>
    <row r="27" spans="2:22" hidden="1" outlineLevel="1" x14ac:dyDescent="0.35">
      <c r="B27" s="3" t="s">
        <v>155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22" hidden="1" outlineLevel="1" x14ac:dyDescent="0.35">
      <c r="B28" s="1" t="s">
        <v>156</v>
      </c>
      <c r="C28" s="114" t="s">
        <v>157</v>
      </c>
      <c r="E28" s="111">
        <v>396281</v>
      </c>
      <c r="F28" s="111">
        <v>383863</v>
      </c>
      <c r="G28" s="111">
        <v>400565</v>
      </c>
      <c r="H28" s="111">
        <v>462834</v>
      </c>
      <c r="I28" s="111">
        <v>513028</v>
      </c>
      <c r="J28" s="107">
        <f>J24*J9</f>
        <v>631353.61092499993</v>
      </c>
      <c r="K28" s="107">
        <f>K24*K9</f>
        <v>725037.8181459998</v>
      </c>
      <c r="L28" s="107">
        <f>L24*L9</f>
        <v>811007.15580946975</v>
      </c>
      <c r="M28" s="107">
        <f>M24*M9</f>
        <v>882993.73482535582</v>
      </c>
      <c r="N28" s="107">
        <f>N24*N9</f>
        <v>935051.17013851542</v>
      </c>
    </row>
    <row r="29" spans="2:22" hidden="1" outlineLevel="1" x14ac:dyDescent="0.35">
      <c r="B29" s="1" t="s">
        <v>158</v>
      </c>
      <c r="C29" s="114" t="s">
        <v>159</v>
      </c>
      <c r="E29" s="111">
        <v>171231</v>
      </c>
      <c r="F29" s="111">
        <v>146758</v>
      </c>
      <c r="G29" s="111">
        <v>159950</v>
      </c>
      <c r="H29" s="111">
        <v>171940</v>
      </c>
      <c r="I29" s="111">
        <v>188347</v>
      </c>
      <c r="J29" s="107">
        <f>J24*J10</f>
        <v>239200.69</v>
      </c>
      <c r="K29" s="107">
        <f>K24*K10</f>
        <v>277472.80039999995</v>
      </c>
      <c r="L29" s="107">
        <f>L24*L10</f>
        <v>313544.26445199997</v>
      </c>
      <c r="M29" s="107">
        <f>M24*M10</f>
        <v>344898.69089719997</v>
      </c>
      <c r="N29" s="107">
        <f>N24*N10</f>
        <v>369041.59926000395</v>
      </c>
    </row>
    <row r="30" spans="2:22" hidden="1" outlineLevel="1" x14ac:dyDescent="0.35">
      <c r="B30" s="1" t="s">
        <v>160</v>
      </c>
      <c r="C30" s="114" t="s">
        <v>161</v>
      </c>
      <c r="E30" s="111">
        <v>25592</v>
      </c>
      <c r="F30" s="111">
        <v>20465</v>
      </c>
      <c r="G30" s="111">
        <v>14638</v>
      </c>
      <c r="H30" s="111">
        <v>13827</v>
      </c>
      <c r="I30" s="111">
        <v>14952</v>
      </c>
      <c r="J30" s="107">
        <f>((J92+(J92+J93))/2)*J11</f>
        <v>20067.435521994594</v>
      </c>
      <c r="K30" s="107">
        <f>((K92+(K92+K93))/2)*K11</f>
        <v>26051.311984244228</v>
      </c>
      <c r="L30" s="107">
        <f>((L92+(L92+L93))/2)*L11</f>
        <v>30870.251237495093</v>
      </c>
      <c r="M30" s="107">
        <f>((M92+(M92+M93))/2)*M11</f>
        <v>34533.173761559912</v>
      </c>
      <c r="N30" s="107">
        <f>((N92+(N92+N93))/2)*N11</f>
        <v>36422.264804509381</v>
      </c>
    </row>
    <row r="31" spans="2:22" hidden="1" outlineLevel="1" x14ac:dyDescent="0.35">
      <c r="B31" s="2" t="s">
        <v>162</v>
      </c>
      <c r="C31" s="115" t="s">
        <v>163</v>
      </c>
      <c r="D31" s="14"/>
      <c r="E31" s="116">
        <v>40092</v>
      </c>
      <c r="F31" s="116">
        <v>68967</v>
      </c>
      <c r="G31" s="116">
        <v>95546</v>
      </c>
      <c r="H31" s="116">
        <v>105638</v>
      </c>
      <c r="I31" s="116">
        <v>133647</v>
      </c>
      <c r="J31" s="107">
        <f>J98*J12</f>
        <v>184871.00624077363</v>
      </c>
      <c r="K31" s="107">
        <f>K98*K12</f>
        <v>184871.00624077363</v>
      </c>
      <c r="L31" s="107">
        <f>L98*L12</f>
        <v>184871.00624077363</v>
      </c>
      <c r="M31" s="107">
        <f>M98*M12</f>
        <v>184871.00624077363</v>
      </c>
      <c r="N31" s="107">
        <f>N98*N12</f>
        <v>184871.00624077363</v>
      </c>
    </row>
    <row r="32" spans="2:22" hidden="1" outlineLevel="1" x14ac:dyDescent="0.35">
      <c r="B32" s="3" t="s">
        <v>164</v>
      </c>
      <c r="C32" s="1"/>
      <c r="E32" s="117">
        <f t="shared" ref="E32:N32" si="5">SUM(E28:E31)</f>
        <v>633196</v>
      </c>
      <c r="F32" s="117">
        <f t="shared" si="5"/>
        <v>620053</v>
      </c>
      <c r="G32" s="117">
        <f t="shared" si="5"/>
        <v>670699</v>
      </c>
      <c r="H32" s="117">
        <f t="shared" si="5"/>
        <v>754239</v>
      </c>
      <c r="I32" s="117">
        <f t="shared" si="5"/>
        <v>849974</v>
      </c>
      <c r="J32" s="107">
        <f t="shared" si="5"/>
        <v>1075492.7426877681</v>
      </c>
      <c r="K32" s="107">
        <f t="shared" si="5"/>
        <v>1213432.9367710177</v>
      </c>
      <c r="L32" s="107">
        <f t="shared" si="5"/>
        <v>1340292.6777397385</v>
      </c>
      <c r="M32" s="107">
        <f t="shared" si="5"/>
        <v>1447296.6057248893</v>
      </c>
      <c r="N32" s="107">
        <f t="shared" si="5"/>
        <v>1525386.0404438025</v>
      </c>
    </row>
    <row r="33" spans="2:14" hidden="1" outlineLevel="1" x14ac:dyDescent="0.35">
      <c r="B33" s="4" t="s">
        <v>165</v>
      </c>
      <c r="C33" s="112" t="s">
        <v>166</v>
      </c>
      <c r="D33" s="13"/>
      <c r="E33" s="113">
        <f t="shared" ref="E33:N33" si="6">E26-E32</f>
        <v>350878</v>
      </c>
      <c r="F33" s="113">
        <f t="shared" si="6"/>
        <v>455043</v>
      </c>
      <c r="G33" s="113">
        <f t="shared" si="6"/>
        <v>531805</v>
      </c>
      <c r="H33" s="113">
        <f t="shared" si="6"/>
        <v>615081</v>
      </c>
      <c r="I33" s="113">
        <f t="shared" si="6"/>
        <v>787173</v>
      </c>
      <c r="J33" s="107">
        <f t="shared" si="6"/>
        <v>1003683.9473122319</v>
      </c>
      <c r="K33" s="107">
        <f t="shared" si="6"/>
        <v>1198412.023628982</v>
      </c>
      <c r="L33" s="107">
        <f t="shared" si="6"/>
        <v>1385092.1275122613</v>
      </c>
      <c r="M33" s="107">
        <f t="shared" si="6"/>
        <v>1550626.6800523102</v>
      </c>
      <c r="N33" s="107">
        <f t="shared" si="6"/>
        <v>1682391.8753378012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167</v>
      </c>
      <c r="C35" s="110" t="s">
        <v>168</v>
      </c>
      <c r="E35" s="111">
        <v>81058</v>
      </c>
      <c r="F35" s="111">
        <v>97768</v>
      </c>
      <c r="G35" s="111">
        <v>124249</v>
      </c>
      <c r="H35" s="111">
        <v>129214</v>
      </c>
      <c r="I35" s="111">
        <v>150649</v>
      </c>
      <c r="J35" s="107">
        <f>J33*J13</f>
        <v>192084.81868488935</v>
      </c>
      <c r="K35" s="107">
        <f>K33*K13</f>
        <v>229351.83618808381</v>
      </c>
      <c r="L35" s="107">
        <f>L33*L13</f>
        <v>265078.63445214031</v>
      </c>
      <c r="M35" s="107">
        <f>M33*M13</f>
        <v>296758.60163293261</v>
      </c>
      <c r="N35" s="107">
        <f>N33*N13</f>
        <v>321975.79646121553</v>
      </c>
    </row>
    <row r="36" spans="2:14" ht="16.25" hidden="1" customHeight="1" outlineLevel="1" thickBot="1" x14ac:dyDescent="0.4">
      <c r="B36" s="24" t="s">
        <v>169</v>
      </c>
      <c r="C36" s="118" t="s">
        <v>170</v>
      </c>
      <c r="D36" s="25"/>
      <c r="E36" s="119">
        <f>E33-E35</f>
        <v>269820</v>
      </c>
      <c r="F36" s="119">
        <f>F33-F35</f>
        <v>357275</v>
      </c>
      <c r="G36" s="119">
        <f>G33-G35</f>
        <v>407556</v>
      </c>
      <c r="H36" s="119">
        <f>H33-H35</f>
        <v>485867</v>
      </c>
      <c r="I36" s="119">
        <f>I33-I35</f>
        <v>636524</v>
      </c>
      <c r="J36" s="107">
        <f>J33*(1-J13)</f>
        <v>811599.12862734252</v>
      </c>
      <c r="K36" s="107">
        <f>K33*(1-K13)</f>
        <v>969060.18744089815</v>
      </c>
      <c r="L36" s="107">
        <f>L33*(1-L13)</f>
        <v>1120013.4930601208</v>
      </c>
      <c r="M36" s="107">
        <f>M33*(1-M13)</f>
        <v>1253868.0784193776</v>
      </c>
      <c r="N36" s="107">
        <f>N33*(1-N13)</f>
        <v>1360416.0788765857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109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171</v>
      </c>
      <c r="E40" s="10"/>
      <c r="F40" s="10"/>
      <c r="G40" s="10"/>
      <c r="H40" s="10"/>
      <c r="I40" s="10"/>
    </row>
    <row r="41" spans="2:14" hidden="1" outlineLevel="1" x14ac:dyDescent="0.35">
      <c r="B41" s="1" t="s">
        <v>172</v>
      </c>
      <c r="E41" s="111">
        <v>195354</v>
      </c>
      <c r="F41" s="111">
        <v>133202</v>
      </c>
      <c r="G41" s="111">
        <v>136778</v>
      </c>
      <c r="H41" s="111">
        <v>150667</v>
      </c>
      <c r="I41" s="111">
        <v>134136</v>
      </c>
      <c r="J41" s="107">
        <f>J78</f>
        <v>835576.65702625492</v>
      </c>
      <c r="K41" s="107">
        <f>K78</f>
        <v>1719750.7714251042</v>
      </c>
      <c r="L41" s="107">
        <f>L78</f>
        <v>2763567.7337243431</v>
      </c>
      <c r="M41" s="107">
        <f>M78</f>
        <v>3953240.0199232069</v>
      </c>
      <c r="N41" s="107">
        <f>N78</f>
        <v>5271367.9655869044</v>
      </c>
    </row>
    <row r="42" spans="2:14" hidden="1" outlineLevel="1" x14ac:dyDescent="0.35">
      <c r="B42" s="1" t="s">
        <v>173</v>
      </c>
      <c r="C42" s="114" t="s">
        <v>174</v>
      </c>
      <c r="E42" s="111">
        <v>312107</v>
      </c>
      <c r="F42" s="111">
        <v>322410</v>
      </c>
      <c r="G42" s="111">
        <v>387947</v>
      </c>
      <c r="H42" s="111">
        <v>426642</v>
      </c>
      <c r="I42" s="111">
        <v>529148</v>
      </c>
      <c r="J42" s="107">
        <f t="shared" ref="J42:N43" si="7">J24*J15/365</f>
        <v>671931.92358904111</v>
      </c>
      <c r="K42" s="107">
        <f t="shared" si="7"/>
        <v>779441.03136328747</v>
      </c>
      <c r="L42" s="107">
        <f t="shared" si="7"/>
        <v>880768.36544051499</v>
      </c>
      <c r="M42" s="107">
        <f t="shared" si="7"/>
        <v>968845.2019845664</v>
      </c>
      <c r="N42" s="107">
        <f t="shared" si="7"/>
        <v>1036664.3661234861</v>
      </c>
    </row>
    <row r="43" spans="2:14" hidden="1" outlineLevel="1" x14ac:dyDescent="0.35">
      <c r="B43" s="1" t="s">
        <v>175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07">
        <f t="shared" si="7"/>
        <v>0</v>
      </c>
      <c r="K43" s="107">
        <f t="shared" si="7"/>
        <v>0</v>
      </c>
      <c r="L43" s="107">
        <f t="shared" si="7"/>
        <v>0</v>
      </c>
      <c r="M43" s="107">
        <f t="shared" si="7"/>
        <v>0</v>
      </c>
      <c r="N43" s="107">
        <f t="shared" si="7"/>
        <v>0</v>
      </c>
    </row>
    <row r="44" spans="2:14" hidden="1" outlineLevel="1" x14ac:dyDescent="0.35">
      <c r="B44" s="1" t="s">
        <v>176</v>
      </c>
      <c r="E44" s="111">
        <v>27913</v>
      </c>
      <c r="F44" s="111">
        <v>17580</v>
      </c>
      <c r="G44" s="111">
        <v>10966</v>
      </c>
      <c r="H44" s="111">
        <v>38465</v>
      </c>
      <c r="I44" s="111">
        <v>67713</v>
      </c>
      <c r="J44" s="107">
        <f>J95</f>
        <v>93978.026423005387</v>
      </c>
      <c r="K44" s="107">
        <f>K95</f>
        <v>115927.38823656116</v>
      </c>
      <c r="L44" s="107">
        <f>L95</f>
        <v>132806.06866458806</v>
      </c>
      <c r="M44" s="107">
        <f>M95</f>
        <v>145440.96021115893</v>
      </c>
      <c r="N44" s="107">
        <f>N95</f>
        <v>148027.19990511064</v>
      </c>
    </row>
    <row r="45" spans="2:14" ht="16.25" hidden="1" customHeight="1" outlineLevel="1" thickBot="1" x14ac:dyDescent="0.4">
      <c r="B45" s="24" t="s">
        <v>177</v>
      </c>
      <c r="C45" s="24"/>
      <c r="D45" s="25"/>
      <c r="E45" s="119">
        <f t="shared" ref="E45:N45" si="8">SUM(E41:E44)</f>
        <v>535374</v>
      </c>
      <c r="F45" s="119">
        <f t="shared" si="8"/>
        <v>473192</v>
      </c>
      <c r="G45" s="119">
        <f t="shared" si="8"/>
        <v>535691</v>
      </c>
      <c r="H45" s="119">
        <f t="shared" si="8"/>
        <v>615774</v>
      </c>
      <c r="I45" s="119">
        <f t="shared" si="8"/>
        <v>730997</v>
      </c>
      <c r="J45" s="107">
        <f t="shared" si="8"/>
        <v>1601486.6070383014</v>
      </c>
      <c r="K45" s="107">
        <f t="shared" si="8"/>
        <v>2615119.191024953</v>
      </c>
      <c r="L45" s="107">
        <f t="shared" si="8"/>
        <v>3777142.167829446</v>
      </c>
      <c r="M45" s="107">
        <f t="shared" si="8"/>
        <v>5067526.1821189318</v>
      </c>
      <c r="N45" s="107">
        <f t="shared" si="8"/>
        <v>6456059.5316155013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178</v>
      </c>
      <c r="E47" s="10"/>
      <c r="F47" s="10"/>
      <c r="G47" s="10"/>
      <c r="H47" s="10"/>
      <c r="I47" s="10"/>
    </row>
    <row r="48" spans="2:14" hidden="1" outlineLevel="1" x14ac:dyDescent="0.35">
      <c r="B48" s="1" t="s">
        <v>179</v>
      </c>
      <c r="C48" s="114" t="s">
        <v>180</v>
      </c>
      <c r="E48" s="111">
        <v>20749</v>
      </c>
      <c r="F48" s="111">
        <v>17273</v>
      </c>
      <c r="G48" s="111">
        <v>19009</v>
      </c>
      <c r="H48" s="111">
        <v>22473</v>
      </c>
      <c r="I48" s="111">
        <v>32315</v>
      </c>
      <c r="J48" s="107">
        <f>J25*J17/365</f>
        <v>40615.038410958899</v>
      </c>
      <c r="K48" s="107">
        <f>K25*K17/365</f>
        <v>47113.444556712318</v>
      </c>
      <c r="L48" s="107">
        <f>L25*L17/365</f>
        <v>53238.192349084915</v>
      </c>
      <c r="M48" s="107">
        <f>M25*M17/365</f>
        <v>58562.011583993408</v>
      </c>
      <c r="N48" s="107">
        <f>N25*N17/365</f>
        <v>62661.352394872956</v>
      </c>
    </row>
    <row r="49" spans="2:14" hidden="1" outlineLevel="1" x14ac:dyDescent="0.35">
      <c r="B49" s="1" t="s">
        <v>181</v>
      </c>
      <c r="E49" s="111">
        <v>1259018</v>
      </c>
      <c r="F49" s="111">
        <v>1853669</v>
      </c>
      <c r="G49" s="111">
        <v>1861658</v>
      </c>
      <c r="H49" s="111">
        <v>2209021</v>
      </c>
      <c r="I49" s="111">
        <v>3055691</v>
      </c>
      <c r="J49" s="107">
        <f>J100</f>
        <v>3055691</v>
      </c>
      <c r="K49" s="107">
        <f>K100</f>
        <v>3055691</v>
      </c>
      <c r="L49" s="107">
        <f>L100</f>
        <v>3055691</v>
      </c>
      <c r="M49" s="107">
        <f>M100</f>
        <v>3055691</v>
      </c>
      <c r="N49" s="107">
        <f>N100</f>
        <v>3055691</v>
      </c>
    </row>
    <row r="50" spans="2:14" hidden="1" outlineLevel="1" x14ac:dyDescent="0.35">
      <c r="B50" s="4" t="s">
        <v>182</v>
      </c>
      <c r="C50" s="112" t="s">
        <v>183</v>
      </c>
      <c r="D50" s="13"/>
      <c r="E50" s="120">
        <f t="shared" ref="E50:N50" si="9">E48+E49+E88</f>
        <v>1385184</v>
      </c>
      <c r="F50" s="120">
        <f t="shared" si="9"/>
        <v>1990987</v>
      </c>
      <c r="G50" s="120">
        <f t="shared" si="9"/>
        <v>2017397</v>
      </c>
      <c r="H50" s="120">
        <f t="shared" si="9"/>
        <v>2388391</v>
      </c>
      <c r="I50" s="120">
        <f t="shared" si="9"/>
        <v>3275378</v>
      </c>
      <c r="J50" s="107">
        <f t="shared" si="9"/>
        <v>3334268.4784109588</v>
      </c>
      <c r="K50" s="107">
        <f t="shared" si="9"/>
        <v>3378840.8749567121</v>
      </c>
      <c r="L50" s="107">
        <f t="shared" si="9"/>
        <v>3420850.3587010852</v>
      </c>
      <c r="M50" s="107">
        <f t="shared" si="9"/>
        <v>3457366.2945711929</v>
      </c>
      <c r="N50" s="107">
        <f t="shared" si="9"/>
        <v>3485483.5651911767</v>
      </c>
    </row>
    <row r="51" spans="2:14" hidden="1" outlineLevel="1" x14ac:dyDescent="0.35">
      <c r="B51" s="3" t="s">
        <v>184</v>
      </c>
      <c r="E51" s="10"/>
      <c r="F51" s="10"/>
      <c r="G51" s="10"/>
      <c r="H51" s="10"/>
      <c r="I51" s="10"/>
    </row>
    <row r="52" spans="2:14" hidden="1" outlineLevel="1" x14ac:dyDescent="0.35">
      <c r="B52" s="1" t="s">
        <v>185</v>
      </c>
      <c r="E52" s="111">
        <v>-849810</v>
      </c>
      <c r="F52" s="111">
        <v>-1517795</v>
      </c>
      <c r="G52" s="111">
        <v>-1481706</v>
      </c>
      <c r="H52" s="111">
        <v>-1772617</v>
      </c>
      <c r="I52" s="111">
        <v>-2544381</v>
      </c>
      <c r="J52" s="107">
        <f>I52+J20</f>
        <v>-2544381</v>
      </c>
      <c r="K52" s="107">
        <f>J52+K20</f>
        <v>-2544381</v>
      </c>
      <c r="L52" s="107">
        <f>K52+L20</f>
        <v>-2544381</v>
      </c>
      <c r="M52" s="107">
        <f>L52+M20</f>
        <v>-2544381</v>
      </c>
      <c r="N52" s="107">
        <f>M52+N20</f>
        <v>-2544381</v>
      </c>
    </row>
    <row r="53" spans="2:14" hidden="1" outlineLevel="1" x14ac:dyDescent="0.35">
      <c r="B53" s="1" t="s">
        <v>186</v>
      </c>
      <c r="C53" s="114" t="s">
        <v>187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07">
        <f>I53+J33*(1-J13)</f>
        <v>811599.12862734252</v>
      </c>
      <c r="K53" s="107">
        <f>J53+K33*(1-K13)</f>
        <v>1780659.3160682407</v>
      </c>
      <c r="L53" s="107">
        <f>K53+L33*(1-L13)</f>
        <v>2900672.8091283618</v>
      </c>
      <c r="M53" s="107">
        <f>L53+M33*(1-M13)</f>
        <v>4154540.8875477393</v>
      </c>
      <c r="N53" s="107">
        <f>M53+N33*(1-N13)</f>
        <v>5514956.9664243255</v>
      </c>
    </row>
    <row r="54" spans="2:14" hidden="1" outlineLevel="1" x14ac:dyDescent="0.35">
      <c r="B54" s="6" t="s">
        <v>184</v>
      </c>
      <c r="C54" s="6"/>
      <c r="D54" s="16"/>
      <c r="E54" s="121">
        <f t="shared" ref="E54:N54" si="10">SUM(E52:E53)</f>
        <v>-849810</v>
      </c>
      <c r="F54" s="121">
        <f t="shared" si="10"/>
        <v>-1517795</v>
      </c>
      <c r="G54" s="121">
        <f t="shared" si="10"/>
        <v>-1481706</v>
      </c>
      <c r="H54" s="121">
        <f t="shared" si="10"/>
        <v>-1772617</v>
      </c>
      <c r="I54" s="121">
        <f t="shared" si="10"/>
        <v>-2544381</v>
      </c>
      <c r="J54" s="107">
        <f t="shared" si="10"/>
        <v>-1732781.8713726574</v>
      </c>
      <c r="K54" s="107">
        <f t="shared" si="10"/>
        <v>-763721.68393175933</v>
      </c>
      <c r="L54" s="107">
        <f t="shared" si="10"/>
        <v>356291.80912836175</v>
      </c>
      <c r="M54" s="107">
        <f t="shared" si="10"/>
        <v>1610159.8875477393</v>
      </c>
      <c r="N54" s="107">
        <f t="shared" si="10"/>
        <v>2970575.9664243255</v>
      </c>
    </row>
    <row r="55" spans="2:14" ht="16.25" hidden="1" customHeight="1" outlineLevel="1" thickBot="1" x14ac:dyDescent="0.4">
      <c r="B55" s="24" t="s">
        <v>188</v>
      </c>
      <c r="C55" s="24"/>
      <c r="D55" s="25"/>
      <c r="E55" s="119">
        <f t="shared" ref="E55:N55" si="11">E50+E54</f>
        <v>535374</v>
      </c>
      <c r="F55" s="119">
        <f t="shared" si="11"/>
        <v>473192</v>
      </c>
      <c r="G55" s="119">
        <f t="shared" si="11"/>
        <v>535691</v>
      </c>
      <c r="H55" s="119">
        <f t="shared" si="11"/>
        <v>615774</v>
      </c>
      <c r="I55" s="119">
        <f t="shared" si="11"/>
        <v>730997</v>
      </c>
      <c r="J55" s="107">
        <f t="shared" si="11"/>
        <v>1601486.6070383014</v>
      </c>
      <c r="K55" s="107">
        <f t="shared" si="11"/>
        <v>2615119.1910249526</v>
      </c>
      <c r="L55" s="107">
        <f t="shared" si="11"/>
        <v>3777142.167829447</v>
      </c>
      <c r="M55" s="107">
        <f t="shared" si="11"/>
        <v>5067526.1821189318</v>
      </c>
      <c r="N55" s="107">
        <f t="shared" si="11"/>
        <v>6456059.5316155022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189</v>
      </c>
      <c r="C57" s="7"/>
      <c r="D57" s="17"/>
      <c r="E57" s="122">
        <f t="shared" ref="E57:N57" si="12">E55-E45</f>
        <v>0</v>
      </c>
      <c r="F57" s="122">
        <f t="shared" si="12"/>
        <v>0</v>
      </c>
      <c r="G57" s="122">
        <f t="shared" si="12"/>
        <v>0</v>
      </c>
      <c r="H57" s="122">
        <f t="shared" si="12"/>
        <v>0</v>
      </c>
      <c r="I57" s="122">
        <f t="shared" si="12"/>
        <v>0</v>
      </c>
      <c r="J57" s="107">
        <f t="shared" si="12"/>
        <v>0</v>
      </c>
      <c r="K57" s="107">
        <f t="shared" si="12"/>
        <v>0</v>
      </c>
      <c r="L57" s="107">
        <f t="shared" si="12"/>
        <v>0</v>
      </c>
      <c r="M57" s="107">
        <f t="shared" si="12"/>
        <v>0</v>
      </c>
      <c r="N57" s="107">
        <f t="shared" si="12"/>
        <v>0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190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191</v>
      </c>
      <c r="E61" s="10"/>
      <c r="F61" s="10"/>
      <c r="G61" s="10"/>
      <c r="H61" s="10"/>
      <c r="I61" s="10"/>
    </row>
    <row r="62" spans="2:14" hidden="1" outlineLevel="1" x14ac:dyDescent="0.35">
      <c r="B62" s="1" t="s">
        <v>169</v>
      </c>
      <c r="C62" s="114" t="s">
        <v>170</v>
      </c>
      <c r="E62" s="123">
        <f>E36</f>
        <v>269820</v>
      </c>
      <c r="F62" s="123">
        <f>F36</f>
        <v>357275</v>
      </c>
      <c r="G62" s="123">
        <f>G36</f>
        <v>407556</v>
      </c>
      <c r="H62" s="123">
        <f>H36</f>
        <v>485867</v>
      </c>
      <c r="I62" s="123">
        <f>I36</f>
        <v>636524</v>
      </c>
      <c r="J62" s="107">
        <f>J33*(1-J13)</f>
        <v>811599.12862734252</v>
      </c>
      <c r="K62" s="107">
        <f>K33*(1-K13)</f>
        <v>969060.18744089815</v>
      </c>
      <c r="L62" s="107">
        <f>L33*(1-L13)</f>
        <v>1120013.4930601208</v>
      </c>
      <c r="M62" s="107">
        <f>M33*(1-M13)</f>
        <v>1253868.0784193776</v>
      </c>
      <c r="N62" s="107">
        <f>N33*(1-N13)</f>
        <v>1360416.0788765857</v>
      </c>
    </row>
    <row r="63" spans="2:14" hidden="1" outlineLevel="1" x14ac:dyDescent="0.35">
      <c r="B63" s="1" t="s">
        <v>192</v>
      </c>
      <c r="C63" s="114" t="s">
        <v>193</v>
      </c>
      <c r="E63" s="123">
        <f>+E30</f>
        <v>25592</v>
      </c>
      <c r="F63" s="123">
        <f>+F30</f>
        <v>20465</v>
      </c>
      <c r="G63" s="123">
        <f>+G30</f>
        <v>14638</v>
      </c>
      <c r="H63" s="123">
        <f>+H30</f>
        <v>13827</v>
      </c>
      <c r="I63" s="123">
        <f>+I30</f>
        <v>14952</v>
      </c>
      <c r="J63" s="107">
        <f>((J92+(J92+J93))/2)*J11</f>
        <v>20067.435521994594</v>
      </c>
      <c r="K63" s="107">
        <f>((K92+(K92+K93))/2)*K11</f>
        <v>26051.311984244228</v>
      </c>
      <c r="L63" s="107">
        <f>((L92+(L92+L93))/2)*L11</f>
        <v>30870.251237495093</v>
      </c>
      <c r="M63" s="107">
        <f>((M92+(M92+M93))/2)*M11</f>
        <v>34533.173761559912</v>
      </c>
      <c r="N63" s="107">
        <f>((N92+(N92+N93))/2)*N11</f>
        <v>36422.264804509381</v>
      </c>
    </row>
    <row r="64" spans="2:14" hidden="1" outlineLevel="1" x14ac:dyDescent="0.35">
      <c r="B64" s="1" t="s">
        <v>194</v>
      </c>
      <c r="C64" s="114" t="s">
        <v>195</v>
      </c>
      <c r="E64" s="111">
        <v>0</v>
      </c>
      <c r="F64" s="111">
        <v>-849</v>
      </c>
      <c r="G64" s="111">
        <v>47116</v>
      </c>
      <c r="H64" s="111">
        <v>15064</v>
      </c>
      <c r="I64" s="111">
        <v>62189</v>
      </c>
      <c r="J64" s="107">
        <f>J90</f>
        <v>83893.445178082213</v>
      </c>
      <c r="K64" s="107">
        <f>K90</f>
        <v>62936.711228493019</v>
      </c>
      <c r="L64" s="107">
        <f>L90</f>
        <v>59317.850332854956</v>
      </c>
      <c r="M64" s="107">
        <f>M90</f>
        <v>51560.900673942815</v>
      </c>
      <c r="N64" s="107">
        <f>N90</f>
        <v>39701.893518936238</v>
      </c>
    </row>
    <row r="65" spans="2:14" hidden="1" outlineLevel="1" x14ac:dyDescent="0.35">
      <c r="B65" s="4" t="s">
        <v>196</v>
      </c>
      <c r="C65" s="112" t="s">
        <v>197</v>
      </c>
      <c r="D65" s="18"/>
      <c r="E65" s="113">
        <f>E62+E63-E64</f>
        <v>295412</v>
      </c>
      <c r="F65" s="113">
        <f>F62+F63-F64</f>
        <v>378589</v>
      </c>
      <c r="G65" s="113">
        <f>G62+G63-G64</f>
        <v>375078</v>
      </c>
      <c r="H65" s="113">
        <f>H62+H63-H64</f>
        <v>484630</v>
      </c>
      <c r="I65" s="113">
        <f>I62+I63-I64</f>
        <v>589287</v>
      </c>
      <c r="J65" s="107">
        <f>J33*(1-J13)+(((J92+(J92+J93))/2)*J11)-J90</f>
        <v>747773.11897125491</v>
      </c>
      <c r="K65" s="107">
        <f>K33*(1-K13)+(((K92+(K92+K93))/2)*K11)-K90</f>
        <v>932174.7881966494</v>
      </c>
      <c r="L65" s="107">
        <f>L33*(1-L13)+(((L92+(L92+L93))/2)*L11)-L90</f>
        <v>1091565.8939647609</v>
      </c>
      <c r="M65" s="107">
        <f>M33*(1-M13)+(((M92+(M92+M93))/2)*M11)-M90</f>
        <v>1236840.3515069946</v>
      </c>
      <c r="N65" s="107">
        <f>N33*(1-N13)+(((N92+(N92+N93))/2)*N11)-N90</f>
        <v>1357136.4501621588</v>
      </c>
    </row>
    <row r="66" spans="2:14" hidden="1" outlineLevel="1" x14ac:dyDescent="0.35">
      <c r="B66" s="3"/>
      <c r="C66" s="1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198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199</v>
      </c>
      <c r="C68" s="114" t="s">
        <v>200</v>
      </c>
      <c r="E68" s="111">
        <v>7569</v>
      </c>
      <c r="F68" s="111">
        <v>6029</v>
      </c>
      <c r="G68" s="111">
        <v>4237</v>
      </c>
      <c r="H68" s="111">
        <v>25551</v>
      </c>
      <c r="I68" s="111">
        <v>39407</v>
      </c>
      <c r="J68" s="107">
        <f>J24*J18</f>
        <v>46332.461944999995</v>
      </c>
      <c r="K68" s="107">
        <f>K24*K18</f>
        <v>48000.673797800002</v>
      </c>
      <c r="L68" s="107">
        <f>L24*L18</f>
        <v>47748.931665521995</v>
      </c>
      <c r="M68" s="107">
        <f>M24*M18</f>
        <v>47168.065308130797</v>
      </c>
      <c r="N68" s="107">
        <f>N24*N18</f>
        <v>39008.504498461079</v>
      </c>
    </row>
    <row r="69" spans="2:14" hidden="1" outlineLevel="1" x14ac:dyDescent="0.35">
      <c r="B69" s="4" t="s">
        <v>201</v>
      </c>
      <c r="C69" s="5"/>
      <c r="D69" s="18"/>
      <c r="E69" s="113">
        <f>SUM(E68)</f>
        <v>7569</v>
      </c>
      <c r="F69" s="113">
        <f>SUM(F68)</f>
        <v>6029</v>
      </c>
      <c r="G69" s="113">
        <f>SUM(G68)</f>
        <v>4237</v>
      </c>
      <c r="H69" s="113">
        <f>SUM(H68)</f>
        <v>25551</v>
      </c>
      <c r="I69" s="113">
        <f>SUM(I68)</f>
        <v>39407</v>
      </c>
      <c r="J69" s="107">
        <f>J68</f>
        <v>46332.461944999995</v>
      </c>
      <c r="K69" s="107">
        <f>K68</f>
        <v>48000.673797800002</v>
      </c>
      <c r="L69" s="107">
        <f>L68</f>
        <v>47748.931665521995</v>
      </c>
      <c r="M69" s="107">
        <f>M68</f>
        <v>47168.065308130797</v>
      </c>
      <c r="N69" s="107">
        <f>N68</f>
        <v>39008.504498461079</v>
      </c>
    </row>
    <row r="70" spans="2:14" hidden="1" outlineLevel="1" x14ac:dyDescent="0.35">
      <c r="B70" s="3"/>
      <c r="C70" s="1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202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203</v>
      </c>
      <c r="E72" s="111">
        <v>519583</v>
      </c>
      <c r="F72" s="111">
        <v>594651</v>
      </c>
      <c r="G72" s="111">
        <v>7989</v>
      </c>
      <c r="H72" s="111">
        <v>347363</v>
      </c>
      <c r="I72" s="111">
        <v>846670</v>
      </c>
      <c r="J72" s="107">
        <f t="shared" ref="J72:N73" si="13">J19</f>
        <v>0</v>
      </c>
      <c r="K72" s="107">
        <f t="shared" si="13"/>
        <v>0</v>
      </c>
      <c r="L72" s="107">
        <f t="shared" si="13"/>
        <v>0</v>
      </c>
      <c r="M72" s="107">
        <f t="shared" si="13"/>
        <v>0</v>
      </c>
      <c r="N72" s="107">
        <f t="shared" si="13"/>
        <v>0</v>
      </c>
    </row>
    <row r="73" spans="2:14" hidden="1" outlineLevel="1" x14ac:dyDescent="0.35">
      <c r="B73" s="1" t="s">
        <v>204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07">
        <f t="shared" si="13"/>
        <v>0</v>
      </c>
      <c r="K73" s="107">
        <f t="shared" si="13"/>
        <v>0</v>
      </c>
      <c r="L73" s="107">
        <f t="shared" si="13"/>
        <v>0</v>
      </c>
      <c r="M73" s="107">
        <f t="shared" si="13"/>
        <v>0</v>
      </c>
      <c r="N73" s="107">
        <f t="shared" si="13"/>
        <v>0</v>
      </c>
    </row>
    <row r="74" spans="2:14" hidden="1" outlineLevel="1" x14ac:dyDescent="0.35">
      <c r="B74" s="4" t="s">
        <v>205</v>
      </c>
      <c r="C74" s="5"/>
      <c r="D74" s="18"/>
      <c r="E74" s="113">
        <f>SUM(E72:E73)</f>
        <v>519583</v>
      </c>
      <c r="F74" s="113">
        <f>SUM(F72:F73)</f>
        <v>594651</v>
      </c>
      <c r="G74" s="113">
        <f>SUM(G72:G73)</f>
        <v>7989</v>
      </c>
      <c r="H74" s="113">
        <f>SUM(H72:H73)</f>
        <v>347363</v>
      </c>
      <c r="I74" s="113">
        <f>SUM(I72:I73)</f>
        <v>846670</v>
      </c>
      <c r="J74" s="107">
        <f>J19+J20</f>
        <v>0</v>
      </c>
      <c r="K74" s="107">
        <f>K19+K20</f>
        <v>0</v>
      </c>
      <c r="L74" s="107">
        <f>L19+L20</f>
        <v>0</v>
      </c>
      <c r="M74" s="107">
        <f>M19+M20</f>
        <v>0</v>
      </c>
      <c r="N74" s="107">
        <f>N19+N20</f>
        <v>0</v>
      </c>
    </row>
    <row r="75" spans="2:14" hidden="1" outlineLevel="1" x14ac:dyDescent="0.35">
      <c r="B75" s="3"/>
      <c r="C75" s="1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206</v>
      </c>
      <c r="C76" s="114" t="s">
        <v>207</v>
      </c>
      <c r="E76" s="124">
        <f>E41-E77</f>
        <v>37960</v>
      </c>
      <c r="F76" s="124">
        <f>F41-F77</f>
        <v>-62152</v>
      </c>
      <c r="G76" s="124">
        <f>G41-G77</f>
        <v>3576</v>
      </c>
      <c r="H76" s="124">
        <f>H41-H77</f>
        <v>13889</v>
      </c>
      <c r="I76" s="124">
        <f>I41-I77</f>
        <v>-16531</v>
      </c>
      <c r="J76" s="107">
        <f>J65-J69+J74</f>
        <v>701440.65702625492</v>
      </c>
      <c r="K76" s="107">
        <f>K65-K69+K74</f>
        <v>884174.11439884943</v>
      </c>
      <c r="L76" s="107">
        <f>L65-L69+L74</f>
        <v>1043816.9622992389</v>
      </c>
      <c r="M76" s="107">
        <f>M65-M69+M74</f>
        <v>1189672.2861988638</v>
      </c>
      <c r="N76" s="107">
        <f>N65-N69+N74</f>
        <v>1318127.9456636978</v>
      </c>
    </row>
    <row r="77" spans="2:14" hidden="1" outlineLevel="1" x14ac:dyDescent="0.35">
      <c r="B77" s="1" t="s">
        <v>208</v>
      </c>
      <c r="E77" s="111">
        <v>157394</v>
      </c>
      <c r="F77" s="124">
        <f t="shared" ref="F77:N77" si="14">E41</f>
        <v>195354</v>
      </c>
      <c r="G77" s="124">
        <f t="shared" si="14"/>
        <v>133202</v>
      </c>
      <c r="H77" s="124">
        <f t="shared" si="14"/>
        <v>136778</v>
      </c>
      <c r="I77" s="124">
        <f t="shared" si="14"/>
        <v>150667</v>
      </c>
      <c r="J77" s="107">
        <f t="shared" si="14"/>
        <v>134136</v>
      </c>
      <c r="K77" s="107">
        <f t="shared" si="14"/>
        <v>835576.65702625492</v>
      </c>
      <c r="L77" s="107">
        <f t="shared" si="14"/>
        <v>1719750.7714251042</v>
      </c>
      <c r="M77" s="107">
        <f t="shared" si="14"/>
        <v>2763567.7337243431</v>
      </c>
      <c r="N77" s="107">
        <f t="shared" si="14"/>
        <v>3953240.0199232069</v>
      </c>
    </row>
    <row r="78" spans="2:14" hidden="1" outlineLevel="1" x14ac:dyDescent="0.35">
      <c r="B78" s="4" t="s">
        <v>209</v>
      </c>
      <c r="C78" s="5"/>
      <c r="D78" s="125">
        <v>157394</v>
      </c>
      <c r="E78" s="113">
        <f>SUM(E76:E77)</f>
        <v>195354</v>
      </c>
      <c r="F78" s="113">
        <f>SUM(F76:F77)</f>
        <v>133202</v>
      </c>
      <c r="G78" s="113">
        <f>SUM(G76:G77)</f>
        <v>136778</v>
      </c>
      <c r="H78" s="113">
        <f>SUM(H76:H77)</f>
        <v>150667</v>
      </c>
      <c r="I78" s="113">
        <f>SUM(I76:I77)</f>
        <v>134136</v>
      </c>
      <c r="J78" s="107">
        <f>J77+J76</f>
        <v>835576.65702625492</v>
      </c>
      <c r="K78" s="107">
        <f>K77+K76</f>
        <v>1719750.7714251042</v>
      </c>
      <c r="L78" s="107">
        <f>L77+L76</f>
        <v>2763567.7337243431</v>
      </c>
      <c r="M78" s="107">
        <f>M77+M76</f>
        <v>3953240.0199232069</v>
      </c>
      <c r="N78" s="107">
        <f>N77+N76</f>
        <v>5271367.9655869044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189</v>
      </c>
      <c r="C80" s="7"/>
      <c r="D80" s="17"/>
      <c r="E80" s="122">
        <f t="shared" ref="E80:N80" si="15">E78-E41</f>
        <v>0</v>
      </c>
      <c r="F80" s="122">
        <f t="shared" si="15"/>
        <v>0</v>
      </c>
      <c r="G80" s="122">
        <f t="shared" si="15"/>
        <v>0</v>
      </c>
      <c r="H80" s="122">
        <f t="shared" si="15"/>
        <v>0</v>
      </c>
      <c r="I80" s="122">
        <f t="shared" si="15"/>
        <v>0</v>
      </c>
      <c r="J80" s="107">
        <f t="shared" si="15"/>
        <v>0</v>
      </c>
      <c r="K80" s="107">
        <f t="shared" si="15"/>
        <v>0</v>
      </c>
      <c r="L80" s="107">
        <f t="shared" si="15"/>
        <v>0</v>
      </c>
      <c r="M80" s="107">
        <f t="shared" si="15"/>
        <v>0</v>
      </c>
      <c r="N80" s="107">
        <f t="shared" si="15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210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211</v>
      </c>
      <c r="F84" s="10"/>
      <c r="G84" s="10"/>
      <c r="H84" s="10"/>
      <c r="I84" s="10"/>
    </row>
    <row r="85" spans="2:14" hidden="1" outlineLevel="1" x14ac:dyDescent="0.35">
      <c r="B85" s="1" t="s">
        <v>212</v>
      </c>
      <c r="E85" s="111">
        <v>312107</v>
      </c>
      <c r="F85" s="111">
        <v>322410</v>
      </c>
      <c r="G85" s="111">
        <v>387947</v>
      </c>
      <c r="H85" s="111">
        <v>426642</v>
      </c>
      <c r="I85" s="111">
        <v>529148</v>
      </c>
      <c r="J85" s="107">
        <f t="shared" ref="J85:N86" si="16">J42</f>
        <v>671931.92358904111</v>
      </c>
      <c r="K85" s="107">
        <f t="shared" si="16"/>
        <v>779441.03136328747</v>
      </c>
      <c r="L85" s="107">
        <f t="shared" si="16"/>
        <v>880768.36544051499</v>
      </c>
      <c r="M85" s="107">
        <f t="shared" si="16"/>
        <v>968845.2019845664</v>
      </c>
      <c r="N85" s="107">
        <f t="shared" si="16"/>
        <v>1036664.3661234861</v>
      </c>
    </row>
    <row r="86" spans="2:14" hidden="1" outlineLevel="1" x14ac:dyDescent="0.35">
      <c r="B86" s="1" t="s">
        <v>175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07">
        <f t="shared" si="16"/>
        <v>0</v>
      </c>
      <c r="K86" s="107">
        <f t="shared" si="16"/>
        <v>0</v>
      </c>
      <c r="L86" s="107">
        <f t="shared" si="16"/>
        <v>0</v>
      </c>
      <c r="M86" s="107">
        <f t="shared" si="16"/>
        <v>0</v>
      </c>
      <c r="N86" s="107">
        <f t="shared" si="16"/>
        <v>0</v>
      </c>
    </row>
    <row r="87" spans="2:14" hidden="1" outlineLevel="1" x14ac:dyDescent="0.35">
      <c r="B87" s="1" t="s">
        <v>179</v>
      </c>
      <c r="E87" s="111">
        <v>20749</v>
      </c>
      <c r="F87" s="111">
        <v>17273</v>
      </c>
      <c r="G87" s="111">
        <v>19009</v>
      </c>
      <c r="H87" s="111">
        <v>22473</v>
      </c>
      <c r="I87" s="111">
        <v>32315</v>
      </c>
      <c r="J87" s="107">
        <f>J48</f>
        <v>40615.038410958899</v>
      </c>
      <c r="K87" s="107">
        <f>K48</f>
        <v>47113.444556712318</v>
      </c>
      <c r="L87" s="107">
        <f>L48</f>
        <v>53238.192349084915</v>
      </c>
      <c r="M87" s="107">
        <f>M48</f>
        <v>58562.011583993408</v>
      </c>
      <c r="N87" s="107">
        <f>N48</f>
        <v>62661.352394872956</v>
      </c>
    </row>
    <row r="88" spans="2:14" hidden="1" outlineLevel="1" x14ac:dyDescent="0.35">
      <c r="B88" s="5" t="s">
        <v>213</v>
      </c>
      <c r="C88" s="112" t="s">
        <v>214</v>
      </c>
      <c r="D88" s="18"/>
      <c r="E88" s="126">
        <v>105417</v>
      </c>
      <c r="F88" s="126">
        <v>120045</v>
      </c>
      <c r="G88" s="126">
        <v>136730</v>
      </c>
      <c r="H88" s="126">
        <v>156897</v>
      </c>
      <c r="I88" s="126">
        <v>187372</v>
      </c>
      <c r="J88" s="107">
        <f>J24*IF($I$24=0,0,$I$88/$I$24)</f>
        <v>237962.43999999997</v>
      </c>
      <c r="K88" s="107">
        <f>K24*IF($I$24=0,0,$I$88/$I$24)</f>
        <v>276036.43039999995</v>
      </c>
      <c r="L88" s="107">
        <f>L24*IF($I$24=0,0,$I$88/$I$24)</f>
        <v>311921.16635199991</v>
      </c>
      <c r="M88" s="107">
        <f>M24*IF($I$24=0,0,$I$88/$I$24)</f>
        <v>343113.28298719996</v>
      </c>
      <c r="N88" s="107">
        <f>N24*IF($I$24=0,0,$I$88/$I$24)</f>
        <v>367131.21279630391</v>
      </c>
    </row>
    <row r="89" spans="2:14" hidden="1" outlineLevel="1" x14ac:dyDescent="0.35">
      <c r="B89" s="1" t="s">
        <v>215</v>
      </c>
      <c r="C89" s="114" t="s">
        <v>216</v>
      </c>
      <c r="D89" s="127">
        <v>205747</v>
      </c>
      <c r="E89" s="111">
        <v>185941</v>
      </c>
      <c r="F89" s="111">
        <v>185092</v>
      </c>
      <c r="G89" s="111">
        <v>232208</v>
      </c>
      <c r="H89" s="111">
        <v>247272</v>
      </c>
      <c r="I89" s="111">
        <v>309461</v>
      </c>
      <c r="J89" s="107">
        <f>J85+J86-J87-J88</f>
        <v>393354.44517808221</v>
      </c>
      <c r="K89" s="107">
        <f>K85+K86-K87-K88</f>
        <v>456291.15640657523</v>
      </c>
      <c r="L89" s="107">
        <f>L85+L86-L87-L88</f>
        <v>515609.00673943019</v>
      </c>
      <c r="M89" s="107">
        <f>M85+M86-M87-M88</f>
        <v>567169.907413373</v>
      </c>
      <c r="N89" s="107">
        <f>N85+N86-N87-N88</f>
        <v>606871.80093230924</v>
      </c>
    </row>
    <row r="90" spans="2:14" hidden="1" outlineLevel="1" x14ac:dyDescent="0.35">
      <c r="B90" t="s">
        <v>217</v>
      </c>
      <c r="E90" s="111">
        <v>-19806</v>
      </c>
      <c r="F90" s="111">
        <v>-849</v>
      </c>
      <c r="G90" s="111">
        <v>47116</v>
      </c>
      <c r="H90" s="111">
        <v>15064</v>
      </c>
      <c r="I90" s="111">
        <v>62189</v>
      </c>
      <c r="J90" s="128">
        <f>J89-I89</f>
        <v>83893.445178082213</v>
      </c>
      <c r="K90" s="128">
        <f>K89-J89</f>
        <v>62936.711228493019</v>
      </c>
      <c r="L90" s="128">
        <f>L89-K89</f>
        <v>59317.850332854956</v>
      </c>
      <c r="M90" s="128">
        <f>M89-L89</f>
        <v>51560.900673942815</v>
      </c>
      <c r="N90" s="128">
        <f>N89-M89</f>
        <v>39701.893518936238</v>
      </c>
    </row>
    <row r="91" spans="2:14" hidden="1" outlineLevel="1" x14ac:dyDescent="0.35">
      <c r="B91" s="3" t="s">
        <v>218</v>
      </c>
      <c r="E91" s="10"/>
      <c r="F91" s="10"/>
      <c r="G91" s="10"/>
      <c r="H91" s="10"/>
      <c r="I91" s="10"/>
    </row>
    <row r="92" spans="2:14" hidden="1" outlineLevel="1" x14ac:dyDescent="0.35">
      <c r="B92" s="1" t="s">
        <v>219</v>
      </c>
      <c r="E92" s="111">
        <v>46419</v>
      </c>
      <c r="F92" s="124">
        <f>E95</f>
        <v>27913</v>
      </c>
      <c r="G92" s="124">
        <f>F95</f>
        <v>17580</v>
      </c>
      <c r="H92" s="124">
        <f>G95</f>
        <v>10966</v>
      </c>
      <c r="I92" s="124">
        <f>H95</f>
        <v>38465</v>
      </c>
      <c r="J92" s="107">
        <f>I44</f>
        <v>67713</v>
      </c>
      <c r="K92" s="107">
        <f>J95</f>
        <v>93978.026423005387</v>
      </c>
      <c r="L92" s="107">
        <f>K95</f>
        <v>115927.38823656116</v>
      </c>
      <c r="M92" s="107">
        <f>L95</f>
        <v>132806.06866458806</v>
      </c>
      <c r="N92" s="107">
        <f>M95</f>
        <v>145440.96021115893</v>
      </c>
    </row>
    <row r="93" spans="2:14" hidden="1" outlineLevel="1" x14ac:dyDescent="0.35">
      <c r="B93" s="1" t="s">
        <v>220</v>
      </c>
      <c r="E93" s="111">
        <v>7569</v>
      </c>
      <c r="F93" s="111">
        <v>6029</v>
      </c>
      <c r="G93" s="111">
        <v>4237</v>
      </c>
      <c r="H93" s="111">
        <v>25551</v>
      </c>
      <c r="I93" s="111">
        <v>39407</v>
      </c>
      <c r="J93" s="107">
        <f>J24*J18</f>
        <v>46332.461944999995</v>
      </c>
      <c r="K93" s="107">
        <f>K24*K18</f>
        <v>48000.673797800002</v>
      </c>
      <c r="L93" s="107">
        <f>L24*L18</f>
        <v>47748.931665521995</v>
      </c>
      <c r="M93" s="107">
        <f>M24*M18</f>
        <v>47168.065308130797</v>
      </c>
      <c r="N93" s="107">
        <f>N24*N18</f>
        <v>39008.504498461079</v>
      </c>
    </row>
    <row r="94" spans="2:14" hidden="1" outlineLevel="1" x14ac:dyDescent="0.35">
      <c r="B94" s="1" t="s">
        <v>221</v>
      </c>
      <c r="C94" s="114" t="s">
        <v>222</v>
      </c>
      <c r="E94" s="111">
        <v>25592</v>
      </c>
      <c r="F94" s="111">
        <v>20465</v>
      </c>
      <c r="G94" s="111">
        <v>14638</v>
      </c>
      <c r="H94" s="111">
        <v>13827</v>
      </c>
      <c r="I94" s="111">
        <v>14952</v>
      </c>
      <c r="J94" s="107">
        <f>((J92+(J92+J93))/2)*J11</f>
        <v>20067.435521994594</v>
      </c>
      <c r="K94" s="107">
        <f>((K92+(K92+K93))/2)*K11</f>
        <v>26051.311984244228</v>
      </c>
      <c r="L94" s="107">
        <f>((L92+(L92+L93))/2)*L11</f>
        <v>30870.251237495093</v>
      </c>
      <c r="M94" s="107">
        <f>((M92+(M92+M93))/2)*M11</f>
        <v>34533.173761559912</v>
      </c>
      <c r="N94" s="107">
        <f>((N92+(N92+N93))/2)*N11</f>
        <v>36422.264804509381</v>
      </c>
    </row>
    <row r="95" spans="2:14" hidden="1" outlineLevel="1" x14ac:dyDescent="0.35">
      <c r="B95" s="5" t="s">
        <v>223</v>
      </c>
      <c r="C95" s="5"/>
      <c r="D95" s="18"/>
      <c r="E95" s="126">
        <v>27913</v>
      </c>
      <c r="F95" s="126">
        <v>17580</v>
      </c>
      <c r="G95" s="126">
        <v>10966</v>
      </c>
      <c r="H95" s="126">
        <v>38465</v>
      </c>
      <c r="I95" s="126">
        <v>67713</v>
      </c>
      <c r="J95" s="107">
        <f>J92+J93-J94</f>
        <v>93978.026423005387</v>
      </c>
      <c r="K95" s="107">
        <f>K92+K93-K94</f>
        <v>115927.38823656116</v>
      </c>
      <c r="L95" s="107">
        <f>L92+L93-L94</f>
        <v>132806.06866458806</v>
      </c>
      <c r="M95" s="107">
        <f>M92+M93-M94</f>
        <v>145440.96021115893</v>
      </c>
      <c r="N95" s="107">
        <f>N92+N93-N94</f>
        <v>148027.19990511064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224</v>
      </c>
      <c r="E97" s="10"/>
      <c r="F97" s="10"/>
      <c r="G97" s="10"/>
      <c r="H97" s="10"/>
      <c r="I97" s="10"/>
    </row>
    <row r="98" spans="2:14" hidden="1" outlineLevel="1" x14ac:dyDescent="0.35">
      <c r="B98" s="1" t="s">
        <v>225</v>
      </c>
      <c r="E98" s="111">
        <v>739435</v>
      </c>
      <c r="F98" s="124">
        <f>E100</f>
        <v>1259018</v>
      </c>
      <c r="G98" s="124">
        <f>F100</f>
        <v>1853669</v>
      </c>
      <c r="H98" s="124">
        <f>G100</f>
        <v>1861658</v>
      </c>
      <c r="I98" s="124">
        <f>H100</f>
        <v>2209021</v>
      </c>
      <c r="J98" s="107">
        <f>I49</f>
        <v>3055691</v>
      </c>
      <c r="K98" s="107">
        <f>J100</f>
        <v>3055691</v>
      </c>
      <c r="L98" s="107">
        <f>K100</f>
        <v>3055691</v>
      </c>
      <c r="M98" s="107">
        <f>L100</f>
        <v>3055691</v>
      </c>
      <c r="N98" s="107">
        <f>M100</f>
        <v>3055691</v>
      </c>
    </row>
    <row r="99" spans="2:14" hidden="1" outlineLevel="1" x14ac:dyDescent="0.35">
      <c r="B99" s="1" t="s">
        <v>226</v>
      </c>
      <c r="E99" s="111">
        <v>519583</v>
      </c>
      <c r="F99" s="111">
        <v>594651</v>
      </c>
      <c r="G99" s="111">
        <v>7989</v>
      </c>
      <c r="H99" s="111">
        <v>347363</v>
      </c>
      <c r="I99" s="111">
        <v>846670</v>
      </c>
      <c r="J99" s="107">
        <f>J19</f>
        <v>0</v>
      </c>
      <c r="K99" s="107">
        <f>K19</f>
        <v>0</v>
      </c>
      <c r="L99" s="107">
        <f>L19</f>
        <v>0</v>
      </c>
      <c r="M99" s="107">
        <f>M19</f>
        <v>0</v>
      </c>
      <c r="N99" s="107">
        <f>N19</f>
        <v>0</v>
      </c>
    </row>
    <row r="100" spans="2:14" hidden="1" outlineLevel="1" x14ac:dyDescent="0.35">
      <c r="B100" s="5" t="s">
        <v>227</v>
      </c>
      <c r="C100" s="5"/>
      <c r="D100" s="18"/>
      <c r="E100" s="126">
        <v>1259018</v>
      </c>
      <c r="F100" s="126">
        <v>1853669</v>
      </c>
      <c r="G100" s="126">
        <v>1861658</v>
      </c>
      <c r="H100" s="126">
        <v>2209021</v>
      </c>
      <c r="I100" s="126">
        <v>3055691</v>
      </c>
      <c r="J100" s="107">
        <f>J98+J99</f>
        <v>3055691</v>
      </c>
      <c r="K100" s="107">
        <f>K98+K99</f>
        <v>3055691</v>
      </c>
      <c r="L100" s="107">
        <f>L98+L99</f>
        <v>3055691</v>
      </c>
      <c r="M100" s="107">
        <f>M98+M99</f>
        <v>3055691</v>
      </c>
      <c r="N100" s="107">
        <f>N98+N99</f>
        <v>3055691</v>
      </c>
    </row>
    <row r="101" spans="2:14" hidden="1" outlineLevel="1" x14ac:dyDescent="0.35">
      <c r="B101" s="1" t="s">
        <v>228</v>
      </c>
      <c r="E101" s="111">
        <v>40092</v>
      </c>
      <c r="F101" s="111">
        <v>68967</v>
      </c>
      <c r="G101" s="111">
        <v>95546</v>
      </c>
      <c r="H101" s="111">
        <v>105638</v>
      </c>
      <c r="I101" s="111">
        <v>133647</v>
      </c>
      <c r="J101" s="107">
        <f>J98*J12</f>
        <v>184871.00624077363</v>
      </c>
      <c r="K101" s="107">
        <f>K98*K12</f>
        <v>184871.00624077363</v>
      </c>
      <c r="L101" s="107">
        <f>L98*L12</f>
        <v>184871.00624077363</v>
      </c>
      <c r="M101" s="107">
        <f>M98*M12</f>
        <v>184871.00624077363</v>
      </c>
      <c r="N101" s="107">
        <f>N98*N12</f>
        <v>184871.00624077363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229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230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153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231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191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hidden="1" outlineLevel="1" x14ac:dyDescent="0.35">
      <c r="B126" s="1" t="s">
        <v>198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202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232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233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mergeCells count="2">
    <mergeCell ref="P4:V4"/>
    <mergeCell ref="P5:V5"/>
  </mergeCells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U7" r:id="rId1" xr:uid="{00000000-0004-0000-0100-000000000000}"/>
    <hyperlink ref="V7" r:id="rId2" xr:uid="{00000000-0004-0000-0100-000001000000}"/>
    <hyperlink ref="U8" r:id="rId3" xr:uid="{00000000-0004-0000-0100-000002000000}"/>
    <hyperlink ref="V8" r:id="rId4" xr:uid="{00000000-0004-0000-0100-000003000000}"/>
    <hyperlink ref="U9" r:id="rId5" xr:uid="{00000000-0004-0000-0100-000004000000}"/>
    <hyperlink ref="V9" r:id="rId6" xr:uid="{00000000-0004-0000-0100-000005000000}"/>
    <hyperlink ref="U10" r:id="rId7" xr:uid="{00000000-0004-0000-0100-000006000000}"/>
    <hyperlink ref="V10" r:id="rId8" xr:uid="{00000000-0004-0000-0100-000007000000}"/>
    <hyperlink ref="U11" r:id="rId9" xr:uid="{00000000-0004-0000-0100-000008000000}"/>
    <hyperlink ref="V11" r:id="rId10" xr:uid="{00000000-0004-0000-0100-000009000000}"/>
    <hyperlink ref="U12" r:id="rId11" xr:uid="{00000000-0004-0000-0100-00000A000000}"/>
    <hyperlink ref="V12" r:id="rId12" xr:uid="{00000000-0004-0000-0100-00000B000000}"/>
    <hyperlink ref="U13" r:id="rId13" xr:uid="{00000000-0004-0000-0100-00000C000000}"/>
    <hyperlink ref="V13" r:id="rId14" xr:uid="{00000000-0004-0000-0100-00000D000000}"/>
    <hyperlink ref="U15" r:id="rId15" xr:uid="{00000000-0004-0000-0100-00000E000000}"/>
    <hyperlink ref="V15" r:id="rId16" xr:uid="{00000000-0004-0000-0100-00000F000000}"/>
    <hyperlink ref="U16" r:id="rId17" xr:uid="{00000000-0004-0000-0100-000010000000}"/>
    <hyperlink ref="V16" r:id="rId18" xr:uid="{00000000-0004-0000-0100-000011000000}"/>
    <hyperlink ref="U17" r:id="rId19" xr:uid="{00000000-0004-0000-0100-000012000000}"/>
    <hyperlink ref="V17" r:id="rId20" xr:uid="{00000000-0004-0000-0100-000013000000}"/>
    <hyperlink ref="U18" r:id="rId21" xr:uid="{00000000-0004-0000-0100-000014000000}"/>
    <hyperlink ref="V18" r:id="rId22" xr:uid="{00000000-0004-0000-0100-000015000000}"/>
    <hyperlink ref="U19" r:id="rId23" xr:uid="{00000000-0004-0000-0100-000016000000}"/>
    <hyperlink ref="V19" r:id="rId24" xr:uid="{00000000-0004-0000-0100-000017000000}"/>
    <hyperlink ref="U20" r:id="rId25" xr:uid="{00000000-0004-0000-0100-000018000000}"/>
    <hyperlink ref="V20" r:id="rId26" xr:uid="{00000000-0004-0000-0100-000019000000}"/>
    <hyperlink ref="B138" r:id="rId27" xr:uid="{00000000-0004-0000-0100-00001A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zoomScale="69" workbookViewId="0">
      <selection activeCell="D13" sqref="D13"/>
    </sheetView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36" customWidth="1"/>
    <col min="13" max="13" width="18" customWidth="1"/>
    <col min="14" max="14" width="39.453125" bestFit="1" customWidth="1"/>
    <col min="15" max="15" width="9.08984375" customWidth="1"/>
    <col min="17" max="17" width="40" customWidth="1"/>
    <col min="18" max="18" width="14" customWidth="1"/>
    <col min="19" max="19" width="36" customWidth="1"/>
    <col min="20" max="20" width="14" customWidth="1"/>
    <col min="21" max="22" width="52" customWidth="1"/>
  </cols>
  <sheetData>
    <row r="1" spans="1:22" ht="18" customHeight="1" x14ac:dyDescent="0.5">
      <c r="A1" s="57" t="s">
        <v>43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22" ht="18" customHeight="1" x14ac:dyDescent="0.5">
      <c r="A2" s="58"/>
      <c r="B2" s="60" t="s">
        <v>234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  <c r="Q2" s="172" t="s">
        <v>235</v>
      </c>
      <c r="R2" s="164"/>
      <c r="S2" s="164"/>
      <c r="T2" s="164"/>
      <c r="U2" s="164"/>
      <c r="V2" s="164"/>
    </row>
    <row r="3" spans="1:22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Q3" s="173" t="s">
        <v>236</v>
      </c>
      <c r="R3" s="164"/>
      <c r="S3" s="164"/>
      <c r="T3" s="164"/>
      <c r="U3" s="164"/>
      <c r="V3" s="164"/>
    </row>
    <row r="4" spans="1:22" ht="16" customHeight="1" x14ac:dyDescent="0.4">
      <c r="A4" s="62"/>
      <c r="B4" s="66" t="s">
        <v>50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  <c r="Q4" s="129" t="s">
        <v>237</v>
      </c>
      <c r="R4" s="129" t="s">
        <v>238</v>
      </c>
      <c r="S4" s="129" t="s">
        <v>239</v>
      </c>
      <c r="T4" s="129" t="s">
        <v>240</v>
      </c>
      <c r="U4" s="129" t="s">
        <v>241</v>
      </c>
      <c r="V4" s="129" t="s">
        <v>242</v>
      </c>
    </row>
    <row r="5" spans="1:22" ht="16" customHeight="1" x14ac:dyDescent="0.4">
      <c r="A5" s="62"/>
      <c r="B5" s="68" t="s">
        <v>243</v>
      </c>
      <c r="C5" s="65"/>
      <c r="D5" s="130">
        <v>0.18770239037123329</v>
      </c>
      <c r="E5" s="131" t="s">
        <v>244</v>
      </c>
      <c r="F5" s="62"/>
      <c r="G5" s="62"/>
      <c r="H5" s="62"/>
      <c r="I5" s="62"/>
      <c r="J5" s="62"/>
      <c r="K5" s="62"/>
      <c r="L5" s="62"/>
      <c r="M5" s="62"/>
      <c r="N5" s="62"/>
      <c r="O5" s="62"/>
      <c r="Q5" s="167" t="s">
        <v>245</v>
      </c>
      <c r="R5" s="164"/>
      <c r="S5" s="164"/>
      <c r="T5" s="164"/>
      <c r="U5" s="164"/>
      <c r="V5" s="164"/>
    </row>
    <row r="6" spans="1:22" ht="16" customHeight="1" x14ac:dyDescent="0.4">
      <c r="A6" s="132" t="s">
        <v>246</v>
      </c>
      <c r="B6" s="68" t="s">
        <v>247</v>
      </c>
      <c r="C6" s="133" t="s">
        <v>248</v>
      </c>
      <c r="D6" s="134">
        <f>R15</f>
        <v>9.2390520120359587E-2</v>
      </c>
      <c r="E6" s="131" t="s">
        <v>249</v>
      </c>
      <c r="F6" s="131" t="s">
        <v>23</v>
      </c>
      <c r="G6" s="131" t="s">
        <v>250</v>
      </c>
      <c r="H6" s="62"/>
      <c r="I6" s="62"/>
      <c r="J6" s="62"/>
      <c r="K6" s="62"/>
      <c r="L6" s="62"/>
      <c r="M6" s="62"/>
      <c r="N6" s="62"/>
      <c r="O6" s="62"/>
      <c r="Q6" s="135" t="s">
        <v>251</v>
      </c>
      <c r="R6" s="136">
        <v>4.6300000000000001E-2</v>
      </c>
      <c r="S6" s="135" t="s">
        <v>252</v>
      </c>
      <c r="T6" s="135" t="s">
        <v>253</v>
      </c>
      <c r="U6" s="137" t="s">
        <v>254</v>
      </c>
      <c r="V6" s="137" t="s">
        <v>255</v>
      </c>
    </row>
    <row r="7" spans="1:22" ht="16" customHeight="1" x14ac:dyDescent="0.4">
      <c r="A7" s="62"/>
      <c r="B7" s="62" t="s">
        <v>256</v>
      </c>
      <c r="C7" s="62"/>
      <c r="D7" s="130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Q7" s="135" t="s">
        <v>257</v>
      </c>
      <c r="R7" s="136">
        <v>4.2799999999999998E-2</v>
      </c>
      <c r="S7" s="135" t="s">
        <v>258</v>
      </c>
      <c r="T7" s="135" t="s">
        <v>253</v>
      </c>
      <c r="U7" s="137" t="s">
        <v>259</v>
      </c>
      <c r="V7" s="137" t="s">
        <v>260</v>
      </c>
    </row>
    <row r="8" spans="1:22" ht="16" customHeight="1" x14ac:dyDescent="0.4">
      <c r="A8" s="62"/>
      <c r="B8" s="62" t="s">
        <v>261</v>
      </c>
      <c r="C8" s="62"/>
      <c r="D8" s="138">
        <v>25</v>
      </c>
      <c r="E8" s="131" t="s">
        <v>262</v>
      </c>
      <c r="F8" s="62"/>
      <c r="G8" s="62"/>
      <c r="H8" s="62"/>
      <c r="I8" s="62"/>
      <c r="J8" s="62"/>
      <c r="K8" s="62"/>
      <c r="L8" s="62"/>
      <c r="M8" s="62"/>
      <c r="N8" s="62"/>
      <c r="O8" s="62"/>
      <c r="Q8" s="135" t="s">
        <v>263</v>
      </c>
      <c r="R8" s="139">
        <v>1.32</v>
      </c>
      <c r="S8" s="135" t="s">
        <v>264</v>
      </c>
      <c r="T8" s="135" t="s">
        <v>253</v>
      </c>
      <c r="U8" s="137" t="s">
        <v>265</v>
      </c>
      <c r="V8" s="137" t="s">
        <v>266</v>
      </c>
    </row>
    <row r="9" spans="1:22" ht="16" customHeight="1" x14ac:dyDescent="0.4">
      <c r="A9" s="62"/>
      <c r="B9" s="62" t="s">
        <v>267</v>
      </c>
      <c r="C9" s="62"/>
      <c r="D9" s="140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Q9" s="141" t="s">
        <v>268</v>
      </c>
      <c r="R9" s="142">
        <f>R6+R8*R7</f>
        <v>0.102796</v>
      </c>
      <c r="S9" s="135" t="s">
        <v>269</v>
      </c>
      <c r="T9" s="141" t="s">
        <v>270</v>
      </c>
      <c r="U9" s="135" t="s">
        <v>271</v>
      </c>
      <c r="V9" s="135"/>
    </row>
    <row r="10" spans="1:22" ht="16" customHeight="1" x14ac:dyDescent="0.4">
      <c r="A10" s="62"/>
      <c r="B10" s="62" t="s">
        <v>272</v>
      </c>
      <c r="C10" s="62"/>
      <c r="D10" s="140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Q10" s="135" t="s">
        <v>273</v>
      </c>
      <c r="R10" s="136">
        <v>6.25E-2</v>
      </c>
      <c r="S10" s="135" t="s">
        <v>274</v>
      </c>
      <c r="T10" s="135" t="s">
        <v>275</v>
      </c>
      <c r="U10" s="137" t="s">
        <v>276</v>
      </c>
      <c r="V10" s="137" t="s">
        <v>277</v>
      </c>
    </row>
    <row r="11" spans="1:22" ht="16" customHeight="1" x14ac:dyDescent="0.4">
      <c r="A11" s="62"/>
      <c r="B11" s="62" t="s">
        <v>278</v>
      </c>
      <c r="C11" s="62"/>
      <c r="D11" s="143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Q11" s="135" t="s">
        <v>279</v>
      </c>
      <c r="R11" s="142">
        <f>$D$5</f>
        <v>0.18770239037123329</v>
      </c>
      <c r="S11" s="135" t="s">
        <v>280</v>
      </c>
      <c r="T11" s="135" t="s">
        <v>281</v>
      </c>
      <c r="U11" s="137" t="s">
        <v>282</v>
      </c>
      <c r="V11" s="137" t="s">
        <v>283</v>
      </c>
    </row>
    <row r="12" spans="1:22" ht="16" customHeight="1" x14ac:dyDescent="0.4">
      <c r="A12" s="62"/>
      <c r="B12" s="62" t="s">
        <v>284</v>
      </c>
      <c r="C12" s="62"/>
      <c r="D12" s="144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Q12" s="141" t="s">
        <v>285</v>
      </c>
      <c r="R12" s="142">
        <f>R10*(1-R11)</f>
        <v>5.0768600601797921E-2</v>
      </c>
      <c r="S12" s="135" t="s">
        <v>286</v>
      </c>
      <c r="T12" s="141" t="s">
        <v>270</v>
      </c>
      <c r="U12" s="135" t="s">
        <v>287</v>
      </c>
      <c r="V12" s="135"/>
    </row>
    <row r="13" spans="1:22" ht="16" customHeight="1" x14ac:dyDescent="0.4">
      <c r="A13" s="62"/>
      <c r="B13" s="62" t="s">
        <v>181</v>
      </c>
      <c r="C13" s="62"/>
      <c r="D13" s="144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Q13" s="135" t="s">
        <v>288</v>
      </c>
      <c r="R13" s="145">
        <v>0.8</v>
      </c>
      <c r="S13" s="135" t="s">
        <v>289</v>
      </c>
      <c r="T13" s="135" t="s">
        <v>290</v>
      </c>
      <c r="U13" s="137" t="s">
        <v>291</v>
      </c>
      <c r="V13" s="137" t="s">
        <v>292</v>
      </c>
    </row>
    <row r="14" spans="1:22" ht="16" customHeight="1" x14ac:dyDescent="0.4">
      <c r="A14" s="62"/>
      <c r="B14" s="62" t="s">
        <v>172</v>
      </c>
      <c r="C14" s="62"/>
      <c r="D14" s="144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135" t="s">
        <v>293</v>
      </c>
      <c r="R14" s="145">
        <v>0.2</v>
      </c>
      <c r="S14" s="135" t="s">
        <v>294</v>
      </c>
      <c r="T14" s="135" t="s">
        <v>290</v>
      </c>
      <c r="U14" s="137" t="s">
        <v>295</v>
      </c>
      <c r="V14" s="137" t="s">
        <v>296</v>
      </c>
    </row>
    <row r="15" spans="1:22" ht="16" customHeight="1" x14ac:dyDescent="0.4">
      <c r="A15" s="62"/>
      <c r="B15" s="62" t="s">
        <v>297</v>
      </c>
      <c r="C15" s="62"/>
      <c r="D15" s="146">
        <f>'3 Statement Model'!J68</f>
        <v>46332.461944999995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Q15" s="141" t="s">
        <v>298</v>
      </c>
      <c r="R15" s="142">
        <f>R13*R9+R14*R12</f>
        <v>9.2390520120359587E-2</v>
      </c>
      <c r="S15" s="135" t="s">
        <v>299</v>
      </c>
      <c r="T15" s="141" t="s">
        <v>300</v>
      </c>
      <c r="U15" s="137" t="s">
        <v>301</v>
      </c>
      <c r="V15" s="137" t="s">
        <v>302</v>
      </c>
    </row>
    <row r="16" spans="1:22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22" ht="16" customHeight="1" x14ac:dyDescent="0.4">
      <c r="A17" s="62"/>
      <c r="B17" s="70" t="s">
        <v>303</v>
      </c>
      <c r="C17" s="71"/>
      <c r="D17" s="72" t="s">
        <v>304</v>
      </c>
      <c r="E17" s="147">
        <f>YEAR(E18)</f>
        <v>2026</v>
      </c>
      <c r="F17" s="147">
        <f>YEAR(F18)</f>
        <v>2027</v>
      </c>
      <c r="G17" s="147">
        <f>YEAR(G18)</f>
        <v>2028</v>
      </c>
      <c r="H17" s="147">
        <f>YEAR(H18)</f>
        <v>2029</v>
      </c>
      <c r="I17" s="147">
        <f>YEAR(I18)</f>
        <v>2030</v>
      </c>
      <c r="J17" s="72" t="s">
        <v>305</v>
      </c>
      <c r="K17" s="62"/>
      <c r="L17" s="73" t="s">
        <v>306</v>
      </c>
      <c r="M17" s="71"/>
      <c r="N17" s="71"/>
      <c r="O17" s="62"/>
      <c r="Q17" s="167" t="s">
        <v>307</v>
      </c>
      <c r="R17" s="164"/>
      <c r="S17" s="164"/>
      <c r="T17" s="164"/>
      <c r="U17" s="164"/>
      <c r="V17" s="164"/>
    </row>
    <row r="18" spans="1:22" ht="16" customHeight="1" x14ac:dyDescent="0.4">
      <c r="A18" s="62"/>
      <c r="B18" s="62" t="s">
        <v>308</v>
      </c>
      <c r="C18" s="62"/>
      <c r="D18" s="148">
        <f>D9</f>
        <v>45930</v>
      </c>
      <c r="E18" s="149">
        <f>DATE(YEAR($D$10)+E19,3,31)</f>
        <v>46112</v>
      </c>
      <c r="F18" s="149">
        <f>DATE(YEAR($D$10)+F19,3,31)</f>
        <v>46477</v>
      </c>
      <c r="G18" s="149">
        <f>DATE(YEAR($D$10)+G19,3,31)</f>
        <v>46843</v>
      </c>
      <c r="H18" s="149">
        <f>DATE(YEAR($D$10)+H19,3,31)</f>
        <v>47208</v>
      </c>
      <c r="I18" s="149">
        <f>DATE(YEAR($D$10)+I19,3,31)</f>
        <v>47573</v>
      </c>
      <c r="J18" s="150">
        <f>I18</f>
        <v>47573</v>
      </c>
      <c r="K18" s="62"/>
      <c r="L18" s="62" t="s">
        <v>309</v>
      </c>
      <c r="M18" s="146">
        <f>J27</f>
        <v>47592128.659577101</v>
      </c>
      <c r="N18" s="62">
        <f>(I26*(1+D7))/(D6-D7)</f>
        <v>24342153.108731218</v>
      </c>
      <c r="O18" s="62"/>
      <c r="Q18" s="171" t="s">
        <v>310</v>
      </c>
      <c r="R18" s="164"/>
      <c r="S18" s="164"/>
      <c r="U18" s="137" t="s">
        <v>311</v>
      </c>
      <c r="V18" s="137" t="s">
        <v>312</v>
      </c>
    </row>
    <row r="19" spans="1:22" ht="16" customHeight="1" x14ac:dyDescent="0.4">
      <c r="A19" s="62"/>
      <c r="B19" s="75" t="s">
        <v>313</v>
      </c>
      <c r="C19" s="75"/>
      <c r="D19" s="74"/>
      <c r="E19" s="151">
        <v>0</v>
      </c>
      <c r="F19" s="148">
        <f>E19+1</f>
        <v>1</v>
      </c>
      <c r="G19" s="148">
        <f>F19+1</f>
        <v>2</v>
      </c>
      <c r="H19" s="148">
        <f>G19+1</f>
        <v>3</v>
      </c>
      <c r="I19" s="148">
        <f>H19+1</f>
        <v>4</v>
      </c>
      <c r="J19" s="74"/>
      <c r="K19" s="62"/>
      <c r="L19" s="62" t="s">
        <v>314</v>
      </c>
      <c r="M19" s="146">
        <f>IF(($D$6-$D$7)&lt;=0,"WACC must exceed g",$I$26*(1+$D$7)/($D$6-$D$7))</f>
        <v>24342153.108731218</v>
      </c>
      <c r="N19" s="76">
        <f>D8*(I21+I23)</f>
        <v>47592128.659577101</v>
      </c>
      <c r="O19" s="62"/>
      <c r="Q19" s="135" t="s">
        <v>315</v>
      </c>
      <c r="R19" s="171">
        <f>E21-E22+E23-E24-E25</f>
        <v>855301.87608244864</v>
      </c>
      <c r="S19" s="164"/>
      <c r="T19" s="164"/>
    </row>
    <row r="20" spans="1:22" ht="16" customHeight="1" x14ac:dyDescent="0.4">
      <c r="A20" s="62"/>
      <c r="B20" s="75" t="s">
        <v>316</v>
      </c>
      <c r="C20" s="62"/>
      <c r="D20" s="62"/>
      <c r="E20" s="148">
        <f>YEARFRAC(D18,E18)</f>
        <v>0.5</v>
      </c>
      <c r="F20" s="148">
        <f>YEARFRAC(E18,F18)</f>
        <v>1</v>
      </c>
      <c r="G20" s="148">
        <f>YEARFRAC(F18,G18)</f>
        <v>1</v>
      </c>
      <c r="H20" s="148">
        <f>YEARFRAC(G18,H18)</f>
        <v>1</v>
      </c>
      <c r="I20" s="148">
        <f>YEARFRAC(H18,I18)</f>
        <v>1</v>
      </c>
      <c r="J20" s="62"/>
      <c r="K20" s="62"/>
      <c r="L20" s="62" t="s">
        <v>317</v>
      </c>
      <c r="M20" s="146">
        <f>IF(($I$21+$I$23)=0,0,M19/($I$21+$I$23))</f>
        <v>12.786858769676389</v>
      </c>
      <c r="N20" s="77">
        <f>AVERAGE(N18:N19)</f>
        <v>35967140.884154156</v>
      </c>
      <c r="O20" s="62"/>
      <c r="Q20" s="135" t="s">
        <v>318</v>
      </c>
      <c r="R20" s="141">
        <f>E21*$D$5</f>
        <v>223094.60586946932</v>
      </c>
      <c r="S20" s="135" t="s">
        <v>319</v>
      </c>
      <c r="U20" s="137" t="s">
        <v>320</v>
      </c>
    </row>
    <row r="21" spans="1:22" ht="16" customHeight="1" x14ac:dyDescent="0.4">
      <c r="A21" s="62"/>
      <c r="B21" s="62" t="s">
        <v>321</v>
      </c>
      <c r="C21" s="152" t="s">
        <v>322</v>
      </c>
      <c r="D21" s="62"/>
      <c r="E21" s="146">
        <f>'3 Statement Model'!J26-'3 Statement Model'!J28-'3 Statement Model'!J29-'3 Statement Model'!J30</f>
        <v>1188554.9535530056</v>
      </c>
      <c r="F21" s="146">
        <f>'3 Statement Model'!K26-'3 Statement Model'!K28-'3 Statement Model'!K29-'3 Statement Model'!K30</f>
        <v>1383283.0298697557</v>
      </c>
      <c r="G21" s="146">
        <f>'3 Statement Model'!L26-'3 Statement Model'!L28-'3 Statement Model'!L29-'3 Statement Model'!L30</f>
        <v>1569963.133753035</v>
      </c>
      <c r="H21" s="146">
        <f>'3 Statement Model'!M26-'3 Statement Model'!M28-'3 Statement Model'!M29-'3 Statement Model'!M30</f>
        <v>1735497.6862930837</v>
      </c>
      <c r="I21" s="146">
        <f>'3 Statement Model'!N26-'3 Statement Model'!N28-'3 Statement Model'!N29-'3 Statement Model'!N30</f>
        <v>1867262.8815785747</v>
      </c>
      <c r="J21" s="62"/>
      <c r="K21" s="62"/>
      <c r="L21" s="62"/>
      <c r="M21" s="62"/>
      <c r="N21" s="62"/>
      <c r="O21" s="62"/>
      <c r="Q21" s="135" t="s">
        <v>323</v>
      </c>
      <c r="R21" s="153">
        <f>I26</f>
        <v>1474485.0420419113</v>
      </c>
      <c r="S21" s="135" t="s">
        <v>324</v>
      </c>
    </row>
    <row r="22" spans="1:22" ht="16" customHeight="1" x14ac:dyDescent="0.4">
      <c r="A22" s="62"/>
      <c r="B22" s="62" t="s">
        <v>325</v>
      </c>
      <c r="C22" s="152" t="s">
        <v>326</v>
      </c>
      <c r="D22" s="62"/>
      <c r="E22" s="146">
        <f>E21*$D$5</f>
        <v>223094.60586946932</v>
      </c>
      <c r="F22" s="146">
        <f>F21*$D$5</f>
        <v>259645.53126651526</v>
      </c>
      <c r="G22" s="146">
        <f>G21*$D$5</f>
        <v>294685.83300015691</v>
      </c>
      <c r="H22" s="146">
        <f>H21*$D$5</f>
        <v>325757.06420095655</v>
      </c>
      <c r="I22" s="146">
        <f>I21*$D$5</f>
        <v>350489.70632377558</v>
      </c>
      <c r="J22" s="62"/>
      <c r="K22" s="62"/>
      <c r="L22" s="62"/>
      <c r="M22" s="62"/>
      <c r="N22" s="62"/>
      <c r="O22" s="62"/>
    </row>
    <row r="23" spans="1:22" ht="16" customHeight="1" x14ac:dyDescent="0.4">
      <c r="A23" s="62"/>
      <c r="B23" s="62" t="s">
        <v>327</v>
      </c>
      <c r="C23" s="152" t="s">
        <v>328</v>
      </c>
      <c r="D23" s="62"/>
      <c r="E23" s="146">
        <f>'3 Statement Model'!J30</f>
        <v>20067.435521994594</v>
      </c>
      <c r="F23" s="146">
        <f>'3 Statement Model'!K30</f>
        <v>26051.311984244228</v>
      </c>
      <c r="G23" s="146">
        <f>'3 Statement Model'!L30</f>
        <v>30870.251237495093</v>
      </c>
      <c r="H23" s="146">
        <f>'3 Statement Model'!M30</f>
        <v>34533.173761559912</v>
      </c>
      <c r="I23" s="146">
        <f>'3 Statement Model'!N30</f>
        <v>36422.264804509381</v>
      </c>
      <c r="J23" s="62"/>
      <c r="K23" s="62"/>
      <c r="L23" s="62"/>
      <c r="M23" s="62"/>
      <c r="N23" s="62"/>
      <c r="O23" s="62"/>
      <c r="Q23" s="167" t="s">
        <v>329</v>
      </c>
      <c r="R23" s="164"/>
      <c r="S23" s="164"/>
      <c r="T23" s="164"/>
      <c r="U23" s="164"/>
      <c r="V23" s="164"/>
    </row>
    <row r="24" spans="1:22" ht="16" customHeight="1" x14ac:dyDescent="0.4">
      <c r="A24" s="62"/>
      <c r="B24" s="62" t="s">
        <v>330</v>
      </c>
      <c r="C24" s="152" t="s">
        <v>331</v>
      </c>
      <c r="D24" s="62"/>
      <c r="E24" s="146">
        <f>'3 Statement Model'!J68</f>
        <v>46332.461944999995</v>
      </c>
      <c r="F24" s="146">
        <f>'3 Statement Model'!K68</f>
        <v>48000.673797800002</v>
      </c>
      <c r="G24" s="146">
        <f>'3 Statement Model'!L68</f>
        <v>47748.931665521995</v>
      </c>
      <c r="H24" s="146">
        <f>'3 Statement Model'!M68</f>
        <v>47168.065308130797</v>
      </c>
      <c r="I24" s="146">
        <f>'3 Statement Model'!N68</f>
        <v>39008.504498461079</v>
      </c>
      <c r="J24" s="62"/>
      <c r="K24" s="62"/>
      <c r="L24" s="62"/>
      <c r="M24" s="62"/>
      <c r="N24" s="62"/>
      <c r="O24" s="62"/>
      <c r="Q24" s="171" t="s">
        <v>332</v>
      </c>
      <c r="R24" s="164"/>
      <c r="S24" s="164"/>
    </row>
    <row r="25" spans="1:22" ht="16" customHeight="1" x14ac:dyDescent="0.4">
      <c r="A25" s="62"/>
      <c r="B25" s="62" t="s">
        <v>333</v>
      </c>
      <c r="C25" s="152" t="s">
        <v>334</v>
      </c>
      <c r="D25" s="62"/>
      <c r="E25" s="146">
        <f>'3 Statement Model'!J64</f>
        <v>83893.445178082213</v>
      </c>
      <c r="F25" s="146">
        <f>'3 Statement Model'!K64</f>
        <v>62936.711228493019</v>
      </c>
      <c r="G25" s="146">
        <f>'3 Statement Model'!L64</f>
        <v>59317.850332854956</v>
      </c>
      <c r="H25" s="146">
        <f>'3 Statement Model'!M64</f>
        <v>51560.900673942815</v>
      </c>
      <c r="I25" s="146">
        <f>'3 Statement Model'!N64</f>
        <v>39701.893518936238</v>
      </c>
      <c r="J25" s="62"/>
      <c r="K25" s="62"/>
      <c r="L25" s="62"/>
      <c r="M25" s="62"/>
      <c r="N25" s="62"/>
      <c r="O25" s="62"/>
      <c r="Q25" s="135" t="s">
        <v>335</v>
      </c>
      <c r="R25" s="141">
        <f>($I$21+$I$23)*$D$8</f>
        <v>47592128.659577101</v>
      </c>
      <c r="T25" s="153">
        <f>J27</f>
        <v>47592128.659577101</v>
      </c>
      <c r="U25" s="137" t="s">
        <v>336</v>
      </c>
    </row>
    <row r="26" spans="1:22" ht="16" customHeight="1" x14ac:dyDescent="0.4">
      <c r="A26" s="62"/>
      <c r="B26" s="62" t="s">
        <v>337</v>
      </c>
      <c r="C26" s="152" t="s">
        <v>338</v>
      </c>
      <c r="D26" s="62"/>
      <c r="E26" s="154">
        <f>E21-E22+E23-E24-E25</f>
        <v>855301.87608244864</v>
      </c>
      <c r="F26" s="154">
        <f>F21-F22+F23-F24-F25</f>
        <v>1038751.4255611919</v>
      </c>
      <c r="G26" s="154">
        <f>G21-G22+G23-G24-G25</f>
        <v>1199080.7699919962</v>
      </c>
      <c r="H26" s="154">
        <f>H21-H22+H23-H24-H25</f>
        <v>1345544.8298716133</v>
      </c>
      <c r="I26" s="154">
        <f>I21-I22+I23-I24-I25</f>
        <v>1474485.0420419113</v>
      </c>
      <c r="J26" s="62"/>
      <c r="K26" s="62"/>
      <c r="L26" s="62"/>
      <c r="M26" s="62"/>
      <c r="N26" s="62"/>
      <c r="O26" s="62"/>
      <c r="Q26" s="171" t="s">
        <v>339</v>
      </c>
      <c r="R26" s="164"/>
      <c r="S26" s="164"/>
    </row>
    <row r="27" spans="1:22" ht="16" customHeight="1" x14ac:dyDescent="0.4">
      <c r="A27" s="62"/>
      <c r="B27" s="62" t="s">
        <v>340</v>
      </c>
      <c r="C27" s="62"/>
      <c r="D27" s="155">
        <f>-I35</f>
        <v>-27873945.666049998</v>
      </c>
      <c r="E27" s="62"/>
      <c r="F27" s="62"/>
      <c r="G27" s="62"/>
      <c r="H27" s="62"/>
      <c r="I27" s="62"/>
      <c r="J27" s="146">
        <f>($I$21+$I$23)*$D$8</f>
        <v>47592128.659577101</v>
      </c>
      <c r="K27" s="62"/>
      <c r="L27" s="62"/>
      <c r="M27" s="62"/>
      <c r="N27" s="62"/>
      <c r="O27" s="62"/>
      <c r="Q27" s="135" t="s">
        <v>335</v>
      </c>
      <c r="R27" s="141">
        <f>IF(($D$6-$D$7)&lt;=0,"err",$I$26*(1+$D$7)/($D$6-$D$7))</f>
        <v>24342153.108731218</v>
      </c>
      <c r="T27" s="153">
        <f>M19</f>
        <v>24342153.108731218</v>
      </c>
      <c r="U27" s="137" t="s">
        <v>341</v>
      </c>
    </row>
    <row r="28" spans="1:22" ht="16" customHeight="1" x14ac:dyDescent="0.4">
      <c r="A28" s="62"/>
      <c r="B28" s="62" t="s">
        <v>342</v>
      </c>
      <c r="C28" s="62"/>
      <c r="D28" s="154">
        <v>0</v>
      </c>
      <c r="E28" s="156">
        <f t="shared" ref="E28:J28" si="0">E27+E26</f>
        <v>855301.87608244864</v>
      </c>
      <c r="F28" s="156">
        <f t="shared" si="0"/>
        <v>1038751.4255611919</v>
      </c>
      <c r="G28" s="156">
        <f t="shared" si="0"/>
        <v>1199080.7699919962</v>
      </c>
      <c r="H28" s="156">
        <f t="shared" si="0"/>
        <v>1345544.8298716133</v>
      </c>
      <c r="I28" s="156">
        <f t="shared" si="0"/>
        <v>1474485.0420419113</v>
      </c>
      <c r="J28" s="156">
        <f>J27+J26</f>
        <v>47592128.659577101</v>
      </c>
      <c r="K28" s="62"/>
      <c r="L28" s="62"/>
      <c r="M28" s="62"/>
      <c r="N28" s="62"/>
      <c r="O28" s="62"/>
      <c r="Q28" s="135" t="s">
        <v>317</v>
      </c>
      <c r="R28" s="157">
        <f>IF(($I$21+$I$23)=0,0,T27/($I$21+$I$23))</f>
        <v>12.786858769676389</v>
      </c>
      <c r="S28" s="135" t="s">
        <v>343</v>
      </c>
    </row>
    <row r="29" spans="1:22" ht="16" customHeight="1" x14ac:dyDescent="0.4">
      <c r="A29" s="62"/>
      <c r="B29" s="62" t="s">
        <v>342</v>
      </c>
      <c r="C29" s="62"/>
      <c r="D29" s="155">
        <f t="shared" ref="D29:I29" si="1">D27+D26</f>
        <v>-27873945.666049998</v>
      </c>
      <c r="E29" s="146">
        <f t="shared" si="1"/>
        <v>855301.87608244864</v>
      </c>
      <c r="F29" s="146">
        <f t="shared" si="1"/>
        <v>1038751.4255611919</v>
      </c>
      <c r="G29" s="146">
        <f t="shared" si="1"/>
        <v>1199080.7699919962</v>
      </c>
      <c r="H29" s="146">
        <f t="shared" si="1"/>
        <v>1345544.8298716133</v>
      </c>
      <c r="I29" s="146">
        <f t="shared" si="1"/>
        <v>1474485.0420419113</v>
      </c>
      <c r="J29" s="146">
        <f>J27</f>
        <v>47592128.659577101</v>
      </c>
      <c r="K29" s="62"/>
      <c r="L29" s="62"/>
      <c r="M29" s="62"/>
      <c r="N29" s="62"/>
      <c r="O29" s="62"/>
    </row>
    <row r="30" spans="1:22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  <c r="Q30" s="167" t="s">
        <v>344</v>
      </c>
      <c r="R30" s="164"/>
      <c r="S30" s="164"/>
      <c r="T30" s="164"/>
      <c r="U30" s="164"/>
      <c r="V30" s="164"/>
    </row>
    <row r="31" spans="1:22" ht="16" customHeight="1" x14ac:dyDescent="0.4">
      <c r="A31" s="62"/>
      <c r="B31" s="70" t="s">
        <v>345</v>
      </c>
      <c r="C31" s="71"/>
      <c r="D31" s="71"/>
      <c r="E31" s="62"/>
      <c r="G31" s="70" t="s">
        <v>346</v>
      </c>
      <c r="H31" s="71"/>
      <c r="I31" s="71"/>
      <c r="J31" s="62"/>
      <c r="L31" s="70" t="s">
        <v>347</v>
      </c>
      <c r="M31" s="71"/>
      <c r="N31" s="71"/>
      <c r="O31" s="62"/>
      <c r="Q31" s="171" t="s">
        <v>348</v>
      </c>
      <c r="R31" s="164"/>
      <c r="S31" s="164"/>
    </row>
    <row r="32" spans="1:22" ht="16" customHeight="1" x14ac:dyDescent="0.4">
      <c r="A32" s="62"/>
      <c r="B32" s="62" t="s">
        <v>349</v>
      </c>
      <c r="C32" s="62"/>
      <c r="D32" s="146">
        <f>XNPV(D6,D28:J28,D18:J18)</f>
        <v>36640556.063627541</v>
      </c>
      <c r="E32" s="62"/>
      <c r="G32" s="62" t="s">
        <v>350</v>
      </c>
      <c r="H32" s="62"/>
      <c r="I32" s="155">
        <f>D12*D11</f>
        <v>22596093.666049998</v>
      </c>
      <c r="J32" s="62"/>
      <c r="L32" s="62" t="s">
        <v>351</v>
      </c>
      <c r="M32" s="62"/>
      <c r="N32" s="78">
        <f>D37/I37-1</f>
        <v>0.38797017427614611</v>
      </c>
      <c r="O32" s="62"/>
      <c r="Q32" s="135" t="s">
        <v>335</v>
      </c>
      <c r="R32" s="141">
        <f>XNPV(D6,D28:J28,D18:J18)</f>
        <v>36640556.063627541</v>
      </c>
      <c r="T32" s="153">
        <f>D32</f>
        <v>36640556.063627541</v>
      </c>
    </row>
    <row r="33" spans="1:22" ht="16" customHeight="1" x14ac:dyDescent="0.4">
      <c r="A33" s="62"/>
      <c r="B33" s="62" t="s">
        <v>352</v>
      </c>
      <c r="C33" s="62"/>
      <c r="D33" s="155">
        <f>+D14</f>
        <v>304537</v>
      </c>
      <c r="E33" s="62"/>
      <c r="G33" s="62" t="s">
        <v>353</v>
      </c>
      <c r="H33" s="62"/>
      <c r="I33" s="155">
        <f>D13</f>
        <v>5582389</v>
      </c>
      <c r="J33" s="62"/>
      <c r="L33" s="62" t="s">
        <v>354</v>
      </c>
      <c r="M33" s="62"/>
      <c r="N33" s="78">
        <f>XIRR(D29:J29,D18:J18)</f>
        <v>0.16524685025215152</v>
      </c>
      <c r="O33" s="62"/>
      <c r="Q33" s="141" t="s">
        <v>355</v>
      </c>
      <c r="R33" s="153">
        <f>D35</f>
        <v>31362704.063627541</v>
      </c>
      <c r="S33" s="135" t="s">
        <v>356</v>
      </c>
      <c r="U33" s="137" t="s">
        <v>357</v>
      </c>
      <c r="V33" s="137" t="s">
        <v>358</v>
      </c>
    </row>
    <row r="34" spans="1:22" ht="16" customHeight="1" x14ac:dyDescent="0.4">
      <c r="A34" s="62"/>
      <c r="B34" s="62" t="s">
        <v>359</v>
      </c>
      <c r="C34" s="62"/>
      <c r="D34" s="155">
        <f>+D13</f>
        <v>5582389</v>
      </c>
      <c r="E34" s="62"/>
      <c r="G34" s="62" t="s">
        <v>360</v>
      </c>
      <c r="H34" s="62"/>
      <c r="I34" s="155">
        <f>+D14</f>
        <v>304537</v>
      </c>
      <c r="J34" s="62"/>
      <c r="L34" s="62"/>
      <c r="M34" s="62"/>
      <c r="N34" s="62"/>
      <c r="O34" s="62"/>
      <c r="Q34" s="141" t="s">
        <v>361</v>
      </c>
      <c r="R34" s="158">
        <f>D37</f>
        <v>1452.1360354329324</v>
      </c>
      <c r="S34" s="135" t="s">
        <v>362</v>
      </c>
      <c r="U34" s="137" t="s">
        <v>363</v>
      </c>
      <c r="V34" s="137" t="s">
        <v>364</v>
      </c>
    </row>
    <row r="35" spans="1:22" ht="16" customHeight="1" x14ac:dyDescent="0.4">
      <c r="A35" s="62"/>
      <c r="B35" s="62" t="s">
        <v>365</v>
      </c>
      <c r="C35" s="62"/>
      <c r="D35" s="154">
        <f>D32+D33-D34</f>
        <v>31362704.063627541</v>
      </c>
      <c r="E35" s="62"/>
      <c r="G35" s="62" t="s">
        <v>366</v>
      </c>
      <c r="H35" s="62"/>
      <c r="I35" s="154">
        <f>I32+I33-I34</f>
        <v>27873945.666049998</v>
      </c>
      <c r="J35" s="62"/>
      <c r="L35" s="70" t="s">
        <v>367</v>
      </c>
      <c r="M35" s="71"/>
      <c r="N35" s="71"/>
      <c r="O35" s="62"/>
      <c r="Q35" s="135" t="s">
        <v>368</v>
      </c>
      <c r="R35" s="159">
        <f>D37/D11-1</f>
        <v>0.38797017427614611</v>
      </c>
      <c r="S35" s="135" t="s">
        <v>369</v>
      </c>
    </row>
    <row r="36" spans="1:22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346</v>
      </c>
      <c r="M36" s="62"/>
      <c r="N36" s="79">
        <f>I37</f>
        <v>1046.23</v>
      </c>
      <c r="O36" s="62"/>
    </row>
    <row r="37" spans="1:22" ht="16" customHeight="1" x14ac:dyDescent="0.4">
      <c r="A37" s="62"/>
      <c r="B37" s="62" t="s">
        <v>370</v>
      </c>
      <c r="C37" s="62"/>
      <c r="D37" s="155">
        <f>D35/D12</f>
        <v>1452.1360354329324</v>
      </c>
      <c r="E37" s="62"/>
      <c r="G37" s="62" t="s">
        <v>370</v>
      </c>
      <c r="H37" s="62"/>
      <c r="I37" s="155">
        <f>D11</f>
        <v>1046.23</v>
      </c>
      <c r="J37" s="62"/>
      <c r="L37" s="62" t="s">
        <v>371</v>
      </c>
      <c r="M37" s="62"/>
      <c r="N37" s="79">
        <f>D37-I37</f>
        <v>405.90603543293241</v>
      </c>
      <c r="O37" s="62"/>
      <c r="Q37" s="167" t="s">
        <v>372</v>
      </c>
      <c r="R37" s="164"/>
      <c r="S37" s="164"/>
      <c r="T37" s="164"/>
      <c r="U37" s="164"/>
      <c r="V37" s="164"/>
    </row>
    <row r="38" spans="1:22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345</v>
      </c>
      <c r="M38" s="62"/>
      <c r="N38" s="79">
        <f>SUM(N36:N37)</f>
        <v>1452.1360354329324</v>
      </c>
      <c r="O38" s="62"/>
      <c r="Q38" s="171" t="s">
        <v>373</v>
      </c>
      <c r="R38" s="164"/>
      <c r="S38" s="164"/>
      <c r="T38" s="164"/>
      <c r="U38" s="137" t="s">
        <v>374</v>
      </c>
      <c r="V38" s="137" t="s">
        <v>375</v>
      </c>
    </row>
    <row r="39" spans="1:22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  <c r="Q39" s="141" t="s">
        <v>376</v>
      </c>
      <c r="S39" s="135" t="s">
        <v>377</v>
      </c>
      <c r="T39" s="153">
        <f>I25</f>
        <v>39701.893518936238</v>
      </c>
    </row>
    <row r="40" spans="1:22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22" ht="16" customHeight="1" x14ac:dyDescent="0.4">
      <c r="A41" s="62"/>
      <c r="B41" s="70" t="s">
        <v>378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  <c r="Q41" s="167" t="s">
        <v>379</v>
      </c>
      <c r="R41" s="164"/>
      <c r="S41" s="164"/>
      <c r="T41" s="164"/>
      <c r="U41" s="164"/>
      <c r="V41" s="164"/>
    </row>
    <row r="42" spans="1:22" ht="16" customHeight="1" x14ac:dyDescent="0.4">
      <c r="A42" s="62"/>
      <c r="B42" s="62" t="s">
        <v>380</v>
      </c>
      <c r="C42" s="62"/>
      <c r="D42" s="64"/>
      <c r="E42" s="62"/>
      <c r="F42" s="62"/>
      <c r="G42" s="62"/>
      <c r="H42" s="62"/>
      <c r="N42" s="81" t="s">
        <v>232</v>
      </c>
      <c r="O42" s="62"/>
      <c r="Q42" s="168" t="s">
        <v>381</v>
      </c>
      <c r="R42" s="169"/>
      <c r="S42" s="170"/>
      <c r="T42" s="166" t="s">
        <v>382</v>
      </c>
      <c r="U42" s="164"/>
      <c r="V42" s="164"/>
    </row>
    <row r="43" spans="1:22" ht="16" customHeight="1" x14ac:dyDescent="0.4">
      <c r="A43" s="62"/>
      <c r="B43" s="62" t="s">
        <v>383</v>
      </c>
      <c r="C43" s="62"/>
      <c r="D43" s="64"/>
      <c r="E43" s="62"/>
      <c r="F43" s="62"/>
      <c r="G43" s="62"/>
      <c r="H43" s="62"/>
      <c r="N43" s="36"/>
      <c r="O43" s="62"/>
      <c r="Q43" s="168" t="s">
        <v>384</v>
      </c>
      <c r="R43" s="169"/>
      <c r="S43" s="170"/>
      <c r="T43" s="166" t="s">
        <v>385</v>
      </c>
      <c r="U43" s="164"/>
      <c r="V43" s="164"/>
    </row>
    <row r="44" spans="1:22" ht="16" customHeight="1" x14ac:dyDescent="0.4">
      <c r="A44" s="62"/>
      <c r="B44" s="82" t="s">
        <v>386</v>
      </c>
      <c r="C44" s="62"/>
      <c r="D44" s="64"/>
      <c r="E44" s="62"/>
      <c r="F44" s="62"/>
      <c r="G44" s="62"/>
      <c r="H44" s="62"/>
      <c r="N44" s="36"/>
      <c r="O44" s="62"/>
      <c r="Q44" s="168" t="s">
        <v>387</v>
      </c>
      <c r="R44" s="169"/>
      <c r="S44" s="170"/>
      <c r="T44" s="166" t="s">
        <v>388</v>
      </c>
      <c r="U44" s="164"/>
      <c r="V44" s="164"/>
    </row>
    <row r="45" spans="1:22" ht="16" customHeight="1" x14ac:dyDescent="0.4">
      <c r="A45" s="62"/>
      <c r="B45" s="82" t="s">
        <v>389</v>
      </c>
      <c r="C45" s="62"/>
      <c r="D45" s="64"/>
      <c r="E45" s="62"/>
      <c r="F45" s="62"/>
      <c r="G45" s="62"/>
      <c r="H45" s="62"/>
      <c r="N45" s="36"/>
      <c r="O45" s="62"/>
      <c r="Q45" s="168" t="s">
        <v>390</v>
      </c>
      <c r="R45" s="169"/>
      <c r="S45" s="170"/>
      <c r="T45" s="166" t="s">
        <v>391</v>
      </c>
      <c r="U45" s="164"/>
      <c r="V45" s="164"/>
    </row>
    <row r="46" spans="1:22" ht="16" customHeight="1" x14ac:dyDescent="0.4">
      <c r="A46" s="62"/>
      <c r="B46" s="82" t="s">
        <v>392</v>
      </c>
      <c r="C46" s="62"/>
      <c r="D46" s="64"/>
      <c r="E46" s="62"/>
      <c r="F46" s="62"/>
      <c r="G46" s="62"/>
      <c r="H46" s="62"/>
      <c r="N46" s="36"/>
      <c r="O46" s="62"/>
      <c r="Q46" s="168" t="s">
        <v>393</v>
      </c>
      <c r="R46" s="169"/>
      <c r="S46" s="170"/>
      <c r="T46" s="166" t="s">
        <v>394</v>
      </c>
      <c r="U46" s="164"/>
      <c r="V46" s="164"/>
    </row>
    <row r="47" spans="1:22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  <c r="Q47" s="168" t="s">
        <v>31</v>
      </c>
      <c r="R47" s="169"/>
      <c r="S47" s="170"/>
      <c r="T47" s="166" t="s">
        <v>395</v>
      </c>
      <c r="U47" s="164"/>
      <c r="V47" s="164"/>
    </row>
    <row r="48" spans="1:22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233</v>
      </c>
      <c r="O48" s="62"/>
      <c r="Q48" s="168" t="s">
        <v>35</v>
      </c>
      <c r="R48" s="169"/>
      <c r="S48" s="170"/>
      <c r="T48" s="166" t="s">
        <v>396</v>
      </c>
      <c r="U48" s="164"/>
      <c r="V48" s="164"/>
    </row>
    <row r="49" spans="1:22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  <c r="Q49" s="168" t="s">
        <v>397</v>
      </c>
      <c r="R49" s="169"/>
      <c r="S49" s="170"/>
      <c r="T49" s="166" t="s">
        <v>398</v>
      </c>
      <c r="U49" s="164"/>
      <c r="V49" s="164"/>
    </row>
    <row r="50" spans="1:22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  <c r="Q50" s="168" t="s">
        <v>399</v>
      </c>
      <c r="R50" s="169"/>
      <c r="S50" s="170"/>
      <c r="T50" s="166" t="s">
        <v>400</v>
      </c>
      <c r="U50" s="164"/>
      <c r="V50" s="164"/>
    </row>
    <row r="51" spans="1:22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  <c r="Q51" s="168" t="s">
        <v>401</v>
      </c>
      <c r="R51" s="169"/>
      <c r="S51" s="170"/>
      <c r="T51" s="166" t="s">
        <v>402</v>
      </c>
      <c r="U51" s="164"/>
      <c r="V51" s="164"/>
    </row>
    <row r="52" spans="1:22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22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22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22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22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22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22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22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22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22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mergeCells count="34">
    <mergeCell ref="Q2:V2"/>
    <mergeCell ref="T46:V46"/>
    <mergeCell ref="Q45:S45"/>
    <mergeCell ref="Q41:V41"/>
    <mergeCell ref="T48:V48"/>
    <mergeCell ref="Q47:S47"/>
    <mergeCell ref="Q38:T38"/>
    <mergeCell ref="Q43:S43"/>
    <mergeCell ref="Q3:V3"/>
    <mergeCell ref="R19:T19"/>
    <mergeCell ref="Q37:V37"/>
    <mergeCell ref="Q24:S24"/>
    <mergeCell ref="Q42:S42"/>
    <mergeCell ref="T45:V45"/>
    <mergeCell ref="Q18:S18"/>
    <mergeCell ref="T42:V42"/>
    <mergeCell ref="T51:V51"/>
    <mergeCell ref="Q44:S44"/>
    <mergeCell ref="Q49:S49"/>
    <mergeCell ref="Q46:S46"/>
    <mergeCell ref="Q30:V30"/>
    <mergeCell ref="T43:V43"/>
    <mergeCell ref="Q48:S48"/>
    <mergeCell ref="T49:V49"/>
    <mergeCell ref="T47:V47"/>
    <mergeCell ref="Q51:S51"/>
    <mergeCell ref="T50:V50"/>
    <mergeCell ref="T44:V44"/>
    <mergeCell ref="Q5:V5"/>
    <mergeCell ref="Q23:V23"/>
    <mergeCell ref="Q50:S50"/>
    <mergeCell ref="Q26:S26"/>
    <mergeCell ref="Q31:S31"/>
    <mergeCell ref="Q17:V17"/>
  </mergeCells>
  <hyperlinks>
    <hyperlink ref="E5" r:id="rId1" xr:uid="{00000000-0004-0000-0200-000000000000}"/>
    <hyperlink ref="E6" r:id="rId2" xr:uid="{00000000-0004-0000-0200-000001000000}"/>
    <hyperlink ref="F6" r:id="rId3" xr:uid="{00000000-0004-0000-0200-000002000000}"/>
    <hyperlink ref="G6" r:id="rId4" xr:uid="{00000000-0004-0000-0200-000003000000}"/>
    <hyperlink ref="U6" r:id="rId5" xr:uid="{00000000-0004-0000-0200-000004000000}"/>
    <hyperlink ref="V6" r:id="rId6" xr:uid="{00000000-0004-0000-0200-000005000000}"/>
    <hyperlink ref="U7" r:id="rId7" xr:uid="{00000000-0004-0000-0200-000006000000}"/>
    <hyperlink ref="V7" r:id="rId8" xr:uid="{00000000-0004-0000-0200-000007000000}"/>
    <hyperlink ref="E8" r:id="rId9" xr:uid="{00000000-0004-0000-0200-000008000000}"/>
    <hyperlink ref="U8" r:id="rId10" xr:uid="{00000000-0004-0000-0200-000009000000}"/>
    <hyperlink ref="V8" r:id="rId11" xr:uid="{00000000-0004-0000-0200-00000A000000}"/>
    <hyperlink ref="U10" r:id="rId12" xr:uid="{00000000-0004-0000-0200-00000B000000}"/>
    <hyperlink ref="V10" r:id="rId13" xr:uid="{00000000-0004-0000-0200-00000C000000}"/>
    <hyperlink ref="U11" r:id="rId14" xr:uid="{00000000-0004-0000-0200-00000D000000}"/>
    <hyperlink ref="V11" r:id="rId15" xr:uid="{00000000-0004-0000-0200-00000E000000}"/>
    <hyperlink ref="U13" r:id="rId16" xr:uid="{00000000-0004-0000-0200-00000F000000}"/>
    <hyperlink ref="V13" r:id="rId17" xr:uid="{00000000-0004-0000-0200-000010000000}"/>
    <hyperlink ref="U14" r:id="rId18" xr:uid="{00000000-0004-0000-0200-000011000000}"/>
    <hyperlink ref="V14" r:id="rId19" xr:uid="{00000000-0004-0000-0200-000012000000}"/>
    <hyperlink ref="U15" r:id="rId20" xr:uid="{00000000-0004-0000-0200-000013000000}"/>
    <hyperlink ref="V15" r:id="rId21" xr:uid="{00000000-0004-0000-0200-000014000000}"/>
    <hyperlink ref="U18" r:id="rId22" xr:uid="{00000000-0004-0000-0200-000015000000}"/>
    <hyperlink ref="V18" r:id="rId23" xr:uid="{00000000-0004-0000-0200-000016000000}"/>
    <hyperlink ref="U20" r:id="rId24" xr:uid="{00000000-0004-0000-0200-000017000000}"/>
    <hyperlink ref="U25" r:id="rId25" xr:uid="{00000000-0004-0000-0200-000018000000}"/>
    <hyperlink ref="U27" r:id="rId26" xr:uid="{00000000-0004-0000-0200-000019000000}"/>
    <hyperlink ref="U33" r:id="rId27" xr:uid="{00000000-0004-0000-0200-00001A000000}"/>
    <hyperlink ref="V33" r:id="rId28" xr:uid="{00000000-0004-0000-0200-00001B000000}"/>
    <hyperlink ref="U34" r:id="rId29" xr:uid="{00000000-0004-0000-0200-00001C000000}"/>
    <hyperlink ref="V34" r:id="rId30" xr:uid="{00000000-0004-0000-0200-00001D000000}"/>
    <hyperlink ref="U38" r:id="rId31" xr:uid="{00000000-0004-0000-0200-00001E000000}"/>
    <hyperlink ref="V38" r:id="rId32" xr:uid="{00000000-0004-0000-0200-00001F000000}"/>
    <hyperlink ref="Q42" r:id="rId33" xr:uid="{00000000-0004-0000-0200-000020000000}"/>
    <hyperlink ref="Q43" r:id="rId34" xr:uid="{00000000-0004-0000-0200-000021000000}"/>
    <hyperlink ref="Q44" r:id="rId35" xr:uid="{00000000-0004-0000-0200-000022000000}"/>
    <hyperlink ref="Q45" r:id="rId36" xr:uid="{00000000-0004-0000-0200-000023000000}"/>
    <hyperlink ref="Q46" r:id="rId37" xr:uid="{00000000-0004-0000-0200-000024000000}"/>
    <hyperlink ref="Q47" r:id="rId38" xr:uid="{00000000-0004-0000-0200-000025000000}"/>
    <hyperlink ref="Q48" r:id="rId39" xr:uid="{00000000-0004-0000-0200-000026000000}"/>
    <hyperlink ref="Q49" r:id="rId40" xr:uid="{00000000-0004-0000-0200-000027000000}"/>
    <hyperlink ref="Q50" r:id="rId41" xr:uid="{00000000-0004-0000-0200-000028000000}"/>
    <hyperlink ref="Q51" r:id="rId42" xr:uid="{00000000-0004-0000-0200-000029000000}"/>
  </hyperlinks>
  <pageMargins left="0.75" right="0.75" top="1" bottom="1" header="0.5" footer="0.5"/>
  <legacy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2026-08-05T15:58:21Z</dcterms:modified>
</cp:coreProperties>
</file>