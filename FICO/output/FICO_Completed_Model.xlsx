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1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6EAF8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91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166" fontId="40" fillId="8" borderId="0" pivotButton="0" quotePrefix="0" xfId="2"/>
    <xf numFmtId="177" fontId="9" fillId="0" borderId="0" pivotButton="0" quotePrefix="0" xfId="1"/>
    <xf numFmtId="177" fontId="40" fillId="8" borderId="0" pivotButton="0" quotePrefix="0" xfId="1"/>
    <xf numFmtId="166" fontId="40" fillId="8" borderId="0" pivotButton="0" quotePrefix="0" xfId="1"/>
    <xf numFmtId="177" fontId="4" fillId="0" borderId="0" pivotButton="0" quotePrefix="0" xfId="1"/>
    <xf numFmtId="177" fontId="2" fillId="0" borderId="0" pivotButton="0" quotePrefix="0" xfId="1"/>
    <xf numFmtId="177" fontId="6" fillId="0" borderId="2" pivotButton="0" quotePrefix="0" xfId="1"/>
    <xf numFmtId="177" fontId="40" fillId="8" borderId="1" pivotButton="0" quotePrefix="0" xfId="1"/>
    <xf numFmtId="177" fontId="9" fillId="0" borderId="1" pivotButton="0" quotePrefix="0" xfId="1"/>
    <xf numFmtId="177" fontId="6" fillId="0" borderId="0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1" fillId="9" borderId="0" pivotButton="0" quotePrefix="0" xfId="0"/>
    <xf numFmtId="0" fontId="42" fillId="0" borderId="0" pivotButton="0" quotePrefix="0" xfId="0"/>
    <xf numFmtId="0" fontId="39" fillId="10" borderId="5" pivotButton="0" quotePrefix="0" xfId="0"/>
    <xf numFmtId="166" fontId="40" fillId="8" borderId="0" applyAlignment="1" pivotButton="0" quotePrefix="0" xfId="0">
      <alignment horizontal="right"/>
    </xf>
    <xf numFmtId="164" fontId="43" fillId="0" borderId="5" applyAlignment="1" pivotButton="0" quotePrefix="0" xfId="0">
      <alignment vertical="center" wrapText="1"/>
    </xf>
    <xf numFmtId="0" fontId="39" fillId="10" borderId="0" pivotButton="0" quotePrefix="0" xfId="0"/>
    <xf numFmtId="164" fontId="46" fillId="0" borderId="0" pivotButton="0" quotePrefix="0" xfId="0"/>
    <xf numFmtId="164" fontId="45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43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44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47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vengeanceaiUSCMODEL3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vengeanceaiUSCMODEL3: Ke=Rf+β·ERP=4.63%+1.32×4.28%=10.28%; WACC=80%×Ke+20%×Rd(1−t)=9.24%; FCFF=EBIT(1−t)+DA−CapEx−ΔNWC; NWC=AR−AP−Deferred; TV=EBITDA×25x (Gordon cross-check); mid-year XNPV. Open in Excel to recalculate. Live equations on DCF sheet columns Q–T (Ke/WACC/FCFF/TV).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0.16</v>
      </c>
      <c r="L7" s="137" t="n">
        <v>0.13</v>
      </c>
      <c r="M7" s="137" t="n">
        <v>0.1</v>
      </c>
      <c r="N7" s="137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9" t="n">
        <v>625032.6</v>
      </c>
      <c r="K9" s="139" t="n">
        <v>710373.1</v>
      </c>
      <c r="L9" s="139" t="n">
        <v>786150.4</v>
      </c>
      <c r="M9" s="139" t="n">
        <v>846537.2</v>
      </c>
      <c r="N9" s="139" t="n">
        <v>886290.5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9" t="n">
        <v>239200.7</v>
      </c>
      <c r="K10" s="139" t="n">
        <v>277472.8</v>
      </c>
      <c r="L10" s="139" t="n">
        <v>313544.3</v>
      </c>
      <c r="M10" s="139" t="n">
        <v>344898.7</v>
      </c>
      <c r="N10" s="139" t="n">
        <v>369041.6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9" t="n">
        <v>63</v>
      </c>
      <c r="K15" s="139" t="n">
        <v>63</v>
      </c>
      <c r="L15" s="139" t="n">
        <v>63</v>
      </c>
      <c r="M15" s="139" t="n">
        <v>63</v>
      </c>
      <c r="N15" s="139" t="n">
        <v>63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9" t="n">
        <v>0</v>
      </c>
      <c r="K16" s="139" t="n">
        <v>0</v>
      </c>
      <c r="L16" s="139" t="n">
        <v>0</v>
      </c>
      <c r="M16" s="139" t="n">
        <v>0</v>
      </c>
      <c r="N16" s="139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9" t="n">
        <v>33</v>
      </c>
      <c r="K17" s="139" t="n">
        <v>33</v>
      </c>
      <c r="L17" s="139" t="n">
        <v>33</v>
      </c>
      <c r="M17" s="139" t="n">
        <v>33</v>
      </c>
      <c r="N17" s="139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9" t="n">
        <v>46333</v>
      </c>
      <c r="K18" s="139" t="n">
        <v>48000.6</v>
      </c>
      <c r="L18" s="139" t="n">
        <v>47748.1</v>
      </c>
      <c r="M18" s="139" t="n">
        <v>47167.5</v>
      </c>
      <c r="N18" s="139" t="n">
        <v>39008.5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40" t="n">
        <v>0</v>
      </c>
      <c r="K19" s="140" t="n">
        <v>0</v>
      </c>
      <c r="L19" s="140" t="n">
        <v>0</v>
      </c>
      <c r="M19" s="140" t="n">
        <v>0</v>
      </c>
      <c r="N19" s="140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40" t="n">
        <v>0</v>
      </c>
      <c r="K20" s="140" t="n">
        <v>0</v>
      </c>
      <c r="L20" s="140" t="n">
        <v>0</v>
      </c>
      <c r="M20" s="140" t="n">
        <v>0</v>
      </c>
      <c r="N20" s="140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9" t="n">
        <v>1316536</v>
      </c>
      <c r="F24" s="139" t="n">
        <v>1377270</v>
      </c>
      <c r="G24" s="139" t="n">
        <v>1513557</v>
      </c>
      <c r="H24" s="139" t="n">
        <v>1717526</v>
      </c>
      <c r="I24" s="139" t="n">
        <v>1990869</v>
      </c>
      <c r="J24" s="141">
        <f>I24*(1+J7)</f>
        <v/>
      </c>
      <c r="K24" s="141">
        <f>J24*(1+K7)</f>
        <v/>
      </c>
      <c r="L24" s="141">
        <f>K24*(1+L7)</f>
        <v/>
      </c>
      <c r="M24" s="141">
        <f>L24*(1+M7)</f>
        <v/>
      </c>
      <c r="N24" s="141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9" t="n">
        <v>332462</v>
      </c>
      <c r="F25" s="139" t="n">
        <v>302174</v>
      </c>
      <c r="G25" s="139" t="n">
        <v>311053</v>
      </c>
      <c r="H25" s="139" t="n">
        <v>348206</v>
      </c>
      <c r="I25" s="139" t="n">
        <v>353722</v>
      </c>
      <c r="J25" s="142">
        <f>J24*J8</f>
        <v/>
      </c>
      <c r="K25" s="142">
        <f>K24*K8</f>
        <v/>
      </c>
      <c r="L25" s="142">
        <f>L24*L8</f>
        <v/>
      </c>
      <c r="M25" s="142">
        <f>M24*M8</f>
        <v/>
      </c>
      <c r="N25" s="142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3">
        <f>E24-E25</f>
        <v/>
      </c>
      <c r="F26" s="143">
        <f>F24-F25</f>
        <v/>
      </c>
      <c r="G26" s="143">
        <f>G24-G25</f>
        <v/>
      </c>
      <c r="H26" s="143">
        <f>H24-H25</f>
        <v/>
      </c>
      <c r="I26" s="143">
        <f>I24-I25</f>
        <v/>
      </c>
      <c r="J26" s="143">
        <f>J24-J25</f>
        <v/>
      </c>
      <c r="K26" s="143">
        <f>K24-K25</f>
        <v/>
      </c>
      <c r="L26" s="143">
        <f>L24-L25</f>
        <v/>
      </c>
      <c r="M26" s="143">
        <f>M24-M25</f>
        <v/>
      </c>
      <c r="N26" s="14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9" t="n">
        <v>396281</v>
      </c>
      <c r="F28" s="139" t="n">
        <v>383863</v>
      </c>
      <c r="G28" s="139" t="n">
        <v>400565</v>
      </c>
      <c r="H28" s="139" t="n">
        <v>462834</v>
      </c>
      <c r="I28" s="139" t="n">
        <v>513028</v>
      </c>
      <c r="J28" s="142">
        <f>J9</f>
        <v/>
      </c>
      <c r="K28" s="142">
        <f>K9</f>
        <v/>
      </c>
      <c r="L28" s="142">
        <f>L9</f>
        <v/>
      </c>
      <c r="M28" s="142">
        <f>M9</f>
        <v/>
      </c>
      <c r="N28" s="142">
        <f>N9</f>
        <v/>
      </c>
    </row>
    <row r="29" hidden="1" outlineLevel="1">
      <c r="B29" s="19" t="inlineStr">
        <is>
          <t>Rent and Overhead</t>
        </is>
      </c>
      <c r="E29" s="139" t="n">
        <v>171231</v>
      </c>
      <c r="F29" s="139" t="n">
        <v>146758</v>
      </c>
      <c r="G29" s="139" t="n">
        <v>159950</v>
      </c>
      <c r="H29" s="139" t="n">
        <v>171940</v>
      </c>
      <c r="I29" s="139" t="n">
        <v>188347</v>
      </c>
      <c r="J29" s="142">
        <f>J10</f>
        <v/>
      </c>
      <c r="K29" s="142">
        <f>K10</f>
        <v/>
      </c>
      <c r="L29" s="142">
        <f>L10</f>
        <v/>
      </c>
      <c r="M29" s="142">
        <f>M10</f>
        <v/>
      </c>
      <c r="N29" s="142">
        <f>N10</f>
        <v/>
      </c>
    </row>
    <row r="30" hidden="1" outlineLevel="1">
      <c r="B30" s="19" t="inlineStr">
        <is>
          <t>Depreciation &amp; Amortization</t>
        </is>
      </c>
      <c r="E30" s="139" t="n">
        <v>25592</v>
      </c>
      <c r="F30" s="139" t="n">
        <v>20465</v>
      </c>
      <c r="G30" s="139" t="n">
        <v>14638</v>
      </c>
      <c r="H30" s="139" t="n">
        <v>13827</v>
      </c>
      <c r="I30" s="139" t="n">
        <v>14952</v>
      </c>
      <c r="J30" s="142">
        <f>J94</f>
        <v/>
      </c>
      <c r="K30" s="142">
        <f>K94</f>
        <v/>
      </c>
      <c r="L30" s="142">
        <f>L94</f>
        <v/>
      </c>
      <c r="M30" s="142">
        <f>M94</f>
        <v/>
      </c>
      <c r="N30" s="142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4" t="n">
        <v>40092</v>
      </c>
      <c r="F31" s="144" t="n">
        <v>68967</v>
      </c>
      <c r="G31" s="144" t="n">
        <v>95546</v>
      </c>
      <c r="H31" s="144" t="n">
        <v>105638</v>
      </c>
      <c r="I31" s="144" t="n">
        <v>133647</v>
      </c>
      <c r="J31" s="145">
        <f>J101</f>
        <v/>
      </c>
      <c r="K31" s="145">
        <f>K101</f>
        <v/>
      </c>
      <c r="L31" s="145">
        <f>L101</f>
        <v/>
      </c>
      <c r="M31" s="145">
        <f>M101</f>
        <v/>
      </c>
      <c r="N31" s="145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6">
        <f>SUM(E28:E31)</f>
        <v/>
      </c>
      <c r="F32" s="146">
        <f>SUM(F28:F31)</f>
        <v/>
      </c>
      <c r="G32" s="146">
        <f>SUM(G28:G31)</f>
        <v/>
      </c>
      <c r="H32" s="146">
        <f>SUM(H28:H31)</f>
        <v/>
      </c>
      <c r="I32" s="146">
        <f>SUM(I28:I31)</f>
        <v/>
      </c>
      <c r="J32" s="146">
        <f>SUM(J28:J31)</f>
        <v/>
      </c>
      <c r="K32" s="146">
        <f>SUM(K28:K31)</f>
        <v/>
      </c>
      <c r="L32" s="146">
        <f>SUM(L28:L31)</f>
        <v/>
      </c>
      <c r="M32" s="146">
        <f>SUM(M28:M31)</f>
        <v/>
      </c>
      <c r="N32" s="146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3">
        <f>E26-E32</f>
        <v/>
      </c>
      <c r="F33" s="143">
        <f>F26-F32</f>
        <v/>
      </c>
      <c r="G33" s="143">
        <f>G26-G32</f>
        <v/>
      </c>
      <c r="H33" s="143">
        <f>H26-H32</f>
        <v/>
      </c>
      <c r="I33" s="143">
        <f>I26-I32</f>
        <v/>
      </c>
      <c r="J33" s="143">
        <f>J26-J32</f>
        <v/>
      </c>
      <c r="K33" s="143">
        <f>K26-K32</f>
        <v/>
      </c>
      <c r="L33" s="143">
        <f>L26-L32</f>
        <v/>
      </c>
      <c r="M33" s="143">
        <f>M26-M32</f>
        <v/>
      </c>
      <c r="N33" s="14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9" t="n">
        <v>81058</v>
      </c>
      <c r="F35" s="139" t="n">
        <v>97768</v>
      </c>
      <c r="G35" s="139" t="n">
        <v>124249</v>
      </c>
      <c r="H35" s="139" t="n">
        <v>129214</v>
      </c>
      <c r="I35" s="139" t="n">
        <v>150649</v>
      </c>
      <c r="J35" s="142">
        <f>J33*J13</f>
        <v/>
      </c>
      <c r="K35" s="142">
        <f>K33*K13</f>
        <v/>
      </c>
      <c r="L35" s="142">
        <f>L33*L13</f>
        <v/>
      </c>
      <c r="M35" s="142">
        <f>M33*M13</f>
        <v/>
      </c>
      <c r="N35" s="142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7">
        <f>E33-E35</f>
        <v/>
      </c>
      <c r="F36" s="147">
        <f>F33-F35</f>
        <v/>
      </c>
      <c r="G36" s="147">
        <f>G33-G35</f>
        <v/>
      </c>
      <c r="H36" s="147">
        <f>H33-H35</f>
        <v/>
      </c>
      <c r="I36" s="147">
        <f>I33-I35</f>
        <v/>
      </c>
      <c r="J36" s="147">
        <f>J33-J35</f>
        <v/>
      </c>
      <c r="K36" s="147">
        <f>K33-K35</f>
        <v/>
      </c>
      <c r="L36" s="147">
        <f>L33-L35</f>
        <v/>
      </c>
      <c r="M36" s="147">
        <f>M33-M35</f>
        <v/>
      </c>
      <c r="N36" s="147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9" t="n">
        <v>195354</v>
      </c>
      <c r="F41" s="139" t="n">
        <v>133202</v>
      </c>
      <c r="G41" s="139" t="n">
        <v>136778</v>
      </c>
      <c r="H41" s="139" t="n">
        <v>150667</v>
      </c>
      <c r="I41" s="139" t="n">
        <v>134136</v>
      </c>
      <c r="J41" s="142">
        <f>J78</f>
        <v/>
      </c>
      <c r="K41" s="142">
        <f>K78</f>
        <v/>
      </c>
      <c r="L41" s="142">
        <f>L78</f>
        <v/>
      </c>
      <c r="M41" s="142">
        <f>M78</f>
        <v/>
      </c>
      <c r="N41" s="142">
        <f>N78</f>
        <v/>
      </c>
    </row>
    <row r="42" hidden="1" outlineLevel="1">
      <c r="B42" s="19" t="inlineStr">
        <is>
          <t>Accounts Receivable</t>
        </is>
      </c>
      <c r="E42" s="139" t="n">
        <v>206690</v>
      </c>
      <c r="F42" s="139" t="n">
        <v>202365</v>
      </c>
      <c r="G42" s="139" t="n">
        <v>251217</v>
      </c>
      <c r="H42" s="139" t="n">
        <v>269745</v>
      </c>
      <c r="I42" s="139" t="n">
        <v>341776</v>
      </c>
      <c r="J42" s="142">
        <f>J24*J15/365</f>
        <v/>
      </c>
      <c r="K42" s="142">
        <f>K24*K15/365</f>
        <v/>
      </c>
      <c r="L42" s="142">
        <f>L24*L15/365</f>
        <v/>
      </c>
      <c r="M42" s="142">
        <f>M24*M15/365</f>
        <v/>
      </c>
      <c r="N42" s="142">
        <f>N24*N15/365</f>
        <v/>
      </c>
    </row>
    <row r="43" hidden="1" outlineLevel="1">
      <c r="B43" s="19" t="inlineStr">
        <is>
          <t>Inventory</t>
        </is>
      </c>
      <c r="E43" s="139" t="n">
        <v>0</v>
      </c>
      <c r="F43" s="139" t="n">
        <v>0</v>
      </c>
      <c r="G43" s="139" t="n">
        <v>0</v>
      </c>
      <c r="H43" s="139" t="n">
        <v>0</v>
      </c>
      <c r="I43" s="139" t="n">
        <v>0</v>
      </c>
      <c r="J43" s="142">
        <f>J25*J16/365</f>
        <v/>
      </c>
      <c r="K43" s="142">
        <f>K25*K16/365</f>
        <v/>
      </c>
      <c r="L43" s="142">
        <f>L25*L16/365</f>
        <v/>
      </c>
      <c r="M43" s="142">
        <f>M25*M16/365</f>
        <v/>
      </c>
      <c r="N43" s="142">
        <f>N25*N16/365</f>
        <v/>
      </c>
    </row>
    <row r="44" hidden="1" outlineLevel="1">
      <c r="B44" s="19" t="inlineStr">
        <is>
          <t>Property &amp; Equipment</t>
        </is>
      </c>
      <c r="E44" s="139" t="n">
        <v>27913</v>
      </c>
      <c r="F44" s="139" t="n">
        <v>17580</v>
      </c>
      <c r="G44" s="139" t="n">
        <v>10966</v>
      </c>
      <c r="H44" s="139" t="n">
        <v>38465</v>
      </c>
      <c r="I44" s="139" t="n">
        <v>67713</v>
      </c>
      <c r="J44" s="142">
        <f>J95</f>
        <v/>
      </c>
      <c r="K44" s="142">
        <f>K95</f>
        <v/>
      </c>
      <c r="L44" s="142">
        <f>L95</f>
        <v/>
      </c>
      <c r="M44" s="142">
        <f>M95</f>
        <v/>
      </c>
      <c r="N44" s="14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7">
        <f>SUM(E41:E44)</f>
        <v/>
      </c>
      <c r="F45" s="147">
        <f>SUM(F41:F44)</f>
        <v/>
      </c>
      <c r="G45" s="147">
        <f>SUM(G41:G44)</f>
        <v/>
      </c>
      <c r="H45" s="147">
        <f>SUM(H41:H44)</f>
        <v/>
      </c>
      <c r="I45" s="147">
        <f>SUM(I41:I44)</f>
        <v/>
      </c>
      <c r="J45" s="147">
        <f>SUM(J41:J44)</f>
        <v/>
      </c>
      <c r="K45" s="147">
        <f>SUM(K41:K44)</f>
        <v/>
      </c>
      <c r="L45" s="147">
        <f>SUM(L41:L44)</f>
        <v/>
      </c>
      <c r="M45" s="147">
        <f>SUM(M41:M44)</f>
        <v/>
      </c>
      <c r="N45" s="14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9" t="n">
        <v>20749</v>
      </c>
      <c r="F48" s="139" t="n">
        <v>17273</v>
      </c>
      <c r="G48" s="139" t="n">
        <v>19009</v>
      </c>
      <c r="H48" s="139" t="n">
        <v>22473</v>
      </c>
      <c r="I48" s="139" t="n">
        <v>32315</v>
      </c>
      <c r="J48" s="142">
        <f>J25*J17/365</f>
        <v/>
      </c>
      <c r="K48" s="142">
        <f>K25*K17/365</f>
        <v/>
      </c>
      <c r="L48" s="142">
        <f>L25*L17/365</f>
        <v/>
      </c>
      <c r="M48" s="142">
        <f>M25*M17/365</f>
        <v/>
      </c>
      <c r="N48" s="142">
        <f>N25*N17/365</f>
        <v/>
      </c>
    </row>
    <row r="49" hidden="1" outlineLevel="1">
      <c r="B49" s="19" t="inlineStr">
        <is>
          <t>Debt</t>
        </is>
      </c>
      <c r="E49" s="139" t="n">
        <v>1259018</v>
      </c>
      <c r="F49" s="139" t="n">
        <v>1853669</v>
      </c>
      <c r="G49" s="139" t="n">
        <v>1861658</v>
      </c>
      <c r="H49" s="139" t="n">
        <v>2209021</v>
      </c>
      <c r="I49" s="139" t="n">
        <v>3055691</v>
      </c>
      <c r="J49" s="142">
        <f>J100</f>
        <v/>
      </c>
      <c r="K49" s="142">
        <f>K100</f>
        <v/>
      </c>
      <c r="L49" s="142">
        <f>L100</f>
        <v/>
      </c>
      <c r="M49" s="142">
        <f>M100</f>
        <v/>
      </c>
      <c r="N49" s="142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3">
        <f>SUM(E48:E49)</f>
        <v/>
      </c>
      <c r="F50" s="143">
        <f>SUM(F48:F49)</f>
        <v/>
      </c>
      <c r="G50" s="143">
        <f>SUM(G48:G49)</f>
        <v/>
      </c>
      <c r="H50" s="143">
        <f>SUM(H48:H49)</f>
        <v/>
      </c>
      <c r="I50" s="143">
        <f>SUM(I48:I49)</f>
        <v/>
      </c>
      <c r="J50" s="143">
        <f>SUM(J48:J49)</f>
        <v/>
      </c>
      <c r="K50" s="143">
        <f>SUM(K48:K49)</f>
        <v/>
      </c>
      <c r="L50" s="143">
        <f>SUM(L48:L49)</f>
        <v/>
      </c>
      <c r="M50" s="143">
        <f>SUM(M48:M49)</f>
        <v/>
      </c>
      <c r="N50" s="143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9" t="n">
        <v>-849810</v>
      </c>
      <c r="F52" s="139" t="n">
        <v>-1517795</v>
      </c>
      <c r="G52" s="139" t="n">
        <v>-1481706</v>
      </c>
      <c r="H52" s="139" t="n">
        <v>-1772617</v>
      </c>
      <c r="I52" s="139" t="n">
        <v>-2544381</v>
      </c>
      <c r="J52" s="142">
        <f>I52+J20</f>
        <v/>
      </c>
      <c r="K52" s="142">
        <f>J52+K20</f>
        <v/>
      </c>
      <c r="L52" s="142">
        <f>K52+L20</f>
        <v/>
      </c>
      <c r="M52" s="142">
        <f>L52+M20</f>
        <v/>
      </c>
      <c r="N52" s="142">
        <f>M52+N20</f>
        <v/>
      </c>
    </row>
    <row r="53" hidden="1" outlineLevel="1">
      <c r="B53" s="19" t="inlineStr">
        <is>
          <t>Retained Earnings</t>
        </is>
      </c>
      <c r="E53" s="139" t="n">
        <v>0</v>
      </c>
      <c r="F53" s="139" t="n">
        <v>0</v>
      </c>
      <c r="G53" s="139" t="n">
        <v>0</v>
      </c>
      <c r="H53" s="139" t="n">
        <v>0</v>
      </c>
      <c r="I53" s="139" t="n">
        <v>0</v>
      </c>
      <c r="J53" s="142">
        <f>I53+J36</f>
        <v/>
      </c>
      <c r="K53" s="142">
        <f>J53+K36</f>
        <v/>
      </c>
      <c r="L53" s="142">
        <f>K53+L36</f>
        <v/>
      </c>
      <c r="M53" s="142">
        <f>L53+M36</f>
        <v/>
      </c>
      <c r="N53" s="142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8">
        <f>SUM(E52:E53)</f>
        <v/>
      </c>
      <c r="F54" s="148">
        <f>SUM(F52:F53)</f>
        <v/>
      </c>
      <c r="G54" s="148">
        <f>SUM(G52:G53)</f>
        <v/>
      </c>
      <c r="H54" s="148">
        <f>SUM(H52:H53)</f>
        <v/>
      </c>
      <c r="I54" s="148">
        <f>SUM(I52:I53)</f>
        <v/>
      </c>
      <c r="J54" s="148">
        <f>SUM(J52:J53)</f>
        <v/>
      </c>
      <c r="K54" s="148">
        <f>SUM(K52:K53)</f>
        <v/>
      </c>
      <c r="L54" s="148">
        <f>SUM(L52:L53)</f>
        <v/>
      </c>
      <c r="M54" s="148">
        <f>SUM(M52:M53)</f>
        <v/>
      </c>
      <c r="N54" s="14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7">
        <f>E50+E54</f>
        <v/>
      </c>
      <c r="F55" s="147">
        <f>F50+F54</f>
        <v/>
      </c>
      <c r="G55" s="147">
        <f>G50+G54</f>
        <v/>
      </c>
      <c r="H55" s="147">
        <f>H50+H54</f>
        <v/>
      </c>
      <c r="I55" s="147">
        <f>I50+I54</f>
        <v/>
      </c>
      <c r="J55" s="147">
        <f>J50+J54</f>
        <v/>
      </c>
      <c r="K55" s="147">
        <f>K50+K54</f>
        <v/>
      </c>
      <c r="L55" s="147">
        <f>L50+L54</f>
        <v/>
      </c>
      <c r="M55" s="147">
        <f>M50+M54</f>
        <v/>
      </c>
      <c r="N55" s="14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9">
        <f>E55-E45</f>
        <v/>
      </c>
      <c r="F57" s="149">
        <f>F55-F45</f>
        <v/>
      </c>
      <c r="G57" s="149">
        <f>G55-G45</f>
        <v/>
      </c>
      <c r="H57" s="149">
        <f>H55-H45</f>
        <v/>
      </c>
      <c r="I57" s="149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2">
        <f>E36</f>
        <v/>
      </c>
      <c r="F62" s="142">
        <f>F36</f>
        <v/>
      </c>
      <c r="G62" s="142">
        <f>G36</f>
        <v/>
      </c>
      <c r="H62" s="142">
        <f>H36</f>
        <v/>
      </c>
      <c r="I62" s="142">
        <f>I36</f>
        <v/>
      </c>
      <c r="J62" s="142">
        <f>J36</f>
        <v/>
      </c>
      <c r="K62" s="142">
        <f>K36</f>
        <v/>
      </c>
      <c r="L62" s="142">
        <f>L36</f>
        <v/>
      </c>
      <c r="M62" s="142">
        <f>M36</f>
        <v/>
      </c>
      <c r="N62" s="142">
        <f>N36</f>
        <v/>
      </c>
    </row>
    <row r="63" hidden="1" outlineLevel="1">
      <c r="B63" s="19" t="inlineStr">
        <is>
          <t>Plus: Depreciation &amp; Amortization</t>
        </is>
      </c>
      <c r="E63" s="142">
        <f>+E30</f>
        <v/>
      </c>
      <c r="F63" s="142">
        <f>+F30</f>
        <v/>
      </c>
      <c r="G63" s="142">
        <f>+G30</f>
        <v/>
      </c>
      <c r="H63" s="142">
        <f>+H30</f>
        <v/>
      </c>
      <c r="I63" s="142">
        <f>+I30</f>
        <v/>
      </c>
      <c r="J63" s="142">
        <f>+J30</f>
        <v/>
      </c>
      <c r="K63" s="142">
        <f>+K30</f>
        <v/>
      </c>
      <c r="L63" s="142">
        <f>+L30</f>
        <v/>
      </c>
      <c r="M63" s="142">
        <f>+M30</f>
        <v/>
      </c>
      <c r="N63" s="142">
        <f>+N30</f>
        <v/>
      </c>
    </row>
    <row r="64" hidden="1" outlineLevel="1">
      <c r="B64" s="19" t="inlineStr">
        <is>
          <t>Less: Changes in Working Capital</t>
        </is>
      </c>
      <c r="E64" s="139" t="n">
        <v>0</v>
      </c>
      <c r="F64" s="139" t="n">
        <v>-849</v>
      </c>
      <c r="G64" s="139" t="n">
        <v>47116</v>
      </c>
      <c r="H64" s="139" t="n">
        <v>15064</v>
      </c>
      <c r="I64" s="139" t="n">
        <v>62189</v>
      </c>
      <c r="J64" s="142">
        <f>J89</f>
        <v/>
      </c>
      <c r="K64" s="142">
        <f>K89</f>
        <v/>
      </c>
      <c r="L64" s="142">
        <f>L89</f>
        <v/>
      </c>
      <c r="M64" s="142">
        <f>M89</f>
        <v/>
      </c>
      <c r="N64" s="142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3">
        <f>E62+E63-E64</f>
        <v/>
      </c>
      <c r="F65" s="143">
        <f>F62+F63-F64</f>
        <v/>
      </c>
      <c r="G65" s="143">
        <f>G62+G63-G64</f>
        <v/>
      </c>
      <c r="H65" s="143">
        <f>H62+H63-H64</f>
        <v/>
      </c>
      <c r="I65" s="143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9" t="n">
        <v>7569</v>
      </c>
      <c r="F68" s="139" t="n">
        <v>6029</v>
      </c>
      <c r="G68" s="139" t="n">
        <v>4237</v>
      </c>
      <c r="H68" s="139" t="n">
        <v>25551</v>
      </c>
      <c r="I68" s="139" t="n">
        <v>39407</v>
      </c>
      <c r="J68" s="142">
        <f>J18</f>
        <v/>
      </c>
      <c r="K68" s="142">
        <f>K18</f>
        <v/>
      </c>
      <c r="L68" s="142">
        <f>L18</f>
        <v/>
      </c>
      <c r="M68" s="142">
        <f>M18</f>
        <v/>
      </c>
      <c r="N68" s="142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3">
        <f>SUM(E68)</f>
        <v/>
      </c>
      <c r="F69" s="143">
        <f>SUM(F68)</f>
        <v/>
      </c>
      <c r="G69" s="143">
        <f>SUM(G68)</f>
        <v/>
      </c>
      <c r="H69" s="143">
        <f>SUM(H68)</f>
        <v/>
      </c>
      <c r="I69" s="143">
        <f>SUM(I68)</f>
        <v/>
      </c>
      <c r="J69" s="143">
        <f>SUM(J68)</f>
        <v/>
      </c>
      <c r="K69" s="143">
        <f>SUM(K68)</f>
        <v/>
      </c>
      <c r="L69" s="143">
        <f>SUM(L68)</f>
        <v/>
      </c>
      <c r="M69" s="143">
        <f>SUM(M68)</f>
        <v/>
      </c>
      <c r="N69" s="143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9" t="n">
        <v>519583</v>
      </c>
      <c r="F72" s="139" t="n">
        <v>594651</v>
      </c>
      <c r="G72" s="139" t="n">
        <v>7989</v>
      </c>
      <c r="H72" s="139" t="n">
        <v>347363</v>
      </c>
      <c r="I72" s="139" t="n">
        <v>846670</v>
      </c>
      <c r="J72" s="142">
        <f>J19</f>
        <v/>
      </c>
      <c r="K72" s="142">
        <f>K19</f>
        <v/>
      </c>
      <c r="L72" s="142">
        <f>L19</f>
        <v/>
      </c>
      <c r="M72" s="142">
        <f>M19</f>
        <v/>
      </c>
      <c r="N72" s="142">
        <f>N19</f>
        <v/>
      </c>
    </row>
    <row r="73" hidden="1" outlineLevel="1">
      <c r="B73" s="19" t="inlineStr">
        <is>
          <t>Issuance (repayment) of equity</t>
        </is>
      </c>
      <c r="E73" s="139" t="n">
        <v>0</v>
      </c>
      <c r="F73" s="139" t="n">
        <v>0</v>
      </c>
      <c r="G73" s="139" t="n">
        <v>0</v>
      </c>
      <c r="H73" s="139" t="n">
        <v>0</v>
      </c>
      <c r="I73" s="139" t="n">
        <v>0</v>
      </c>
      <c r="J73" s="142">
        <f>J20</f>
        <v/>
      </c>
      <c r="K73" s="142">
        <f>K20</f>
        <v/>
      </c>
      <c r="L73" s="142">
        <f>L20</f>
        <v/>
      </c>
      <c r="M73" s="142">
        <f>M20</f>
        <v/>
      </c>
      <c r="N73" s="14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3">
        <f>SUM(E72:E73)</f>
        <v/>
      </c>
      <c r="F74" s="143">
        <f>SUM(F72:F73)</f>
        <v/>
      </c>
      <c r="G74" s="143">
        <f>SUM(G72:G73)</f>
        <v/>
      </c>
      <c r="H74" s="143">
        <f>SUM(H72:H73)</f>
        <v/>
      </c>
      <c r="I74" s="143">
        <f>SUM(I72:I73)</f>
        <v/>
      </c>
      <c r="J74" s="143">
        <f>SUM(J72:J73)</f>
        <v/>
      </c>
      <c r="K74" s="143">
        <f>SUM(K72:K73)</f>
        <v/>
      </c>
      <c r="L74" s="143">
        <f>SUM(L72:L73)</f>
        <v/>
      </c>
      <c r="M74" s="143">
        <f>SUM(M72:M73)</f>
        <v/>
      </c>
      <c r="N74" s="143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0">
        <f>E41-E77</f>
        <v/>
      </c>
      <c r="F76" s="150">
        <f>F41-F77</f>
        <v/>
      </c>
      <c r="G76" s="150">
        <f>G41-G77</f>
        <v/>
      </c>
      <c r="H76" s="150">
        <f>H41-H77</f>
        <v/>
      </c>
      <c r="I76" s="150">
        <f>I41-I77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39" t="n">
        <v>157394</v>
      </c>
      <c r="F77" s="150">
        <f>E41</f>
        <v/>
      </c>
      <c r="G77" s="150">
        <f>F41</f>
        <v/>
      </c>
      <c r="H77" s="150">
        <f>G41</f>
        <v/>
      </c>
      <c r="I77" s="150">
        <f>H41</f>
        <v/>
      </c>
      <c r="J77" s="150">
        <f>I41</f>
        <v/>
      </c>
      <c r="K77" s="150">
        <f>J78</f>
        <v/>
      </c>
      <c r="L77" s="150">
        <f>K78</f>
        <v/>
      </c>
      <c r="M77" s="150">
        <f>L78</f>
        <v/>
      </c>
      <c r="N77" s="150">
        <f>M78</f>
        <v/>
      </c>
    </row>
    <row r="78" hidden="1" outlineLevel="1">
      <c r="B78" s="4" t="inlineStr">
        <is>
          <t>Closing Cash Balance</t>
        </is>
      </c>
      <c r="C78" s="5" t="n"/>
      <c r="D78" s="151" t="n">
        <v>157394</v>
      </c>
      <c r="E78" s="143">
        <f>SUM(E76:E77)</f>
        <v/>
      </c>
      <c r="F78" s="143">
        <f>SUM(F76:F77)</f>
        <v/>
      </c>
      <c r="G78" s="143">
        <f>SUM(G76:G77)</f>
        <v/>
      </c>
      <c r="H78" s="143">
        <f>SUM(H76:H77)</f>
        <v/>
      </c>
      <c r="I78" s="143">
        <f>SUM(I76:I77)</f>
        <v/>
      </c>
      <c r="J78" s="143">
        <f>SUM(J76:J77)</f>
        <v/>
      </c>
      <c r="K78" s="143">
        <f>SUM(K76:K77)</f>
        <v/>
      </c>
      <c r="L78" s="143">
        <f>SUM(L76:L77)</f>
        <v/>
      </c>
      <c r="M78" s="143">
        <f>SUM(M76:M77)</f>
        <v/>
      </c>
      <c r="N78" s="143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9">
        <f>E78-E41</f>
        <v/>
      </c>
      <c r="F80" s="149">
        <f>F78-F41</f>
        <v/>
      </c>
      <c r="G80" s="149">
        <f>G78-G41</f>
        <v/>
      </c>
      <c r="H80" s="149">
        <f>H78-H41</f>
        <v/>
      </c>
      <c r="I80" s="149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9" t="n">
        <v>206690</v>
      </c>
      <c r="F85" s="139" t="n">
        <v>202365</v>
      </c>
      <c r="G85" s="139" t="n">
        <v>251217</v>
      </c>
      <c r="H85" s="139" t="n">
        <v>269745</v>
      </c>
      <c r="I85" s="139" t="n">
        <v>341776</v>
      </c>
      <c r="J85" s="142">
        <f>J42</f>
        <v/>
      </c>
      <c r="K85" s="142">
        <f>K42</f>
        <v/>
      </c>
      <c r="L85" s="142">
        <f>L42</f>
        <v/>
      </c>
      <c r="M85" s="142">
        <f>M42</f>
        <v/>
      </c>
      <c r="N85" s="142">
        <f>N42</f>
        <v/>
      </c>
    </row>
    <row r="86" hidden="1" outlineLevel="1">
      <c r="B86" s="19" t="inlineStr">
        <is>
          <t>Inventory</t>
        </is>
      </c>
      <c r="E86" s="139" t="n">
        <v>0</v>
      </c>
      <c r="F86" s="139" t="n">
        <v>0</v>
      </c>
      <c r="G86" s="139" t="n">
        <v>0</v>
      </c>
      <c r="H86" s="139" t="n">
        <v>0</v>
      </c>
      <c r="I86" s="139" t="n">
        <v>0</v>
      </c>
      <c r="J86" s="142">
        <f>J43</f>
        <v/>
      </c>
      <c r="K86" s="142">
        <f>K43</f>
        <v/>
      </c>
      <c r="L86" s="142">
        <f>L43</f>
        <v/>
      </c>
      <c r="M86" s="142">
        <f>M43</f>
        <v/>
      </c>
      <c r="N86" s="142">
        <f>N43</f>
        <v/>
      </c>
    </row>
    <row r="87" hidden="1" outlineLevel="1">
      <c r="B87" s="19" t="inlineStr">
        <is>
          <t>Accounts Payable</t>
        </is>
      </c>
      <c r="E87" s="139" t="n">
        <v>20749</v>
      </c>
      <c r="F87" s="139" t="n">
        <v>17273</v>
      </c>
      <c r="G87" s="139" t="n">
        <v>19009</v>
      </c>
      <c r="H87" s="139" t="n">
        <v>22473</v>
      </c>
      <c r="I87" s="139" t="n">
        <v>32315</v>
      </c>
      <c r="J87" s="142">
        <f>J48</f>
        <v/>
      </c>
      <c r="K87" s="142">
        <f>K48</f>
        <v/>
      </c>
      <c r="L87" s="142">
        <f>L48</f>
        <v/>
      </c>
      <c r="M87" s="142">
        <f>M48</f>
        <v/>
      </c>
      <c r="N87" s="142">
        <f>N48</f>
        <v/>
      </c>
    </row>
    <row r="88" hidden="1" outlineLevel="1">
      <c r="B88" s="5" t="inlineStr">
        <is>
          <t>Net Working Capital (NWC)</t>
        </is>
      </c>
      <c r="C88" s="5" t="n"/>
      <c r="D88" s="151" t="n">
        <v>205747</v>
      </c>
      <c r="E88" s="152">
        <f>E85+E86-E87</f>
        <v/>
      </c>
      <c r="F88" s="152">
        <f>F85+F86-F87</f>
        <v/>
      </c>
      <c r="G88" s="152">
        <f>G85+G86-G87</f>
        <v/>
      </c>
      <c r="H88" s="152">
        <f>H85+H86-H87</f>
        <v/>
      </c>
      <c r="I88" s="152">
        <f>I85+I86-I87</f>
        <v/>
      </c>
      <c r="J88" s="152">
        <f>J85+J86-J87</f>
        <v/>
      </c>
      <c r="K88" s="152">
        <f>K85+K86-K87</f>
        <v/>
      </c>
      <c r="L88" s="152">
        <f>L85+L86-L87</f>
        <v/>
      </c>
      <c r="M88" s="152">
        <f>M85+M86-M87</f>
        <v/>
      </c>
      <c r="N88" s="152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9" t="n">
        <v>46419</v>
      </c>
      <c r="F92" s="150">
        <f>E95</f>
        <v/>
      </c>
      <c r="G92" s="150">
        <f>F95</f>
        <v/>
      </c>
      <c r="H92" s="150">
        <f>G95</f>
        <v/>
      </c>
      <c r="I92" s="150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39" t="n">
        <v>7569</v>
      </c>
      <c r="F93" s="139" t="n">
        <v>6029</v>
      </c>
      <c r="G93" s="139" t="n">
        <v>4237</v>
      </c>
      <c r="H93" s="139" t="n">
        <v>25551</v>
      </c>
      <c r="I93" s="139" t="n">
        <v>39407</v>
      </c>
      <c r="J93" s="142">
        <f>+J18</f>
        <v/>
      </c>
      <c r="K93" s="142">
        <f>+K18</f>
        <v/>
      </c>
      <c r="L93" s="142">
        <f>+L18</f>
        <v/>
      </c>
      <c r="M93" s="142">
        <f>+M18</f>
        <v/>
      </c>
      <c r="N93" s="142">
        <f>+N18</f>
        <v/>
      </c>
    </row>
    <row r="94" hidden="1" outlineLevel="1">
      <c r="B94" s="19" t="inlineStr">
        <is>
          <t>Less Depreciation</t>
        </is>
      </c>
      <c r="E94" s="139" t="n">
        <v>25592</v>
      </c>
      <c r="F94" s="139" t="n">
        <v>20465</v>
      </c>
      <c r="G94" s="139" t="n">
        <v>14638</v>
      </c>
      <c r="H94" s="139" t="n">
        <v>13827</v>
      </c>
      <c r="I94" s="139" t="n">
        <v>14952</v>
      </c>
      <c r="J94" s="142">
        <f>J92*J11</f>
        <v/>
      </c>
      <c r="K94" s="142">
        <f>K92*K11</f>
        <v/>
      </c>
      <c r="L94" s="142">
        <f>L92*L11</f>
        <v/>
      </c>
      <c r="M94" s="142">
        <f>M92*M11</f>
        <v/>
      </c>
      <c r="N94" s="142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2">
        <f>J92+J93-J94</f>
        <v/>
      </c>
      <c r="K95" s="152">
        <f>K92+K93-K94</f>
        <v/>
      </c>
      <c r="L95" s="152">
        <f>L92+L93-L94</f>
        <v/>
      </c>
      <c r="M95" s="152">
        <f>M92+M93-M94</f>
        <v/>
      </c>
      <c r="N95" s="15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39" t="n">
        <v>739435</v>
      </c>
      <c r="F98" s="150">
        <f>E100</f>
        <v/>
      </c>
      <c r="G98" s="150">
        <f>F100</f>
        <v/>
      </c>
      <c r="H98" s="150">
        <f>G100</f>
        <v/>
      </c>
      <c r="I98" s="150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39" t="n">
        <v>519583</v>
      </c>
      <c r="F99" s="139" t="n">
        <v>594651</v>
      </c>
      <c r="G99" s="139" t="n">
        <v>7989</v>
      </c>
      <c r="H99" s="139" t="n">
        <v>347363</v>
      </c>
      <c r="I99" s="139" t="n">
        <v>846670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3" t="n">
        <v>1259018</v>
      </c>
      <c r="F100" s="153" t="n">
        <v>1853669</v>
      </c>
      <c r="G100" s="153" t="n">
        <v>1861658</v>
      </c>
      <c r="H100" s="153" t="n">
        <v>2209021</v>
      </c>
      <c r="I100" s="153" t="n">
        <v>3055691</v>
      </c>
      <c r="J100" s="152">
        <f>SUM(J98:J99)</f>
        <v/>
      </c>
      <c r="K100" s="152">
        <f>SUM(K98:K99)</f>
        <v/>
      </c>
      <c r="L100" s="152">
        <f>SUM(L98:L99)</f>
        <v/>
      </c>
      <c r="M100" s="152">
        <f>SUM(M98:M99)</f>
        <v/>
      </c>
      <c r="N100" s="152">
        <f>SUM(N98:N99)</f>
        <v/>
      </c>
    </row>
    <row r="101" hidden="1" outlineLevel="1">
      <c r="B101" s="19" t="inlineStr">
        <is>
          <t>Interest Expense</t>
        </is>
      </c>
      <c r="E101" s="139" t="n">
        <v>40092</v>
      </c>
      <c r="F101" s="139" t="n">
        <v>68967</v>
      </c>
      <c r="G101" s="139" t="n">
        <v>95546</v>
      </c>
      <c r="H101" s="139" t="n">
        <v>105638</v>
      </c>
      <c r="I101" s="139" t="n">
        <v>133647</v>
      </c>
      <c r="J101" s="142">
        <f>J98*J12</f>
        <v/>
      </c>
      <c r="K101" s="142">
        <f>K98*K12</f>
        <v/>
      </c>
      <c r="L101" s="142">
        <f>L98*L12</f>
        <v/>
      </c>
      <c r="M101" s="142">
        <f>M98*M12</f>
        <v/>
      </c>
      <c r="N101" s="14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54" t="inlineStr">
        <is>
          <t>vengeanceaiUSCMODEL3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55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56" t="inlineStr">
        <is>
          <t>Input</t>
        </is>
      </c>
      <c r="R4" s="156" t="inlineStr">
        <is>
          <t>Value</t>
        </is>
      </c>
      <c r="S4" s="156" t="inlineStr">
        <is>
          <t>Description</t>
        </is>
      </c>
      <c r="T4" s="156" t="inlineStr">
        <is>
          <t>Role</t>
        </is>
      </c>
      <c r="U4" s="156" t="inlineStr">
        <is>
          <t>Primary source (click)</t>
        </is>
      </c>
      <c r="V4" s="156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57" t="n">
        <v>0.1877023903712333</v>
      </c>
      <c r="E5" s="158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59" t="inlineStr">
        <is>
          <t>1) CAPM → WACC   (D6 = R15)</t>
        </is>
      </c>
    </row>
    <row r="6" ht="16" customHeight="1">
      <c r="A6" s="160" t="inlineStr">
        <is>
          <t>WACC sources → columns U–V</t>
        </is>
      </c>
      <c r="B6" s="103" t="inlineStr">
        <is>
          <t>Discount Rate (WACC = We×Ke + Wd×Rd(1−t))</t>
        </is>
      </c>
      <c r="C6" s="161" t="inlineStr">
        <is>
          <t>Sources →</t>
        </is>
      </c>
      <c r="D6" s="162">
        <f>R15</f>
        <v/>
      </c>
      <c r="E6" s="158" t="inlineStr">
        <is>
          <t>WACC sources → scroll to col U (Rf/ERP/β/Rd links)</t>
        </is>
      </c>
      <c r="F6" s="158" t="inlineStr">
        <is>
          <t>Damodaran ERP</t>
        </is>
      </c>
      <c r="G6" s="158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63" t="inlineStr">
        <is>
          <t>Risk-free rate (Rf)</t>
        </is>
      </c>
      <c r="R6" s="164" t="n">
        <v>0.0463</v>
      </c>
      <c r="S6" s="163" t="inlineStr">
        <is>
          <t>US 10Y Treasury yield</t>
        </is>
      </c>
      <c r="T6" s="163" t="inlineStr">
        <is>
          <t>CAPM input</t>
        </is>
      </c>
      <c r="U6" s="165" t="inlineStr">
        <is>
          <t>FRED DGS10 (US 10Y)</t>
        </is>
      </c>
      <c r="V6" s="165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57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63" t="inlineStr">
        <is>
          <t>Equity risk premium (ERP)</t>
        </is>
      </c>
      <c r="R7" s="164" t="n">
        <v>0.0428</v>
      </c>
      <c r="S7" s="163" t="inlineStr">
        <is>
          <t>Damodaran implied ERP</t>
        </is>
      </c>
      <c r="T7" s="163" t="inlineStr">
        <is>
          <t>CAPM input</t>
        </is>
      </c>
      <c r="U7" s="165" t="inlineStr">
        <is>
          <t>Damodaran Online — Implied ERP</t>
        </is>
      </c>
      <c r="V7" s="165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66" t="n">
        <v>25</v>
      </c>
      <c r="E8" s="158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63" t="inlineStr">
        <is>
          <t>Beta (β)</t>
        </is>
      </c>
      <c r="R8" s="167" t="n">
        <v>1.32</v>
      </c>
      <c r="S8" s="163" t="inlineStr">
        <is>
          <t>Yahoo 5Y monthly beta</t>
        </is>
      </c>
      <c r="T8" s="163" t="inlineStr">
        <is>
          <t>CAPM input</t>
        </is>
      </c>
      <c r="U8" s="165" t="inlineStr">
        <is>
          <t>Yahoo Finance FICO Key Statistics</t>
        </is>
      </c>
      <c r="V8" s="165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68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69" t="inlineStr">
        <is>
          <t>Ke = Rf + β × ERP</t>
        </is>
      </c>
      <c r="R9" s="170">
        <f>R6+R8*R7</f>
        <v/>
      </c>
      <c r="S9" s="163" t="inlineStr">
        <is>
          <t>Cost of equity (CAPM)</t>
        </is>
      </c>
      <c r="T9" s="169" t="inlineStr">
        <is>
          <t>→ WACC</t>
        </is>
      </c>
      <c r="U9" s="163" t="inlineStr">
        <is>
          <t>Derived: R6 + R8 × R7</t>
        </is>
      </c>
      <c r="V9" s="163" t="inlineStr"/>
    </row>
    <row r="10" ht="16" customHeight="1">
      <c r="A10" s="97" t="n"/>
      <c r="B10" s="97" t="inlineStr">
        <is>
          <t>Fiscal Year End</t>
        </is>
      </c>
      <c r="C10" s="97" t="n"/>
      <c r="D10" s="168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63" t="inlineStr">
        <is>
          <t>Pre-tax cost of debt (Rd)</t>
        </is>
      </c>
      <c r="R10" s="164" t="n">
        <v>0.0625</v>
      </c>
      <c r="S10" s="163" t="inlineStr">
        <is>
          <t>6.250% Senior Notes due 2034</t>
        </is>
      </c>
      <c r="T10" s="163" t="inlineStr">
        <is>
          <t>WACC input</t>
        </is>
      </c>
      <c r="U10" s="165" t="inlineStr">
        <is>
          <t>SEC 8-K — Notes closing (6.250%)</t>
        </is>
      </c>
      <c r="V10" s="165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71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63" t="inlineStr">
        <is>
          <t>Tax rate (t)</t>
        </is>
      </c>
      <c r="R11" s="170">
        <f>$D$5</f>
        <v/>
      </c>
      <c r="S11" s="163" t="inlineStr">
        <is>
          <t>FY25 effective = 150,649 / 802,595</t>
        </is>
      </c>
      <c r="T11" s="163" t="inlineStr">
        <is>
          <t>Linked D5</t>
        </is>
      </c>
      <c r="U11" s="165" t="inlineStr">
        <is>
          <t>SEC 10-K FY2025 (tax / EBT)</t>
        </is>
      </c>
      <c r="V11" s="165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72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69" t="inlineStr">
        <is>
          <t>Rd_aftertax = Rd × (1 − t)</t>
        </is>
      </c>
      <c r="R12" s="170">
        <f>R10*(1-R11)</f>
        <v/>
      </c>
      <c r="S12" s="163" t="inlineStr">
        <is>
          <t>After-tax cost of debt</t>
        </is>
      </c>
      <c r="T12" s="169" t="inlineStr">
        <is>
          <t>→ WACC</t>
        </is>
      </c>
      <c r="U12" s="163" t="inlineStr">
        <is>
          <t>Derived: R10 × (1 − R11)</t>
        </is>
      </c>
      <c r="V12" s="163" t="inlineStr"/>
    </row>
    <row r="13" ht="16" customHeight="1">
      <c r="A13" s="97" t="n"/>
      <c r="B13" s="97" t="inlineStr">
        <is>
          <t>Debt</t>
        </is>
      </c>
      <c r="C13" s="97" t="n"/>
      <c r="D13" s="172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63" t="inlineStr">
        <is>
          <t>Equity weight (We)</t>
        </is>
      </c>
      <c r="R13" s="173" t="n">
        <v>0.8</v>
      </c>
      <c r="S13" s="163" t="inlineStr">
        <is>
          <t>Target ~80% equity at market</t>
        </is>
      </c>
      <c r="T13" s="163" t="inlineStr">
        <is>
          <t>WACC weight</t>
        </is>
      </c>
      <c r="U13" s="165" t="inlineStr">
        <is>
          <t>SEC 10-Q Q3 FY2026 (debt / capital)</t>
        </is>
      </c>
      <c r="V13" s="165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72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63" t="inlineStr">
        <is>
          <t>Debt weight (Wd)</t>
        </is>
      </c>
      <c r="R14" s="173" t="n">
        <v>0.2</v>
      </c>
      <c r="S14" s="163" t="inlineStr">
        <is>
          <t>Target ~20% debt (We+Wd=100%)</t>
        </is>
      </c>
      <c r="T14" s="163" t="inlineStr">
        <is>
          <t>WACC weight</t>
        </is>
      </c>
      <c r="U14" s="165" t="inlineStr">
        <is>
          <t>SEC 10-Q — total debt $5,582,389k</t>
        </is>
      </c>
      <c r="V14" s="165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74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69" t="inlineStr">
        <is>
          <t>WACC = We×Ke + Wd×Rd_aftertax</t>
        </is>
      </c>
      <c r="R15" s="170">
        <f>R13*R9+R14*R12</f>
        <v/>
      </c>
      <c r="S15" s="163" t="inlineStr">
        <is>
          <t>PRIMARY discount rate → cell D6</t>
        </is>
      </c>
      <c r="T15" s="169" t="inlineStr">
        <is>
          <t>→ D6</t>
        </is>
      </c>
      <c r="U15" s="165" t="inlineStr">
        <is>
          <t>SEC filings (tax, debt coupons)</t>
        </is>
      </c>
      <c r="V15" s="165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75">
        <f>YEAR(E18)</f>
        <v/>
      </c>
      <c r="F17" s="175">
        <f>YEAR(F18)</f>
        <v/>
      </c>
      <c r="G17" s="175">
        <f>YEAR(G18)</f>
        <v/>
      </c>
      <c r="H17" s="175">
        <f>YEAR(H18)</f>
        <v/>
      </c>
      <c r="I17" s="175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59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76">
        <f>D9</f>
        <v/>
      </c>
      <c r="E18" s="177">
        <f>DATE(YEAR($D$10)+E19,3,31)</f>
        <v/>
      </c>
      <c r="F18" s="177">
        <f>DATE(YEAR($D$10)+F19,3,31)</f>
        <v/>
      </c>
      <c r="G18" s="177">
        <f>DATE(YEAR($D$10)+G19,3,31)</f>
        <v/>
      </c>
      <c r="H18" s="177">
        <f>DATE(YEAR($D$10)+H19,3,31)</f>
        <v/>
      </c>
      <c r="I18" s="177">
        <f>DATE(YEAR($D$10)+I19,3,31)</f>
        <v/>
      </c>
      <c r="J18" s="178">
        <f>I18</f>
        <v/>
      </c>
      <c r="K18" s="97" t="n"/>
      <c r="L18" s="97" t="inlineStr">
        <is>
          <t>Exit EV/EBITDA (in J27) — primary</t>
        </is>
      </c>
      <c r="M18" s="174">
        <f>J27</f>
        <v/>
      </c>
      <c r="N18" s="97">
        <f>(I26*(1+D7))/(D6-D7)</f>
        <v/>
      </c>
      <c r="O18" s="97" t="n"/>
      <c r="Q18" s="169" t="inlineStr">
        <is>
          <t>FCFF = EBIT − EBIT×t + D&amp;A − CapEx − ΔNWC</t>
        </is>
      </c>
      <c r="U18" s="165" t="inlineStr">
        <is>
          <t>Drivers from SEC XBRL → 3-statement</t>
        </is>
      </c>
      <c r="V18" s="165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79" t="n">
        <v>0</v>
      </c>
      <c r="F19" s="176">
        <f>E19+1</f>
        <v/>
      </c>
      <c r="G19" s="176">
        <f>F19+1</f>
        <v/>
      </c>
      <c r="H19" s="176">
        <f>G19+1</f>
        <v/>
      </c>
      <c r="I19" s="176">
        <f>H19+1</f>
        <v/>
      </c>
      <c r="J19" s="115" t="n"/>
      <c r="K19" s="97" t="n"/>
      <c r="L19" s="97" t="inlineStr">
        <is>
          <t>Gordon cross-check</t>
        </is>
      </c>
      <c r="M19" s="174">
        <f>IF(($D$6-$D$7)&lt;=0,"WACC must exceed g",$I$26*(1+$D$7)/($D$6-$D$7))</f>
        <v/>
      </c>
      <c r="N19" s="121">
        <f>D8*(I21+I23)</f>
        <v/>
      </c>
      <c r="O19" s="97" t="n"/>
      <c r="Q19" s="163" t="inlineStr">
        <is>
          <t>Excel (col E example)</t>
        </is>
      </c>
      <c r="R19" s="169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76">
        <f>YEARFRAC(D18,E18)</f>
        <v/>
      </c>
      <c r="F20" s="176">
        <f>YEARFRAC(E18,F18)</f>
        <v/>
      </c>
      <c r="G20" s="176">
        <f>YEARFRAC(F18,G18)</f>
        <v/>
      </c>
      <c r="H20" s="176">
        <f>YEARFRAC(G18,H18)</f>
        <v/>
      </c>
      <c r="I20" s="176">
        <f>YEARFRAC(H18,I18)</f>
        <v/>
      </c>
      <c r="J20" s="97" t="n"/>
      <c r="K20" s="97" t="n"/>
      <c r="L20" s="97" t="inlineStr">
        <is>
          <t>Implied Gordon exit multiple</t>
        </is>
      </c>
      <c r="M20" s="174">
        <f>IF(($I$21+$I$23)=0,0,M19/($I$21+$I$23))</f>
        <v/>
      </c>
      <c r="N20" s="123">
        <f>AVERAGE(N18:N19)</f>
        <v/>
      </c>
      <c r="O20" s="97" t="n"/>
      <c r="Q20" s="163" t="inlineStr">
        <is>
          <t>Tax on EBIT (unlevered)</t>
        </is>
      </c>
      <c r="R20" s="169">
        <f>E21*$D$5</f>
        <v/>
      </c>
      <c r="S20" s="163" t="inlineStr">
        <is>
          <t>NOT levered IS tax dollars</t>
        </is>
      </c>
      <c r="U20" s="165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80" t="inlineStr">
        <is>
          <t>EBIT</t>
        </is>
      </c>
      <c r="D21" s="97" t="n"/>
      <c r="E21" s="174">
        <f>'3 Statement Model'!J26-'3 Statement Model'!J28-'3 Statement Model'!J29-'3 Statement Model'!J30</f>
        <v/>
      </c>
      <c r="F21" s="174">
        <f>'3 Statement Model'!K26-'3 Statement Model'!K28-'3 Statement Model'!K29-'3 Statement Model'!K30</f>
        <v/>
      </c>
      <c r="G21" s="174">
        <f>'3 Statement Model'!L26-'3 Statement Model'!L28-'3 Statement Model'!L29-'3 Statement Model'!L30</f>
        <v/>
      </c>
      <c r="H21" s="174">
        <f>'3 Statement Model'!M26-'3 Statement Model'!M28-'3 Statement Model'!M29-'3 Statement Model'!M30</f>
        <v/>
      </c>
      <c r="I21" s="174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63" t="inlineStr">
        <is>
          <t>FCFF check (FY5 / col I)</t>
        </is>
      </c>
      <c r="R21" s="181">
        <f>I26</f>
        <v/>
      </c>
      <c r="S21" s="163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80" t="inlineStr">
        <is>
          <t>EBIT×t</t>
        </is>
      </c>
      <c r="D22" s="97" t="n"/>
      <c r="E22" s="174">
        <f>E21*$D$5</f>
        <v/>
      </c>
      <c r="F22" s="174">
        <f>F21*$D$5</f>
        <v/>
      </c>
      <c r="G22" s="174">
        <f>G21*$D$5</f>
        <v/>
      </c>
      <c r="H22" s="174">
        <f>H21*$D$5</f>
        <v/>
      </c>
      <c r="I22" s="17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80" t="inlineStr">
        <is>
          <t>+D&amp;A</t>
        </is>
      </c>
      <c r="D23" s="97" t="n"/>
      <c r="E23" s="174">
        <f>'3 Statement Model'!J30</f>
        <v/>
      </c>
      <c r="F23" s="174">
        <f>'3 Statement Model'!K30</f>
        <v/>
      </c>
      <c r="G23" s="174">
        <f>'3 Statement Model'!L30</f>
        <v/>
      </c>
      <c r="H23" s="174">
        <f>'3 Statement Model'!M30</f>
        <v/>
      </c>
      <c r="I23" s="174">
        <f>'3 Statement Model'!N30</f>
        <v/>
      </c>
      <c r="J23" s="97" t="n"/>
      <c r="K23" s="97" t="n"/>
      <c r="L23" s="97" t="n"/>
      <c r="M23" s="97" t="n"/>
      <c r="N23" s="97" t="n"/>
      <c r="O23" s="97" t="n"/>
      <c r="Q23" s="159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80" t="inlineStr">
        <is>
          <t>−CapEx</t>
        </is>
      </c>
      <c r="D24" s="97" t="n"/>
      <c r="E24" s="174">
        <f>'3 Statement Model'!J68</f>
        <v/>
      </c>
      <c r="F24" s="174">
        <f>'3 Statement Model'!K68</f>
        <v/>
      </c>
      <c r="G24" s="174">
        <f>'3 Statement Model'!L68</f>
        <v/>
      </c>
      <c r="H24" s="174">
        <f>'3 Statement Model'!M68</f>
        <v/>
      </c>
      <c r="I24" s="174">
        <f>'3 Statement Model'!N68</f>
        <v/>
      </c>
      <c r="J24" s="97" t="n"/>
      <c r="K24" s="97" t="n"/>
      <c r="L24" s="97" t="n"/>
      <c r="M24" s="97" t="n"/>
      <c r="N24" s="97" t="n"/>
      <c r="O24" s="97" t="n"/>
      <c r="Q24" s="169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80" t="inlineStr">
        <is>
          <t>−ΔNWC</t>
        </is>
      </c>
      <c r="D25" s="97" t="n"/>
      <c r="E25" s="174">
        <f>'3 Statement Model'!J64</f>
        <v/>
      </c>
      <c r="F25" s="174">
        <f>'3 Statement Model'!K64</f>
        <v/>
      </c>
      <c r="G25" s="174">
        <f>'3 Statement Model'!L64</f>
        <v/>
      </c>
      <c r="H25" s="174">
        <f>'3 Statement Model'!M64</f>
        <v/>
      </c>
      <c r="I25" s="174">
        <f>'3 Statement Model'!N64</f>
        <v/>
      </c>
      <c r="J25" s="97" t="n"/>
      <c r="K25" s="97" t="n"/>
      <c r="L25" s="97" t="n"/>
      <c r="M25" s="97" t="n"/>
      <c r="N25" s="97" t="n"/>
      <c r="O25" s="97" t="n"/>
      <c r="Q25" s="163" t="inlineStr">
        <is>
          <t>Excel</t>
        </is>
      </c>
      <c r="R25" s="169">
        <f>($I$21+$I$23)*$D$8</f>
        <v/>
      </c>
      <c r="T25" s="181">
        <f>J27</f>
        <v/>
      </c>
      <c r="U25" s="165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80" t="inlineStr">
        <is>
          <t>FCFF=EBIT−tax+DA−CapEx−ΔNWC</t>
        </is>
      </c>
      <c r="D26" s="97" t="n"/>
      <c r="E26" s="182">
        <f>E21-E22+E23-E24-E25</f>
        <v/>
      </c>
      <c r="F26" s="182">
        <f>F21-F22+F23-F24-F25</f>
        <v/>
      </c>
      <c r="G26" s="182">
        <f>G21-G22+G23-G24-G25</f>
        <v/>
      </c>
      <c r="H26" s="182">
        <f>H21-H22+H23-H24-H25</f>
        <v/>
      </c>
      <c r="I26" s="182">
        <f>I21-I22+I23-I24-I25</f>
        <v/>
      </c>
      <c r="J26" s="97" t="n"/>
      <c r="K26" s="97" t="n"/>
      <c r="L26" s="97" t="n"/>
      <c r="M26" s="97" t="n"/>
      <c r="N26" s="97" t="n"/>
      <c r="O26" s="97" t="n"/>
      <c r="Q26" s="169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83">
        <f>-I35</f>
        <v/>
      </c>
      <c r="E27" s="97" t="n"/>
      <c r="F27" s="97" t="n"/>
      <c r="G27" s="97" t="n"/>
      <c r="H27" s="97" t="n"/>
      <c r="I27" s="97" t="n"/>
      <c r="J27" s="174">
        <f>($I$21+$I$23)*$D$8</f>
        <v/>
      </c>
      <c r="K27" s="97" t="n"/>
      <c r="L27" s="97" t="n"/>
      <c r="M27" s="97" t="n"/>
      <c r="N27" s="97" t="n"/>
      <c r="O27" s="97" t="n"/>
      <c r="Q27" s="163" t="inlineStr">
        <is>
          <t>Excel</t>
        </is>
      </c>
      <c r="R27" s="169">
        <f>IF(($D$6-$D$7)&lt;=0,"err",$I$26*(1+$D$7)/($D$6-$D$7))</f>
        <v/>
      </c>
      <c r="T27" s="181">
        <f>M19</f>
        <v/>
      </c>
      <c r="U27" s="165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82" t="n">
        <v>0</v>
      </c>
      <c r="E28" s="184">
        <f>E27+E26</f>
        <v/>
      </c>
      <c r="F28" s="184">
        <f>F27+F26</f>
        <v/>
      </c>
      <c r="G28" s="184">
        <f>G27+G26</f>
        <v/>
      </c>
      <c r="H28" s="184">
        <f>H27+H26</f>
        <v/>
      </c>
      <c r="I28" s="184">
        <f>I27+I26</f>
        <v/>
      </c>
      <c r="J28" s="184">
        <f>J27+J26</f>
        <v/>
      </c>
      <c r="K28" s="97" t="n"/>
      <c r="L28" s="97" t="n"/>
      <c r="M28" s="97" t="n"/>
      <c r="N28" s="97" t="n"/>
      <c r="O28" s="97" t="n"/>
      <c r="Q28" s="163" t="inlineStr">
        <is>
          <t>Implied Gordon exit multiple</t>
        </is>
      </c>
      <c r="R28" s="185">
        <f>IF(($I$21+$I$23)=0,0,T27/($I$21+$I$23))</f>
        <v/>
      </c>
      <c r="S28" s="163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83">
        <f>D27+D26</f>
        <v/>
      </c>
      <c r="E29" s="174">
        <f>E27+E26</f>
        <v/>
      </c>
      <c r="F29" s="174">
        <f>F27+F26</f>
        <v/>
      </c>
      <c r="G29" s="174">
        <f>G27+G26</f>
        <v/>
      </c>
      <c r="H29" s="174">
        <f>H27+H26</f>
        <v/>
      </c>
      <c r="I29" s="174">
        <f>I27+I26</f>
        <v/>
      </c>
      <c r="J29" s="174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59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69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74">
        <f>XNPV(D6,D28:J28,D18:J18)</f>
        <v/>
      </c>
      <c r="E32" s="97" t="n"/>
      <c r="G32" s="97" t="inlineStr">
        <is>
          <t>Market Cap</t>
        </is>
      </c>
      <c r="H32" s="97" t="n"/>
      <c r="I32" s="183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63" t="inlineStr">
        <is>
          <t>Excel</t>
        </is>
      </c>
      <c r="R32" s="169">
        <f>XNPV(D6,D28:J28,D18:J18)</f>
        <v/>
      </c>
      <c r="T32" s="181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83">
        <f>+D14</f>
        <v/>
      </c>
      <c r="E33" s="97" t="n"/>
      <c r="G33" s="97" t="inlineStr">
        <is>
          <t>Plus: Debt</t>
        </is>
      </c>
      <c r="H33" s="97" t="n"/>
      <c r="I33" s="183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69" t="inlineStr">
        <is>
          <t>Equity = EV + Cash − Debt</t>
        </is>
      </c>
      <c r="R33" s="181">
        <f>D35</f>
        <v/>
      </c>
      <c r="S33" s="163" t="inlineStr">
        <is>
          <t>Net debt from 10-Q bridge</t>
        </is>
      </c>
      <c r="U33" s="165" t="inlineStr">
        <is>
          <t>SEC 10-Q — cash, mkt secs, total debt</t>
        </is>
      </c>
      <c r="V33" s="165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83">
        <f>+D13</f>
        <v/>
      </c>
      <c r="E34" s="97" t="n"/>
      <c r="G34" s="97" t="inlineStr">
        <is>
          <t>Less: Cash</t>
        </is>
      </c>
      <c r="H34" s="97" t="n"/>
      <c r="I34" s="183">
        <f>+D14</f>
        <v/>
      </c>
      <c r="J34" s="97" t="n"/>
      <c r="L34" s="97" t="n"/>
      <c r="M34" s="97" t="n"/>
      <c r="N34" s="97" t="n"/>
      <c r="O34" s="97" t="n"/>
      <c r="Q34" s="169" t="inlineStr">
        <is>
          <t>$/share = Equity / Shares</t>
        </is>
      </c>
      <c r="R34" s="186">
        <f>D37</f>
        <v/>
      </c>
      <c r="S34" s="163" t="inlineStr">
        <is>
          <t>Shares outstanding (Yahoo)</t>
        </is>
      </c>
      <c r="U34" s="165" t="inlineStr">
        <is>
          <t>Yahoo Finance — shares outstanding</t>
        </is>
      </c>
      <c r="V34" s="165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82">
        <f>D32+D33-D34</f>
        <v/>
      </c>
      <c r="E35" s="97" t="n"/>
      <c r="G35" s="97" t="inlineStr">
        <is>
          <t>Enterprise Value</t>
        </is>
      </c>
      <c r="H35" s="97" t="n"/>
      <c r="I35" s="182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63" t="inlineStr">
        <is>
          <t>Upside vs market</t>
        </is>
      </c>
      <c r="R35" s="187">
        <f>D37/D11-1</f>
        <v/>
      </c>
      <c r="S35" s="163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88" t="n"/>
      <c r="J36" s="97" t="n"/>
      <c r="L36" s="97" t="inlineStr">
        <is>
          <t>Market Value</t>
        </is>
      </c>
      <c r="M36" s="97" t="n"/>
      <c r="N36" s="188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83">
        <f>D35/D12</f>
        <v/>
      </c>
      <c r="E37" s="97" t="n"/>
      <c r="G37" s="97" t="inlineStr">
        <is>
          <t>Equity Value/Share</t>
        </is>
      </c>
      <c r="H37" s="97" t="n"/>
      <c r="I37" s="183">
        <f>D11</f>
        <v/>
      </c>
      <c r="J37" s="97" t="n"/>
      <c r="L37" s="97" t="inlineStr">
        <is>
          <t>Upside</t>
        </is>
      </c>
      <c r="M37" s="97" t="n"/>
      <c r="N37" s="188">
        <f>D37-I37</f>
        <v/>
      </c>
      <c r="O37" s="97" t="n"/>
      <c r="Q37" s="159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88">
        <f>SUM(N36:N37)</f>
        <v/>
      </c>
      <c r="O38" s="97" t="n"/>
      <c r="Q38" s="169" t="inlineStr">
        <is>
          <t>NWC = AR + Inventory − AP − DeferredRevenue</t>
        </is>
      </c>
      <c r="U38" s="165" t="inlineStr">
        <is>
          <t>SEC 10-K — AR / AP / deferred revenue</t>
        </is>
      </c>
      <c r="V38" s="165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69" t="inlineStr">
        <is>
          <t>ΔNWC_t = NWC_t − NWC_(t−1)</t>
        </is>
      </c>
      <c r="S39" s="163" t="inlineStr">
        <is>
          <t>Linked from 3-statement CF row 64</t>
        </is>
      </c>
      <c r="T39" s="181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59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65" t="inlineStr">
        <is>
          <t>SEC 10-K FY2025</t>
        </is>
      </c>
      <c r="R42" s="189" t="n"/>
      <c r="S42" s="190" t="n"/>
      <c r="T42" s="163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65" t="inlineStr">
        <is>
          <t>SEC 10-Q Q3 FY2026</t>
        </is>
      </c>
      <c r="R43" s="189" t="n"/>
      <c r="S43" s="190" t="n"/>
      <c r="T43" s="163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65" t="inlineStr">
        <is>
          <t>SEC 8-K 6.250% notes</t>
        </is>
      </c>
      <c r="R44" s="189" t="n"/>
      <c r="S44" s="190" t="n"/>
      <c r="T44" s="163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65" t="inlineStr">
        <is>
          <t>SEC EX-99.1 pricing</t>
        </is>
      </c>
      <c r="R45" s="189" t="n"/>
      <c r="S45" s="190" t="n"/>
      <c r="T45" s="163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65" t="inlineStr">
        <is>
          <t>SEC companyfacts XBRL</t>
        </is>
      </c>
      <c r="R46" s="189" t="n"/>
      <c r="S46" s="190" t="n"/>
      <c r="T46" s="163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65" t="inlineStr">
        <is>
          <t>FRED DGS10</t>
        </is>
      </c>
      <c r="R47" s="189" t="n"/>
      <c r="S47" s="190" t="n"/>
      <c r="T47" s="163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65" t="inlineStr">
        <is>
          <t>US Treasury yield curve</t>
        </is>
      </c>
      <c r="R48" s="189" t="n"/>
      <c r="S48" s="190" t="n"/>
      <c r="T48" s="163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65" t="inlineStr">
        <is>
          <t>Damodaran Implied ERP</t>
        </is>
      </c>
      <c r="R49" s="189" t="n"/>
      <c r="S49" s="190" t="n"/>
      <c r="T49" s="163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65" t="inlineStr">
        <is>
          <t>Damodaran histimpl</t>
        </is>
      </c>
      <c r="R50" s="189" t="n"/>
      <c r="S50" s="190" t="n"/>
      <c r="T50" s="163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65" t="inlineStr">
        <is>
          <t>Yahoo FICO stats</t>
        </is>
      </c>
      <c r="R51" s="189" t="n"/>
      <c r="S51" s="190" t="n"/>
      <c r="T51" s="163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2026-08-04T18:59:33Z</dcterms:modified>
  <cp:lastModifiedBy>Katie Au Yeung</cp:lastModifiedBy>
  <cp:lastPrinted>2014-12-13T23:43:21Z</cp:lastPrinted>
</cp:coreProperties>
</file>