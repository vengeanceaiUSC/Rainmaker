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6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C65911"/>
      <sz val="12"/>
    </font>
    <font>
      <name val="Calibri"/>
      <b val="1"/>
      <color rgb="00FFFFFF"/>
      <sz val="11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0563C1"/>
      <sz val="11"/>
      <u val="single"/>
    </font>
    <font>
      <name val="Calibri"/>
      <color rgb="000563C1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CE4D6"/>
      </patternFill>
    </fill>
    <fill>
      <patternFill patternType="solid">
        <fgColor rgb="00C65911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6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3" fontId="30" fillId="8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5" fontId="38" fillId="7" borderId="5" pivotButton="0" quotePrefix="0" xfId="0"/>
    <xf numFmtId="9" fontId="47" fillId="0" borderId="5" pivotButton="0" quotePrefix="0" xfId="0"/>
    <xf numFmtId="176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38" fillId="7" borderId="5" pivotButton="0" quotePrefix="0" xfId="0"/>
    <xf numFmtId="177" fontId="38" fillId="8" borderId="5" pivotButton="0" quotePrefix="0" xfId="0"/>
    <xf numFmtId="0" fontId="39" fillId="0" borderId="0" pivotButton="0" quotePrefix="0" xfId="0"/>
    <xf numFmtId="0" fontId="63" fillId="0" borderId="0" pivotButton="0" quotePrefix="0" xfId="8"/>
    <xf numFmtId="0" fontId="64" fillId="0" borderId="0" pivotButton="0" quotePrefix="0" xfId="8"/>
    <xf numFmtId="0" fontId="56" fillId="13" borderId="0" pivotButton="0" quotePrefix="0" xfId="7"/>
    <xf numFmtId="0" fontId="65" fillId="12" borderId="0" pivotButton="0" quotePrefix="0" xfId="7"/>
    <xf numFmtId="0" fontId="66" fillId="10" borderId="5" pivotButton="0" quotePrefix="0" xfId="7"/>
    <xf numFmtId="0" fontId="67" fillId="2" borderId="5" applyAlignment="1" pivotButton="0" quotePrefix="0" xfId="7">
      <alignment vertical="center" wrapText="1"/>
    </xf>
    <xf numFmtId="0" fontId="64" fillId="2" borderId="5" applyAlignment="1" pivotButton="0" quotePrefix="0" xfId="7">
      <alignment vertical="center" wrapText="1"/>
    </xf>
    <xf numFmtId="0" fontId="67" fillId="5" borderId="5" applyAlignment="1" pivotButton="0" quotePrefix="0" xfId="7">
      <alignment vertical="center" wrapText="1"/>
    </xf>
    <xf numFmtId="0" fontId="64" fillId="5" borderId="5" applyAlignment="1" pivotButton="0" quotePrefix="0" xfId="7">
      <alignment vertical="center" wrapText="1"/>
    </xf>
    <xf numFmtId="0" fontId="67" fillId="0" borderId="5" applyAlignment="1" pivotButton="0" quotePrefix="0" xfId="0">
      <alignment vertical="center" wrapText="1"/>
    </xf>
    <xf numFmtId="0" fontId="64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51" fillId="12" borderId="0" pivotButton="0" quotePrefix="0" xfId="0"/>
    <xf numFmtId="0" fontId="52" fillId="13" borderId="5" applyAlignment="1" pivotButton="0" quotePrefix="0" xfId="0">
      <alignment vertical="top" wrapText="1"/>
    </xf>
    <xf numFmtId="0" fontId="0" fillId="0" borderId="8" pivotButton="0" quotePrefix="0" xfId="0"/>
    <xf numFmtId="0" fontId="50" fillId="0" borderId="5" applyAlignment="1" pivotButton="0" quotePrefix="0" xfId="0">
      <alignment vertical="top" wrapText="1"/>
    </xf>
    <xf numFmtId="0" fontId="46" fillId="11" borderId="0" pivotButton="0" quotePrefix="0" xfId="0"/>
    <xf numFmtId="0" fontId="53" fillId="0" borderId="0" pivotButton="0" quotePrefix="0" xfId="0"/>
    <xf numFmtId="0" fontId="41" fillId="0" borderId="5" applyAlignment="1" pivotButton="0" quotePrefix="0" xfId="0">
      <alignment vertical="top" wrapText="1"/>
    </xf>
    <xf numFmtId="0" fontId="54" fillId="13" borderId="5" applyAlignment="1" pivotButton="0" quotePrefix="0" xfId="0">
      <alignment vertical="center"/>
    </xf>
    <xf numFmtId="0" fontId="54" fillId="13" borderId="5" pivotButton="0" quotePrefix="0" xfId="0"/>
    <xf numFmtId="0" fontId="55" fillId="8" borderId="5" pivotButton="0" quotePrefix="0" xfId="0"/>
    <xf numFmtId="0" fontId="44" fillId="8" borderId="5" applyAlignment="1" pivotButton="0" quotePrefix="0" xfId="0">
      <alignment vertical="top" wrapText="1"/>
    </xf>
    <xf numFmtId="0" fontId="49" fillId="8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4" fontId="39" fillId="0" borderId="0" applyAlignment="1" pivotButton="0" quotePrefix="0" xfId="1">
      <alignment vertical="top" wrapText="1"/>
    </xf>
    <xf numFmtId="166" fontId="40" fillId="8" borderId="5" pivotButton="0" quotePrefix="0" xfId="2"/>
    <xf numFmtId="0" fontId="55" fillId="12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166" fontId="38" fillId="7" borderId="5" pivotButton="0" quotePrefix="0" xfId="2"/>
    <xf numFmtId="179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66" fontId="40" fillId="8" borderId="5" pivotButton="0" quotePrefix="0" xfId="1"/>
    <xf numFmtId="179" fontId="40" fillId="8" borderId="5" pivotButton="0" quotePrefix="0" xfId="1"/>
    <xf numFmtId="179" fontId="38" fillId="7" borderId="5" pivotButton="0" quotePrefix="0" xfId="1"/>
    <xf numFmtId="164" fontId="48" fillId="0" borderId="0" pivotButton="0" quotePrefix="0" xfId="1"/>
    <xf numFmtId="179" fontId="40" fillId="8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40" fillId="8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38" fillId="7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0" pivotButton="0" quotePrefix="0" xfId="1"/>
    <xf numFmtId="179" fontId="40" fillId="8" borderId="2" applyAlignment="1" pivotButton="0" quotePrefix="0" xfId="1">
      <alignment horizontal="center"/>
    </xf>
    <xf numFmtId="179" fontId="40" fillId="8" borderId="2" pivotButton="0" quotePrefix="0" xfId="1"/>
    <xf numFmtId="179" fontId="40" fillId="8" borderId="0" pivotButton="0" quotePrefix="0" xfId="0"/>
    <xf numFmtId="179" fontId="38" fillId="7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0" fillId="0" borderId="5" applyAlignment="1" pivotButton="0" quotePrefix="0" xfId="0">
      <alignment vertical="top" wrapText="1"/>
    </xf>
    <xf numFmtId="164" fontId="49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4" fontId="60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8" fillId="0" borderId="5" applyAlignment="1" pivotButton="0" quotePrefix="0" xfId="0">
      <alignment vertical="center" wrapText="1"/>
    </xf>
    <xf numFmtId="166" fontId="40" fillId="8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71" fontId="45" fillId="11" borderId="5" pivotButton="0" quotePrefix="0" xfId="0"/>
    <xf numFmtId="2" fontId="40" fillId="8" borderId="5" pivotButton="0" quotePrefix="0" xfId="0"/>
    <xf numFmtId="180" fontId="32" fillId="0" borderId="0" pivotButton="0" quotePrefix="0" xfId="0"/>
    <xf numFmtId="173" fontId="30" fillId="8" borderId="5" pivotButton="0" quotePrefix="0" xfId="0"/>
    <xf numFmtId="0" fontId="59" fillId="0" borderId="0" applyAlignment="1" pivotButton="0" quotePrefix="0" xfId="0">
      <alignment vertical="center" wrapText="1"/>
    </xf>
    <xf numFmtId="177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9" fontId="38" fillId="7" borderId="0" pivotButton="0" quotePrefix="0" xfId="0"/>
    <xf numFmtId="1" fontId="31" fillId="6" borderId="0" pivotButton="0" quotePrefix="0" xfId="0"/>
    <xf numFmtId="180" fontId="38" fillId="7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2" fillId="0" borderId="0" pivotButton="0" quotePrefix="0" xfId="0"/>
    <xf numFmtId="175" fontId="38" fillId="7" borderId="5" pivotButton="0" quotePrefix="0" xfId="0"/>
    <xf numFmtId="179" fontId="30" fillId="0" borderId="2" pivotButton="0" quotePrefix="0" xfId="0"/>
    <xf numFmtId="179" fontId="30" fillId="0" borderId="0" pivotButton="0" quotePrefix="0" xfId="0"/>
    <xf numFmtId="179" fontId="38" fillId="7" borderId="2" pivotButton="0" quotePrefix="0" xfId="0"/>
    <xf numFmtId="178" fontId="38" fillId="7" borderId="5" pivotButton="0" quotePrefix="0" xfId="0"/>
    <xf numFmtId="177" fontId="38" fillId="7" borderId="5" pivotButton="0" quotePrefix="0" xfId="0"/>
    <xf numFmtId="166" fontId="38" fillId="7" borderId="5" pivotButton="0" quotePrefix="0" xfId="0"/>
    <xf numFmtId="176" fontId="30" fillId="0" borderId="0" pivotButton="0" quotePrefix="0" xfId="0"/>
    <xf numFmtId="0" fontId="0" fillId="0" borderId="9" pivotButton="0" quotePrefix="0" xfId="0"/>
    <xf numFmtId="173" fontId="43" fillId="10" borderId="5" applyAlignment="1" pivotButton="0" quotePrefix="0" xfId="0">
      <alignment horizontal="center"/>
    </xf>
    <xf numFmtId="175" fontId="38" fillId="8" borderId="5" pivotButton="0" quotePrefix="0" xfId="0"/>
    <xf numFmtId="173" fontId="43" fillId="10" borderId="5" pivotButton="0" quotePrefix="0" xfId="0"/>
    <xf numFmtId="177" fontId="38" fillId="8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V7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8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9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0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1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2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3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J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K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L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M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N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U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V15" authorId="0" shapeId="0">
      <text>
        <t>Assumptions List PDF (no charts):
https://raw.githubusercontent.com/vengeanceaiUSC/Rainmaker/cursor/vengeanceaiusmodel8-d3ac/FICO/output/MODEL8_FICO_ASSUMPTIONS_LIST.pdf
Filing source for this row:
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6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7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8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V19" authorId="0" shapeId="0">
      <text>
        <t>Assumptions List PDF (no charts):
https://raw.githubusercontent.com/vengeanceaiUSC/Rainmaker/cursor/vengeanceaiusmodel8-d3ac/FICO/output/MODEL8_FICO_ASSUMPTIONS_LIST.pdf
Filing source for this row:
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V20" authorId="0" shapeId="0">
      <text>
        <t>Assumptions List PDF (no charts):
https://raw.githubusercontent.com/vengeanceaiUSC/Rainmaker/cursor/vengeanceaiusmodel8-d3ac/FICO/output/MODEL8_FICO_ASSUMPTIONS_LIST.pdf
Filing source for this row:
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
FORMULA: =3S!J13
WHY: Effective tax rate linked from the 3-statement so FCFF and WACC use the same t.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github.com/vengeanceaiUSC/Rainmaker/blob/cursor/vengeanceaiusmodel8-d3ac/FICO/output/MODEL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081454726000030/fico-20260630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www.sec.gov/Archives/edgar/data/814547/000119312526117936/d56220d8k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adamodar/New_Home_Page/home.htm" TargetMode="External" Id="rId10" /><Relationship Type="http://schemas.openxmlformats.org/officeDocument/2006/relationships/hyperlink" Target="https://pages.stern.nyu.edu/adamodar/New_Home_Page/datafile/vebitda.htm" TargetMode="External" Id="rId11" /><Relationship Type="http://schemas.openxmlformats.org/officeDocument/2006/relationships/hyperlink" Target="https://pages.stern.nyu.edu/adamodar/New_Home_Page/datafile/vebitda.htm" TargetMode="External" Id="rId12" /><Relationship Type="http://schemas.openxmlformats.org/officeDocument/2006/relationships/hyperlink" Target="https://pages.stern.nyu.edu/~adamodar/New_Home_Page/datafile/histfcff.html" TargetMode="External" Id="rId13" /><Relationship Type="http://schemas.openxmlformats.org/officeDocument/2006/relationships/hyperlink" Target="https://pages.stern.nyu.edu/~adamodar/New_Home_Page/datafile/histfcff.html" TargetMode="External" Id="rId14" /><Relationship Type="http://schemas.openxmlformats.org/officeDocument/2006/relationships/hyperlink" Target="https://pages.stern.nyu.edu/~adamodar/New_Home_Page/datafile/histimpl.html" TargetMode="External" Id="rId15" /><Relationship Type="http://schemas.openxmlformats.org/officeDocument/2006/relationships/hyperlink" Target="https://pages.stern.nyu.edu/~adamodar/New_Home_Page/datafile/histimpl.html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alphaspread.com/security/nyse/fico/relative-valuation/ratio/enterprise-value-to-ebitda" TargetMode="External" Id="rId18" /><Relationship Type="http://schemas.openxmlformats.org/officeDocument/2006/relationships/hyperlink" Target="https://www.fico.com/en/investors" TargetMode="External" Id="rId19" /><Relationship Type="http://schemas.openxmlformats.org/officeDocument/2006/relationships/hyperlink" Target="https://www.fico.com/en/investors" TargetMode="External" Id="rId20" /><Relationship Type="http://schemas.openxmlformats.org/officeDocument/2006/relationships/hyperlink" Target="https://vcpscanner.com/valuation/fico/relative" TargetMode="External" Id="rId21" /><Relationship Type="http://schemas.openxmlformats.org/officeDocument/2006/relationships/hyperlink" Target="https://vcpscanner.com/valuation/fico/relative" TargetMode="External" Id="rId22" /><Relationship Type="http://schemas.openxmlformats.org/officeDocument/2006/relationships/hyperlink" Target="https://fred.stlouisfed.org/series/DGS10" TargetMode="External" Id="rId23" /><Relationship Type="http://schemas.openxmlformats.org/officeDocument/2006/relationships/hyperlink" Target="https://fred.stlouisfed.org/series/DGS10" TargetMode="External" Id="rId24" /><Relationship Type="http://schemas.openxmlformats.org/officeDocument/2006/relationships/hyperlink" Target="https://www.sec.gov/Archives/edgar/data/814547/000081454726000031/exhibit991erq32026.htm" TargetMode="External" Id="rId25" /><Relationship Type="http://schemas.openxmlformats.org/officeDocument/2006/relationships/hyperlink" Target="https://www.sec.gov/Archives/edgar/data/814547/000081454726000031/exhibit991erq32026.htm" TargetMode="External" Id="rId26" /><Relationship Type="http://schemas.openxmlformats.org/officeDocument/2006/relationships/hyperlink" Target="https://raw.githubusercontent.com/vengeanceaiUSC/Rainmaker/cursor/vengeanceaiusmodel8-d3ac/FICO/output/MODEL8_FICO_ASSUMPTIONS_LIST.pdf" TargetMode="External" Id="rId27" /><Relationship Type="http://schemas.openxmlformats.org/officeDocument/2006/relationships/hyperlink" Target="https://raw.githubusercontent.com/vengeanceaiUSC/Rainmaker/cursor/vengeanceaiusmodel8-d3ac/FICO/output/MODEL8_FICO_ASSUMPTIONS_LIST.pdf" TargetMode="External" Id="rId28" /><Relationship Type="http://schemas.openxmlformats.org/officeDocument/2006/relationships/hyperlink" Target="https://github.com/vengeanceaiUSC/Rainmaker/blob/cursor/vengeanceaiusmodel8-d3ac/FICO/output/MODEL8_FICO_ASSUMPTIONS_LIST.pdf" TargetMode="External" Id="rId29" /><Relationship Type="http://schemas.openxmlformats.org/officeDocument/2006/relationships/hyperlink" Target="https://github.com/vengeanceaiUSC/Rainmaker/blob/cursor/vengeanceaiusmodel8-d3ac/FICO/output/MODEL8_FICO_ASSUMPTIONS_LIST.pdf" TargetMode="External" Id="rId30" /><Relationship Type="http://schemas.openxmlformats.org/officeDocument/2006/relationships/hyperlink" Target="https://home.treasury.gov/resource-center/data-chart-center/interest-rates/TextView?type=daily_treasury_yield_curve" TargetMode="External" Id="rId31" /><Relationship Type="http://schemas.openxmlformats.org/officeDocument/2006/relationships/hyperlink" Target="https://home.treasury.gov/resource-center/data-chart-center/interest-rates/TextView?type=daily_treasury_yield_curve" TargetMode="External" Id="rId32" /><Relationship Type="http://schemas.openxmlformats.org/officeDocument/2006/relationships/hyperlink" Target="https://finance.yahoo.com/quote/FICO/key-statistics/" TargetMode="External" Id="rId33" /><Relationship Type="http://schemas.openxmlformats.org/officeDocument/2006/relationships/hyperlink" Target="https://finance.yahoo.com/quote/FICO/key-statistics/" TargetMode="External" Id="rId34" /><Relationship Type="http://schemas.openxmlformats.org/officeDocument/2006/relationships/hyperlink" Target="https://finance.yahoo.com/quote/FICO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drawing" Target="/xl/drawings/drawing1.xml" Id="rId39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raw.githubusercontent.com/vengeanceaiUSC/Rainmaker/cursor/vengeanceaiusmodel8-d3ac/FICO/output/MODEL8_FICO_ASSUMPTIONS_LIST.pdf" TargetMode="External" Id="rId2" /><Relationship Type="http://schemas.openxmlformats.org/officeDocument/2006/relationships/hyperlink" Target="https://raw.githubusercontent.com/vengeanceaiUSC/Rainmaker/cursor/vengeanceaiusmodel8-d3ac/FICO/output/MODEL8_FICO_ASSUMPTIONS_LIST.pdf" TargetMode="External" Id="rId3" /><Relationship Type="http://schemas.openxmlformats.org/officeDocument/2006/relationships/hyperlink" Target="https://raw.githubusercontent.com/vengeanceaiUSC/Rainmaker/cursor/vengeanceaiusmodel8-d3ac/FICO/output/MODEL8_FICO_ASSUMPTIONS_LIST.pdf" TargetMode="External" Id="rId4" /><Relationship Type="http://schemas.openxmlformats.org/officeDocument/2006/relationships/hyperlink" Target="https://raw.githubusercontent.com/vengeanceaiUSC/Rainmaker/cursor/vengeanceaiusmodel8-d3ac/FICO/output/MODEL8_FICO_ASSUMPTIONS_LIST.pdf" TargetMode="External" Id="rId5" /><Relationship Type="http://schemas.openxmlformats.org/officeDocument/2006/relationships/hyperlink" Target="https://raw.githubusercontent.com/vengeanceaiUSC/Rainmaker/cursor/vengeanceaiusmodel8-d3ac/FICO/output/MODEL8_FICO_ASSUMPTIONS_LIST.pdf" TargetMode="External" Id="rId6" /><Relationship Type="http://schemas.openxmlformats.org/officeDocument/2006/relationships/hyperlink" Target="https://www.sec.gov/Archives/edgar/data/814547/000081454726000031/exhibit991erq32026.htm" TargetMode="External" Id="rId7" /><Relationship Type="http://schemas.openxmlformats.org/officeDocument/2006/relationships/hyperlink" Target="https://raw.githubusercontent.com/vengeanceaiUSC/Rainmaker/cursor/vengeanceaiusmodel8-d3ac/FICO/output/MODEL8_FICO_ASSUMPTIONS_LIST.pdf" TargetMode="External" Id="rId8" /><Relationship Type="http://schemas.openxmlformats.org/officeDocument/2006/relationships/hyperlink" Target="https://raw.githubusercontent.com/vengeanceaiUSC/Rainmaker/cursor/vengeanceaiusmodel8-d3ac/FICO/output/MODEL8_FICO_ASSUMPTIONS_LIST.pdf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raw.githubusercontent.com/vengeanceaiUSC/Rainmaker/cursor/vengeanceaiusmodel8-d3ac/FICO/output/MODEL8_FICO_ASSUMPTIONS_LIST.pdf" TargetMode="External" Id="rId11" /><Relationship Type="http://schemas.openxmlformats.org/officeDocument/2006/relationships/hyperlink" Target="https://raw.githubusercontent.com/vengeanceaiUSC/Rainmaker/cursor/vengeanceaiusmodel8-d3ac/FICO/output/MODEL8_FICO_ASSUMPTIONS_LIST.pdf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raw.githubusercontent.com/vengeanceaiUSC/Rainmaker/cursor/vengeanceaiusmodel8-d3ac/FICO/output/MODEL8_FICO_ASSUMPTIONS_LIST.pdf" TargetMode="External" Id="rId14" /><Relationship Type="http://schemas.openxmlformats.org/officeDocument/2006/relationships/hyperlink" Target="https://raw.githubusercontent.com/vengeanceaiUSC/Rainmaker/cursor/vengeanceaiusmodel8-d3ac/FICO/output/MODEL8_FICO_ASSUMPTIONS_LIST.pdf" TargetMode="External" Id="rId15" /><Relationship Type="http://schemas.openxmlformats.org/officeDocument/2006/relationships/hyperlink" Target="https://www.sec.gov/Archives/edgar/data/814547/000081454725000030/fico-20250930.htm" TargetMode="External" Id="rId16" /><Relationship Type="http://schemas.openxmlformats.org/officeDocument/2006/relationships/hyperlink" Target="https://raw.githubusercontent.com/vengeanceaiUSC/Rainmaker/cursor/vengeanceaiusmodel8-d3ac/FICO/output/MODEL8_FICO_ASSUMPTIONS_LIST.pdf" TargetMode="External" Id="rId17" /><Relationship Type="http://schemas.openxmlformats.org/officeDocument/2006/relationships/hyperlink" Target="https://raw.githubusercontent.com/vengeanceaiUSC/Rainmaker/cursor/vengeanceaiusmodel8-d3ac/FICO/output/MODEL8_FICO_ASSUMPTIONS_LIST.pdf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raw.githubusercontent.com/vengeanceaiUSC/Rainmaker/cursor/vengeanceaiusmodel8-d3ac/FICO/output/MODEL8_FICO_ASSUMPTIONS_LIST.pdf" TargetMode="External" Id="rId20" /><Relationship Type="http://schemas.openxmlformats.org/officeDocument/2006/relationships/hyperlink" Target="https://raw.githubusercontent.com/vengeanceaiUSC/Rainmaker/cursor/vengeanceaiusmodel8-d3ac/FICO/output/MODEL8_FICO_ASSUMPTIONS_LIST.pdf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raw.githubusercontent.com/vengeanceaiUSC/Rainmaker/cursor/vengeanceaiusmodel8-d3ac/FICO/output/MODEL8_FICO_ASSUMPTIONS_LIST.pdf" TargetMode="External" Id="rId23" /><Relationship Type="http://schemas.openxmlformats.org/officeDocument/2006/relationships/hyperlink" Target="https://raw.githubusercontent.com/vengeanceaiUSC/Rainmaker/cursor/vengeanceaiusmodel8-d3ac/FICO/output/MODEL8_FICO_ASSUMPTIONS_LIST.pdf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raw.githubusercontent.com/vengeanceaiUSC/Rainmaker/cursor/vengeanceaiusmodel8-d3ac/FICO/output/MODEL8_FICO_ASSUMPTIONS_LIST.pdf" TargetMode="External" Id="rId26" /><Relationship Type="http://schemas.openxmlformats.org/officeDocument/2006/relationships/hyperlink" Target="https://raw.githubusercontent.com/vengeanceaiUSC/Rainmaker/cursor/vengeanceaiusmodel8-d3ac/FICO/output/MODEL8_FICO_ASSUMPTIONS_LIST.pdf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raw.githubusercontent.com/vengeanceaiUSC/Rainmaker/cursor/vengeanceaiusmodel8-d3ac/FICO/output/MODEL8_FICO_ASSUMPTIONS_LIST.pdf" TargetMode="External" Id="rId29" /><Relationship Type="http://schemas.openxmlformats.org/officeDocument/2006/relationships/hyperlink" Target="https://raw.githubusercontent.com/vengeanceaiUSC/Rainmaker/cursor/vengeanceaiusmodel8-d3ac/FICO/output/MODEL8_FICO_ASSUMPTIONS_LIST.pdf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raw.githubusercontent.com/vengeanceaiUSC/Rainmaker/cursor/vengeanceaiusmodel8-d3ac/FICO/output/MODEL8_FICO_ASSUMPTIONS_LIST.pdf" TargetMode="External" Id="rId32" /><Relationship Type="http://schemas.openxmlformats.org/officeDocument/2006/relationships/hyperlink" Target="https://raw.githubusercontent.com/vengeanceaiUSC/Rainmaker/cursor/vengeanceaiusmodel8-d3ac/FICO/output/MODEL8_FICO_ASSUMPTIONS_LIST.pdf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raw.githubusercontent.com/vengeanceaiUSC/Rainmaker/cursor/vengeanceaiusmodel8-d3ac/FICO/output/MODEL8_FICO_ASSUMPTIONS_LIST.pdf" TargetMode="External" Id="rId35" /><Relationship Type="http://schemas.openxmlformats.org/officeDocument/2006/relationships/hyperlink" Target="https://raw.githubusercontent.com/vengeanceaiUSC/Rainmaker/cursor/vengeanceaiusmodel8-d3ac/FICO/output/MODEL8_FICO_ASSUMPTIONS_LIST.pdf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raw.githubusercontent.com/vengeanceaiUSC/Rainmaker/cursor/vengeanceaiusmodel8-d3ac/FICO/output/MODEL8_FICO_ASSUMPTIONS_LIST.pdf" TargetMode="External" Id="rId38" /><Relationship Type="http://schemas.openxmlformats.org/officeDocument/2006/relationships/hyperlink" Target="https://raw.githubusercontent.com/vengeanceaiUSC/Rainmaker/cursor/vengeanceaiusmodel8-d3ac/FICO/output/MODEL8_FICO_ASSUMPTIONS_LIST.pdf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raw.githubusercontent.com/vengeanceaiUSC/Rainmaker/cursor/vengeanceaiusmodel8-d3ac/FICO/output/MODEL8_FICO_ASSUMPTIONS_LIST.pdf" TargetMode="External" Id="rId41" /><Relationship Type="http://schemas.openxmlformats.org/officeDocument/2006/relationships/hyperlink" Target="https://raw.githubusercontent.com/vengeanceaiUSC/Rainmaker/cursor/vengeanceaiusmodel8-d3ac/FICO/output/MODEL8_FICO_ASSUMPTIONS_LIST.pdf" TargetMode="External" Id="rId42" /><Relationship Type="http://schemas.openxmlformats.org/officeDocument/2006/relationships/hyperlink" Target="https://pages.stern.nyu.edu/~adamodar/New_Home_Page/datafile/histfcff.html" TargetMode="External" Id="rId43" /><Relationship Type="http://schemas.openxmlformats.org/officeDocument/2006/relationships/hyperlink" Target="https://raw.githubusercontent.com/vengeanceaiUSC/Rainmaker/cursor/vengeanceaiusmodel8-d3ac/FICO/output/MODEL8_FICO_ASSUMPTIONS_LIST.pdf" TargetMode="External" Id="rId44" /><Relationship Type="http://schemas.openxmlformats.org/officeDocument/2006/relationships/hyperlink" Target="https://raw.githubusercontent.com/vengeanceaiUSC/Rainmaker/cursor/vengeanceaiusmodel8-d3ac/FICO/output/MODEL8_FICO_ASSUMPTIONS_LIST.pdf" TargetMode="External" Id="rId45" /><Relationship Type="http://schemas.openxmlformats.org/officeDocument/2006/relationships/hyperlink" Target="https://corporatefinanceinstitute.com/" TargetMode="External" Id="rId46" /><Relationship Type="http://schemas.openxmlformats.org/officeDocument/2006/relationships/drawing" Target="/xl/drawings/drawing2.xml" Id="rId4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github.com/vengeanceaiUSC/Rainmaker/blob/cursor/vengeanceaiusmodel8-d3ac/FICO/output/MODEL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4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vengeanceaiUSCMODEL8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vengeanceaiUSCMODEL8: NWC=2.5% of sales; SG&amp;A floor 15%/−75bps; CapEx→1%; exit base 17.5x (peer median ~18.1x; bull 25x; bear 12.8x). WACC=9.24%. Click Cover Source Index (cols E–G) or 3S/DCF col U/V for filings. Assumptions List PDF (no charts) linked in C22.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162" t="inlineStr">
        <is>
          <t>⬇ Download Assumptions List PDF (no charts)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3" t="inlineStr">
        <is>
          <t>View PDF on GitHub</t>
        </is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4" t="inlineStr">
        <is>
          <t>vengeanceaiUSCMODEL8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5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66" t="inlineStr">
        <is>
          <t>Source</t>
        </is>
      </c>
      <c r="F26" s="166" t="inlineStr">
        <is>
          <t>Clickable link</t>
        </is>
      </c>
      <c r="G26" s="166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67" t="inlineStr">
        <is>
          <t>10-K FY2025</t>
        </is>
      </c>
      <c r="F27" s="168" t="inlineStr">
        <is>
          <t>10-K FY2025</t>
        </is>
      </c>
      <c r="G27" s="168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67" t="inlineStr">
        <is>
          <t>10-Q Q3 FY2026</t>
        </is>
      </c>
      <c r="F28" s="168" t="inlineStr">
        <is>
          <t>10-Q Q3 FY2026</t>
        </is>
      </c>
      <c r="G28" s="168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69" t="inlineStr">
        <is>
          <t>8-K 6.250% notes</t>
        </is>
      </c>
      <c r="F29" s="170" t="inlineStr">
        <is>
          <t>8-K 6.250% notes</t>
        </is>
      </c>
      <c r="G29" s="170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1" t="inlineStr">
        <is>
          <t>Damodaran ERP</t>
        </is>
      </c>
      <c r="F30" s="172" t="inlineStr">
        <is>
          <t>Damodaran ERP</t>
        </is>
      </c>
      <c r="G30" s="172" t="inlineStr">
        <is>
          <t>https://pages.stern.nyu.edu/adamodar/New_Home_Page/home.htm</t>
        </is>
      </c>
    </row>
    <row r="31" ht="19.5" customHeight="1">
      <c r="E31" s="171" t="inlineStr">
        <is>
          <t>Damodaran EV/EBITDA by sector</t>
        </is>
      </c>
      <c r="F31" s="172" t="inlineStr">
        <is>
          <t>Damodaran EV/EBITDA by sector</t>
        </is>
      </c>
      <c r="G31" s="172" t="inlineStr">
        <is>
          <t>https://pages.stern.nyu.edu/adamodar/New_Home_Page/datafile/vebitda.htm</t>
        </is>
      </c>
    </row>
    <row r="32" ht="19.5" customHeight="1">
      <c r="E32" s="171" t="inlineStr">
        <is>
          <t>Damodaran FCFF</t>
        </is>
      </c>
      <c r="F32" s="172" t="inlineStr">
        <is>
          <t>Damodaran FCFF</t>
        </is>
      </c>
      <c r="G32" s="172" t="inlineStr">
        <is>
          <t>https://pages.stern.nyu.edu/~adamodar/New_Home_Page/datafile/histfcff.html</t>
        </is>
      </c>
    </row>
    <row r="33" ht="19.5" customHeight="1">
      <c r="E33" s="171" t="inlineStr">
        <is>
          <t>Damodaran implied ERP table</t>
        </is>
      </c>
      <c r="F33" s="172" t="inlineStr">
        <is>
          <t>Damodaran implied ERP table</t>
        </is>
      </c>
      <c r="G33" s="172" t="inlineStr">
        <is>
          <t>https://pages.stern.nyu.edu/~adamodar/New_Home_Page/datafile/histimpl.html</t>
        </is>
      </c>
    </row>
    <row r="34" ht="19.5" customHeight="1">
      <c r="E34" s="171" t="inlineStr">
        <is>
          <t>FICO EV/EBITDA (Alpha Spread)</t>
        </is>
      </c>
      <c r="F34" s="172" t="inlineStr">
        <is>
          <t>FICO EV/EBITDA (Alpha Spread)</t>
        </is>
      </c>
      <c r="G34" s="172" t="inlineStr">
        <is>
          <t>https://www.alphaspread.com/security/nyse/fico/relative-valuation/ratio/enterprise-value-to-ebitda</t>
        </is>
      </c>
    </row>
    <row r="35" ht="19.5" customHeight="1">
      <c r="E35" s="171" t="inlineStr">
        <is>
          <t>FICO IR</t>
        </is>
      </c>
      <c r="F35" s="172" t="inlineStr">
        <is>
          <t>FICO IR</t>
        </is>
      </c>
      <c r="G35" s="172" t="inlineStr">
        <is>
          <t>https://www.fico.com/en/investors</t>
        </is>
      </c>
    </row>
    <row r="36" ht="19.5" customHeight="1">
      <c r="E36" s="171" t="inlineStr">
        <is>
          <t>FICO peer EV/EBITDA comps (VCP Scanner)</t>
        </is>
      </c>
      <c r="F36" s="172" t="inlineStr">
        <is>
          <t>FICO peer EV/EBITDA comps (VCP Scanner)</t>
        </is>
      </c>
      <c r="G36" s="172" t="inlineStr">
        <is>
          <t>https://vcpscanner.com/valuation/fico/relative</t>
        </is>
      </c>
    </row>
    <row r="37" ht="19.5" customHeight="1">
      <c r="E37" s="171" t="inlineStr">
        <is>
          <t>FRED DGS10</t>
        </is>
      </c>
      <c r="F37" s="172" t="inlineStr">
        <is>
          <t>FRED DGS10</t>
        </is>
      </c>
      <c r="G37" s="172" t="inlineStr">
        <is>
          <t>https://fred.stlouisfed.org/series/DGS10</t>
        </is>
      </c>
    </row>
    <row r="38" ht="19.5" customHeight="1">
      <c r="E38" s="171" t="inlineStr">
        <is>
          <t>FY2026 guidance EX-99.1</t>
        </is>
      </c>
      <c r="F38" s="172" t="inlineStr">
        <is>
          <t>FY2026 guidance EX-99.1</t>
        </is>
      </c>
      <c r="G38" s="172" t="inlineStr">
        <is>
          <t>https://www.sec.gov/Archives/edgar/data/814547/000081454726000031/exhibit991erq32026.htm</t>
        </is>
      </c>
    </row>
    <row r="39" ht="19.5" customHeight="1">
      <c r="E39" s="171" t="inlineStr">
        <is>
          <t>MODEL8 Assumptions List (PDF download)</t>
        </is>
      </c>
      <c r="F39" s="172" t="inlineStr">
        <is>
          <t>MODEL8 Assumptions List (PDF download)</t>
        </is>
      </c>
      <c r="G39" s="172" t="inlineStr">
        <is>
          <t>https://raw.githubusercontent.com/vengeanceaiUSC/Rainmaker/cursor/vengeanceaiusmodel8-d3ac/FICO/output/MODEL8_FICO_ASSUMPTIONS_LIST.pdf</t>
        </is>
      </c>
    </row>
    <row r="40" ht="19.5" customHeight="1">
      <c r="E40" s="171" t="inlineStr">
        <is>
          <t>MODEL8 Assumptions List (PDF view)</t>
        </is>
      </c>
      <c r="F40" s="172" t="inlineStr">
        <is>
          <t>MODEL8 Assumptions List (PDF view)</t>
        </is>
      </c>
      <c r="G40" s="172" t="inlineStr">
        <is>
          <t>https://github.com/vengeanceaiUSC/Rainmaker/blob/cursor/vengeanceaiusmodel8-d3ac/FICO/output/MODEL8_FICO_ASSUMPTIONS_LIST.pdf</t>
        </is>
      </c>
    </row>
    <row r="41" ht="19.5" customHeight="1">
      <c r="E41" s="171" t="inlineStr">
        <is>
          <t>US Treasury yield curve</t>
        </is>
      </c>
      <c r="F41" s="172" t="inlineStr">
        <is>
          <t>US Treasury yield curve</t>
        </is>
      </c>
      <c r="G41" s="172" t="inlineStr">
        <is>
          <t>https://home.treasury.gov/resource-center/data-chart-center/interest-rates/TextView?type=daily_treasury_yield_curve</t>
        </is>
      </c>
    </row>
    <row r="42" ht="19.5" customHeight="1">
      <c r="E42" s="171" t="inlineStr">
        <is>
          <t>Yahoo FICO</t>
        </is>
      </c>
      <c r="F42" s="172" t="inlineStr">
        <is>
          <t>Yahoo FICO</t>
        </is>
      </c>
      <c r="G42" s="172" t="inlineStr">
        <is>
          <t>https://finance.yahoo.com/quote/FICO/key-statistics/</t>
        </is>
      </c>
    </row>
    <row r="43" ht="19.5" customHeight="1">
      <c r="E43" s="171" t="inlineStr">
        <is>
          <t>Yahoo FICO quote</t>
        </is>
      </c>
      <c r="F43" s="172" t="inlineStr">
        <is>
          <t>Yahoo FICO quote</t>
        </is>
      </c>
      <c r="G43" s="172" t="inlineStr">
        <is>
          <t>https://finance.yahoo.com/quote/FICO/</t>
        </is>
      </c>
    </row>
    <row r="44" ht="19.5" customHeight="1">
      <c r="E44" s="171" t="inlineStr">
        <is>
          <t>companyfacts</t>
        </is>
      </c>
      <c r="F44" s="172" t="inlineStr">
        <is>
          <t>companyfacts</t>
        </is>
      </c>
      <c r="G44" s="172" t="inlineStr">
        <is>
          <t>https://data.sec.gov/api/xbrl/companyfacts/CIK0000814547.json</t>
        </is>
      </c>
    </row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C23" r:id="rId2"/>
    <hyperlink xmlns:r="http://schemas.openxmlformats.org/officeDocument/2006/relationships" ref="F27" r:id="rId3"/>
    <hyperlink xmlns:r="http://schemas.openxmlformats.org/officeDocument/2006/relationships" ref="G27" r:id="rId4"/>
    <hyperlink xmlns:r="http://schemas.openxmlformats.org/officeDocument/2006/relationships" ref="F28" r:id="rId5"/>
    <hyperlink xmlns:r="http://schemas.openxmlformats.org/officeDocument/2006/relationships" ref="G28" r:id="rId6"/>
    <hyperlink xmlns:r="http://schemas.openxmlformats.org/officeDocument/2006/relationships" ref="F29" r:id="rId7"/>
    <hyperlink xmlns:r="http://schemas.openxmlformats.org/officeDocument/2006/relationships" ref="G29" r:id="rId8"/>
    <hyperlink xmlns:r="http://schemas.openxmlformats.org/officeDocument/2006/relationships" ref="F30" r:id="rId9"/>
    <hyperlink xmlns:r="http://schemas.openxmlformats.org/officeDocument/2006/relationships" ref="G30" r:id="rId10"/>
    <hyperlink xmlns:r="http://schemas.openxmlformats.org/officeDocument/2006/relationships" ref="F31" r:id="rId11"/>
    <hyperlink xmlns:r="http://schemas.openxmlformats.org/officeDocument/2006/relationships" ref="G31" r:id="rId12"/>
    <hyperlink xmlns:r="http://schemas.openxmlformats.org/officeDocument/2006/relationships" ref="F32" r:id="rId13"/>
    <hyperlink xmlns:r="http://schemas.openxmlformats.org/officeDocument/2006/relationships" ref="G32" r:id="rId14"/>
    <hyperlink xmlns:r="http://schemas.openxmlformats.org/officeDocument/2006/relationships" ref="F33" r:id="rId15"/>
    <hyperlink xmlns:r="http://schemas.openxmlformats.org/officeDocument/2006/relationships" ref="G33" r:id="rId16"/>
    <hyperlink xmlns:r="http://schemas.openxmlformats.org/officeDocument/2006/relationships" ref="F34" r:id="rId17"/>
    <hyperlink xmlns:r="http://schemas.openxmlformats.org/officeDocument/2006/relationships" ref="G34" r:id="rId18"/>
    <hyperlink xmlns:r="http://schemas.openxmlformats.org/officeDocument/2006/relationships" ref="F35" r:id="rId19"/>
    <hyperlink xmlns:r="http://schemas.openxmlformats.org/officeDocument/2006/relationships" ref="G35" r:id="rId20"/>
    <hyperlink xmlns:r="http://schemas.openxmlformats.org/officeDocument/2006/relationships" ref="F36" r:id="rId21"/>
    <hyperlink xmlns:r="http://schemas.openxmlformats.org/officeDocument/2006/relationships" ref="G36" r:id="rId22"/>
    <hyperlink xmlns:r="http://schemas.openxmlformats.org/officeDocument/2006/relationships" ref="F37" r:id="rId23"/>
    <hyperlink xmlns:r="http://schemas.openxmlformats.org/officeDocument/2006/relationships" ref="G37" r:id="rId24"/>
    <hyperlink xmlns:r="http://schemas.openxmlformats.org/officeDocument/2006/relationships" ref="F38" r:id="rId25"/>
    <hyperlink xmlns:r="http://schemas.openxmlformats.org/officeDocument/2006/relationships" ref="G38" r:id="rId26"/>
    <hyperlink xmlns:r="http://schemas.openxmlformats.org/officeDocument/2006/relationships" ref="F39" r:id="rId27"/>
    <hyperlink xmlns:r="http://schemas.openxmlformats.org/officeDocument/2006/relationships" ref="G39" r:id="rId28"/>
    <hyperlink xmlns:r="http://schemas.openxmlformats.org/officeDocument/2006/relationships" ref="F40" r:id="rId29"/>
    <hyperlink xmlns:r="http://schemas.openxmlformats.org/officeDocument/2006/relationships" ref="G40" r:id="rId30"/>
    <hyperlink xmlns:r="http://schemas.openxmlformats.org/officeDocument/2006/relationships" ref="F41" r:id="rId31"/>
    <hyperlink xmlns:r="http://schemas.openxmlformats.org/officeDocument/2006/relationships" ref="G41" r:id="rId32"/>
    <hyperlink xmlns:r="http://schemas.openxmlformats.org/officeDocument/2006/relationships" ref="F42" r:id="rId33"/>
    <hyperlink xmlns:r="http://schemas.openxmlformats.org/officeDocument/2006/relationships" ref="G42" r:id="rId34"/>
    <hyperlink xmlns:r="http://schemas.openxmlformats.org/officeDocument/2006/relationships" ref="F43" r:id="rId35"/>
    <hyperlink xmlns:r="http://schemas.openxmlformats.org/officeDocument/2006/relationships" ref="G43" r:id="rId36"/>
    <hyperlink xmlns:r="http://schemas.openxmlformats.org/officeDocument/2006/relationships" ref="F44" r:id="rId37"/>
    <hyperlink xmlns:r="http://schemas.openxmlformats.org/officeDocument/2006/relationships" ref="G44" r:id="rId38"/>
  </hyperlinks>
  <pageMargins left="0.7" right="0.7" top="0.75" bottom="0.75" header="0.3" footer="0.3"/>
  <pageSetup orientation="landscape" scale="64"/>
  <drawing xmlns:r="http://schemas.openxmlformats.org/officeDocument/2006/relationships" r:id="rId3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  <col width="28" customWidth="1" min="23" max="23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3" t="n">
        <v>2021</v>
      </c>
      <c r="F2" s="174">
        <f>+E2+1</f>
        <v/>
      </c>
      <c r="G2" s="174">
        <f>+F2+1</f>
        <v/>
      </c>
      <c r="H2" s="174">
        <f>+G2+1</f>
        <v/>
      </c>
      <c r="I2" s="174">
        <f>+H2+1</f>
        <v/>
      </c>
      <c r="J2" s="175">
        <f>+I2+1</f>
        <v/>
      </c>
      <c r="K2" s="175">
        <f>+J2+1</f>
        <v/>
      </c>
      <c r="L2" s="175">
        <f>+K2+1</f>
        <v/>
      </c>
      <c r="M2" s="175">
        <f>+L2+1</f>
        <v/>
      </c>
      <c r="N2" s="175">
        <f>+M2+1</f>
        <v/>
      </c>
    </row>
    <row r="3">
      <c r="B3" s="19" t="inlineStr">
        <is>
          <t>Balance Sheet Check</t>
        </is>
      </c>
      <c r="E3" s="176">
        <f>IFERROR(IF(ABS(E57)&gt;1,"ERROR","OK"),"OK")</f>
        <v/>
      </c>
      <c r="F3" s="176">
        <f>IFERROR(IF(ABS(F57)&gt;1,"ERROR","OK"),"OK")</f>
        <v/>
      </c>
      <c r="G3" s="176">
        <f>IFERROR(IF(ABS(G57)&gt;1,"ERROR","OK"),"OK")</f>
        <v/>
      </c>
      <c r="H3" s="176">
        <f>IFERROR(IF(ABS(H57)&gt;1,"ERROR","OK"),"OK")</f>
        <v/>
      </c>
      <c r="I3" s="176">
        <f>IFERROR(IF(ABS(I57)&gt;1,"ERROR","OK"),"OK")</f>
        <v/>
      </c>
      <c r="J3" s="176">
        <f>IFERROR(IF(ABS(J57)&gt;1,"ERROR","OK"),"OK")</f>
        <v/>
      </c>
      <c r="K3" s="176">
        <f>IFERROR(IF(ABS(K57)&gt;1,"ERROR","OK"),"OK")</f>
        <v/>
      </c>
      <c r="L3" s="176">
        <f>IFERROR(IF(ABS(L57)&gt;1,"ERROR","OK"),"OK")</f>
        <v/>
      </c>
      <c r="M3" s="176">
        <f>IFERROR(IF(ABS(M57)&gt;1,"ERROR","OK"),"OK")</f>
        <v/>
      </c>
      <c r="N3" s="176">
        <f>IFERROR(IF(ABS(N57)&gt;1,"ERROR","OK"),"OK")</f>
        <v/>
      </c>
      <c r="P3" s="177" t="inlineStr">
        <is>
          <t>ASSUMPTIONS EXPLAINED</t>
        </is>
      </c>
      <c r="U3" s="178">
        <f>HYPERLINK("https://raw.githubusercontent.com/vengeanceaiUSC/Rainmaker/cursor/vengeanceaiusmodel8-d3ac/FICO/output/MODEL8_FICO_ASSUMPTIONS_LIST.pdf","⬇ CLICK HERE — Download Assumptions List PDF (no charts)")</f>
        <v/>
      </c>
      <c r="V3" s="179" t="n"/>
    </row>
    <row r="4">
      <c r="A4" s="180">
        <f>HYPERLINK("https://raw.githubusercontent.com/vengeanceaiUSC/Rainmaker/cursor/vengeanceaiusmodel8-d3ac/FICO/output/MODEL8_FICO_ASSUMPTIONS_LIST.pdf","⬇ Download Assumptions List PDF")</f>
        <v/>
      </c>
      <c r="B4" s="181" t="inlineStr">
        <is>
          <t>vengeanceaiUSCMODEL8: hover J–N for WHY+SOURCE; col U = filing source; col W = download Assumptions List PDF (no charts)</t>
        </is>
      </c>
      <c r="P4" s="182" t="inlineStr">
        <is>
          <t>Yellow = policy. Green = FY25-linked equations. Orange bar above / Source URL column = Assumptions List PDF.</t>
        </is>
      </c>
      <c r="U4" s="183">
        <f>HYPERLINK("https://raw.githubusercontent.com/vengeanceaiUSC/Rainmaker/cursor/vengeanceaiusmodel8-d3ac/FICO/output/MODEL8_FICO_ASSUMPTIONS_LIST.pdf","https://raw.githubusercontent.com/vengeanceaiUSC/Rainmaker/cursor/vengeanceaiusmodel8-d3ac/FICO/output/MODEL8_FICO_ASSUMPTIONS_LIST.pdf")</f>
        <v/>
      </c>
      <c r="V4" s="179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4" t="inlineStr">
        <is>
          <t>Row</t>
        </is>
      </c>
      <c r="Q5" s="184" t="inlineStr">
        <is>
          <t>Assumption</t>
        </is>
      </c>
      <c r="R5" s="184" t="inlineStr">
        <is>
          <t>What it is</t>
        </is>
      </c>
      <c r="S5" s="184" t="inlineStr">
        <is>
          <t>How set in model</t>
        </is>
      </c>
      <c r="T5" s="184" t="inlineStr">
        <is>
          <t>Why this choice</t>
        </is>
      </c>
      <c r="U5" s="184" t="inlineStr">
        <is>
          <t>Source (click)</t>
        </is>
      </c>
      <c r="V5" s="184" t="inlineStr">
        <is>
          <t>Assumptions PDF + Source URL</t>
        </is>
      </c>
      <c r="W5" s="185" t="inlineStr">
        <is>
          <t>Assumptions PDF (click)</t>
        </is>
      </c>
    </row>
    <row r="6" hidden="1" outlineLevel="1" ht="36" customFormat="1" customHeight="1" s="19">
      <c r="B6" s="18" t="inlineStr">
        <is>
          <t>Income statement</t>
        </is>
      </c>
      <c r="D6" s="47" t="n"/>
      <c r="P6" s="186" t="inlineStr">
        <is>
          <t>PDF</t>
        </is>
      </c>
      <c r="Q6" s="186" t="inlineStr">
        <is>
          <t>ALL ASSUMPTIONS LIST (PDF)</t>
        </is>
      </c>
      <c r="R6" s="187" t="inlineStr">
        <is>
          <t>Downloadable plain list of every assumption (no charts).</t>
        </is>
      </c>
      <c r="S6" s="187" t="inlineStr">
        <is>
          <t>Open this PDF for the full assumptions list outside the workbook.</t>
        </is>
      </c>
      <c r="T6" s="187" t="inlineStr">
        <is>
          <t>Same PDF linked on every assumption row in column V.</t>
        </is>
      </c>
      <c r="U6" s="188">
        <f>HYPERLINK("https://raw.githubusercontent.com/vengeanceaiUSC/Rainmaker/cursor/vengeanceaiusmodel8-d3ac/FICO/output/MODEL8_FICO_ASSUMPTIONS_LIST.pdf","⬇ Download Assumptions List PDF")</f>
        <v/>
      </c>
      <c r="V6" s="188">
        <f>HYPERLINK("https://raw.githubusercontent.com/vengeanceaiUSC/Rainmaker/cursor/vengeanceaiusmodel8-d3ac/FICO/output/MODEL8_FICO_ASSUMPTIONS_LIST.pdf","https://raw.githubusercontent.com/vengeanceaiUSC/Rainmaker/cursor/vengeanceaiusmodel8-d3ac/FICO/output/MODEL8_FICO_ASSUMPTIONS_LIST.pdf")</f>
        <v/>
      </c>
      <c r="W6" s="189">
        <f>HYPERLINK("https://raw.githubusercontent.com/vengeanceaiUSC/Rainmaker/cursor/vengeanceaiusmodel8-d3ac/FICO/output/MODEL8_FICO_ASSUMPTIONS_LIST.pdf","⬇ Download Assumptions List PDF")</f>
        <v/>
      </c>
    </row>
    <row r="7" hidden="1" outlineLevel="1" ht="40" customHeight="1">
      <c r="B7" s="19" t="inlineStr">
        <is>
          <t>Revenue Growth (% Change)</t>
        </is>
      </c>
      <c r="C7" s="19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https://raw.githubusercontent.com/vengeanceaiUSC/Rainmaker/cursor/vengeanceaiusmodel8-d3ac/FICO/output/MODEL8_FICO_ASSUMPTIONS_LIST.pdf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1" t="n">
        <v>0.27</v>
      </c>
      <c r="K7" s="191" t="n">
        <v>0.16</v>
      </c>
      <c r="L7" s="191" t="n">
        <v>0.13</v>
      </c>
      <c r="M7" s="191" t="n">
        <v>0.1</v>
      </c>
      <c r="N7" s="191" t="n">
        <v>0.07000000000000001</v>
      </c>
      <c r="P7" s="192" t="n">
        <v>7</v>
      </c>
      <c r="Q7" s="192" t="inlineStr">
        <is>
          <t>Revenue Growth</t>
        </is>
      </c>
      <c r="R7" s="193" t="inlineStr">
        <is>
          <t>Year-over-year % increase in revenue for each forecast year.</t>
        </is>
      </c>
      <c r="S7" s="193" t="inlineStr">
        <is>
          <t>Yellow POLICY input: 27% / 16% / 13% / 10% / 7%.</t>
        </is>
      </c>
      <c r="T7" s="19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89">
        <f>HYPERLINK("https://www.sec.gov/Archives/edgar/data/814547/000081454726000031/exhibit991erq32026.htm","SEC EX-99.1 Q3 FY2026 — updated FY2026 revenue guidance $2.53B")</f>
        <v/>
      </c>
      <c r="V7" s="189">
        <f>HYPERLINK("https://raw.githubusercontent.com/vengeanceaiUSC/Rainmaker/cursor/vengeanceaiusmodel8-d3ac/FICO/output/MODEL8_FICO_ASSUMPTIONS_LIST.pdf","⬇ Assumptions PDF (full list)")</f>
        <v/>
      </c>
      <c r="W7" s="189">
        <f>HYPERLINK("https://raw.githubusercontent.com/vengeanceaiUSC/Rainmaker/cursor/vengeanceaiusmodel8-d3ac/FICO/output/MODEL8_FICO_ASSUMPTIONS_LIST.pdf","⬇ Assumptions PDF")</f>
        <v/>
      </c>
    </row>
    <row r="8" hidden="1" outlineLevel="1" ht="40" customHeight="1">
      <c r="B8" s="19" t="inlineStr">
        <is>
          <t>Cost of Goods Sold (% of Revenue)</t>
        </is>
      </c>
      <c r="C8" s="190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 | ASSUMPTIONS PDF: https://raw.githubusercontent.com/vengeanceaiUSC/Rainmaker/cursor/vengeanceaiusmodel8-d3ac/FICO/output/MODEL8_FICO_ASSUMPTIONS_LIST.pdf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4">
        <f>$I$25/$I$24</f>
        <v/>
      </c>
      <c r="K8" s="194">
        <f>$I$25/$I$24</f>
        <v/>
      </c>
      <c r="L8" s="194">
        <f>$I$25/$I$24</f>
        <v/>
      </c>
      <c r="M8" s="194">
        <f>$I$25/$I$24</f>
        <v/>
      </c>
      <c r="N8" s="194">
        <f>$I$25/$I$24</f>
        <v/>
      </c>
      <c r="P8" s="192" t="n">
        <v>8</v>
      </c>
      <c r="Q8" s="192" t="inlineStr">
        <is>
          <t>COGS % of Revenue</t>
        </is>
      </c>
      <c r="R8" s="193" t="inlineStr">
        <is>
          <t>Cost of revenues as a % of sales (gross margin = 1 − this).</t>
        </is>
      </c>
      <c r="S8" s="193" t="inlineStr">
        <is>
          <t>Excel equation: I25/I24 (FY25 COGS ÷ FY25 Revenue) held flat.</t>
        </is>
      </c>
      <c r="T8" s="193" t="inlineStr">
        <is>
          <t>Locks in latest reported cost structure (~17.8%). Scores mix is high-margin; holding FY25 is conservative vs further mix shift.</t>
        </is>
      </c>
      <c r="U8" s="189">
        <f>HYPERLINK("https://www.sec.gov/Archives/edgar/data/814547/000081454725000030/fico-20250930.htm","SEC 10-K FY2025 — Cost of revenues / Total revenues")</f>
        <v/>
      </c>
      <c r="V8" s="189">
        <f>HYPERLINK("https://raw.githubusercontent.com/vengeanceaiUSC/Rainmaker/cursor/vengeanceaiusmodel8-d3ac/FICO/output/MODEL8_FICO_ASSUMPTIONS_LIST.pdf","⬇ Assumptions PDF (full list)")</f>
        <v/>
      </c>
      <c r="W8" s="189">
        <f>HYPERLINK("https://raw.githubusercontent.com/vengeanceaiUSC/Rainmaker/cursor/vengeanceaiusmodel8-d3ac/FICO/output/MODEL8_FICO_ASSUMPTIONS_LIST.pdf","⬇ Assumptions PDF")</f>
        <v/>
      </c>
    </row>
    <row r="9" hidden="1" outlineLevel="1" ht="40" customHeight="1">
      <c r="B9" s="19" t="inlineStr">
        <is>
          <t>SG&amp;A % of Revenue (floor 15%, −75bps×t)</t>
        </is>
      </c>
      <c r="C9" s="190" t="inlineStr">
        <is>
          <t>WHY: MODEL8: restore software operating leverage. Floor 15%; grind −75 bps/yr so SG&amp;A can scale toward mid-teens as revenu…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https://raw.githubusercontent.com/vengeanceaiUSC/Rainmaker/cursor/vengeanceaiusmodel8-d3ac/FICO/output/MODEL8_FICO_ASSUMPTIONS_LIST.pdf</t>
        </is>
      </c>
      <c r="D9" s="47" t="n"/>
      <c r="E9" s="195">
        <f>E28</f>
        <v/>
      </c>
      <c r="F9" s="195">
        <f>F28</f>
        <v/>
      </c>
      <c r="G9" s="195">
        <f>G28</f>
        <v/>
      </c>
      <c r="H9" s="195">
        <f>H28</f>
        <v/>
      </c>
      <c r="I9" s="195">
        <f>I28</f>
        <v/>
      </c>
      <c r="J9" s="196">
        <f>MAX(0.15,(($I$28-10922.0)/$I$24)-0.0075)</f>
        <v/>
      </c>
      <c r="K9" s="196">
        <f>MAX(0.15,(($I$28-10922.0)/$I$24)-0.015)</f>
        <v/>
      </c>
      <c r="L9" s="196">
        <f>MAX(0.15,(($I$28-10922.0)/$I$24)-0.0225)</f>
        <v/>
      </c>
      <c r="M9" s="196">
        <f>MAX(0.15,(($I$28-10922.0)/$I$24)-0.03)</f>
        <v/>
      </c>
      <c r="N9" s="196">
        <f>MAX(0.15,(($I$28-10922.0)/$I$24)-0.0375)</f>
        <v/>
      </c>
      <c r="P9" s="192" t="n">
        <v>9</v>
      </c>
      <c r="Q9" s="192" t="inlineStr">
        <is>
          <t>SG&amp;A % of Revenue</t>
        </is>
      </c>
      <c r="R9" s="193" t="inlineStr">
        <is>
          <t>Operating opex (SG&amp;A) as % of sales.</t>
        </is>
      </c>
      <c r="S9" s="193" t="inlineStr">
        <is>
          <t>Equation: MAX(15%, (I28 − 10,922)/I24 − 75bps × year). Strips FY25 restructuring; then −0.75% of sales each year.</t>
        </is>
      </c>
      <c r="T9" s="193" t="inlineStr">
        <is>
          <t>MODEL8: restore software operating leverage. Floor 15%; grind −75 bps/yr so SG&amp;A can scale toward mid-teens as revenue expands (not stuck ~24–25%).</t>
        </is>
      </c>
      <c r="U9" s="189">
        <f>HYPERLINK("https://www.sec.gov/Archives/edgar/data/814547/000081454725000030/fico-20250930.htm","SEC 10-K FY2025 — SG&amp;A + restructuring note")</f>
        <v/>
      </c>
      <c r="V9" s="189">
        <f>HYPERLINK("https://raw.githubusercontent.com/vengeanceaiUSC/Rainmaker/cursor/vengeanceaiusmodel8-d3ac/FICO/output/MODEL8_FICO_ASSUMPTIONS_LIST.pdf","⬇ Assumptions PDF (full list)")</f>
        <v/>
      </c>
      <c r="W9" s="189">
        <f>HYPERLINK("https://raw.githubusercontent.com/vengeanceaiUSC/Rainmaker/cursor/vengeanceaiusmodel8-d3ac/FICO/output/MODEL8_FICO_ASSUMPTIONS_LIST.pdf","⬇ Assumptions PDF")</f>
        <v/>
      </c>
    </row>
    <row r="10" hidden="1" outlineLevel="1" ht="40" customHeight="1">
      <c r="B10" s="19" t="inlineStr">
        <is>
          <t>R&amp;D % of Revenue (equation)</t>
        </is>
      </c>
      <c r="C10" s="19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https://raw.githubusercontent.com/vengeanceaiUSC/Rainmaker/cursor/vengeanceaiusmodel8-d3ac/FICO/output/MODEL8_FICO_ASSUMPTIONS_LIST.pdf</t>
        </is>
      </c>
      <c r="D10" s="47" t="n"/>
      <c r="E10" s="195">
        <f>E29</f>
        <v/>
      </c>
      <c r="F10" s="195">
        <f>F29</f>
        <v/>
      </c>
      <c r="G10" s="195">
        <f>G29</f>
        <v/>
      </c>
      <c r="H10" s="195">
        <f>H29</f>
        <v/>
      </c>
      <c r="I10" s="195">
        <f>I29</f>
        <v/>
      </c>
      <c r="J10" s="196">
        <f>$I$29/$I$24</f>
        <v/>
      </c>
      <c r="K10" s="196">
        <f>$I$29/$I$24</f>
        <v/>
      </c>
      <c r="L10" s="196">
        <f>$I$29/$I$24</f>
        <v/>
      </c>
      <c r="M10" s="196">
        <f>$I$29/$I$24</f>
        <v/>
      </c>
      <c r="N10" s="196">
        <f>$I$29/$I$24</f>
        <v/>
      </c>
      <c r="P10" s="192" t="n">
        <v>10</v>
      </c>
      <c r="Q10" s="192" t="inlineStr">
        <is>
          <t>R&amp;D % of Revenue</t>
        </is>
      </c>
      <c r="R10" s="193" t="inlineStr">
        <is>
          <t>Research &amp; development expense as % of sales (IS label: R&amp;D, not Rent).</t>
        </is>
      </c>
      <c r="S10" s="193" t="inlineStr">
        <is>
          <t>Excel equation: I29/I24 held flat (~9.46%).</t>
        </is>
      </c>
      <c r="T10" s="193" t="inlineStr">
        <is>
          <t>FICO reinvests steadily in analytics/software. Flat % grows dollars with revenue.</t>
        </is>
      </c>
      <c r="U10" s="189">
        <f>HYPERLINK("https://www.sec.gov/Archives/edgar/data/814547/000081454725000030/fico-20250930.htm","SEC 10-K FY2025 — Research and development")</f>
        <v/>
      </c>
      <c r="V10" s="189">
        <f>HYPERLINK("https://raw.githubusercontent.com/vengeanceaiUSC/Rainmaker/cursor/vengeanceaiusmodel8-d3ac/FICO/output/MODEL8_FICO_ASSUMPTIONS_LIST.pdf","⬇ Assumptions PDF (full list)")</f>
        <v/>
      </c>
      <c r="W10" s="189">
        <f>HYPERLINK("https://raw.githubusercontent.com/vengeanceaiUSC/Rainmaker/cursor/vengeanceaiusmodel8-d3ac/FICO/output/MODEL8_FICO_ASSUMPTIONS_LIST.pdf","⬇ Assumptions PDF")</f>
        <v/>
      </c>
    </row>
    <row r="11" hidden="1" outlineLevel="1" ht="40" customHeight="1">
      <c r="B11" s="19" t="inlineStr">
        <is>
          <t>D&amp;A % of Avg PP&amp;E (rate=FY25 DA/PPE; $ uses avg base)</t>
        </is>
      </c>
      <c r="C11" s="190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 | ASSUMPTIONS PDF: https://raw.githubusercontent.com/vengeanceaiUSC/Rainmaker/cursor/vengeanceaiusmodel8-d3ac/FICO/output/MODEL8_FICO_ASSUMPTIONS_LIST.pdf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4">
        <f>IF($I$44=0,0.25,$I$30/$I$44)</f>
        <v/>
      </c>
      <c r="K11" s="194">
        <f>IF($I$44=0,0.25,$I$30/$I$44)</f>
        <v/>
      </c>
      <c r="L11" s="194">
        <f>IF($I$44=0,0.25,$I$30/$I$44)</f>
        <v/>
      </c>
      <c r="M11" s="194">
        <f>IF($I$44=0,0.25,$I$30/$I$44)</f>
        <v/>
      </c>
      <c r="N11" s="194">
        <f>IF($I$44=0,0.25,$I$30/$I$44)</f>
        <v/>
      </c>
      <c r="P11" s="192" t="n">
        <v>11</v>
      </c>
      <c r="Q11" s="192" t="inlineStr">
        <is>
          <t>D&amp;A % of Avg PP&amp;E</t>
        </is>
      </c>
      <c r="R11" s="193" t="inlineStr">
        <is>
          <t>Depreciation rate from FY25; dollars applied to average PP&amp;E so new CapEx is depreciated.</t>
        </is>
      </c>
      <c r="S11" s="193" t="inlineStr">
        <is>
          <t>Rate = I30/I44 (FY25 DA ÷ FY25 PPE). Forecast DA$ = ((Open + Open+CapEx)/2) × rate.</t>
        </is>
      </c>
      <c r="T11" s="193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89">
        <f>HYPERLINK("https://www.sec.gov/Archives/edgar/data/814547/000081454725000030/fico-20250930.htm","SEC 10-K FY2025 — D&amp;A and PP&amp;E")</f>
        <v/>
      </c>
      <c r="V11" s="189">
        <f>HYPERLINK("https://raw.githubusercontent.com/vengeanceaiUSC/Rainmaker/cursor/vengeanceaiusmodel8-d3ac/FICO/output/MODEL8_FICO_ASSUMPTIONS_LIST.pdf","⬇ Assumptions PDF (full list)")</f>
        <v/>
      </c>
      <c r="W11" s="189">
        <f>HYPERLINK("https://raw.githubusercontent.com/vengeanceaiUSC/Rainmaker/cursor/vengeanceaiusmodel8-d3ac/FICO/output/MODEL8_FICO_ASSUMPTIONS_LIST.pdf","⬇ Assumptions PDF")</f>
        <v/>
      </c>
    </row>
    <row r="12" hidden="1" outlineLevel="1" ht="40" customHeight="1">
      <c r="B12" s="19" t="inlineStr">
        <is>
          <t>Interest (% of Debt Open Bal)</t>
        </is>
      </c>
      <c r="C12" s="190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https://raw.githubusercontent.com/vengeanceaiUSC/Rainmaker/cursor/vengeanceaiusmodel8-d3ac/FICO/output/MODEL8_FICO_ASSUMPTIONS_LIST.pdf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4">
        <f>IF($I$98=0,0.05,$I$101/$I$98)</f>
        <v/>
      </c>
      <c r="K12" s="194">
        <f>IF($I$98=0,0.05,$I$101/$I$98)</f>
        <v/>
      </c>
      <c r="L12" s="194">
        <f>IF($I$98=0,0.05,$I$101/$I$98)</f>
        <v/>
      </c>
      <c r="M12" s="194">
        <f>IF($I$98=0,0.05,$I$101/$I$98)</f>
        <v/>
      </c>
      <c r="N12" s="194">
        <f>IF($I$98=0,0.05,$I$101/$I$98)</f>
        <v/>
      </c>
      <c r="P12" s="192" t="n">
        <v>12</v>
      </c>
      <c r="Q12" s="192" t="inlineStr">
        <is>
          <t>Interest % of Debt Open</t>
        </is>
      </c>
      <c r="R12" s="193" t="inlineStr">
        <is>
          <t>Interest expense as % of opening debt balance.</t>
        </is>
      </c>
      <c r="S12" s="193" t="inlineStr">
        <is>
          <t>Excel equation: I101/I98 (FY25 interest ÷ FY25 opening debt in schedule).</t>
        </is>
      </c>
      <c r="T12" s="193" t="inlineStr">
        <is>
          <t>Approximates average coupon / cost of debt on the book. Debt held flat (issuance = 0), so interest stays linked to that stock.</t>
        </is>
      </c>
      <c r="U12" s="189">
        <f>HYPERLINK("https://www.sec.gov/Archives/edgar/data/814547/000081454725000030/fico-20250930.htm","SEC 10-K FY2025 — Interest expense; see also 8-K 6.250% notes")</f>
        <v/>
      </c>
      <c r="V12" s="189">
        <f>HYPERLINK("https://raw.githubusercontent.com/vengeanceaiUSC/Rainmaker/cursor/vengeanceaiusmodel8-d3ac/FICO/output/MODEL8_FICO_ASSUMPTIONS_LIST.pdf","⬇ Assumptions PDF (full list)")</f>
        <v/>
      </c>
      <c r="W12" s="189">
        <f>HYPERLINK("https://raw.githubusercontent.com/vengeanceaiUSC/Rainmaker/cursor/vengeanceaiusmodel8-d3ac/FICO/output/MODEL8_FICO_ASSUMPTIONS_LIST.pdf","⬇ Assumptions PDF")</f>
        <v/>
      </c>
    </row>
    <row r="13" hidden="1" outlineLevel="1" ht="40" customHeight="1">
      <c r="B13" s="19" t="inlineStr">
        <is>
          <t>Tax Rate (% of Earnings Before Tax)</t>
        </is>
      </c>
      <c r="C13" s="190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 | ASSUMPTIONS PDF: https://raw.githubusercontent.com/vengeanceaiUSC/Rainmaker/cursor/vengeanceaiusmodel8-d3ac/FICO/output/MODEL8_FICO_ASSUMPTIONS_LIST.pdf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4">
        <f>IF($I$33=0,0.21,$I$35/$I$33)</f>
        <v/>
      </c>
      <c r="K13" s="194">
        <f>IF($I$33=0,0.21,$I$35/$I$33)</f>
        <v/>
      </c>
      <c r="L13" s="194">
        <f>IF($I$33=0,0.21,$I$35/$I$33)</f>
        <v/>
      </c>
      <c r="M13" s="194">
        <f>IF($I$33=0,0.21,$I$35/$I$33)</f>
        <v/>
      </c>
      <c r="N13" s="194">
        <f>IF($I$33=0,0.21,$I$35/$I$33)</f>
        <v/>
      </c>
      <c r="P13" s="192" t="n">
        <v>13</v>
      </c>
      <c r="Q13" s="192" t="inlineStr">
        <is>
          <t>Tax Rate (% of EBT)</t>
        </is>
      </c>
      <c r="R13" s="193" t="inlineStr">
        <is>
          <t>Effective book tax rate applied to forecast EBT.</t>
        </is>
      </c>
      <c r="S13" s="193" t="inlineStr">
        <is>
          <t>Excel equation: I35/I33 (FY25 tax ÷ simplified FY25 EBT in this template).</t>
        </is>
      </c>
      <c r="T13" s="193" t="inlineStr">
        <is>
          <t>Uses reported effective rate (~19% on template EBT; ~18.8% on 10-K EBT). UFCF in DCF also uses unlevered EBIT × t.</t>
        </is>
      </c>
      <c r="U13" s="189">
        <f>HYPERLINK("https://www.sec.gov/Archives/edgar/data/814547/000081454725000030/fico-20250930.htm","SEC 10-K FY2025 — Provision for income taxes / Income before taxes")</f>
        <v/>
      </c>
      <c r="V13" s="189">
        <f>HYPERLINK("https://raw.githubusercontent.com/vengeanceaiUSC/Rainmaker/cursor/vengeanceaiusmodel8-d3ac/FICO/output/MODEL8_FICO_ASSUMPTIONS_LIST.pdf","⬇ Assumptions PDF (full list)")</f>
        <v/>
      </c>
      <c r="W13" s="189">
        <f>HYPERLINK("https://raw.githubusercontent.com/vengeanceaiUSC/Rainmaker/cursor/vengeanceaiusmodel8-d3ac/FICO/output/MODEL8_FICO_ASSUMPTIONS_LIST.pdf","⬇ Assumptions PDF")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(flat 2.5% — asset-light)</t>
        </is>
      </c>
      <c r="C15" s="197" t="inlineStr">
        <is>
          <t>WHY: MODEL8: unify AR/Deferred into one NWC% (ends ~$297M double-count drain). Flat 2.5% = asset-light software; AR plugs … | SOURCE: SEC companyfacts XBRL — AR / AP / DeferredRevenueCurrent | LINK: https://data.sec.gov/api/xbrl/companyfacts/CIK0000814547.json | HOW: Yellow POLICY input: flat 2.5% of revenue every forecast year. | ASSUMPTIONS PDF: https://raw.githubusercontent.com/vengeanceaiUSC/Rainmaker/cursor/vengeanceaiusmodel8-d3ac/FICO/output/MODEL8_FICO_ASSUMPTIONS_LIST.pdf</t>
        </is>
      </c>
      <c r="D15" s="32" t="n"/>
      <c r="E15" s="195">
        <f>E42/E24*365</f>
        <v/>
      </c>
      <c r="F15" s="195">
        <f>F42/F24*365</f>
        <v/>
      </c>
      <c r="G15" s="195">
        <f>G42/G24*365</f>
        <v/>
      </c>
      <c r="H15" s="195">
        <f>H42/H24*365</f>
        <v/>
      </c>
      <c r="I15" s="195">
        <f>I42/I24*365</f>
        <v/>
      </c>
      <c r="J15" s="198" t="n">
        <v>0.025</v>
      </c>
      <c r="K15" s="198" t="n">
        <v>0.025</v>
      </c>
      <c r="L15" s="198" t="n">
        <v>0.025</v>
      </c>
      <c r="M15" s="198" t="n">
        <v>0.025</v>
      </c>
      <c r="N15" s="198" t="n">
        <v>0.025</v>
      </c>
      <c r="P15" s="192" t="n">
        <v>15</v>
      </c>
      <c r="Q15" s="192" t="inlineStr">
        <is>
          <t>Operating NWC % of Revenue</t>
        </is>
      </c>
      <c r="R15" s="193" t="inlineStr">
        <is>
          <t>Single consolidated operating NWC ratio: NWC_t = Revenue_t × NWC%.</t>
        </is>
      </c>
      <c r="S15" s="193" t="inlineStr">
        <is>
          <t>Yellow POLICY input: flat 2.5% of revenue every forecast year.</t>
        </is>
      </c>
      <c r="T15" s="193" t="inlineStr">
        <is>
          <t>MODEL8: unify AR/Deferred into one NWC% (ends ~$297M double-count drain). Flat 2.5% = asset-light software; AR plugs to NWC. Y1 ΔNWC uses hist NWC as prior so the AR step-down releases cash and the BS stays balanced.</t>
        </is>
      </c>
      <c r="U15" s="189">
        <f>HYPERLINK("https://data.sec.gov/api/xbrl/companyfacts/CIK0000814547.json","SEC companyfacts XBRL — AR / AP / DeferredRevenueCurrent")</f>
        <v/>
      </c>
      <c r="V15" s="189">
        <f>HYPERLINK("https://raw.githubusercontent.com/vengeanceaiUSC/Rainmaker/cursor/vengeanceaiusmodel8-d3ac/FICO/output/MODEL8_FICO_ASSUMPTIONS_LIST.pdf","⬇ Assumptions PDF (full list)")</f>
        <v/>
      </c>
      <c r="W15" s="189">
        <f>HYPERLINK("https://raw.githubusercontent.com/vengeanceaiUSC/Rainmaker/cursor/vengeanceaiusmodel8-d3ac/FICO/output/MODEL8_FICO_ASSUMPTIONS_LIST.pdf","⬇ Assumptions PDF")</f>
        <v/>
      </c>
    </row>
    <row r="16" hidden="1" outlineLevel="1" ht="40" customHeight="1">
      <c r="B16" s="19" t="inlineStr">
        <is>
          <t>Inventory (Days)</t>
        </is>
      </c>
      <c r="C16" s="197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https://raw.githubusercontent.com/vengeanceaiUSC/Rainmaker/cursor/vengeanceaiusmodel8-d3ac/FICO/output/MODEL8_FICO_ASSUMPTIONS_LIST.pdf</t>
        </is>
      </c>
      <c r="D16" s="32" t="n"/>
      <c r="E16" s="195">
        <f>E43/E25*365</f>
        <v/>
      </c>
      <c r="F16" s="195">
        <f>F43/F25*365</f>
        <v/>
      </c>
      <c r="G16" s="195">
        <f>G43/G25*365</f>
        <v/>
      </c>
      <c r="H16" s="195">
        <f>H43/H25*365</f>
        <v/>
      </c>
      <c r="I16" s="195">
        <f>I43/I25*365</f>
        <v/>
      </c>
      <c r="J16" s="199" t="n">
        <v>0</v>
      </c>
      <c r="K16" s="199" t="n">
        <v>0</v>
      </c>
      <c r="L16" s="199" t="n">
        <v>0</v>
      </c>
      <c r="M16" s="199" t="n">
        <v>0</v>
      </c>
      <c r="N16" s="199" t="n">
        <v>0</v>
      </c>
      <c r="P16" s="192" t="n">
        <v>16</v>
      </c>
      <c r="Q16" s="192" t="inlineStr">
        <is>
          <t>Inventory (Days)</t>
        </is>
      </c>
      <c r="R16" s="193" t="inlineStr">
        <is>
          <t>Inventory days (Inv = COGS × days/365).</t>
        </is>
      </c>
      <c r="S16" s="193" t="inlineStr">
        <is>
          <t>Hard zero — FICO is software / scores; inventory is immaterial.</t>
        </is>
      </c>
      <c r="T16" s="193" t="inlineStr">
        <is>
          <t>No inventory cycle to fund.</t>
        </is>
      </c>
      <c r="U16" s="189">
        <f>HYPERLINK("https://www.sec.gov/Archives/edgar/data/814547/000081454725000030/fico-20250930.htm","SEC 10-K FY2025 — Inventory ≈ $0")</f>
        <v/>
      </c>
      <c r="V16" s="189">
        <f>HYPERLINK("https://raw.githubusercontent.com/vengeanceaiUSC/Rainmaker/cursor/vengeanceaiusmodel8-d3ac/FICO/output/MODEL8_FICO_ASSUMPTIONS_LIST.pdf","⬇ Assumptions PDF (full list)")</f>
        <v/>
      </c>
      <c r="W16" s="189">
        <f>HYPERLINK("https://raw.githubusercontent.com/vengeanceaiUSC/Rainmaker/cursor/vengeanceaiusmodel8-d3ac/FICO/output/MODEL8_FICO_ASSUMPTIONS_LIST.pdf","⬇ Assumptions PDF")</f>
        <v/>
      </c>
    </row>
    <row r="17" hidden="1" outlineLevel="1" ht="40" customHeight="1">
      <c r="B17" s="19" t="inlineStr">
        <is>
          <t>Accounts Payable (Days)</t>
        </is>
      </c>
      <c r="C17" s="197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 | ASSUMPTIONS PDF: https://raw.githubusercontent.com/vengeanceaiUSC/Rainmaker/cursor/vengeanceaiusmodel8-d3ac/FICO/output/MODEL8_FICO_ASSUMPTIONS_LIST.pdf</t>
        </is>
      </c>
      <c r="D17" s="32" t="n"/>
      <c r="E17" s="195">
        <f>E48/E25*365</f>
        <v/>
      </c>
      <c r="F17" s="195">
        <f>F48/F25*365</f>
        <v/>
      </c>
      <c r="G17" s="195">
        <f>G48/G25*365</f>
        <v/>
      </c>
      <c r="H17" s="195">
        <f>H48/H25*365</f>
        <v/>
      </c>
      <c r="I17" s="195">
        <f>I48/I25*365</f>
        <v/>
      </c>
      <c r="J17" s="200">
        <f>IF($I$25=0,0,ROUND($I$48/$I$25*365,0))</f>
        <v/>
      </c>
      <c r="K17" s="200">
        <f>IF($I$25=0,0,ROUND($I$48/$I$25*365,0))</f>
        <v/>
      </c>
      <c r="L17" s="200">
        <f>IF($I$25=0,0,ROUND($I$48/$I$25*365,0))</f>
        <v/>
      </c>
      <c r="M17" s="200">
        <f>IF($I$25=0,0,ROUND($I$48/$I$25*365,0))</f>
        <v/>
      </c>
      <c r="N17" s="200">
        <f>IF($I$25=0,0,ROUND($I$48/$I$25*365,0))</f>
        <v/>
      </c>
      <c r="P17" s="192" t="n">
        <v>17</v>
      </c>
      <c r="Q17" s="192" t="inlineStr">
        <is>
          <t>Accounts Payable (Days)</t>
        </is>
      </c>
      <c r="R17" s="193" t="inlineStr">
        <is>
          <t>AP days used to project AP = COGS × days/365.</t>
        </is>
      </c>
      <c r="S17" s="193" t="inlineStr">
        <is>
          <t>Excel equation: ROUND(I48/I25×365, 0) from FY25.</t>
        </is>
      </c>
      <c r="T17" s="193" t="inlineStr">
        <is>
          <t>Payable timing offsets AR in operating NWC.</t>
        </is>
      </c>
      <c r="U17" s="189">
        <f>HYPERLINK("https://www.sec.gov/Archives/edgar/data/814547/000081454725000030/fico-20250930.htm","SEC 10-K FY2025 — Accounts payable")</f>
        <v/>
      </c>
      <c r="V17" s="189">
        <f>HYPERLINK("https://raw.githubusercontent.com/vengeanceaiUSC/Rainmaker/cursor/vengeanceaiusmodel8-d3ac/FICO/output/MODEL8_FICO_ASSUMPTIONS_LIST.pdf","⬇ Assumptions PDF (full list)")</f>
        <v/>
      </c>
      <c r="W17" s="189">
        <f>HYPERLINK("https://raw.githubusercontent.com/vengeanceaiUSC/Rainmaker/cursor/vengeanceaiusmodel8-d3ac/FICO/output/MODEL8_FICO_ASSUMPTIONS_LIST.pdf","⬇ Assumptions PDF")</f>
        <v/>
      </c>
    </row>
    <row r="18" hidden="1" outlineLevel="1" ht="40" customHeight="1">
      <c r="B18" s="19" t="inlineStr">
        <is>
          <t>CapEx % of Revenue (fast fade → 1%)</t>
        </is>
      </c>
      <c r="C18" s="197" t="inlineStr">
        <is>
          <t>WHY: MODEL8 checklist: prior path left CapEx ≫ D&amp;A (~$80M cumulative drag). Fade to maintenance ~1% so CapEx ≈ D&amp;A by Y5 (… | SOURCE: SEC 10-K FY2025 — PP&amp;E purchases + capitalized software | LINK: https://www.sec.gov/Archives/edgar/data/814547/000081454725000030/fico-20250930.htm | HOW: Equation: fade from I68/I24 toward 1.0% steady. MODEL8 weights 40%→20%→10%→0%→0% on the peak (fast fade). | ASSUMPTIONS PDF: https://raw.githubusercontent.com/vengeanceaiUSC/Rainmaker/cursor/vengeanceaiusmodel8-d3ac/FICO/output/MODEL8_FICO_ASSUMPTIONS_LIST.pdf</t>
        </is>
      </c>
      <c r="E18" s="195">
        <f>E68</f>
        <v/>
      </c>
      <c r="F18" s="195">
        <f>F68</f>
        <v/>
      </c>
      <c r="G18" s="195">
        <f>G68</f>
        <v/>
      </c>
      <c r="H18" s="195">
        <f>H68</f>
        <v/>
      </c>
      <c r="I18" s="195">
        <f>I68</f>
        <v/>
      </c>
      <c r="J18" s="196">
        <f>($I$68/$I$24)*0.4+0.01*(1-0.4)</f>
        <v/>
      </c>
      <c r="K18" s="196">
        <f>($I$68/$I$24)*0.2+0.01*(1-0.2)</f>
        <v/>
      </c>
      <c r="L18" s="196">
        <f>($I$68/$I$24)*0.1+0.01*(1-0.1)</f>
        <v/>
      </c>
      <c r="M18" s="196">
        <f>($I$68/$I$24)*0.0+0.01*(1-0.0)</f>
        <v/>
      </c>
      <c r="N18" s="196">
        <f>($I$68/$I$24)*0.0+0.01*(1-0.0)</f>
        <v/>
      </c>
      <c r="P18" s="192" t="n">
        <v>18</v>
      </c>
      <c r="Q18" s="192" t="inlineStr">
        <is>
          <t>CapEx % of Revenue</t>
        </is>
      </c>
      <c r="R18" s="193" t="inlineStr">
        <is>
          <t>Capital investment (PPE + capitalized software) as % of sales.</t>
        </is>
      </c>
      <c r="S18" s="193" t="inlineStr">
        <is>
          <t>Equation: fade from I68/I24 toward 1.0% steady. MODEL8 weights 40%→20%→10%→0%→0% on the peak (fast fade).</t>
        </is>
      </c>
      <c r="T18" s="193" t="inlineStr">
        <is>
          <t>MODEL8 checklist: prior path left CapEx ≫ D&amp;A (~$80M cumulative drag). Fade to maintenance ~1% so CapEx ≈ D&amp;A by Y5 (terminal cash conversion).</t>
        </is>
      </c>
      <c r="U18" s="189">
        <f>HYPERLINK("https://www.sec.gov/Archives/edgar/data/814547/000081454725000030/fico-20250930.htm","SEC 10-K FY2025 — PP&amp;E purchases + capitalized software")</f>
        <v/>
      </c>
      <c r="V18" s="189">
        <f>HYPERLINK("https://raw.githubusercontent.com/vengeanceaiUSC/Rainmaker/cursor/vengeanceaiusmodel8-d3ac/FICO/output/MODEL8_FICO_ASSUMPTIONS_LIST.pdf","⬇ Assumptions PDF (full list)")</f>
        <v/>
      </c>
      <c r="W18" s="189">
        <f>HYPERLINK("https://raw.githubusercontent.com/vengeanceaiUSC/Rainmaker/cursor/vengeanceaiusmodel8-d3ac/FICO/output/MODEL8_FICO_ASSUMPTIONS_LIST.pdf","⬇ Assumptions PDF")</f>
        <v/>
      </c>
    </row>
    <row r="19" hidden="1" outlineLevel="1" ht="40" customHeight="1">
      <c r="B19" s="19" t="inlineStr">
        <is>
          <t>Debt Issuance (Repayment) ($000's)</t>
        </is>
      </c>
      <c r="C19" s="197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 | ASSUMPTIONS PDF: https://raw.githubusercontent.com/vengeanceaiUSC/Rainmaker/cursor/vengeanceaiusmodel8-d3ac/FICO/output/MODEL8_FICO_ASSUMPTIONS_LIST.pdf</t>
        </is>
      </c>
      <c r="E19" s="195">
        <f>E99</f>
        <v/>
      </c>
      <c r="F19" s="195">
        <f>F99</f>
        <v/>
      </c>
      <c r="G19" s="195">
        <f>G99</f>
        <v/>
      </c>
      <c r="H19" s="195">
        <f>H99</f>
        <v/>
      </c>
      <c r="I19" s="195">
        <f>I99</f>
        <v/>
      </c>
      <c r="J19" s="198" t="n">
        <v>0</v>
      </c>
      <c r="K19" s="198" t="n">
        <v>0</v>
      </c>
      <c r="L19" s="198" t="n">
        <v>0</v>
      </c>
      <c r="M19" s="198" t="n">
        <v>0</v>
      </c>
      <c r="N19" s="198" t="n">
        <v>0</v>
      </c>
      <c r="P19" s="192" t="n">
        <v>19</v>
      </c>
      <c r="Q19" s="192" t="inlineStr">
        <is>
          <t>Debt Issuance (Repayment)</t>
        </is>
      </c>
      <c r="R19" s="193" t="inlineStr">
        <is>
          <t>New borrowing (+) or repayment (−) in the forecast.</t>
        </is>
      </c>
      <c r="S19" s="193" t="inlineStr">
        <is>
          <t>POLICY input = 0 every year.</t>
        </is>
      </c>
      <c r="T19" s="193" t="inlineStr">
        <is>
          <t>Hold debt stock flat at FY25 level for the explicit period; interest follows. Net debt for DCF equity bridge uses the later 10-Q amount separately.</t>
        </is>
      </c>
      <c r="U19" s="189">
        <f>HYPERLINK("https://www.sec.gov/Archives/edgar/data/814547/000081454726000030/fico-20260630.htm","SEC 10-Q Q3 FY2026 — debt stock (financing excluded from FCFF)")</f>
        <v/>
      </c>
      <c r="V19" s="189">
        <f>HYPERLINK("https://raw.githubusercontent.com/vengeanceaiUSC/Rainmaker/cursor/vengeanceaiusmodel8-d3ac/FICO/output/MODEL8_FICO_ASSUMPTIONS_LIST.pdf","⬇ Assumptions PDF (full list)")</f>
        <v/>
      </c>
      <c r="W19" s="189">
        <f>HYPERLINK("https://raw.githubusercontent.com/vengeanceaiUSC/Rainmaker/cursor/vengeanceaiusmodel8-d3ac/FICO/output/MODEL8_FICO_ASSUMPTIONS_LIST.pdf","⬇ Assumptions PDF")</f>
        <v/>
      </c>
    </row>
    <row r="20" hidden="1" outlineLevel="1" ht="40" customHeight="1">
      <c r="B20" s="19" t="inlineStr">
        <is>
          <t>Equity Issued (Repaid) ($000's)</t>
        </is>
      </c>
      <c r="C20" s="197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 | ASSUMPTIONS PDF: https://raw.githubusercontent.com/vengeanceaiUSC/Rainmaker/cursor/vengeanceaiusmodel8-d3ac/FICO/output/MODEL8_FICO_ASSUMPTIONS_LIST.pdf</t>
        </is>
      </c>
      <c r="E20" s="195">
        <f>E73</f>
        <v/>
      </c>
      <c r="F20" s="195">
        <f>F73</f>
        <v/>
      </c>
      <c r="G20" s="195">
        <f>G73</f>
        <v/>
      </c>
      <c r="H20" s="195">
        <f>H73</f>
        <v/>
      </c>
      <c r="I20" s="195">
        <f>I73</f>
        <v/>
      </c>
      <c r="J20" s="198" t="n">
        <v>0</v>
      </c>
      <c r="K20" s="198" t="n">
        <v>0</v>
      </c>
      <c r="L20" s="198" t="n">
        <v>0</v>
      </c>
      <c r="M20" s="198" t="n">
        <v>0</v>
      </c>
      <c r="N20" s="198" t="n">
        <v>0</v>
      </c>
      <c r="P20" s="192" t="n">
        <v>20</v>
      </c>
      <c r="Q20" s="192" t="inlineStr">
        <is>
          <t>Equity Issued (Repaid)</t>
        </is>
      </c>
      <c r="R20" s="193" t="inlineStr">
        <is>
          <t>New equity issued (+) or buybacks (−) in the forecast BS/CF.</t>
        </is>
      </c>
      <c r="S20" s="193" t="inlineStr">
        <is>
          <t>POLICY input = 0 every year.</t>
        </is>
      </c>
      <c r="T20" s="193" t="inlineStr">
        <is>
          <t>Buybacks are real historically but are financing — excluded from FCFF. Share count for $/share is the spot shares outstanding assumption.</t>
        </is>
      </c>
      <c r="U20" s="189">
        <f>HYPERLINK("https://pages.stern.nyu.edu/~adamodar/New_Home_Page/datafile/histfcff.html","Damodaran FCFF framework — financing (buybacks) not in FCFF")</f>
        <v/>
      </c>
      <c r="V20" s="189">
        <f>HYPERLINK("https://raw.githubusercontent.com/vengeanceaiUSC/Rainmaker/cursor/vengeanceaiusmodel8-d3ac/FICO/output/MODEL8_FICO_ASSUMPTIONS_LIST.pdf","⬇ Assumptions PDF (full list)")</f>
        <v/>
      </c>
      <c r="W20" s="189">
        <f>HYPERLINK("https://raw.githubusercontent.com/vengeanceaiUSC/Rainmaker/cursor/vengeanceaiusmodel8-d3ac/FICO/output/MODEL8_FICO_ASSUMPTIONS_LIST.pdf","⬇ Assumptions PDF")</f>
        <v/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1" t="inlineStr">
        <is>
          <t>eqn: PriorRev × (1 + growth)</t>
        </is>
      </c>
      <c r="D24" s="46" t="n"/>
      <c r="E24" s="202" t="n">
        <v>1316536</v>
      </c>
      <c r="F24" s="202" t="n">
        <v>1377270</v>
      </c>
      <c r="G24" s="202" t="n">
        <v>1513557</v>
      </c>
      <c r="H24" s="202" t="n">
        <v>1717526</v>
      </c>
      <c r="I24" s="202" t="n">
        <v>1990869</v>
      </c>
      <c r="J24" s="200">
        <f>I24*(1+J7)</f>
        <v/>
      </c>
      <c r="K24" s="200">
        <f>J24*(1+K7)</f>
        <v/>
      </c>
      <c r="L24" s="200">
        <f>K24*(1+L7)</f>
        <v/>
      </c>
      <c r="M24" s="200">
        <f>L24*(1+M7)</f>
        <v/>
      </c>
      <c r="N24" s="200">
        <f>M24*(1+N7)</f>
        <v/>
      </c>
    </row>
    <row r="25" hidden="1" outlineLevel="1">
      <c r="B25" s="19" t="inlineStr">
        <is>
          <t>Cost of Goods Sold (COGS)</t>
        </is>
      </c>
      <c r="C25" s="201" t="inlineStr">
        <is>
          <t>eqn: Rev × COGS%</t>
        </is>
      </c>
      <c r="D25" s="47" t="n"/>
      <c r="E25" s="202" t="n">
        <v>332462</v>
      </c>
      <c r="F25" s="202" t="n">
        <v>302174</v>
      </c>
      <c r="G25" s="202" t="n">
        <v>311053</v>
      </c>
      <c r="H25" s="202" t="n">
        <v>348206</v>
      </c>
      <c r="I25" s="202" t="n">
        <v>353722</v>
      </c>
      <c r="J25" s="200">
        <f>J24*J8</f>
        <v/>
      </c>
      <c r="K25" s="200">
        <f>K24*K8</f>
        <v/>
      </c>
      <c r="L25" s="200">
        <f>L24*L8</f>
        <v/>
      </c>
      <c r="M25" s="200">
        <f>M24*M8</f>
        <v/>
      </c>
      <c r="N25" s="200">
        <f>N24*N8</f>
        <v/>
      </c>
    </row>
    <row r="26" hidden="1" outlineLevel="1">
      <c r="B26" s="4" t="inlineStr">
        <is>
          <t>Gross Profit</t>
        </is>
      </c>
      <c r="C26" s="203" t="inlineStr">
        <is>
          <t>eqn: Rev − COGS</t>
        </is>
      </c>
      <c r="D26" s="22" t="n"/>
      <c r="E26" s="204">
        <f>E24-E25</f>
        <v/>
      </c>
      <c r="F26" s="204">
        <f>F24-F25</f>
        <v/>
      </c>
      <c r="G26" s="204">
        <f>G24-G25</f>
        <v/>
      </c>
      <c r="H26" s="204">
        <f>H24-H25</f>
        <v/>
      </c>
      <c r="I26" s="204">
        <f>I24-I25</f>
        <v/>
      </c>
      <c r="J26" s="200">
        <f>J24-J25</f>
        <v/>
      </c>
      <c r="K26" s="200">
        <f>K24-K25</f>
        <v/>
      </c>
      <c r="L26" s="200">
        <f>L24-L25</f>
        <v/>
      </c>
      <c r="M26" s="200">
        <f>M24-M25</f>
        <v/>
      </c>
      <c r="N26" s="200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5" t="inlineStr">
        <is>
          <t>eqn: Rev × SG&amp;A%</t>
        </is>
      </c>
      <c r="E28" s="202" t="n">
        <v>396281</v>
      </c>
      <c r="F28" s="202" t="n">
        <v>383863</v>
      </c>
      <c r="G28" s="202" t="n">
        <v>400565</v>
      </c>
      <c r="H28" s="202" t="n">
        <v>462834</v>
      </c>
      <c r="I28" s="202" t="n">
        <v>513028</v>
      </c>
      <c r="J28" s="200">
        <f>J24*J9</f>
        <v/>
      </c>
      <c r="K28" s="200">
        <f>K24*K9</f>
        <v/>
      </c>
      <c r="L28" s="200">
        <f>L24*L9</f>
        <v/>
      </c>
      <c r="M28" s="200">
        <f>M24*M9</f>
        <v/>
      </c>
      <c r="N28" s="200">
        <f>N24*N9</f>
        <v/>
      </c>
    </row>
    <row r="29" hidden="1" outlineLevel="1">
      <c r="B29" s="19" t="inlineStr">
        <is>
          <t>Research &amp; Development (R&amp;D)</t>
        </is>
      </c>
      <c r="C29" s="205" t="inlineStr">
        <is>
          <t>eqn: Rev × R&amp;D%</t>
        </is>
      </c>
      <c r="E29" s="202" t="n">
        <v>171231</v>
      </c>
      <c r="F29" s="202" t="n">
        <v>146758</v>
      </c>
      <c r="G29" s="202" t="n">
        <v>159950</v>
      </c>
      <c r="H29" s="202" t="n">
        <v>171940</v>
      </c>
      <c r="I29" s="202" t="n">
        <v>188347</v>
      </c>
      <c r="J29" s="200">
        <f>J24*J10</f>
        <v/>
      </c>
      <c r="K29" s="200">
        <f>K24*K10</f>
        <v/>
      </c>
      <c r="L29" s="200">
        <f>L24*L10</f>
        <v/>
      </c>
      <c r="M29" s="200">
        <f>M24*M10</f>
        <v/>
      </c>
      <c r="N29" s="200">
        <f>N24*N10</f>
        <v/>
      </c>
    </row>
    <row r="30" hidden="1" outlineLevel="1">
      <c r="B30" s="19" t="inlineStr">
        <is>
          <t>Depreciation &amp; Amortization</t>
        </is>
      </c>
      <c r="C30" s="205" t="inlineStr">
        <is>
          <t>eqn: AvgPPE × DA%</t>
        </is>
      </c>
      <c r="E30" s="202" t="n">
        <v>25592</v>
      </c>
      <c r="F30" s="202" t="n">
        <v>20465</v>
      </c>
      <c r="G30" s="202" t="n">
        <v>14638</v>
      </c>
      <c r="H30" s="202" t="n">
        <v>13827</v>
      </c>
      <c r="I30" s="202" t="n">
        <v>14952</v>
      </c>
      <c r="J30" s="200">
        <f>((J92+(J92+J93))/2)*J11</f>
        <v/>
      </c>
      <c r="K30" s="200">
        <f>((K92+(K92+K93))/2)*K11</f>
        <v/>
      </c>
      <c r="L30" s="200">
        <f>((L92+(L92+L93))/2)*L11</f>
        <v/>
      </c>
      <c r="M30" s="200">
        <f>((M92+(M92+M93))/2)*M11</f>
        <v/>
      </c>
      <c r="N30" s="200">
        <f>((N92+(N92+N93))/2)*N11</f>
        <v/>
      </c>
    </row>
    <row r="31" hidden="1" outlineLevel="1">
      <c r="B31" s="2" t="inlineStr">
        <is>
          <t>Interest</t>
        </is>
      </c>
      <c r="C31" s="206" t="inlineStr">
        <is>
          <t>eqn: Debt_open × Int%</t>
        </is>
      </c>
      <c r="D31" s="24" t="n"/>
      <c r="E31" s="207" t="n">
        <v>40092</v>
      </c>
      <c r="F31" s="207" t="n">
        <v>68967</v>
      </c>
      <c r="G31" s="207" t="n">
        <v>95546</v>
      </c>
      <c r="H31" s="207" t="n">
        <v>105638</v>
      </c>
      <c r="I31" s="207" t="n">
        <v>133647</v>
      </c>
      <c r="J31" s="200">
        <f>J98*J12</f>
        <v/>
      </c>
      <c r="K31" s="200">
        <f>K98*K12</f>
        <v/>
      </c>
      <c r="L31" s="200">
        <f>L98*L12</f>
        <v/>
      </c>
      <c r="M31" s="200">
        <f>M98*M12</f>
        <v/>
      </c>
      <c r="N31" s="200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8">
        <f>SUM(E28:E31)</f>
        <v/>
      </c>
      <c r="F32" s="208">
        <f>SUM(F28:F31)</f>
        <v/>
      </c>
      <c r="G32" s="208">
        <f>SUM(G28:G31)</f>
        <v/>
      </c>
      <c r="H32" s="208">
        <f>SUM(H28:H31)</f>
        <v/>
      </c>
      <c r="I32" s="208">
        <f>SUM(I28:I31)</f>
        <v/>
      </c>
      <c r="J32" s="200">
        <f>SUM(J28:J31)</f>
        <v/>
      </c>
      <c r="K32" s="200">
        <f>SUM(K28:K31)</f>
        <v/>
      </c>
      <c r="L32" s="200">
        <f>SUM(L28:L31)</f>
        <v/>
      </c>
      <c r="M32" s="200">
        <f>SUM(M28:M31)</f>
        <v/>
      </c>
      <c r="N32" s="200">
        <f>SUM(N28:N31)</f>
        <v/>
      </c>
    </row>
    <row r="33" hidden="1" outlineLevel="1">
      <c r="B33" s="4" t="inlineStr">
        <is>
          <t>Earnings Before Tax</t>
        </is>
      </c>
      <c r="C33" s="203" t="inlineStr">
        <is>
          <t>eqn: GP − Expenses</t>
        </is>
      </c>
      <c r="D33" s="22" t="n"/>
      <c r="E33" s="204">
        <f>E26-E32</f>
        <v/>
      </c>
      <c r="F33" s="204">
        <f>F26-F32</f>
        <v/>
      </c>
      <c r="G33" s="204">
        <f>G26-G32</f>
        <v/>
      </c>
      <c r="H33" s="204">
        <f>H26-H32</f>
        <v/>
      </c>
      <c r="I33" s="204">
        <f>I26-I32</f>
        <v/>
      </c>
      <c r="J33" s="200">
        <f>J26-J32</f>
        <v/>
      </c>
      <c r="K33" s="200">
        <f>K26-K32</f>
        <v/>
      </c>
      <c r="L33" s="200">
        <f>L26-L32</f>
        <v/>
      </c>
      <c r="M33" s="200">
        <f>M26-M32</f>
        <v/>
      </c>
      <c r="N33" s="200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1" t="inlineStr">
        <is>
          <t>eqn: EBT × tax%</t>
        </is>
      </c>
      <c r="D35" s="47" t="n"/>
      <c r="E35" s="202" t="n">
        <v>81058</v>
      </c>
      <c r="F35" s="202" t="n">
        <v>97768</v>
      </c>
      <c r="G35" s="202" t="n">
        <v>124249</v>
      </c>
      <c r="H35" s="202" t="n">
        <v>129214</v>
      </c>
      <c r="I35" s="202" t="n">
        <v>150649</v>
      </c>
      <c r="J35" s="200">
        <f>J33*J13</f>
        <v/>
      </c>
      <c r="K35" s="200">
        <f>K33*K13</f>
        <v/>
      </c>
      <c r="L35" s="200">
        <f>L33*L13</f>
        <v/>
      </c>
      <c r="M35" s="200">
        <f>M33*M13</f>
        <v/>
      </c>
      <c r="N35" s="200">
        <f>N33*N13</f>
        <v/>
      </c>
    </row>
    <row r="36" hidden="1" outlineLevel="1" ht="16.2" customHeight="1" thickBot="1">
      <c r="B36" s="39" t="inlineStr">
        <is>
          <t>Net Earnings</t>
        </is>
      </c>
      <c r="C36" s="209" t="inlineStr">
        <is>
          <t>eqn: EBT × (1 − tax%)</t>
        </is>
      </c>
      <c r="D36" s="40" t="n"/>
      <c r="E36" s="210">
        <f>E33-E35</f>
        <v/>
      </c>
      <c r="F36" s="210">
        <f>F33-F35</f>
        <v/>
      </c>
      <c r="G36" s="210">
        <f>G33-G35</f>
        <v/>
      </c>
      <c r="H36" s="210">
        <f>H33-H35</f>
        <v/>
      </c>
      <c r="I36" s="210">
        <f>I33-I35</f>
        <v/>
      </c>
      <c r="J36" s="200">
        <f>J33*(1-J13)</f>
        <v/>
      </c>
      <c r="K36" s="200">
        <f>K33*(1-K13)</f>
        <v/>
      </c>
      <c r="L36" s="200">
        <f>L33*(1-L13)</f>
        <v/>
      </c>
      <c r="M36" s="200">
        <f>M33*(1-M13)</f>
        <v/>
      </c>
      <c r="N36" s="200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2" t="n">
        <v>195354</v>
      </c>
      <c r="F41" s="202" t="n">
        <v>133202</v>
      </c>
      <c r="G41" s="202" t="n">
        <v>136778</v>
      </c>
      <c r="H41" s="202" t="n">
        <v>150667</v>
      </c>
      <c r="I41" s="202" t="n">
        <v>134136</v>
      </c>
      <c r="J41" s="200">
        <f>J78</f>
        <v/>
      </c>
      <c r="K41" s="200">
        <f>K78</f>
        <v/>
      </c>
      <c r="L41" s="200">
        <f>L78</f>
        <v/>
      </c>
      <c r="M41" s="200">
        <f>M78</f>
        <v/>
      </c>
      <c r="N41" s="200">
        <f>N78</f>
        <v/>
      </c>
    </row>
    <row r="42" hidden="1" outlineLevel="1">
      <c r="B42" s="19" t="inlineStr">
        <is>
          <t>Accounts Receivable</t>
        </is>
      </c>
      <c r="C42" s="205" t="inlineStr">
        <is>
          <t>eqn: NWC + AP + Deferred − Inv  (plug to NWC%)</t>
        </is>
      </c>
      <c r="E42" s="202" t="n">
        <v>312107</v>
      </c>
      <c r="F42" s="202" t="n">
        <v>322410</v>
      </c>
      <c r="G42" s="202" t="n">
        <v>387947</v>
      </c>
      <c r="H42" s="202" t="n">
        <v>426642</v>
      </c>
      <c r="I42" s="202" t="n">
        <v>529148</v>
      </c>
      <c r="J42" s="200">
        <f>J89+J48+J88-J43</f>
        <v/>
      </c>
      <c r="K42" s="200">
        <f>K89+K48+K88-K43</f>
        <v/>
      </c>
      <c r="L42" s="200">
        <f>L89+L48+L88-L43</f>
        <v/>
      </c>
      <c r="M42" s="200">
        <f>M89+M48+M88-M43</f>
        <v/>
      </c>
      <c r="N42" s="200">
        <f>N89+N48+N88-N43</f>
        <v/>
      </c>
    </row>
    <row r="43" hidden="1" outlineLevel="1">
      <c r="B43" s="19" t="inlineStr">
        <is>
          <t>Inventory</t>
        </is>
      </c>
      <c r="E43" s="202" t="n">
        <v>0</v>
      </c>
      <c r="F43" s="202" t="n">
        <v>0</v>
      </c>
      <c r="G43" s="202" t="n">
        <v>0</v>
      </c>
      <c r="H43" s="202" t="n">
        <v>0</v>
      </c>
      <c r="I43" s="202" t="n">
        <v>0</v>
      </c>
      <c r="J43" s="200">
        <f>J25*J16/365</f>
        <v/>
      </c>
      <c r="K43" s="200">
        <f>K25*K16/365</f>
        <v/>
      </c>
      <c r="L43" s="200">
        <f>L25*L16/365</f>
        <v/>
      </c>
      <c r="M43" s="200">
        <f>M25*M16/365</f>
        <v/>
      </c>
      <c r="N43" s="200">
        <f>N25*N16/365</f>
        <v/>
      </c>
    </row>
    <row r="44" hidden="1" outlineLevel="1">
      <c r="B44" s="19" t="inlineStr">
        <is>
          <t>Property &amp; Equipment</t>
        </is>
      </c>
      <c r="E44" s="202" t="n">
        <v>27913</v>
      </c>
      <c r="F44" s="202" t="n">
        <v>17580</v>
      </c>
      <c r="G44" s="202" t="n">
        <v>10966</v>
      </c>
      <c r="H44" s="202" t="n">
        <v>38465</v>
      </c>
      <c r="I44" s="202" t="n">
        <v>67713</v>
      </c>
      <c r="J44" s="200">
        <f>J95</f>
        <v/>
      </c>
      <c r="K44" s="200">
        <f>K95</f>
        <v/>
      </c>
      <c r="L44" s="200">
        <f>L95</f>
        <v/>
      </c>
      <c r="M44" s="200">
        <f>M95</f>
        <v/>
      </c>
      <c r="N44" s="200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0">
        <f>SUM(E41:E44)</f>
        <v/>
      </c>
      <c r="F45" s="210">
        <f>SUM(F41:F44)</f>
        <v/>
      </c>
      <c r="G45" s="210">
        <f>SUM(G41:G44)</f>
        <v/>
      </c>
      <c r="H45" s="210">
        <f>SUM(H41:H44)</f>
        <v/>
      </c>
      <c r="I45" s="210">
        <f>SUM(I41:I44)</f>
        <v/>
      </c>
      <c r="J45" s="200">
        <f>SUM(J41:J44)</f>
        <v/>
      </c>
      <c r="K45" s="200">
        <f>SUM(K41:K44)</f>
        <v/>
      </c>
      <c r="L45" s="200">
        <f>SUM(L41:L44)</f>
        <v/>
      </c>
      <c r="M45" s="200">
        <f>SUM(M41:M44)</f>
        <v/>
      </c>
      <c r="N45" s="200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5" t="inlineStr">
        <is>
          <t>eqn: COGS × AP_days / 365</t>
        </is>
      </c>
      <c r="E48" s="202" t="n">
        <v>20749</v>
      </c>
      <c r="F48" s="202" t="n">
        <v>17273</v>
      </c>
      <c r="G48" s="202" t="n">
        <v>19009</v>
      </c>
      <c r="H48" s="202" t="n">
        <v>22473</v>
      </c>
      <c r="I48" s="202" t="n">
        <v>32315</v>
      </c>
      <c r="J48" s="200">
        <f>J25*J17/365</f>
        <v/>
      </c>
      <c r="K48" s="200">
        <f>K25*K17/365</f>
        <v/>
      </c>
      <c r="L48" s="200">
        <f>L25*L17/365</f>
        <v/>
      </c>
      <c r="M48" s="200">
        <f>M25*M17/365</f>
        <v/>
      </c>
      <c r="N48" s="200">
        <f>N25*N17/365</f>
        <v/>
      </c>
    </row>
    <row r="49" hidden="1" outlineLevel="1">
      <c r="B49" s="19" t="inlineStr">
        <is>
          <t>Debt</t>
        </is>
      </c>
      <c r="E49" s="202" t="n">
        <v>1259018</v>
      </c>
      <c r="F49" s="202" t="n">
        <v>1853669</v>
      </c>
      <c r="G49" s="202" t="n">
        <v>1861658</v>
      </c>
      <c r="H49" s="202" t="n">
        <v>2209021</v>
      </c>
      <c r="I49" s="202" t="n">
        <v>3055691</v>
      </c>
      <c r="J49" s="200">
        <f>J100</f>
        <v/>
      </c>
      <c r="K49" s="200">
        <f>K100</f>
        <v/>
      </c>
      <c r="L49" s="200">
        <f>L100</f>
        <v/>
      </c>
      <c r="M49" s="200">
        <f>M100</f>
        <v/>
      </c>
      <c r="N49" s="200">
        <f>N100</f>
        <v/>
      </c>
    </row>
    <row r="50" hidden="1" outlineLevel="1">
      <c r="B50" s="4" t="inlineStr">
        <is>
          <t>Total Liabilities</t>
        </is>
      </c>
      <c r="C50" s="203" t="inlineStr">
        <is>
          <t>eqn: AP + Debt + DeferredRev</t>
        </is>
      </c>
      <c r="D50" s="22" t="n"/>
      <c r="E50" s="211">
        <f>E48+E49+E88</f>
        <v/>
      </c>
      <c r="F50" s="211">
        <f>F48+F49+F88</f>
        <v/>
      </c>
      <c r="G50" s="211">
        <f>G48+G49+G88</f>
        <v/>
      </c>
      <c r="H50" s="211">
        <f>H48+H49+H88</f>
        <v/>
      </c>
      <c r="I50" s="211">
        <f>I48+I49+I88</f>
        <v/>
      </c>
      <c r="J50" s="200">
        <f>J48+J49+J88</f>
        <v/>
      </c>
      <c r="K50" s="200">
        <f>K48+K49+K88</f>
        <v/>
      </c>
      <c r="L50" s="200">
        <f>L48+L49+L88</f>
        <v/>
      </c>
      <c r="M50" s="200">
        <f>M48+M49+M88</f>
        <v/>
      </c>
      <c r="N50" s="200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202" t="n">
        <v>-849810</v>
      </c>
      <c r="F52" s="202" t="n">
        <v>-1517795</v>
      </c>
      <c r="G52" s="202" t="n">
        <v>-1481706</v>
      </c>
      <c r="H52" s="202" t="n">
        <v>-1772617</v>
      </c>
      <c r="I52" s="202" t="n">
        <v>-2544381</v>
      </c>
      <c r="J52" s="200">
        <f>I52+J20</f>
        <v/>
      </c>
      <c r="K52" s="200">
        <f>J52+K20</f>
        <v/>
      </c>
      <c r="L52" s="200">
        <f>K52+L20</f>
        <v/>
      </c>
      <c r="M52" s="200">
        <f>L52+M20</f>
        <v/>
      </c>
      <c r="N52" s="200">
        <f>M52+N20</f>
        <v/>
      </c>
    </row>
    <row r="53" hidden="1" outlineLevel="1">
      <c r="B53" s="19" t="inlineStr">
        <is>
          <t>Retained Earnings</t>
        </is>
      </c>
      <c r="C53" s="205" t="inlineStr">
        <is>
          <t>eqn: PriorRE + EBT×(1−t)</t>
        </is>
      </c>
      <c r="E53" s="202" t="n">
        <v>0</v>
      </c>
      <c r="F53" s="202" t="n">
        <v>0</v>
      </c>
      <c r="G53" s="202" t="n">
        <v>0</v>
      </c>
      <c r="H53" s="202" t="n">
        <v>0</v>
      </c>
      <c r="I53" s="202" t="n">
        <v>0</v>
      </c>
      <c r="J53" s="200">
        <f>I53+J33*(1-J13)</f>
        <v/>
      </c>
      <c r="K53" s="200">
        <f>J53+K33*(1-K13)</f>
        <v/>
      </c>
      <c r="L53" s="200">
        <f>K53+L33*(1-L13)</f>
        <v/>
      </c>
      <c r="M53" s="200">
        <f>L53+M33*(1-M13)</f>
        <v/>
      </c>
      <c r="N53" s="200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12">
        <f>SUM(E52:E53)</f>
        <v/>
      </c>
      <c r="F54" s="212">
        <f>SUM(F52:F53)</f>
        <v/>
      </c>
      <c r="G54" s="212">
        <f>SUM(G52:G53)</f>
        <v/>
      </c>
      <c r="H54" s="212">
        <f>SUM(H52:H53)</f>
        <v/>
      </c>
      <c r="I54" s="212">
        <f>SUM(I52:I53)</f>
        <v/>
      </c>
      <c r="J54" s="200">
        <f>SUM(J52:J53)</f>
        <v/>
      </c>
      <c r="K54" s="200">
        <f>SUM(K52:K53)</f>
        <v/>
      </c>
      <c r="L54" s="200">
        <f>SUM(L52:L53)</f>
        <v/>
      </c>
      <c r="M54" s="200">
        <f>SUM(M52:M53)</f>
        <v/>
      </c>
      <c r="N54" s="20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10">
        <f>E50+E54</f>
        <v/>
      </c>
      <c r="F55" s="210">
        <f>F50+F54</f>
        <v/>
      </c>
      <c r="G55" s="210">
        <f>G50+G54</f>
        <v/>
      </c>
      <c r="H55" s="210">
        <f>H50+H54</f>
        <v/>
      </c>
      <c r="I55" s="210">
        <f>I50+I54</f>
        <v/>
      </c>
      <c r="J55" s="200">
        <f>J50+J54</f>
        <v/>
      </c>
      <c r="K55" s="200">
        <f>K50+K54</f>
        <v/>
      </c>
      <c r="L55" s="200">
        <f>L50+L54</f>
        <v/>
      </c>
      <c r="M55" s="200">
        <f>M50+M54</f>
        <v/>
      </c>
      <c r="N55" s="200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213">
        <f>E55-E45</f>
        <v/>
      </c>
      <c r="F57" s="213">
        <f>F55-F45</f>
        <v/>
      </c>
      <c r="G57" s="213">
        <f>G55-G45</f>
        <v/>
      </c>
      <c r="H57" s="213">
        <f>H55-H45</f>
        <v/>
      </c>
      <c r="I57" s="213">
        <f>I55-I45</f>
        <v/>
      </c>
      <c r="J57" s="200">
        <f>J55-J45</f>
        <v/>
      </c>
      <c r="K57" s="200">
        <f>K55-K45</f>
        <v/>
      </c>
      <c r="L57" s="200">
        <f>L55-L45</f>
        <v/>
      </c>
      <c r="M57" s="200">
        <f>M55-M45</f>
        <v/>
      </c>
      <c r="N57" s="200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5" t="inlineStr">
        <is>
          <t>eqn: EBT × (1 − tax%)</t>
        </is>
      </c>
      <c r="E62" s="214">
        <f>E36</f>
        <v/>
      </c>
      <c r="F62" s="214">
        <f>F36</f>
        <v/>
      </c>
      <c r="G62" s="214">
        <f>G36</f>
        <v/>
      </c>
      <c r="H62" s="214">
        <f>H36</f>
        <v/>
      </c>
      <c r="I62" s="214">
        <f>I36</f>
        <v/>
      </c>
      <c r="J62" s="200">
        <f>J33*(1-J13)</f>
        <v/>
      </c>
      <c r="K62" s="200">
        <f>K33*(1-K13)</f>
        <v/>
      </c>
      <c r="L62" s="200">
        <f>L33*(1-L13)</f>
        <v/>
      </c>
      <c r="M62" s="200">
        <f>M33*(1-M13)</f>
        <v/>
      </c>
      <c r="N62" s="200">
        <f>N33*(1-N13)</f>
        <v/>
      </c>
    </row>
    <row r="63" hidden="1" outlineLevel="1">
      <c r="B63" s="19" t="inlineStr">
        <is>
          <t>Plus: Depreciation &amp; Amortization</t>
        </is>
      </c>
      <c r="C63" s="205" t="inlineStr">
        <is>
          <t>eqn: AvgPPE × DA%</t>
        </is>
      </c>
      <c r="E63" s="214">
        <f>+E30</f>
        <v/>
      </c>
      <c r="F63" s="214">
        <f>+F30</f>
        <v/>
      </c>
      <c r="G63" s="214">
        <f>+G30</f>
        <v/>
      </c>
      <c r="H63" s="214">
        <f>+H30</f>
        <v/>
      </c>
      <c r="I63" s="214">
        <f>+I30</f>
        <v/>
      </c>
      <c r="J63" s="200">
        <f>((J92+(J92+J93))/2)*J11</f>
        <v/>
      </c>
      <c r="K63" s="200">
        <f>((K92+(K92+K93))/2)*K11</f>
        <v/>
      </c>
      <c r="L63" s="200">
        <f>((L92+(L92+L93))/2)*L11</f>
        <v/>
      </c>
      <c r="M63" s="200">
        <f>((M92+(M92+M93))/2)*M11</f>
        <v/>
      </c>
      <c r="N63" s="200">
        <f>((N92+(N92+N93))/2)*N11</f>
        <v/>
      </c>
    </row>
    <row r="64" hidden="1" outlineLevel="1">
      <c r="B64" s="19" t="inlineStr">
        <is>
          <t>Less: Changes in Working Capital</t>
        </is>
      </c>
      <c r="C64" s="205" t="inlineStr">
        <is>
          <t>eqn: ΔNWC from consolidated NWC% of sales</t>
        </is>
      </c>
      <c r="E64" s="202" t="n">
        <v>0</v>
      </c>
      <c r="F64" s="202" t="n">
        <v>-849</v>
      </c>
      <c r="G64" s="202" t="n">
        <v>47116</v>
      </c>
      <c r="H64" s="202" t="n">
        <v>15064</v>
      </c>
      <c r="I64" s="202" t="n">
        <v>62189</v>
      </c>
      <c r="J64" s="200">
        <f>J90</f>
        <v/>
      </c>
      <c r="K64" s="200">
        <f>K90</f>
        <v/>
      </c>
      <c r="L64" s="200">
        <f>L90</f>
        <v/>
      </c>
      <c r="M64" s="200">
        <f>M90</f>
        <v/>
      </c>
      <c r="N64" s="200">
        <f>N90</f>
        <v/>
      </c>
    </row>
    <row r="65" hidden="1" outlineLevel="1">
      <c r="B65" s="4" t="inlineStr">
        <is>
          <t>Cash from Operations</t>
        </is>
      </c>
      <c r="C65" s="203" t="inlineStr">
        <is>
          <t>eqn: NI + DA − ΔNWC</t>
        </is>
      </c>
      <c r="D65" s="28" t="n"/>
      <c r="E65" s="204">
        <f>E62+E63-E64</f>
        <v/>
      </c>
      <c r="F65" s="204">
        <f>F62+F63-F64</f>
        <v/>
      </c>
      <c r="G65" s="204">
        <f>G62+G63-G64</f>
        <v/>
      </c>
      <c r="H65" s="204">
        <f>H62+H63-H64</f>
        <v/>
      </c>
      <c r="I65" s="204">
        <f>I62+I63-I64</f>
        <v/>
      </c>
      <c r="J65" s="200">
        <f>J33*(1-J13)+(((J92+(J92+J93))/2)*J11)-J90</f>
        <v/>
      </c>
      <c r="K65" s="200">
        <f>K33*(1-K13)+(((K92+(K92+K93))/2)*K11)-K90</f>
        <v/>
      </c>
      <c r="L65" s="200">
        <f>L33*(1-L13)+(((L92+(L92+L93))/2)*L11)-L90</f>
        <v/>
      </c>
      <c r="M65" s="200">
        <f>M33*(1-M13)+(((M92+(M92+M93))/2)*M11)-M90</f>
        <v/>
      </c>
      <c r="N65" s="200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5" t="inlineStr">
        <is>
          <t>eqn: Rev × CapEx%</t>
        </is>
      </c>
      <c r="E68" s="202" t="n">
        <v>7569</v>
      </c>
      <c r="F68" s="202" t="n">
        <v>6029</v>
      </c>
      <c r="G68" s="202" t="n">
        <v>4237</v>
      </c>
      <c r="H68" s="202" t="n">
        <v>25551</v>
      </c>
      <c r="I68" s="202" t="n">
        <v>39407</v>
      </c>
      <c r="J68" s="200">
        <f>J24*J18</f>
        <v/>
      </c>
      <c r="K68" s="200">
        <f>K24*K18</f>
        <v/>
      </c>
      <c r="L68" s="200">
        <f>L24*L18</f>
        <v/>
      </c>
      <c r="M68" s="200">
        <f>M24*M18</f>
        <v/>
      </c>
      <c r="N68" s="200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4">
        <f>SUM(E68)</f>
        <v/>
      </c>
      <c r="F69" s="204">
        <f>SUM(F68)</f>
        <v/>
      </c>
      <c r="G69" s="204">
        <f>SUM(G68)</f>
        <v/>
      </c>
      <c r="H69" s="204">
        <f>SUM(H68)</f>
        <v/>
      </c>
      <c r="I69" s="204">
        <f>SUM(I68)</f>
        <v/>
      </c>
      <c r="J69" s="200">
        <f>J68</f>
        <v/>
      </c>
      <c r="K69" s="200">
        <f>K68</f>
        <v/>
      </c>
      <c r="L69" s="200">
        <f>L68</f>
        <v/>
      </c>
      <c r="M69" s="200">
        <f>M68</f>
        <v/>
      </c>
      <c r="N69" s="200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2" t="n">
        <v>519583</v>
      </c>
      <c r="F72" s="202" t="n">
        <v>594651</v>
      </c>
      <c r="G72" s="202" t="n">
        <v>7989</v>
      </c>
      <c r="H72" s="202" t="n">
        <v>347363</v>
      </c>
      <c r="I72" s="202" t="n">
        <v>846670</v>
      </c>
      <c r="J72" s="200">
        <f>J19</f>
        <v/>
      </c>
      <c r="K72" s="200">
        <f>K19</f>
        <v/>
      </c>
      <c r="L72" s="200">
        <f>L19</f>
        <v/>
      </c>
      <c r="M72" s="200">
        <f>M19</f>
        <v/>
      </c>
      <c r="N72" s="200">
        <f>N19</f>
        <v/>
      </c>
    </row>
    <row r="73" hidden="1" outlineLevel="1">
      <c r="B73" s="19" t="inlineStr">
        <is>
          <t>Issuance (repayment) of equity</t>
        </is>
      </c>
      <c r="E73" s="202" t="n">
        <v>0</v>
      </c>
      <c r="F73" s="202" t="n">
        <v>0</v>
      </c>
      <c r="G73" s="202" t="n">
        <v>0</v>
      </c>
      <c r="H73" s="202" t="n">
        <v>0</v>
      </c>
      <c r="I73" s="202" t="n">
        <v>0</v>
      </c>
      <c r="J73" s="200">
        <f>J20</f>
        <v/>
      </c>
      <c r="K73" s="200">
        <f>K20</f>
        <v/>
      </c>
      <c r="L73" s="200">
        <f>L20</f>
        <v/>
      </c>
      <c r="M73" s="200">
        <f>M20</f>
        <v/>
      </c>
      <c r="N73" s="200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4">
        <f>SUM(E72:E73)</f>
        <v/>
      </c>
      <c r="F74" s="204">
        <f>SUM(F72:F73)</f>
        <v/>
      </c>
      <c r="G74" s="204">
        <f>SUM(G72:G73)</f>
        <v/>
      </c>
      <c r="H74" s="204">
        <f>SUM(H72:H73)</f>
        <v/>
      </c>
      <c r="I74" s="204">
        <f>SUM(I72:I73)</f>
        <v/>
      </c>
      <c r="J74" s="200">
        <f>J19+J20</f>
        <v/>
      </c>
      <c r="K74" s="200">
        <f>K19+K20</f>
        <v/>
      </c>
      <c r="L74" s="200">
        <f>L19+L20</f>
        <v/>
      </c>
      <c r="M74" s="200">
        <f>M19+M20</f>
        <v/>
      </c>
      <c r="N74" s="200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5" t="inlineStr">
        <is>
          <t>eqn: CFO − CapEx + Financing</t>
        </is>
      </c>
      <c r="E76" s="215">
        <f>E41-E77</f>
        <v/>
      </c>
      <c r="F76" s="215">
        <f>F41-F77</f>
        <v/>
      </c>
      <c r="G76" s="215">
        <f>G41-G77</f>
        <v/>
      </c>
      <c r="H76" s="215">
        <f>H41-H77</f>
        <v/>
      </c>
      <c r="I76" s="215">
        <f>I41-I77</f>
        <v/>
      </c>
      <c r="J76" s="200">
        <f>J65-J69+J74</f>
        <v/>
      </c>
      <c r="K76" s="200">
        <f>K65-K69+K74</f>
        <v/>
      </c>
      <c r="L76" s="200">
        <f>L65-L69+L74</f>
        <v/>
      </c>
      <c r="M76" s="200">
        <f>M65-M69+M74</f>
        <v/>
      </c>
      <c r="N76" s="200">
        <f>N65-N69+N74</f>
        <v/>
      </c>
    </row>
    <row r="77" hidden="1" outlineLevel="1">
      <c r="B77" s="19" t="inlineStr">
        <is>
          <t>Opening Cash Balance</t>
        </is>
      </c>
      <c r="E77" s="202" t="n">
        <v>157394</v>
      </c>
      <c r="F77" s="215">
        <f>E41</f>
        <v/>
      </c>
      <c r="G77" s="215">
        <f>F41</f>
        <v/>
      </c>
      <c r="H77" s="215">
        <f>G41</f>
        <v/>
      </c>
      <c r="I77" s="215">
        <f>H41</f>
        <v/>
      </c>
      <c r="J77" s="200">
        <f>I41</f>
        <v/>
      </c>
      <c r="K77" s="200">
        <f>J41</f>
        <v/>
      </c>
      <c r="L77" s="200">
        <f>K41</f>
        <v/>
      </c>
      <c r="M77" s="200">
        <f>L41</f>
        <v/>
      </c>
      <c r="N77" s="200">
        <f>M41</f>
        <v/>
      </c>
    </row>
    <row r="78" hidden="1" outlineLevel="1">
      <c r="B78" s="4" t="inlineStr">
        <is>
          <t>Closing Cash Balance</t>
        </is>
      </c>
      <c r="C78" s="5" t="n"/>
      <c r="D78" s="216" t="n">
        <v>157394</v>
      </c>
      <c r="E78" s="204">
        <f>SUM(E76:E77)</f>
        <v/>
      </c>
      <c r="F78" s="204">
        <f>SUM(F76:F77)</f>
        <v/>
      </c>
      <c r="G78" s="204">
        <f>SUM(G76:G77)</f>
        <v/>
      </c>
      <c r="H78" s="204">
        <f>SUM(H76:H77)</f>
        <v/>
      </c>
      <c r="I78" s="204">
        <f>SUM(I76:I77)</f>
        <v/>
      </c>
      <c r="J78" s="200">
        <f>J77+J76</f>
        <v/>
      </c>
      <c r="K78" s="200">
        <f>K77+K76</f>
        <v/>
      </c>
      <c r="L78" s="200">
        <f>L77+L76</f>
        <v/>
      </c>
      <c r="M78" s="200">
        <f>M77+M76</f>
        <v/>
      </c>
      <c r="N78" s="200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213">
        <f>E78-E41</f>
        <v/>
      </c>
      <c r="F80" s="213">
        <f>F78-F41</f>
        <v/>
      </c>
      <c r="G80" s="213">
        <f>G78-G41</f>
        <v/>
      </c>
      <c r="H80" s="213">
        <f>H78-H41</f>
        <v/>
      </c>
      <c r="I80" s="213">
        <f>I78-I41</f>
        <v/>
      </c>
      <c r="J80" s="200">
        <f>J78-J41</f>
        <v/>
      </c>
      <c r="K80" s="200">
        <f>K78-K41</f>
        <v/>
      </c>
      <c r="L80" s="200">
        <f>L78-L41</f>
        <v/>
      </c>
      <c r="M80" s="200">
        <f>M78-M41</f>
        <v/>
      </c>
      <c r="N80" s="200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202" t="n">
        <v>312107</v>
      </c>
      <c r="F85" s="202" t="n">
        <v>322410</v>
      </c>
      <c r="G85" s="202" t="n">
        <v>387947</v>
      </c>
      <c r="H85" s="202" t="n">
        <v>426642</v>
      </c>
      <c r="I85" s="202" t="n">
        <v>529148</v>
      </c>
      <c r="J85" s="200">
        <f>J42</f>
        <v/>
      </c>
      <c r="K85" s="200">
        <f>K42</f>
        <v/>
      </c>
      <c r="L85" s="200">
        <f>L42</f>
        <v/>
      </c>
      <c r="M85" s="200">
        <f>M42</f>
        <v/>
      </c>
      <c r="N85" s="200">
        <f>N42</f>
        <v/>
      </c>
    </row>
    <row r="86" hidden="1" outlineLevel="1">
      <c r="B86" s="19" t="inlineStr">
        <is>
          <t>Inventory</t>
        </is>
      </c>
      <c r="E86" s="202" t="n">
        <v>0</v>
      </c>
      <c r="F86" s="202" t="n">
        <v>0</v>
      </c>
      <c r="G86" s="202" t="n">
        <v>0</v>
      </c>
      <c r="H86" s="202" t="n">
        <v>0</v>
      </c>
      <c r="I86" s="202" t="n">
        <v>0</v>
      </c>
      <c r="J86" s="200">
        <f>J43</f>
        <v/>
      </c>
      <c r="K86" s="200">
        <f>K43</f>
        <v/>
      </c>
      <c r="L86" s="200">
        <f>L43</f>
        <v/>
      </c>
      <c r="M86" s="200">
        <f>M43</f>
        <v/>
      </c>
      <c r="N86" s="200">
        <f>N43</f>
        <v/>
      </c>
    </row>
    <row r="87" hidden="1" outlineLevel="1">
      <c r="B87" s="19" t="inlineStr">
        <is>
          <t>Accounts Payable</t>
        </is>
      </c>
      <c r="E87" s="202" t="n">
        <v>20749</v>
      </c>
      <c r="F87" s="202" t="n">
        <v>17273</v>
      </c>
      <c r="G87" s="202" t="n">
        <v>19009</v>
      </c>
      <c r="H87" s="202" t="n">
        <v>22473</v>
      </c>
      <c r="I87" s="202" t="n">
        <v>32315</v>
      </c>
      <c r="J87" s="200">
        <f>J48</f>
        <v/>
      </c>
      <c r="K87" s="200">
        <f>K48</f>
        <v/>
      </c>
      <c r="L87" s="200">
        <f>L48</f>
        <v/>
      </c>
      <c r="M87" s="200">
        <f>M48</f>
        <v/>
      </c>
      <c r="N87" s="200">
        <f>N48</f>
        <v/>
      </c>
    </row>
    <row r="88" hidden="1" outlineLevel="1">
      <c r="B88" s="5" t="inlineStr">
        <is>
          <t>Deferred Revenue (contract liability)</t>
        </is>
      </c>
      <c r="C88" s="203" t="inlineStr">
        <is>
          <t>eqn: Rev × (FY25 Deferred/FY25 Rev)</t>
        </is>
      </c>
      <c r="D88" s="28" t="n"/>
      <c r="E88" s="217" t="n">
        <v>105417</v>
      </c>
      <c r="F88" s="217" t="n">
        <v>120045</v>
      </c>
      <c r="G88" s="217" t="n">
        <v>136730</v>
      </c>
      <c r="H88" s="217" t="n">
        <v>156897</v>
      </c>
      <c r="I88" s="217" t="n">
        <v>187372</v>
      </c>
      <c r="J88" s="200">
        <f>J24*IF($I$24=0,0,$I$88/$I$24)</f>
        <v/>
      </c>
      <c r="K88" s="200">
        <f>K24*IF($I$24=0,0,$I$88/$I$24)</f>
        <v/>
      </c>
      <c r="L88" s="200">
        <f>L24*IF($I$24=0,0,$I$88/$I$24)</f>
        <v/>
      </c>
      <c r="M88" s="200">
        <f>M24*IF($I$24=0,0,$I$88/$I$24)</f>
        <v/>
      </c>
      <c r="N88" s="200">
        <f>N24*IF($I$24=0,0,$I$88/$I$24)</f>
        <v/>
      </c>
    </row>
    <row r="89" hidden="1" outlineLevel="1">
      <c r="B89" s="19" t="inlineStr">
        <is>
          <t>Net Working Capital (NWC)</t>
        </is>
      </c>
      <c r="C89" s="205" t="inlineStr">
        <is>
          <t>eqn: Rev × NWC%   (consolidated operating WC)</t>
        </is>
      </c>
      <c r="D89" s="218" t="n">
        <v>205747</v>
      </c>
      <c r="E89" s="202" t="n">
        <v>185941</v>
      </c>
      <c r="F89" s="202" t="n">
        <v>185092</v>
      </c>
      <c r="G89" s="202" t="n">
        <v>232208</v>
      </c>
      <c r="H89" s="202" t="n">
        <v>247272</v>
      </c>
      <c r="I89" s="202" t="n">
        <v>309461</v>
      </c>
      <c r="J89" s="200">
        <f>J24*J15</f>
        <v/>
      </c>
      <c r="K89" s="200">
        <f>K24*K15</f>
        <v/>
      </c>
      <c r="L89" s="200">
        <f>L24*L15</f>
        <v/>
      </c>
      <c r="M89" s="200">
        <f>M24*M15</f>
        <v/>
      </c>
      <c r="N89" s="200">
        <f>N24*N15</f>
        <v/>
      </c>
    </row>
    <row r="90" hidden="1" outlineLevel="1">
      <c r="B90" t="inlineStr">
        <is>
          <t>Change in NWC</t>
        </is>
      </c>
      <c r="C90" s="205" t="inlineStr">
        <is>
          <t>eqn: NWCt − NWCt−1 (hist I89 is Y1 prior — keeps BS balanced)</t>
        </is>
      </c>
      <c r="E90" s="202" t="n">
        <v>-19806</v>
      </c>
      <c r="F90" s="202" t="n">
        <v>-849</v>
      </c>
      <c r="G90" s="202" t="n">
        <v>47116</v>
      </c>
      <c r="H90" s="202" t="n">
        <v>15064</v>
      </c>
      <c r="I90" s="202" t="n">
        <v>62189</v>
      </c>
      <c r="J90" s="219">
        <f>J89-I89</f>
        <v/>
      </c>
      <c r="K90" s="219">
        <f>K89-J89</f>
        <v/>
      </c>
      <c r="L90" s="219">
        <f>L89-K89</f>
        <v/>
      </c>
      <c r="M90" s="219">
        <f>M89-L89</f>
        <v/>
      </c>
      <c r="N90" s="219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2" t="n">
        <v>46419</v>
      </c>
      <c r="F92" s="215">
        <f>E95</f>
        <v/>
      </c>
      <c r="G92" s="215">
        <f>F95</f>
        <v/>
      </c>
      <c r="H92" s="215">
        <f>G95</f>
        <v/>
      </c>
      <c r="I92" s="215">
        <f>H95</f>
        <v/>
      </c>
      <c r="J92" s="200">
        <f>I44</f>
        <v/>
      </c>
      <c r="K92" s="200">
        <f>J95</f>
        <v/>
      </c>
      <c r="L92" s="200">
        <f>K95</f>
        <v/>
      </c>
      <c r="M92" s="200">
        <f>L95</f>
        <v/>
      </c>
      <c r="N92" s="200">
        <f>M95</f>
        <v/>
      </c>
    </row>
    <row r="93" hidden="1" outlineLevel="1">
      <c r="B93" s="19" t="inlineStr">
        <is>
          <t>Plus Capex</t>
        </is>
      </c>
      <c r="E93" s="202" t="n">
        <v>7569</v>
      </c>
      <c r="F93" s="202" t="n">
        <v>6029</v>
      </c>
      <c r="G93" s="202" t="n">
        <v>4237</v>
      </c>
      <c r="H93" s="202" t="n">
        <v>25551</v>
      </c>
      <c r="I93" s="202" t="n">
        <v>39407</v>
      </c>
      <c r="J93" s="200">
        <f>J24*J18</f>
        <v/>
      </c>
      <c r="K93" s="200">
        <f>K24*K18</f>
        <v/>
      </c>
      <c r="L93" s="200">
        <f>L24*L18</f>
        <v/>
      </c>
      <c r="M93" s="200">
        <f>M24*M18</f>
        <v/>
      </c>
      <c r="N93" s="200">
        <f>N24*N18</f>
        <v/>
      </c>
    </row>
    <row r="94" hidden="1" outlineLevel="1">
      <c r="B94" s="19" t="inlineStr">
        <is>
          <t>Less Depreciation</t>
        </is>
      </c>
      <c r="C94" s="205" t="inlineStr">
        <is>
          <t>eqn: ((Open+Open+CapEx)/2) × DA%</t>
        </is>
      </c>
      <c r="E94" s="202" t="n">
        <v>25592</v>
      </c>
      <c r="F94" s="202" t="n">
        <v>20465</v>
      </c>
      <c r="G94" s="202" t="n">
        <v>14638</v>
      </c>
      <c r="H94" s="202" t="n">
        <v>13827</v>
      </c>
      <c r="I94" s="202" t="n">
        <v>14952</v>
      </c>
      <c r="J94" s="200">
        <f>((J92+(J92+J93))/2)*J11</f>
        <v/>
      </c>
      <c r="K94" s="200">
        <f>((K92+(K92+K93))/2)*K11</f>
        <v/>
      </c>
      <c r="L94" s="200">
        <f>((L92+(L92+L93))/2)*L11</f>
        <v/>
      </c>
      <c r="M94" s="200">
        <f>((M92+(M92+M93))/2)*M11</f>
        <v/>
      </c>
      <c r="N94" s="200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217" t="n">
        <v>27913</v>
      </c>
      <c r="F95" s="217" t="n">
        <v>17580</v>
      </c>
      <c r="G95" s="217" t="n">
        <v>10966</v>
      </c>
      <c r="H95" s="217" t="n">
        <v>38465</v>
      </c>
      <c r="I95" s="217" t="n">
        <v>67713</v>
      </c>
      <c r="J95" s="200">
        <f>J92+J93-J94</f>
        <v/>
      </c>
      <c r="K95" s="200">
        <f>K92+K93-K94</f>
        <v/>
      </c>
      <c r="L95" s="200">
        <f>L92+L93-L94</f>
        <v/>
      </c>
      <c r="M95" s="200">
        <f>M92+M93-M94</f>
        <v/>
      </c>
      <c r="N95" s="200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2" t="n">
        <v>739435</v>
      </c>
      <c r="F98" s="215">
        <f>E100</f>
        <v/>
      </c>
      <c r="G98" s="215">
        <f>F100</f>
        <v/>
      </c>
      <c r="H98" s="215">
        <f>G100</f>
        <v/>
      </c>
      <c r="I98" s="215">
        <f>H100</f>
        <v/>
      </c>
      <c r="J98" s="200">
        <f>I49</f>
        <v/>
      </c>
      <c r="K98" s="200">
        <f>J100</f>
        <v/>
      </c>
      <c r="L98" s="200">
        <f>K100</f>
        <v/>
      </c>
      <c r="M98" s="200">
        <f>L100</f>
        <v/>
      </c>
      <c r="N98" s="200">
        <f>M100</f>
        <v/>
      </c>
    </row>
    <row r="99" hidden="1" outlineLevel="1">
      <c r="B99" s="19" t="inlineStr">
        <is>
          <t>Issuance (repayment)</t>
        </is>
      </c>
      <c r="E99" s="202" t="n">
        <v>519583</v>
      </c>
      <c r="F99" s="202" t="n">
        <v>594651</v>
      </c>
      <c r="G99" s="202" t="n">
        <v>7989</v>
      </c>
      <c r="H99" s="202" t="n">
        <v>347363</v>
      </c>
      <c r="I99" s="202" t="n">
        <v>846670</v>
      </c>
      <c r="J99" s="200">
        <f>J19</f>
        <v/>
      </c>
      <c r="K99" s="200">
        <f>K19</f>
        <v/>
      </c>
      <c r="L99" s="200">
        <f>L19</f>
        <v/>
      </c>
      <c r="M99" s="200">
        <f>M19</f>
        <v/>
      </c>
      <c r="N99" s="200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7" t="n">
        <v>1259018</v>
      </c>
      <c r="F100" s="217" t="n">
        <v>1853669</v>
      </c>
      <c r="G100" s="217" t="n">
        <v>1861658</v>
      </c>
      <c r="H100" s="217" t="n">
        <v>2209021</v>
      </c>
      <c r="I100" s="217" t="n">
        <v>3055691</v>
      </c>
      <c r="J100" s="200">
        <f>J98+J99</f>
        <v/>
      </c>
      <c r="K100" s="200">
        <f>K98+K99</f>
        <v/>
      </c>
      <c r="L100" s="200">
        <f>L98+L99</f>
        <v/>
      </c>
      <c r="M100" s="200">
        <f>M98+M99</f>
        <v/>
      </c>
      <c r="N100" s="200">
        <f>N98+N99</f>
        <v/>
      </c>
    </row>
    <row r="101" hidden="1" outlineLevel="1">
      <c r="B101" s="19" t="inlineStr">
        <is>
          <t>Interest Expense</t>
        </is>
      </c>
      <c r="E101" s="202" t="n">
        <v>40092</v>
      </c>
      <c r="F101" s="202" t="n">
        <v>68967</v>
      </c>
      <c r="G101" s="202" t="n">
        <v>95546</v>
      </c>
      <c r="H101" s="202" t="n">
        <v>105638</v>
      </c>
      <c r="I101" s="202" t="n">
        <v>133647</v>
      </c>
      <c r="J101" s="200">
        <f>J98*J12</f>
        <v/>
      </c>
      <c r="K101" s="200">
        <f>K98*K12</f>
        <v/>
      </c>
      <c r="L101" s="200">
        <f>L98*L12</f>
        <v/>
      </c>
      <c r="M101" s="200">
        <f>M98*M12</f>
        <v/>
      </c>
      <c r="N101" s="200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4">
    <mergeCell ref="U3:V3"/>
    <mergeCell ref="U4:V4"/>
    <mergeCell ref="P4:T4"/>
    <mergeCell ref="P3:T3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3" r:id="rId1"/>
    <hyperlink xmlns:r="http://schemas.openxmlformats.org/officeDocument/2006/relationships" ref="A4" r:id="rId2"/>
    <hyperlink xmlns:r="http://schemas.openxmlformats.org/officeDocument/2006/relationships" ref="U4" r:id="rId3"/>
    <hyperlink xmlns:r="http://schemas.openxmlformats.org/officeDocument/2006/relationships" ref="U6" r:id="rId4"/>
    <hyperlink xmlns:r="http://schemas.openxmlformats.org/officeDocument/2006/relationships" ref="V6" r:id="rId5"/>
    <hyperlink xmlns:r="http://schemas.openxmlformats.org/officeDocument/2006/relationships" ref="W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W7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W8" r:id="rId12"/>
    <hyperlink xmlns:r="http://schemas.openxmlformats.org/officeDocument/2006/relationships" ref="U9" r:id="rId13"/>
    <hyperlink xmlns:r="http://schemas.openxmlformats.org/officeDocument/2006/relationships" ref="V9" r:id="rId14"/>
    <hyperlink xmlns:r="http://schemas.openxmlformats.org/officeDocument/2006/relationships" ref="W9" r:id="rId15"/>
    <hyperlink xmlns:r="http://schemas.openxmlformats.org/officeDocument/2006/relationships" ref="U10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U11" r:id="rId19"/>
    <hyperlink xmlns:r="http://schemas.openxmlformats.org/officeDocument/2006/relationships" ref="V11" r:id="rId20"/>
    <hyperlink xmlns:r="http://schemas.openxmlformats.org/officeDocument/2006/relationships" ref="W11" r:id="rId21"/>
    <hyperlink xmlns:r="http://schemas.openxmlformats.org/officeDocument/2006/relationships" ref="U12" r:id="rId22"/>
    <hyperlink xmlns:r="http://schemas.openxmlformats.org/officeDocument/2006/relationships" ref="V12" r:id="rId23"/>
    <hyperlink xmlns:r="http://schemas.openxmlformats.org/officeDocument/2006/relationships" ref="W12" r:id="rId24"/>
    <hyperlink xmlns:r="http://schemas.openxmlformats.org/officeDocument/2006/relationships" ref="U13" r:id="rId25"/>
    <hyperlink xmlns:r="http://schemas.openxmlformats.org/officeDocument/2006/relationships" ref="V13" r:id="rId26"/>
    <hyperlink xmlns:r="http://schemas.openxmlformats.org/officeDocument/2006/relationships" ref="W13" r:id="rId27"/>
    <hyperlink xmlns:r="http://schemas.openxmlformats.org/officeDocument/2006/relationships" ref="U15" r:id="rId28"/>
    <hyperlink xmlns:r="http://schemas.openxmlformats.org/officeDocument/2006/relationships" ref="V15" r:id="rId29"/>
    <hyperlink xmlns:r="http://schemas.openxmlformats.org/officeDocument/2006/relationships" ref="W15" r:id="rId30"/>
    <hyperlink xmlns:r="http://schemas.openxmlformats.org/officeDocument/2006/relationships" ref="U16" r:id="rId31"/>
    <hyperlink xmlns:r="http://schemas.openxmlformats.org/officeDocument/2006/relationships" ref="V16" r:id="rId32"/>
    <hyperlink xmlns:r="http://schemas.openxmlformats.org/officeDocument/2006/relationships" ref="W16" r:id="rId33"/>
    <hyperlink xmlns:r="http://schemas.openxmlformats.org/officeDocument/2006/relationships" ref="U17" r:id="rId34"/>
    <hyperlink xmlns:r="http://schemas.openxmlformats.org/officeDocument/2006/relationships" ref="V17" r:id="rId35"/>
    <hyperlink xmlns:r="http://schemas.openxmlformats.org/officeDocument/2006/relationships" ref="W17" r:id="rId36"/>
    <hyperlink xmlns:r="http://schemas.openxmlformats.org/officeDocument/2006/relationships" ref="U18" r:id="rId37"/>
    <hyperlink xmlns:r="http://schemas.openxmlformats.org/officeDocument/2006/relationships" ref="V18" r:id="rId38"/>
    <hyperlink xmlns:r="http://schemas.openxmlformats.org/officeDocument/2006/relationships" ref="W18" r:id="rId39"/>
    <hyperlink xmlns:r="http://schemas.openxmlformats.org/officeDocument/2006/relationships" ref="U19" r:id="rId40"/>
    <hyperlink xmlns:r="http://schemas.openxmlformats.org/officeDocument/2006/relationships" ref="V19" r:id="rId41"/>
    <hyperlink xmlns:r="http://schemas.openxmlformats.org/officeDocument/2006/relationships" ref="W19" r:id="rId42"/>
    <hyperlink xmlns:r="http://schemas.openxmlformats.org/officeDocument/2006/relationships" ref="U20" r:id="rId43"/>
    <hyperlink xmlns:r="http://schemas.openxmlformats.org/officeDocument/2006/relationships" ref="V20" r:id="rId44"/>
    <hyperlink xmlns:r="http://schemas.openxmlformats.org/officeDocument/2006/relationships" ref="W20" r:id="rId45"/>
    <hyperlink xmlns:r="http://schemas.openxmlformats.org/officeDocument/2006/relationships" ref="B138" r:id="rId46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7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20" t="inlineStr">
        <is>
          <t>vengeanceaiUSCMODEL8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21" t="n">
        <v>13.88</v>
      </c>
      <c r="O3" s="104" t="inlineStr">
        <is>
          <t>VCP Scanner peer set</t>
        </is>
      </c>
      <c r="Q3" s="222" t="inlineStr">
        <is>
          <t>Yellow = inputs (edit). Green = formulas. Blue underlined = clickable sources.</t>
        </is>
      </c>
    </row>
    <row r="4" ht="16" customHeight="1">
      <c r="A4" s="223">
        <f>HYPERLINK("https://raw.githubusercontent.com/vengeanceaiUSC/Rainmaker/cursor/vengeanceaiusmodel8-d3ac/FICO/output/MODEL8_FICO_ASSUMPTIONS_LIST.pdf","⬇ Download Assumptions List PDF")</f>
        <v/>
      </c>
      <c r="B4" s="106" t="inlineStr">
        <is>
          <t>Assumptions — full list PDF (no charts): MODEL8_FICO_ASSUMPTIONS_LIST.pdf</t>
        </is>
      </c>
      <c r="C4" s="224" t="inlineStr">
        <is>
          <t>https://github.com/vengeanceaiUSC/Rainmaker/blob/cursor/vengeanceaiusmodel8-d3ac/FICO/output/MODEL8_FICO_ASSUMPTIONS_LIST.pdf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21" t="n">
        <v>17.42</v>
      </c>
      <c r="O4" s="104" t="inlineStr">
        <is>
          <t>VCP Scanner peer set</t>
        </is>
      </c>
      <c r="Q4" s="225" t="inlineStr">
        <is>
          <t>Input</t>
        </is>
      </c>
      <c r="R4" s="225" t="inlineStr">
        <is>
          <t>Value</t>
        </is>
      </c>
      <c r="S4" s="225" t="inlineStr">
        <is>
          <t>Description</t>
        </is>
      </c>
      <c r="T4" s="225" t="inlineStr">
        <is>
          <t>Role</t>
        </is>
      </c>
      <c r="U4" s="225" t="inlineStr">
        <is>
          <t>Primary source (click)</t>
        </is>
      </c>
      <c r="V4" s="225" t="inlineStr">
        <is>
          <t>Secondary source (click)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226">
        <f>'3 Statement Model'!J13</f>
        <v/>
      </c>
      <c r="E5" s="227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21" t="n">
        <v>18.11</v>
      </c>
      <c r="O5" s="104" t="inlineStr">
        <is>
          <t>VCP Scanner peer set</t>
        </is>
      </c>
      <c r="Q5" s="181" t="inlineStr">
        <is>
          <t>1) CAPM → WACC   (D6 = R15)</t>
        </is>
      </c>
    </row>
    <row r="6" ht="16" customHeight="1">
      <c r="A6" s="228" t="inlineStr">
        <is>
          <t>WACC sources → columns U–V</t>
        </is>
      </c>
      <c r="B6" s="108" t="inlineStr">
        <is>
          <t>Discount Rate (WACC = We×Ke + Wd×Rd(1−t))</t>
        </is>
      </c>
      <c r="C6" s="229" t="inlineStr">
        <is>
          <t>Sources →</t>
        </is>
      </c>
      <c r="D6" s="230">
        <f>R15</f>
        <v/>
      </c>
      <c r="E6" s="227" t="inlineStr">
        <is>
          <t>WACC sources → scroll to col U (Rf/ERP/β/Rd links)</t>
        </is>
      </c>
      <c r="F6" s="227" t="inlineStr">
        <is>
          <t>Damodaran ERP</t>
        </is>
      </c>
      <c r="G6" s="227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21" t="n">
        <v>22.2</v>
      </c>
      <c r="O6" s="104" t="inlineStr">
        <is>
          <t>VCP Scanner peer set</t>
        </is>
      </c>
      <c r="Q6" s="231" t="inlineStr">
        <is>
          <t>Risk-free rate (Rf)</t>
        </is>
      </c>
      <c r="R6" s="232" t="n">
        <v>0.0463</v>
      </c>
      <c r="S6" s="231" t="inlineStr">
        <is>
          <t>US 10Y Treasury yield</t>
        </is>
      </c>
      <c r="T6" s="231" t="inlineStr">
        <is>
          <t>CAPM input</t>
        </is>
      </c>
      <c r="U6" s="233" t="inlineStr">
        <is>
          <t>FRED DGS10 (US 10Y)</t>
        </is>
      </c>
      <c r="V6" s="233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4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21" t="n">
        <v>23.74</v>
      </c>
      <c r="O7" s="104" t="inlineStr">
        <is>
          <t>VCP Scanner peer set</t>
        </is>
      </c>
      <c r="Q7" s="231" t="inlineStr">
        <is>
          <t>Equity risk premium (ERP)</t>
        </is>
      </c>
      <c r="R7" s="232" t="n">
        <v>0.0428</v>
      </c>
      <c r="S7" s="231" t="inlineStr">
        <is>
          <t>Damodaran implied ERP</t>
        </is>
      </c>
      <c r="T7" s="231" t="inlineStr">
        <is>
          <t>CAPM input</t>
        </is>
      </c>
      <c r="U7" s="233" t="inlineStr">
        <is>
          <t>Damodaran Online — Implied ERP</t>
        </is>
      </c>
      <c r="V7" s="233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35" t="n">
        <v>17.5</v>
      </c>
      <c r="E8" s="227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36" t="n">
        <v>18.11</v>
      </c>
      <c r="O8" s="114" t="inlineStr">
        <is>
          <t>Sorted median (SPGI)</t>
        </is>
      </c>
      <c r="Q8" s="231" t="inlineStr">
        <is>
          <t>Beta (β)</t>
        </is>
      </c>
      <c r="R8" s="237" t="n">
        <v>1.32</v>
      </c>
      <c r="S8" s="231" t="inlineStr">
        <is>
          <t>Yahoo 5Y monthly beta</t>
        </is>
      </c>
      <c r="T8" s="231" t="inlineStr">
        <is>
          <t>CAPM input</t>
        </is>
      </c>
      <c r="U8" s="233" t="inlineStr">
        <is>
          <t>Yahoo Finance FICO Key Statistics</t>
        </is>
      </c>
      <c r="V8" s="233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38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39" t="n">
        <v>17.5</v>
      </c>
      <c r="O9" s="117" t="inlineStr">
        <is>
          <t>Near peer median; audit 17.5x</t>
        </is>
      </c>
      <c r="Q9" s="240" t="inlineStr">
        <is>
          <t>Ke = Rf + β × ERP</t>
        </is>
      </c>
      <c r="R9" s="139">
        <f>R6+R8*R7</f>
        <v/>
      </c>
      <c r="S9" s="231" t="inlineStr">
        <is>
          <t>Cost of equity (CAPM)</t>
        </is>
      </c>
      <c r="T9" s="240" t="inlineStr">
        <is>
          <t>→ WACC</t>
        </is>
      </c>
      <c r="U9" s="231" t="inlineStr">
        <is>
          <t>Derived: R6 + R8 × R7</t>
        </is>
      </c>
      <c r="V9" s="231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38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31" t="inlineStr">
        <is>
          <t>Pre-tax cost of debt (Rd)</t>
        </is>
      </c>
      <c r="R10" s="232" t="n">
        <v>0.0625</v>
      </c>
      <c r="S10" s="231" t="inlineStr">
        <is>
          <t>6.250% Senior Notes due 2034</t>
        </is>
      </c>
      <c r="T10" s="231" t="inlineStr">
        <is>
          <t>WACC input</t>
        </is>
      </c>
      <c r="U10" s="233" t="inlineStr">
        <is>
          <t>SEC 8-K — Notes closing (6.250%)</t>
        </is>
      </c>
      <c r="V10" s="233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41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31" t="inlineStr">
        <is>
          <t>Tax rate (t)</t>
        </is>
      </c>
      <c r="R11" s="139">
        <f>$D$5</f>
        <v/>
      </c>
      <c r="S11" s="231" t="inlineStr">
        <is>
          <t>D5 ← 3S!J13 (FY25 tax/EBT)</t>
        </is>
      </c>
      <c r="T11" s="231" t="inlineStr">
        <is>
          <t>Linked D5←3S</t>
        </is>
      </c>
      <c r="U11" s="233" t="inlineStr">
        <is>
          <t>SEC 10-K FY2025 (tax / EBT)</t>
        </is>
      </c>
      <c r="V11" s="233" t="inlineStr">
        <is>
          <t>SEC companyfacts XBRL (CIK 0000814547)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42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40" t="inlineStr">
        <is>
          <t>Rd_aftertax = Rd × (1 − t)</t>
        </is>
      </c>
      <c r="R12" s="139">
        <f>R10*(1-R11)</f>
        <v/>
      </c>
      <c r="S12" s="231" t="inlineStr">
        <is>
          <t>After-tax cost of debt</t>
        </is>
      </c>
      <c r="T12" s="240" t="inlineStr">
        <is>
          <t>→ WACC</t>
        </is>
      </c>
      <c r="U12" s="231" t="inlineStr">
        <is>
          <t>Derived: R10 × (1 − R11)</t>
        </is>
      </c>
      <c r="V12" s="231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42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31" t="inlineStr">
        <is>
          <t>Equity weight (We)</t>
        </is>
      </c>
      <c r="R13" s="243" t="n">
        <v>0.8</v>
      </c>
      <c r="S13" s="231" t="inlineStr">
        <is>
          <t>Target ~80% equity at market</t>
        </is>
      </c>
      <c r="T13" s="231" t="inlineStr">
        <is>
          <t>WACC weight</t>
        </is>
      </c>
      <c r="U13" s="233" t="inlineStr">
        <is>
          <t>SEC 10-Q Q3 FY2026 (debt / capital)</t>
        </is>
      </c>
      <c r="V13" s="233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42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31" t="inlineStr">
        <is>
          <t>Debt weight (Wd)</t>
        </is>
      </c>
      <c r="R14" s="243" t="n">
        <v>0.2</v>
      </c>
      <c r="S14" s="231" t="inlineStr">
        <is>
          <t>Target ~20% debt (We+Wd=100%)</t>
        </is>
      </c>
      <c r="T14" s="231" t="inlineStr">
        <is>
          <t>WACC weight</t>
        </is>
      </c>
      <c r="U14" s="233" t="inlineStr">
        <is>
          <t>SEC 10-Q — total debt $5,582,389k</t>
        </is>
      </c>
      <c r="V14" s="233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44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40" t="inlineStr">
        <is>
          <t>WACC = We×Ke + Wd×Rd_aftertax</t>
        </is>
      </c>
      <c r="R15" s="139">
        <f>R13*R9+R14*R12</f>
        <v/>
      </c>
      <c r="S15" s="231" t="inlineStr">
        <is>
          <t>PRIMARY discount rate → cell D6</t>
        </is>
      </c>
      <c r="T15" s="240" t="inlineStr">
        <is>
          <t>→ D6</t>
        </is>
      </c>
      <c r="U15" s="233" t="inlineStr">
        <is>
          <t>SEC filings (tax, debt coupons)</t>
        </is>
      </c>
      <c r="V15" s="233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45">
        <f>YEAR(E18)</f>
        <v/>
      </c>
      <c r="F17" s="245">
        <f>YEAR(F18)</f>
        <v/>
      </c>
      <c r="G17" s="245">
        <f>YEAR(G18)</f>
        <v/>
      </c>
      <c r="H17" s="245">
        <f>YEAR(H18)</f>
        <v/>
      </c>
      <c r="I17" s="24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  <c r="Q17" s="181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44">
        <f>$D$9</f>
        <v/>
      </c>
      <c r="E18" s="246">
        <f>EDATE($D$9,(E19+0.5)*12)</f>
        <v/>
      </c>
      <c r="F18" s="246">
        <f>EDATE($D$9,(F19+0.5)*12)</f>
        <v/>
      </c>
      <c r="G18" s="246">
        <f>EDATE($D$9,(G19+0.5)*12)</f>
        <v/>
      </c>
      <c r="H18" s="246">
        <f>EDATE($D$9,(H19+0.5)*12)</f>
        <v/>
      </c>
      <c r="I18" s="246">
        <f>EDATE($D$9,(I19+0.5)*12)</f>
        <v/>
      </c>
      <c r="J18" s="244">
        <f>I18</f>
        <v/>
      </c>
      <c r="K18" s="100" t="n"/>
      <c r="L18" s="100" t="inlineStr">
        <is>
          <t>Exit EV/EBITDA @ D8 (BASE 17.5x)</t>
        </is>
      </c>
      <c r="M18" s="244">
        <f>J27</f>
        <v/>
      </c>
      <c r="N18" s="100" t="inlineStr">
        <is>
          <t>← used in XNPV</t>
        </is>
      </c>
      <c r="O18" s="100" t="n"/>
      <c r="Q18" s="240" t="inlineStr">
        <is>
          <t>FCFF = EBIT − EBIT×t + D&amp;A − CapEx − ΔNWC</t>
        </is>
      </c>
      <c r="U18" s="233" t="inlineStr">
        <is>
          <t>Drivers from SEC XBRL → 3-statement</t>
        </is>
      </c>
      <c r="V18" s="233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47" t="n">
        <v>0</v>
      </c>
      <c r="F19" s="248">
        <f>E19+1</f>
        <v/>
      </c>
      <c r="G19" s="248">
        <f>F19+1</f>
        <v/>
      </c>
      <c r="H19" s="248">
        <f>G19+1</f>
        <v/>
      </c>
      <c r="I19" s="248">
        <f>H19+1</f>
        <v/>
      </c>
      <c r="J19" s="129" t="n"/>
      <c r="K19" s="100" t="n"/>
      <c r="L19" s="100" t="inlineStr">
        <is>
          <t>Gordon cross-check (g=D7)</t>
        </is>
      </c>
      <c r="M19" s="244">
        <f>IF(($D$6-$D$7)&lt;=0,"WACC must exceed g",$I$26*(1+$D$7)/($D$6-$D$7))</f>
        <v/>
      </c>
      <c r="N19" s="132" t="inlineStr">
        <is>
          <t>← sanity check</t>
        </is>
      </c>
      <c r="O19" s="100" t="n"/>
      <c r="Q19" s="231" t="inlineStr">
        <is>
          <t>Excel (col E example)</t>
        </is>
      </c>
      <c r="R19" s="240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48">
        <f>YEARFRAC(D18,E18)</f>
        <v/>
      </c>
      <c r="F20" s="248">
        <f>YEARFRAC(E18,F18)</f>
        <v/>
      </c>
      <c r="G20" s="248">
        <f>YEARFRAC(F18,G18)</f>
        <v/>
      </c>
      <c r="H20" s="248">
        <f>YEARFRAC(G18,H18)</f>
        <v/>
      </c>
      <c r="I20" s="248">
        <f>YEARFRAC(H18,I18)</f>
        <v/>
      </c>
      <c r="J20" s="100" t="n"/>
      <c r="K20" s="100" t="n"/>
      <c r="L20" s="100" t="inlineStr">
        <is>
          <t>Implied Gordon exit multiple</t>
        </is>
      </c>
      <c r="M20" s="244">
        <f>IF(($I$21+$I$23)=0,0,M19/($I$21+$I$23))</f>
        <v/>
      </c>
      <c r="N20" s="134" t="inlineStr">
        <is>
          <t>← ~bear check</t>
        </is>
      </c>
      <c r="O20" s="100" t="n"/>
      <c r="Q20" s="231" t="inlineStr">
        <is>
          <t>Tax on EBIT (unlevered)</t>
        </is>
      </c>
      <c r="R20" s="240">
        <f>E21*$D$5</f>
        <v/>
      </c>
      <c r="S20" s="231" t="inlineStr">
        <is>
          <t>NOT levered IS tax dollars</t>
        </is>
      </c>
      <c r="U20" s="233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49" t="inlineStr">
        <is>
          <t>EBIT</t>
        </is>
      </c>
      <c r="D21" s="100" t="n"/>
      <c r="E21" s="244">
        <f>'3 Statement Model'!J33+'3 Statement Model'!J31</f>
        <v/>
      </c>
      <c r="F21" s="244">
        <f>'3 Statement Model'!K33+'3 Statement Model'!K31</f>
        <v/>
      </c>
      <c r="G21" s="244">
        <f>'3 Statement Model'!L33+'3 Statement Model'!L31</f>
        <v/>
      </c>
      <c r="H21" s="244">
        <f>'3 Statement Model'!M33+'3 Statement Model'!M31</f>
        <v/>
      </c>
      <c r="I21" s="244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44">
        <f>($I$21+$I$23)*17.5</f>
        <v/>
      </c>
      <c r="N21" s="100" t="inlineStr">
        <is>
          <t>← = D8 policy</t>
        </is>
      </c>
      <c r="O21" s="100" t="n"/>
      <c r="Q21" s="231" t="inlineStr">
        <is>
          <t>FCFF check (FY5 / col I)</t>
        </is>
      </c>
      <c r="R21" s="250">
        <f>I26</f>
        <v/>
      </c>
      <c r="S21" s="231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3S tax rate)</t>
        </is>
      </c>
      <c r="C22" s="249" t="inlineStr">
        <is>
          <t>EBIT×t</t>
        </is>
      </c>
      <c r="D22" s="100" t="n"/>
      <c r="E22" s="244">
        <f>E21*$D$5</f>
        <v/>
      </c>
      <c r="F22" s="244">
        <f>F21*$D$5</f>
        <v/>
      </c>
      <c r="G22" s="244">
        <f>G21*$D$5</f>
        <v/>
      </c>
      <c r="H22" s="244">
        <f>H21*$D$5</f>
        <v/>
      </c>
      <c r="I22" s="244">
        <f>I21*$D$5</f>
        <v/>
      </c>
      <c r="J22" s="100" t="n"/>
      <c r="K22" s="100" t="n"/>
      <c r="L22" s="100" t="inlineStr">
        <is>
          <t>BULL TV @ 25.0x (spot/policy)</t>
        </is>
      </c>
      <c r="M22" s="244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49" t="inlineStr">
        <is>
          <t>+D&amp;A</t>
        </is>
      </c>
      <c r="D23" s="100" t="n"/>
      <c r="E23" s="244">
        <f>'3 Statement Model'!J30</f>
        <v/>
      </c>
      <c r="F23" s="244">
        <f>'3 Statement Model'!K30</f>
        <v/>
      </c>
      <c r="G23" s="244">
        <f>'3 Statement Model'!L30</f>
        <v/>
      </c>
      <c r="H23" s="244">
        <f>'3 Statement Model'!M30</f>
        <v/>
      </c>
      <c r="I23" s="244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44">
        <f>($I$21+$I$23)*12.8</f>
        <v/>
      </c>
      <c r="N23" s="100" t="inlineStr">
        <is>
          <t>← sensitivity only</t>
        </is>
      </c>
      <c r="O23" s="100" t="n"/>
      <c r="Q23" s="181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49" t="inlineStr">
        <is>
          <t>−CapEx</t>
        </is>
      </c>
      <c r="D24" s="100" t="n"/>
      <c r="E24" s="244">
        <f>'3 Statement Model'!J68</f>
        <v/>
      </c>
      <c r="F24" s="244">
        <f>'3 Statement Model'!K68</f>
        <v/>
      </c>
      <c r="G24" s="244">
        <f>'3 Statement Model'!L68</f>
        <v/>
      </c>
      <c r="H24" s="244">
        <f>'3 Statement Model'!M68</f>
        <v/>
      </c>
      <c r="I24" s="244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40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49" t="inlineStr">
        <is>
          <t>−ΔNWC</t>
        </is>
      </c>
      <c r="D25" s="100" t="n"/>
      <c r="E25" s="244">
        <f>'3 Statement Model'!J90</f>
        <v/>
      </c>
      <c r="F25" s="244">
        <f>'3 Statement Model'!K90</f>
        <v/>
      </c>
      <c r="G25" s="244">
        <f>'3 Statement Model'!L90</f>
        <v/>
      </c>
      <c r="H25" s="244">
        <f>'3 Statement Model'!M90</f>
        <v/>
      </c>
      <c r="I25" s="244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31" t="inlineStr">
        <is>
          <t>Excel</t>
        </is>
      </c>
      <c r="R25" s="240">
        <f>($I$21+$I$23)*$D$8</f>
        <v/>
      </c>
      <c r="T25" s="250">
        <f>J27</f>
        <v/>
      </c>
      <c r="U25" s="233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</t>
        </is>
      </c>
      <c r="C26" s="249" t="inlineStr">
        <is>
          <t>FCFF=EBIT−tax+DA−CapEx−ΔNWC</t>
        </is>
      </c>
      <c r="D26" s="100" t="n"/>
      <c r="E26" s="251">
        <f>E21-E22+E23-E24-E25</f>
        <v/>
      </c>
      <c r="F26" s="251">
        <f>F21-F22+F23-F24-F25</f>
        <v/>
      </c>
      <c r="G26" s="251">
        <f>G21-G22+G23-G24-G25</f>
        <v/>
      </c>
      <c r="H26" s="251">
        <f>H21-H22+H23-H24-H25</f>
        <v/>
      </c>
      <c r="I26" s="251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  <c r="Q26" s="240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52">
        <f>-I35</f>
        <v/>
      </c>
      <c r="E27" s="100" t="n"/>
      <c r="F27" s="100" t="n"/>
      <c r="G27" s="100" t="n"/>
      <c r="H27" s="100" t="n"/>
      <c r="I27" s="100" t="n"/>
      <c r="J27" s="244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  <c r="Q27" s="231" t="inlineStr">
        <is>
          <t>Excel</t>
        </is>
      </c>
      <c r="R27" s="240">
        <f>IF(($D$6-$D$7)&lt;=0,"err",$I$26*(1+$D$7)/($D$6-$D$7))</f>
        <v/>
      </c>
      <c r="T27" s="250">
        <f>M19</f>
        <v/>
      </c>
      <c r="U27" s="233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51" t="n">
        <v>0</v>
      </c>
      <c r="E28" s="253">
        <f>E27+E26</f>
        <v/>
      </c>
      <c r="F28" s="253">
        <f>F27+F26</f>
        <v/>
      </c>
      <c r="G28" s="253">
        <f>G27+G26</f>
        <v/>
      </c>
      <c r="H28" s="253">
        <f>H27+H26</f>
        <v/>
      </c>
      <c r="I28" s="253">
        <f>I27+I26</f>
        <v/>
      </c>
      <c r="J28" s="253">
        <f>J27+J26</f>
        <v/>
      </c>
      <c r="K28" s="100" t="n"/>
      <c r="L28" s="104" t="inlineStr">
        <is>
          <t>Tax rate (D5)</t>
        </is>
      </c>
      <c r="M28" s="219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  <c r="Q28" s="231" t="inlineStr">
        <is>
          <t>Implied Gordon exit multiple</t>
        </is>
      </c>
      <c r="R28" s="254">
        <f>IF(($I$21+$I$23)=0,0,T27/($I$21+$I$23))</f>
        <v/>
      </c>
      <c r="S28" s="231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52">
        <f>D27+D26</f>
        <v/>
      </c>
      <c r="E29" s="244">
        <f>E27+E26</f>
        <v/>
      </c>
      <c r="F29" s="244">
        <f>F27+F26</f>
        <v/>
      </c>
      <c r="G29" s="244">
        <f>G27+G26</f>
        <v/>
      </c>
      <c r="H29" s="244">
        <f>H27+H26</f>
        <v/>
      </c>
      <c r="I29" s="244">
        <f>I27+I26</f>
        <v/>
      </c>
      <c r="J29" s="244">
        <f>J27</f>
        <v/>
      </c>
      <c r="K29" s="100" t="n"/>
      <c r="L29" s="104" t="inlineStr">
        <is>
          <t>NWC % of sales</t>
        </is>
      </c>
      <c r="M29" s="219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219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  <c r="Q30" s="181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219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  <c r="Q31" s="240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44">
        <f>XNPV(D6,D28:J28,D18:J18)</f>
        <v/>
      </c>
      <c r="E32" s="100" t="n"/>
      <c r="G32" s="100" t="inlineStr">
        <is>
          <t>Market Cap</t>
        </is>
      </c>
      <c r="H32" s="100" t="n"/>
      <c r="I32" s="252">
        <f>D12*D11</f>
        <v/>
      </c>
      <c r="J32" s="100" t="n"/>
      <c r="L32" s="104" t="inlineStr">
        <is>
          <t>EBIT FY1 (DCF E21)</t>
        </is>
      </c>
      <c r="M32" s="219">
        <f>$E$21</f>
        <v/>
      </c>
      <c r="N32" s="250">
        <f>'3 Statement Model'!J33+'3 Statement Model'!J31</f>
        <v/>
      </c>
      <c r="O32" s="141" t="inlineStr">
        <is>
          <t>EBT + Interest = GP − SG&amp;A − R&amp;D − D&amp;A</t>
        </is>
      </c>
      <c r="Q32" s="231" t="inlineStr">
        <is>
          <t>Excel</t>
        </is>
      </c>
      <c r="R32" s="240">
        <f>XNPV(D6,D28:J28,D18:J18)</f>
        <v/>
      </c>
      <c r="T32" s="250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52">
        <f>+D14</f>
        <v/>
      </c>
      <c r="E33" s="100" t="n"/>
      <c r="G33" s="100" t="inlineStr">
        <is>
          <t>Plus: Debt</t>
        </is>
      </c>
      <c r="H33" s="100" t="n"/>
      <c r="I33" s="252">
        <f>D13</f>
        <v/>
      </c>
      <c r="J33" s="100" t="n"/>
      <c r="L33" s="104" t="inlineStr">
        <is>
          <t>EBIT cross-check</t>
        </is>
      </c>
      <c r="M33" s="219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  <c r="Q33" s="240" t="inlineStr">
        <is>
          <t>Equity = EV + Cash − Debt</t>
        </is>
      </c>
      <c r="R33" s="250">
        <f>D35</f>
        <v/>
      </c>
      <c r="S33" s="231" t="inlineStr">
        <is>
          <t>Net debt from 10-Q bridge</t>
        </is>
      </c>
      <c r="U33" s="233" t="inlineStr">
        <is>
          <t>SEC 10-Q — cash, mkt secs, total debt</t>
        </is>
      </c>
      <c r="V33" s="233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52">
        <f>+D13</f>
        <v/>
      </c>
      <c r="E34" s="100" t="n"/>
      <c r="G34" s="100" t="inlineStr">
        <is>
          <t>Less: Cash</t>
        </is>
      </c>
      <c r="H34" s="100" t="n"/>
      <c r="I34" s="252">
        <f>+D14</f>
        <v/>
      </c>
      <c r="J34" s="100" t="n"/>
      <c r="L34" s="104" t="inlineStr">
        <is>
          <t>D&amp;A FY1</t>
        </is>
      </c>
      <c r="M34" s="219">
        <f>$E$23</f>
        <v/>
      </c>
      <c r="N34" s="250">
        <f>'3 Statement Model'!J30</f>
        <v/>
      </c>
      <c r="O34" s="141" t="inlineStr">
        <is>
          <t>Avg-PP&amp;E D&amp;A from 3S IS</t>
        </is>
      </c>
      <c r="Q34" s="240" t="inlineStr">
        <is>
          <t>$/share = Equity / Shares</t>
        </is>
      </c>
      <c r="R34" s="255">
        <f>D37</f>
        <v/>
      </c>
      <c r="S34" s="231" t="inlineStr">
        <is>
          <t>Shares outstanding (Yahoo)</t>
        </is>
      </c>
      <c r="U34" s="233" t="inlineStr">
        <is>
          <t>Yahoo Finance — shares outstanding</t>
        </is>
      </c>
      <c r="V34" s="233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51">
        <f>D32+D33-D34</f>
        <v/>
      </c>
      <c r="E35" s="100" t="n"/>
      <c r="G35" s="100" t="inlineStr">
        <is>
          <t>Enterprise Value</t>
        </is>
      </c>
      <c r="H35" s="100" t="n"/>
      <c r="I35" s="251">
        <f>I32+I33-I34</f>
        <v/>
      </c>
      <c r="J35" s="100" t="n"/>
      <c r="L35" s="142" t="inlineStr">
        <is>
          <t>CapEx FY1</t>
        </is>
      </c>
      <c r="M35" s="219">
        <f>$E$24</f>
        <v/>
      </c>
      <c r="N35" s="250">
        <f>'3 Statement Model'!J68</f>
        <v/>
      </c>
      <c r="O35" s="141" t="inlineStr">
        <is>
          <t>3S CF CapEx (also D15)</t>
        </is>
      </c>
      <c r="Q35" s="231" t="inlineStr">
        <is>
          <t>Upside vs market</t>
        </is>
      </c>
      <c r="R35" s="256">
        <f>D37/D11-1</f>
        <v/>
      </c>
      <c r="S35" s="231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57" t="n"/>
      <c r="J36" s="100" t="n"/>
      <c r="L36" s="104" t="inlineStr">
        <is>
          <t>ΔNWC FY1</t>
        </is>
      </c>
      <c r="M36" s="219">
        <f>$E$25</f>
        <v/>
      </c>
      <c r="N36" s="250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52">
        <f>D35/D12</f>
        <v/>
      </c>
      <c r="E37" s="100" t="n"/>
      <c r="G37" s="100" t="inlineStr">
        <is>
          <t>Equity Value/Share</t>
        </is>
      </c>
      <c r="H37" s="100" t="n"/>
      <c r="I37" s="252">
        <f>D11</f>
        <v/>
      </c>
      <c r="J37" s="100" t="n"/>
      <c r="L37" s="104" t="inlineStr">
        <is>
          <t>EBITDA FY5 (TV base)</t>
        </is>
      </c>
      <c r="M37" s="219">
        <f>$I$21+$I$23</f>
        <v/>
      </c>
      <c r="N37" s="250">
        <f>'3 Statement Model'!N33+'3 Statement Model'!N31+'3 Statement Model'!N30</f>
        <v/>
      </c>
      <c r="O37" s="141" t="inlineStr">
        <is>
          <t>EBIT+D&amp;A; Exit TV = this × D8</t>
        </is>
      </c>
      <c r="Q37" s="181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219">
        <f>'3 Statement Model'!I41</f>
        <v/>
      </c>
      <c r="N38" s="250">
        <f>'3 Statement Model'!I41</f>
        <v/>
      </c>
      <c r="O38" s="141" t="inlineStr">
        <is>
          <t>FYE reference only — bridge uses 10-Q D14</t>
        </is>
      </c>
      <c r="Q38" s="240" t="inlineStr">
        <is>
          <t>NWC = Revenue × NWC% (flat 2.5% MODEL8)</t>
        </is>
      </c>
      <c r="U38" s="233" t="inlineStr">
        <is>
          <t>SEC 10-K — AR / AP / deferred revenue</t>
        </is>
      </c>
      <c r="V38" s="233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219">
        <f>'3 Statement Model'!I49</f>
        <v/>
      </c>
      <c r="N39" s="250">
        <f>'3 Statement Model'!I49</f>
        <v/>
      </c>
      <c r="O39" s="141" t="inlineStr">
        <is>
          <t>FYE reference only — bridge uses 10-Q D13</t>
        </is>
      </c>
      <c r="Q39" s="240" t="inlineStr">
        <is>
          <t>ΔNWC_t = NWC_t − NWC_(t−1)</t>
        </is>
      </c>
      <c r="S39" s="231" t="inlineStr">
        <is>
          <t>Linked from 3-statement CF row 64 (NWC% driver)</t>
        </is>
      </c>
      <c r="T39" s="250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219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  <c r="Q41" s="181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  <c r="Q42" s="233" t="inlineStr">
        <is>
          <t>SEC 10-K FY2025</t>
        </is>
      </c>
      <c r="R42" s="258" t="n"/>
      <c r="S42" s="179" t="n"/>
      <c r="T42" s="231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  <c r="Q43" s="233" t="inlineStr">
        <is>
          <t>SEC 10-Q Q3 FY2026</t>
        </is>
      </c>
      <c r="R43" s="258" t="n"/>
      <c r="S43" s="179" t="n"/>
      <c r="T43" s="231" t="inlineStr">
        <is>
          <t>Debt $5,582M, cash+mkt secs net-debt bridge</t>
        </is>
      </c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33" t="inlineStr">
        <is>
          <t>SEC 8-K 6.250% notes</t>
        </is>
      </c>
      <c r="R44" s="258" t="n"/>
      <c r="S44" s="179" t="n"/>
      <c r="T44" s="231" t="inlineStr">
        <is>
          <t>Pre-tax Rd coupon 6.250% due 2034</t>
        </is>
      </c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33" t="inlineStr">
        <is>
          <t>SEC EX-99.1 pricing</t>
        </is>
      </c>
      <c r="R45" s="258" t="n"/>
      <c r="S45" s="179" t="n"/>
      <c r="T45" s="231" t="inlineStr">
        <is>
          <t>Notes priced at par / offering terms</t>
        </is>
      </c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33" t="inlineStr">
        <is>
          <t>SEC companyfacts XBRL</t>
        </is>
      </c>
      <c r="R46" s="258" t="n"/>
      <c r="S46" s="179" t="n"/>
      <c r="T46" s="231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33" t="inlineStr">
        <is>
          <t>FRED DGS10</t>
        </is>
      </c>
      <c r="R47" s="258" t="n"/>
      <c r="S47" s="179" t="n"/>
      <c r="T47" s="231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  <c r="Q48" s="233" t="inlineStr">
        <is>
          <t>US Treasury yield curve</t>
        </is>
      </c>
      <c r="R48" s="258" t="n"/>
      <c r="S48" s="179" t="n"/>
      <c r="T48" s="231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  <c r="Q49" s="233" t="inlineStr">
        <is>
          <t>Damodaran Implied ERP</t>
        </is>
      </c>
      <c r="R49" s="258" t="n"/>
      <c r="S49" s="179" t="n"/>
      <c r="T49" s="231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33" t="inlineStr">
        <is>
          <t>Damodaran histimpl</t>
        </is>
      </c>
      <c r="R50" s="258" t="n"/>
      <c r="S50" s="179" t="n"/>
      <c r="T50" s="231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33" t="inlineStr">
        <is>
          <t>Yahoo FICO stats</t>
        </is>
      </c>
      <c r="R51" s="258" t="n"/>
      <c r="S51" s="179" t="n"/>
      <c r="T51" s="231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59" t="n">
        <v>12.5</v>
      </c>
      <c r="N56" s="259" t="n">
        <v>15</v>
      </c>
      <c r="O56" s="259" t="n">
        <v>17.5</v>
      </c>
      <c r="P56" s="259" t="n">
        <v>20</v>
      </c>
      <c r="Q56" s="259" t="n">
        <v>22.5</v>
      </c>
      <c r="R56" s="259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250">
        <f>XNPV($L57,$D$28:$I$28,$D$18:$I$18)+($I$26+($I$21+$I$23)*M$56)/((1+$L57)^(($J$18-$D$18)/365))</f>
        <v/>
      </c>
      <c r="N57" s="250">
        <f>XNPV($L57,$D$28:$I$28,$D$18:$I$18)+($I$26+($I$21+$I$23)*N$56)/((1+$L57)^(($J$18-$D$18)/365))</f>
        <v/>
      </c>
      <c r="O57" s="250">
        <f>XNPV($L57,$D$28:$I$28,$D$18:$I$18)+($I$26+($I$21+$I$23)*O$56)/((1+$L57)^(($J$18-$D$18)/365))</f>
        <v/>
      </c>
      <c r="P57" s="250">
        <f>XNPV($L57,$D$28:$I$28,$D$18:$I$18)+($I$26+($I$21+$I$23)*P$56)/((1+$L57)^(($J$18-$D$18)/365))</f>
        <v/>
      </c>
      <c r="Q57" s="250">
        <f>XNPV($L57,$D$28:$I$28,$D$18:$I$18)+($I$26+($I$21+$I$23)*Q$56)/((1+$L57)^(($J$18-$D$18)/365))</f>
        <v/>
      </c>
      <c r="R57" s="250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250">
        <f>XNPV($L58,$D$28:$I$28,$D$18:$I$18)+($I$26+($I$21+$I$23)*M$56)/((1+$L58)^(($J$18-$D$18)/365))</f>
        <v/>
      </c>
      <c r="N58" s="250">
        <f>XNPV($L58,$D$28:$I$28,$D$18:$I$18)+($I$26+($I$21+$I$23)*N$56)/((1+$L58)^(($J$18-$D$18)/365))</f>
        <v/>
      </c>
      <c r="O58" s="250">
        <f>XNPV($L58,$D$28:$I$28,$D$18:$I$18)+($I$26+($I$21+$I$23)*O$56)/((1+$L58)^(($J$18-$D$18)/365))</f>
        <v/>
      </c>
      <c r="P58" s="250">
        <f>XNPV($L58,$D$28:$I$28,$D$18:$I$18)+($I$26+($I$21+$I$23)*P$56)/((1+$L58)^(($J$18-$D$18)/365))</f>
        <v/>
      </c>
      <c r="Q58" s="250">
        <f>XNPV($L58,$D$28:$I$28,$D$18:$I$18)+($I$26+($I$21+$I$23)*Q$56)/((1+$L58)^(($J$18-$D$18)/365))</f>
        <v/>
      </c>
      <c r="R58" s="250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250">
        <f>XNPV($L59,$D$28:$I$28,$D$18:$I$18)+($I$26+($I$21+$I$23)*M$56)/((1+$L59)^(($J$18-$D$18)/365))</f>
        <v/>
      </c>
      <c r="N59" s="250">
        <f>XNPV($L59,$D$28:$I$28,$D$18:$I$18)+($I$26+($I$21+$I$23)*N$56)/((1+$L59)^(($J$18-$D$18)/365))</f>
        <v/>
      </c>
      <c r="O59" s="260">
        <f>XNPV($L59,$D$28:$I$28,$D$18:$I$18)+($I$26+($I$21+$I$23)*O$56)/((1+$L59)^(($J$18-$D$18)/365))</f>
        <v/>
      </c>
      <c r="P59" s="250">
        <f>XNPV($L59,$D$28:$I$28,$D$18:$I$18)+($I$26+($I$21+$I$23)*P$56)/((1+$L59)^(($J$18-$D$18)/365))</f>
        <v/>
      </c>
      <c r="Q59" s="250">
        <f>XNPV($L59,$D$28:$I$28,$D$18:$I$18)+($I$26+($I$21+$I$23)*Q$56)/((1+$L59)^(($J$18-$D$18)/365))</f>
        <v/>
      </c>
      <c r="R59" s="250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250">
        <f>XNPV($L60,$D$28:$I$28,$D$18:$I$18)+($I$26+($I$21+$I$23)*M$56)/((1+$L60)^(($J$18-$D$18)/365))</f>
        <v/>
      </c>
      <c r="N60" s="250">
        <f>XNPV($L60,$D$28:$I$28,$D$18:$I$18)+($I$26+($I$21+$I$23)*N$56)/((1+$L60)^(($J$18-$D$18)/365))</f>
        <v/>
      </c>
      <c r="O60" s="250">
        <f>XNPV($L60,$D$28:$I$28,$D$18:$I$18)+($I$26+($I$21+$I$23)*O$56)/((1+$L60)^(($J$18-$D$18)/365))</f>
        <v/>
      </c>
      <c r="P60" s="250">
        <f>XNPV($L60,$D$28:$I$28,$D$18:$I$18)+($I$26+($I$21+$I$23)*P$56)/((1+$L60)^(($J$18-$D$18)/365))</f>
        <v/>
      </c>
      <c r="Q60" s="250">
        <f>XNPV($L60,$D$28:$I$28,$D$18:$I$18)+($I$26+($I$21+$I$23)*Q$56)/((1+$L60)^(($J$18-$D$18)/365))</f>
        <v/>
      </c>
      <c r="R60" s="250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250">
        <f>XNPV($L61,$D$28:$I$28,$D$18:$I$18)+($I$26+($I$21+$I$23)*M$56)/((1+$L61)^(($J$18-$D$18)/365))</f>
        <v/>
      </c>
      <c r="N61" s="250">
        <f>XNPV($L61,$D$28:$I$28,$D$18:$I$18)+($I$26+($I$21+$I$23)*N$56)/((1+$L61)^(($J$18-$D$18)/365))</f>
        <v/>
      </c>
      <c r="O61" s="250">
        <f>XNPV($L61,$D$28:$I$28,$D$18:$I$18)+($I$26+($I$21+$I$23)*O$56)/((1+$L61)^(($J$18-$D$18)/365))</f>
        <v/>
      </c>
      <c r="P61" s="250">
        <f>XNPV($L61,$D$28:$I$28,$D$18:$I$18)+($I$26+($I$21+$I$23)*P$56)/((1+$L61)^(($J$18-$D$18)/365))</f>
        <v/>
      </c>
      <c r="Q61" s="250">
        <f>XNPV($L61,$D$28:$I$28,$D$18:$I$18)+($I$26+($I$21+$I$23)*Q$56)/((1+$L61)^(($J$18-$D$18)/365))</f>
        <v/>
      </c>
      <c r="R61" s="250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261" t="n">
        <v>12.5</v>
      </c>
      <c r="N65" s="261" t="n">
        <v>15</v>
      </c>
      <c r="O65" s="261" t="n">
        <v>17.5</v>
      </c>
      <c r="P65" s="261" t="n">
        <v>20</v>
      </c>
      <c r="Q65" s="261" t="n">
        <v>22.5</v>
      </c>
      <c r="R65" s="261" t="n">
        <v>25</v>
      </c>
    </row>
    <row r="66">
      <c r="L66" s="154" t="n">
        <v>0.0824</v>
      </c>
      <c r="M66" s="255">
        <f>(M57+$D$33-$D$34)/$D$12</f>
        <v/>
      </c>
      <c r="N66" s="255">
        <f>(N57+$D$33-$D$34)/$D$12</f>
        <v/>
      </c>
      <c r="O66" s="255">
        <f>(O57+$D$33-$D$34)/$D$12</f>
        <v/>
      </c>
      <c r="P66" s="255">
        <f>(P57+$D$33-$D$34)/$D$12</f>
        <v/>
      </c>
      <c r="Q66" s="255">
        <f>(Q57+$D$33-$D$34)/$D$12</f>
        <v/>
      </c>
      <c r="R66" s="255">
        <f>(R57+$D$33-$D$34)/$D$12</f>
        <v/>
      </c>
    </row>
    <row r="67">
      <c r="L67" s="154" t="n">
        <v>0.08740000000000001</v>
      </c>
      <c r="M67" s="255">
        <f>(M58+$D$33-$D$34)/$D$12</f>
        <v/>
      </c>
      <c r="N67" s="255">
        <f>(N58+$D$33-$D$34)/$D$12</f>
        <v/>
      </c>
      <c r="O67" s="255">
        <f>(O58+$D$33-$D$34)/$D$12</f>
        <v/>
      </c>
      <c r="P67" s="255">
        <f>(P58+$D$33-$D$34)/$D$12</f>
        <v/>
      </c>
      <c r="Q67" s="255">
        <f>(Q58+$D$33-$D$34)/$D$12</f>
        <v/>
      </c>
      <c r="R67" s="255">
        <f>(R58+$D$33-$D$34)/$D$12</f>
        <v/>
      </c>
    </row>
    <row r="68">
      <c r="L68" s="154" t="n">
        <v>0.0924</v>
      </c>
      <c r="M68" s="255">
        <f>(M59+$D$33-$D$34)/$D$12</f>
        <v/>
      </c>
      <c r="N68" s="255">
        <f>(N59+$D$33-$D$34)/$D$12</f>
        <v/>
      </c>
      <c r="O68" s="262">
        <f>(O59+$D$33-$D$34)/$D$12</f>
        <v/>
      </c>
      <c r="P68" s="255">
        <f>(P59+$D$33-$D$34)/$D$12</f>
        <v/>
      </c>
      <c r="Q68" s="255">
        <f>(Q59+$D$33-$D$34)/$D$12</f>
        <v/>
      </c>
      <c r="R68" s="255">
        <f>(R59+$D$33-$D$34)/$D$12</f>
        <v/>
      </c>
    </row>
    <row r="69">
      <c r="L69" s="154" t="n">
        <v>0.0974</v>
      </c>
      <c r="M69" s="255">
        <f>(M60+$D$33-$D$34)/$D$12</f>
        <v/>
      </c>
      <c r="N69" s="255">
        <f>(N60+$D$33-$D$34)/$D$12</f>
        <v/>
      </c>
      <c r="O69" s="255">
        <f>(O60+$D$33-$D$34)/$D$12</f>
        <v/>
      </c>
      <c r="P69" s="255">
        <f>(P60+$D$33-$D$34)/$D$12</f>
        <v/>
      </c>
      <c r="Q69" s="255">
        <f>(Q60+$D$33-$D$34)/$D$12</f>
        <v/>
      </c>
      <c r="R69" s="255">
        <f>(R60+$D$33-$D$34)/$D$12</f>
        <v/>
      </c>
    </row>
    <row r="70">
      <c r="L70" s="154" t="n">
        <v>0.1024</v>
      </c>
      <c r="M70" s="255">
        <f>(M61+$D$33-$D$34)/$D$12</f>
        <v/>
      </c>
      <c r="N70" s="255">
        <f>(N61+$D$33-$D$34)/$D$12</f>
        <v/>
      </c>
      <c r="O70" s="255">
        <f>(O61+$D$33-$D$34)/$D$12</f>
        <v/>
      </c>
      <c r="P70" s="255">
        <f>(P61+$D$33-$D$34)/$D$12</f>
        <v/>
      </c>
      <c r="Q70" s="255">
        <f>(Q61+$D$33-$D$34)/$D$12</f>
        <v/>
      </c>
      <c r="R70" s="255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  <mergeCell ref="L41:O4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2026-08-06T14:18:21Z</dcterms:modified>
  <cp:lastModifiedBy>Katie Au Yeung</cp:lastModifiedBy>
  <cp:lastPrinted>2014-12-13T23:43:21Z</cp:lastPrinted>
</cp:coreProperties>
</file>