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5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onsolas"/>
      <color rgb="00000000"/>
      <sz val="9"/>
    </font>
    <font>
      <name val="Calibri"/>
      <i val="1"/>
      <color rgb="00595959"/>
      <sz val="8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</fonts>
  <fills count="13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F4E79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05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39" fillId="9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10" borderId="5" applyAlignment="1" pivotButton="0" quotePrefix="0" xfId="0">
      <alignment vertical="center"/>
    </xf>
    <xf numFmtId="164" fontId="42" fillId="0" borderId="0" applyAlignment="1" pivotButton="0" quotePrefix="0" xfId="1">
      <alignment vertical="top" wrapText="1"/>
    </xf>
    <xf numFmtId="166" fontId="40" fillId="8" borderId="5" pivotButton="0" quotePrefix="0" xfId="2"/>
    <xf numFmtId="0" fontId="46" fillId="11" borderId="5" applyAlignment="1" pivotButton="0" quotePrefix="0" xfId="0">
      <alignment vertical="top" wrapText="1"/>
    </xf>
    <xf numFmtId="0" fontId="47" fillId="0" borderId="5" applyAlignment="1" pivotButton="0" quotePrefix="0" xfId="0">
      <alignment vertical="top" wrapText="1"/>
    </xf>
    <xf numFmtId="166" fontId="38" fillId="7" borderId="5" pivotButton="0" quotePrefix="0" xfId="2"/>
    <xf numFmtId="177" fontId="9" fillId="0" borderId="0" pivotButton="0" quotePrefix="0" xfId="1"/>
    <xf numFmtId="166" fontId="38" fillId="7" borderId="5" pivotButton="0" quotePrefix="0" xfId="1"/>
    <xf numFmtId="0" fontId="42" fillId="0" borderId="0" applyAlignment="1" pivotButton="0" quotePrefix="0" xfId="0">
      <alignment vertical="top" wrapText="1"/>
    </xf>
    <xf numFmtId="177" fontId="38" fillId="7" borderId="5" pivotButton="0" quotePrefix="0" xfId="1"/>
    <xf numFmtId="177" fontId="40" fillId="8" borderId="5" pivotButton="0" quotePrefix="0" xfId="1"/>
    <xf numFmtId="166" fontId="40" fillId="8" borderId="5" pivotButton="0" quotePrefix="0" xfId="1"/>
    <xf numFmtId="164" fontId="41" fillId="0" borderId="0" pivotButton="0" quotePrefix="0" xfId="1"/>
    <xf numFmtId="177" fontId="40" fillId="8" borderId="0" pivotButton="0" quotePrefix="0" xfId="1"/>
    <xf numFmtId="164" fontId="41" fillId="0" borderId="2" pivotButton="0" quotePrefix="0" xfId="1"/>
    <xf numFmtId="177" fontId="6" fillId="0" borderId="2" pivotButton="0" quotePrefix="0" xfId="1"/>
    <xf numFmtId="0" fontId="41" fillId="0" borderId="0" pivotButton="0" quotePrefix="0" xfId="0"/>
    <xf numFmtId="164" fontId="41" fillId="0" borderId="1" pivotButton="0" quotePrefix="0" xfId="1"/>
    <xf numFmtId="177" fontId="40" fillId="8" borderId="1" pivotButton="0" quotePrefix="0" xfId="1"/>
    <xf numFmtId="177" fontId="6" fillId="0" borderId="0" pivotButton="0" quotePrefix="0" xfId="1"/>
    <xf numFmtId="164" fontId="41" fillId="0" borderId="4" pivotButton="0" quotePrefix="0" xfId="1"/>
    <xf numFmtId="177" fontId="6" fillId="0" borderId="4" pivotButton="0" quotePrefix="0" xfId="1"/>
    <xf numFmtId="177" fontId="6" fillId="0" borderId="3" pivotButton="0" quotePrefix="0" xfId="1"/>
    <xf numFmtId="177" fontId="5" fillId="0" borderId="0" pivotButton="0" quotePrefix="0" xfId="1"/>
    <xf numFmtId="177" fontId="2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9" fillId="0" borderId="2" pivotButton="0" quotePrefix="0" xfId="1"/>
    <xf numFmtId="177" fontId="40" fillId="8" borderId="2" pivotButton="0" quotePrefix="0" xfId="1"/>
    <xf numFmtId="0" fontId="48" fillId="12" borderId="0" pivotButton="0" quotePrefix="0" xfId="0"/>
    <xf numFmtId="0" fontId="49" fillId="0" borderId="0" pivotButton="0" quotePrefix="0" xfId="0"/>
    <xf numFmtId="0" fontId="39" fillId="9" borderId="5" pivotButton="0" quotePrefix="0" xfId="0"/>
    <xf numFmtId="166" fontId="40" fillId="8" borderId="0" applyAlignment="1" pivotButton="0" quotePrefix="0" xfId="0">
      <alignment horizontal="right"/>
    </xf>
    <xf numFmtId="164" fontId="50" fillId="0" borderId="5" applyAlignment="1" pivotButton="0" quotePrefix="0" xfId="0">
      <alignment vertical="center" wrapText="1"/>
    </xf>
    <xf numFmtId="164" fontId="53" fillId="0" borderId="0" pivotButton="0" quotePrefix="0" xfId="0"/>
    <xf numFmtId="164" fontId="52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0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51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54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vengeanceaiUSCMODEL4</author>
  </authors>
  <commentList>
    <comment ref="B2" authorId="0" shapeId="0">
      <text>
        <t>Forecast year label
WHY: Adds one year to the prior column’s fiscal-year label so forecast headers stay sequential.
PATTERN: ={p}2+1</t>
      </text>
    </comment>
    <comment ref="J2" authorId="0" shapeId="0">
      <text>
        <t>Forecast year label
FORMULA: =I2+1
WHY: Adds one year to the prior column’s fiscal-year label so forecast headers stay sequential.</t>
      </text>
    </comment>
    <comment ref="K2" authorId="0" shapeId="0">
      <text>
        <t>Forecast year label
FORMULA: =J2+1
WHY: Adds one year to the prior column’s fiscal-year label so forecast headers stay sequential.</t>
      </text>
    </comment>
    <comment ref="L2" authorId="0" shapeId="0">
      <text>
        <t>Forecast year label
FORMULA: =K2+1
WHY: Adds one year to the prior column’s fiscal-year label so forecast headers stay sequential.</t>
      </text>
    </comment>
    <comment ref="M2" authorId="0" shapeId="0">
      <text>
        <t>Forecast year label
FORMULA: =L2+1
WHY: Adds one year to the prior column’s fiscal-year label so forecast headers stay sequential.</t>
      </text>
    </comment>
    <comment ref="N2" authorId="0" shapeId="0">
      <text>
        <t>Forecast year label
FORMULA: =M2+1
WHY: Adds one year to the prior column’s fiscal-year label so forecast headers stay sequential.</t>
      </text>
    </comment>
    <comment ref="B3" authorId="0" shapeId="0">
      <text>
        <t>Balance sheet check
WHY: Flags ERROR if Assets ≠ L+E by more than $1k; otherwise OK. Protects the plug.
PATTERN: =IFERROR(IF(ABS({c}57)&gt;1,"ERROR","OK"),"OK")</t>
      </text>
    </comment>
    <comment ref="J3" authorId="0" shapeId="0">
      <text>
        <t>Balance sheet check
FORMULA: =IFERROR(IF(ABS(J57)&gt;1,"ERROR","OK"),"OK")
WHY: Flags ERROR if Assets ≠ L+E by more than $1k; otherwise OK. Protects the plug.</t>
      </text>
    </comment>
    <comment ref="K3" authorId="0" shapeId="0">
      <text>
        <t>Balance sheet check
FORMULA: =IFERROR(IF(ABS(K57)&gt;1,"ERROR","OK"),"OK")
WHY: Flags ERROR if Assets ≠ L+E by more than $1k; otherwise OK. Protects the plug.</t>
      </text>
    </comment>
    <comment ref="L3" authorId="0" shapeId="0">
      <text>
        <t>Balance sheet check
FORMULA: =IFERROR(IF(ABS(L57)&gt;1,"ERROR","OK"),"OK")
WHY: Flags ERROR if Assets ≠ L+E by more than $1k; otherwise OK. Protects the plug.</t>
      </text>
    </comment>
    <comment ref="M3" authorId="0" shapeId="0">
      <text>
        <t>Balance sheet check
FORMULA: =IFERROR(IF(ABS(M57)&gt;1,"ERROR","OK"),"OK")
WHY: Flags ERROR if Assets ≠ L+E by more than $1k; otherwise OK. Protects the plug.</t>
      </text>
    </comment>
    <comment ref="N3" authorId="0" shapeId="0">
      <text>
        <t>Balance sheet check
FORMULA: =IFERROR(IF(ABS(N57)&gt;1,"ERROR","OK"),"OK")
WHY: Flags ERROR if Assets ≠ L+E by more than $1k; otherwise OK. Protects the plug.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T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T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B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J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K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L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M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N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T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U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T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B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J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K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L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M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N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T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U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T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T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B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J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K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L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M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N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T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U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B16" authorId="0" shapeId="0">
      <text>
        <t>Inventory (Days)
HOW: Hard zero — FICO is software / scores; inventory is immaterial.
WHY: No inventory cycle to fund.
SOURCE: SEC 10-K — Inventory ≈ $0</t>
      </text>
    </comment>
    <comment ref="J16" authorId="0" shapeId="0">
      <text>
        <t>Inventory (Days)
HOW: Hard zero — FICO is software / scores; inventory is immaterial.
WHY: No inventory cycle to fund.
SOURCE: SEC 10-K — Inventory ≈ $0</t>
      </text>
    </comment>
    <comment ref="K16" authorId="0" shapeId="0">
      <text>
        <t>Inventory (Days)
HOW: Hard zero — FICO is software / scores; inventory is immaterial.
WHY: No inventory cycle to fund.
SOURCE: SEC 10-K — Inventory ≈ $0</t>
      </text>
    </comment>
    <comment ref="L16" authorId="0" shapeId="0">
      <text>
        <t>Inventory (Days)
HOW: Hard zero — FICO is software / scores; inventory is immaterial.
WHY: No inventory cycle to fund.
SOURCE: SEC 10-K — Inventory ≈ $0</t>
      </text>
    </comment>
    <comment ref="M16" authorId="0" shapeId="0">
      <text>
        <t>Inventory (Days)
HOW: Hard zero — FICO is software / scores; inventory is immaterial.
WHY: No inventory cycle to fund.
SOURCE: SEC 10-K — Inventory ≈ $0</t>
      </text>
    </comment>
    <comment ref="N16" authorId="0" shapeId="0">
      <text>
        <t>Inventory (Days)
HOW: Hard zero — FICO is software / scores; inventory is immaterial.
WHY: No inventory cycle to fund.
SOURCE: SEC 10-K — Inventory ≈ $0</t>
      </text>
    </comment>
    <comment ref="T16" authorId="0" shapeId="0">
      <text>
        <t>Inventory (Days)
HOW: Hard zero — FICO is software / scores; inventory is immaterial.
WHY: No inventory cycle to fund.
SOURCE: SEC 10-K — Inventory ≈ $0</t>
      </text>
    </comment>
    <comment ref="U16" authorId="0" shapeId="0">
      <text>
        <t>Inventory (Days)
HOW: Hard zero — FICO is software / scores; inventory is immaterial.
WHY: No inventory cycle to fund.
SOURCE: SEC 10-K — Inventory ≈ $0</t>
      </text>
    </comment>
    <comment ref="B17" authorId="0" shapeId="0">
      <text>
        <t>Accounts Payable (Days)
HOW: Excel equation: ROUND(I48/I25×365, 0) from FY25.
WHY: Payable timing offsets AR in operating NWC.
SOURCE: SEC 10-K FY2025 — Accounts payable</t>
      </text>
    </comment>
    <comment ref="J17" authorId="0" shapeId="0">
      <text>
        <t>Accounts Payable (Days)
HOW: Excel equation: ROUND(I48/I25×365, 0) from FY25.
WHY: Payable timing offsets AR in operating NWC.
SOURCE: SEC 10-K FY2025 — Accounts payable</t>
      </text>
    </comment>
    <comment ref="K17" authorId="0" shapeId="0">
      <text>
        <t>Accounts Payable (Days)
HOW: Excel equation: ROUND(I48/I25×365, 0) from FY25.
WHY: Payable timing offsets AR in operating NWC.
SOURCE: SEC 10-K FY2025 — Accounts payable</t>
      </text>
    </comment>
    <comment ref="L17" authorId="0" shapeId="0">
      <text>
        <t>Accounts Payable (Days)
HOW: Excel equation: ROUND(I48/I25×365, 0) from FY25.
WHY: Payable timing offsets AR in operating NWC.
SOURCE: SEC 10-K FY2025 — Accounts payable</t>
      </text>
    </comment>
    <comment ref="M17" authorId="0" shapeId="0">
      <text>
        <t>Accounts Payable (Days)
HOW: Excel equation: ROUND(I48/I25×365, 0) from FY25.
WHY: Payable timing offsets AR in operating NWC.
SOURCE: SEC 10-K FY2025 — Accounts payable</t>
      </text>
    </comment>
    <comment ref="N17" authorId="0" shapeId="0">
      <text>
        <t>Accounts Payable (Days)
HOW: Excel equation: ROUND(I48/I25×365, 0) from FY25.
WHY: Payable timing offsets AR in operating NWC.
SOURCE: SEC 10-K FY2025 — Accounts payable</t>
      </text>
    </comment>
    <comment ref="T17" authorId="0" shapeId="0">
      <text>
        <t>Accounts Payable (Days)
HOW: Excel equation: ROUND(I48/I25×365, 0) from FY25.
WHY: Payable timing offsets AR in operating NWC.
SOURCE: SEC 10-K FY2025 — Accounts payable</t>
      </text>
    </comment>
    <comment ref="U17" authorId="0" shapeId="0">
      <text>
        <t>Accounts Payable (Days)
HOW: Excel equation: ROUND(I48/I25×365, 0) from FY25.
WHY: Payable timing offsets AR in operating NWC.
SOURCE: SEC 10-K FY2025 — Accounts payable</t>
      </text>
    </comment>
    <comment ref="B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J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K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L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M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N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T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U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T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T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B24" authorId="0" shapeId="0">
      <text>
        <t>Revenue
WHY: Prior-year revenue grown by this year’s policy growth rate; top-line driver of the model.
PATTERN: ={p}24*(1+{c}7)</t>
      </text>
    </comment>
    <comment ref="J24" authorId="0" shapeId="0">
      <text>
        <t>Revenue
FORMULA: =I24*(1+J7)
WHY: Prior-year revenue grown by this year’s policy growth rate; top-line driver of the model.</t>
      </text>
    </comment>
    <comment ref="K24" authorId="0" shapeId="0">
      <text>
        <t>Revenue
FORMULA: =J24*(1+K7)
WHY: Prior-year revenue grown by this year’s policy growth rate; top-line driver of the model.</t>
      </text>
    </comment>
    <comment ref="L24" authorId="0" shapeId="0">
      <text>
        <t>Revenue
FORMULA: =K24*(1+L7)
WHY: Prior-year revenue grown by this year’s policy growth rate; top-line driver of the model.</t>
      </text>
    </comment>
    <comment ref="M24" authorId="0" shapeId="0">
      <text>
        <t>Revenue
FORMULA: =L24*(1+M7)
WHY: Prior-year revenue grown by this year’s policy growth rate; top-line driver of the model.</t>
      </text>
    </comment>
    <comment ref="N24" authorId="0" shapeId="0">
      <text>
        <t>Revenue
FORMULA: =M24*(1+N7)
WHY: Prior-year revenue grown by this year’s policy growth rate; top-line driver of the model.</t>
      </text>
    </comment>
    <comment ref="B25" authorId="0" shapeId="0">
      <text>
        <t>COGS $
WHY: Revenue times COGS%; converts the held margin assumption into dollar cost of sales.
PATTERN: ={c}24*{c}8</t>
      </text>
    </comment>
    <comment ref="J25" authorId="0" shapeId="0">
      <text>
        <t>COGS $
FORMULA: =J24*J8
WHY: Revenue times COGS%; converts the held margin assumption into dollar cost of sales.</t>
      </text>
    </comment>
    <comment ref="K25" authorId="0" shapeId="0">
      <text>
        <t>COGS $
FORMULA: =K24*K8
WHY: Revenue times COGS%; converts the held margin assumption into dollar cost of sales.</t>
      </text>
    </comment>
    <comment ref="L25" authorId="0" shapeId="0">
      <text>
        <t>COGS $
FORMULA: =L24*L8
WHY: Revenue times COGS%; converts the held margin assumption into dollar cost of sales.</t>
      </text>
    </comment>
    <comment ref="M25" authorId="0" shapeId="0">
      <text>
        <t>COGS $
FORMULA: =M24*M8
WHY: Revenue times COGS%; converts the held margin assumption into dollar cost of sales.</t>
      </text>
    </comment>
    <comment ref="N25" authorId="0" shapeId="0">
      <text>
        <t>COGS $
FORMULA: =N24*N8
WHY: Revenue times COGS%; converts the held margin assumption into dollar cost of sales.</t>
      </text>
    </comment>
    <comment ref="B26" authorId="0" shapeId="0">
      <text>
        <t>Gross profit
WHY: Revenue minus COGS; contribution after direct cost of revenues before operating expenses.
PATTERN: ={c}24-{c}25</t>
      </text>
    </comment>
    <comment ref="J26" authorId="0" shapeId="0">
      <text>
        <t>Gross profit
FORMULA: =J24-J25
WHY: Revenue minus COGS; contribution after direct cost of revenues before operating expenses.</t>
      </text>
    </comment>
    <comment ref="K26" authorId="0" shapeId="0">
      <text>
        <t>Gross profit
FORMULA: =K24-K25
WHY: Revenue minus COGS; contribution after direct cost of revenues before operating expenses.</t>
      </text>
    </comment>
    <comment ref="L26" authorId="0" shapeId="0">
      <text>
        <t>Gross profit
FORMULA: =L24-L25
WHY: Revenue minus COGS; contribution after direct cost of revenues before operating expenses.</t>
      </text>
    </comment>
    <comment ref="M26" authorId="0" shapeId="0">
      <text>
        <t>Gross profit
FORMULA: =M24-M25
WHY: Revenue minus COGS; contribution after direct cost of revenues before operating expenses.</t>
      </text>
    </comment>
    <comment ref="N26" authorId="0" shapeId="0">
      <text>
        <t>Gross profit
FORMULA: =N24-N25
WHY: Revenue minus COGS; contribution after direct cost of revenues before operating expenses.</t>
      </text>
    </comment>
    <comment ref="B28" authorId="0" shapeId="0">
      <text>
        <t>SGA $
WHY: Revenue times SGA%; salaries/benefits dollars after the efficiency grind on the rate.
PATTERN: ={c}24*{c}9</t>
      </text>
    </comment>
    <comment ref="J28" authorId="0" shapeId="0">
      <text>
        <t>SGA $
FORMULA: =J24*J9
WHY: Revenue times SGA%; salaries/benefits dollars after the efficiency grind on the rate.</t>
      </text>
    </comment>
    <comment ref="K28" authorId="0" shapeId="0">
      <text>
        <t>SGA $
FORMULA: =K24*K9
WHY: Revenue times SGA%; salaries/benefits dollars after the efficiency grind on the rate.</t>
      </text>
    </comment>
    <comment ref="L28" authorId="0" shapeId="0">
      <text>
        <t>SGA $
FORMULA: =L24*L9
WHY: Revenue times SGA%; salaries/benefits dollars after the efficiency grind on the rate.</t>
      </text>
    </comment>
    <comment ref="M28" authorId="0" shapeId="0">
      <text>
        <t>SGA $
FORMULA: =M24*M9
WHY: Revenue times SGA%; salaries/benefits dollars after the efficiency grind on the rate.</t>
      </text>
    </comment>
    <comment ref="N28" authorId="0" shapeId="0">
      <text>
        <t>SGA $
FORMULA: =N24*N9
WHY: Revenue times SGA%; salaries/benefits dollars after the efficiency grind on the rate.</t>
      </text>
    </comment>
    <comment ref="B29" authorId="0" shapeId="0">
      <text>
        <t>R&amp;D $
WHY: Revenue times R&amp;D%; research spend scales with sales at the FY25 reinvestment rate.
PATTERN: ={c}24*{c}10</t>
      </text>
    </comment>
    <comment ref="J29" authorId="0" shapeId="0">
      <text>
        <t>R&amp;D $
FORMULA: =J24*J10
WHY: Revenue times R&amp;D%; research spend scales with sales at the FY25 reinvestment rate.</t>
      </text>
    </comment>
    <comment ref="K29" authorId="0" shapeId="0">
      <text>
        <t>R&amp;D $
FORMULA: =K24*K10
WHY: Revenue times R&amp;D%; research spend scales with sales at the FY25 reinvestment rate.</t>
      </text>
    </comment>
    <comment ref="L29" authorId="0" shapeId="0">
      <text>
        <t>R&amp;D $
FORMULA: =L24*L10
WHY: Revenue times R&amp;D%; research spend scales with sales at the FY25 reinvestment rate.</t>
      </text>
    </comment>
    <comment ref="M29" authorId="0" shapeId="0">
      <text>
        <t>R&amp;D $
FORMULA: =M24*M10
WHY: Revenue times R&amp;D%; research spend scales with sales at the FY25 reinvestment rate.</t>
      </text>
    </comment>
    <comment ref="N29" authorId="0" shapeId="0">
      <text>
        <t>R&amp;D $
FORMULA: =N24*N10
WHY: Revenue times R&amp;D%; research spend scales with sales at the FY25 reinvestment rate.</t>
      </text>
    </comment>
    <comment ref="B30" authorId="0" shapeId="0">
      <text>
        <t>D&amp;A $
WHY: Opening PP&amp;E times D&amp;A%; depreciation follows the asset roll-forward, not a revenue %.
PATTERN: ={c}92*{c}11</t>
      </text>
    </comment>
    <comment ref="J30" authorId="0" shapeId="0">
      <text>
        <t>D&amp;A $
FORMULA: =J92*J11
WHY: Opening PP&amp;E times D&amp;A%; depreciation follows the asset roll-forward, not a revenue %.</t>
      </text>
    </comment>
    <comment ref="K30" authorId="0" shapeId="0">
      <text>
        <t>D&amp;A $
FORMULA: =K92*K11
WHY: Opening PP&amp;E times D&amp;A%; depreciation follows the asset roll-forward, not a revenue %.</t>
      </text>
    </comment>
    <comment ref="L30" authorId="0" shapeId="0">
      <text>
        <t>D&amp;A $
FORMULA: =L92*L11
WHY: Opening PP&amp;E times D&amp;A%; depreciation follows the asset roll-forward, not a revenue %.</t>
      </text>
    </comment>
    <comment ref="M30" authorId="0" shapeId="0">
      <text>
        <t>D&amp;A $
FORMULA: =M92*M11
WHY: Opening PP&amp;E times D&amp;A%; depreciation follows the asset roll-forward, not a revenue %.</t>
      </text>
    </comment>
    <comment ref="N30" authorId="0" shapeId="0">
      <text>
        <t>D&amp;A $
FORMULA: =N92*N11
WHY: Opening PP&amp;E times D&amp;A%; depreciation follows the asset roll-forward, not a revenue %.</t>
      </text>
    </comment>
    <comment ref="B31" authorId="0" shapeId="0">
      <text>
        <t>Interest $
WHY: Opening debt times interest%; coupon on the debt stock while issuance policy is zero.
PATTERN: ={c}98*{c}12</t>
      </text>
    </comment>
    <comment ref="J31" authorId="0" shapeId="0">
      <text>
        <t>Interest $
FORMULA: =J98*J12
WHY: Opening debt times interest%; coupon on the debt stock while issuance policy is zero.</t>
      </text>
    </comment>
    <comment ref="K31" authorId="0" shapeId="0">
      <text>
        <t>Interest $
FORMULA: =K98*K12
WHY: Opening debt times interest%; coupon on the debt stock while issuance policy is zero.</t>
      </text>
    </comment>
    <comment ref="L31" authorId="0" shapeId="0">
      <text>
        <t>Interest $
FORMULA: =L98*L12
WHY: Opening debt times interest%; coupon on the debt stock while issuance policy is zero.</t>
      </text>
    </comment>
    <comment ref="M31" authorId="0" shapeId="0">
      <text>
        <t>Interest $
FORMULA: =M98*M12
WHY: Opening debt times interest%; coupon on the debt stock while issuance policy is zero.</t>
      </text>
    </comment>
    <comment ref="N31" authorId="0" shapeId="0">
      <text>
        <t>Interest $
FORMULA: =N98*N12
WHY: Opening debt times interest%; coupon on the debt stock while issuance policy is zero.</t>
      </text>
    </comment>
    <comment ref="B32" authorId="0" shapeId="0">
      <text>
        <t>Total expenses
WHY: Sum of SGA, R&amp;D, D&amp;A, and interest; all operating and financing costs above EBT.
PATTERN: =SUM({c}28:{c}31)</t>
      </text>
    </comment>
    <comment ref="J32" authorId="0" shapeId="0">
      <text>
        <t>Total expenses
FORMULA: =SUM(J28:J31)
WHY: Sum of SGA, R&amp;D, D&amp;A, and interest; all operating and financing costs above EBT.</t>
      </text>
    </comment>
    <comment ref="K32" authorId="0" shapeId="0">
      <text>
        <t>Total expenses
FORMULA: =SUM(K28:K31)
WHY: Sum of SGA, R&amp;D, D&amp;A, and interest; all operating and financing costs above EBT.</t>
      </text>
    </comment>
    <comment ref="L32" authorId="0" shapeId="0">
      <text>
        <t>Total expenses
FORMULA: =SUM(L28:L31)
WHY: Sum of SGA, R&amp;D, D&amp;A, and interest; all operating and financing costs above EBT.</t>
      </text>
    </comment>
    <comment ref="M32" authorId="0" shapeId="0">
      <text>
        <t>Total expenses
FORMULA: =SUM(M28:M31)
WHY: Sum of SGA, R&amp;D, D&amp;A, and interest; all operating and financing costs above EBT.</t>
      </text>
    </comment>
    <comment ref="N32" authorId="0" shapeId="0">
      <text>
        <t>Total expenses
FORMULA: =SUM(N28:N31)
WHY: Sum of SGA, R&amp;D, D&amp;A, and interest; all operating and financing costs above EBT.</t>
      </text>
    </comment>
    <comment ref="B33" authorId="0" shapeId="0">
      <text>
        <t>EBT
WHY: Gross profit minus total expenses; earnings before tax in this simplified template.
PATTERN: ={c}26-{c}32</t>
      </text>
    </comment>
    <comment ref="J33" authorId="0" shapeId="0">
      <text>
        <t>EBT
FORMULA: =J26-J32
WHY: Gross profit minus total expenses; earnings before tax in this simplified template.</t>
      </text>
    </comment>
    <comment ref="K33" authorId="0" shapeId="0">
      <text>
        <t>EBT
FORMULA: =K26-K32
WHY: Gross profit minus total expenses; earnings before tax in this simplified template.</t>
      </text>
    </comment>
    <comment ref="L33" authorId="0" shapeId="0">
      <text>
        <t>EBT
FORMULA: =L26-L32
WHY: Gross profit minus total expenses; earnings before tax in this simplified template.</t>
      </text>
    </comment>
    <comment ref="M33" authorId="0" shapeId="0">
      <text>
        <t>EBT
FORMULA: =M26-M32
WHY: Gross profit minus total expenses; earnings before tax in this simplified template.</t>
      </text>
    </comment>
    <comment ref="N33" authorId="0" shapeId="0">
      <text>
        <t>EBT
FORMULA: =N26-N32
WHY: Gross profit minus total expenses; earnings before tax in this simplified template.</t>
      </text>
    </comment>
    <comment ref="B35" authorId="0" shapeId="0">
      <text>
        <t>Taxes $
WHY: EBT times effective tax rate; book tax expense for the income statement.
PATTERN: ={c}33*{c}13</t>
      </text>
    </comment>
    <comment ref="J35" authorId="0" shapeId="0">
      <text>
        <t>Taxes $
FORMULA: =J33*J13
WHY: EBT times effective tax rate; book tax expense for the income statement.</t>
      </text>
    </comment>
    <comment ref="K35" authorId="0" shapeId="0">
      <text>
        <t>Taxes $
FORMULA: =K33*K13
WHY: EBT times effective tax rate; book tax expense for the income statement.</t>
      </text>
    </comment>
    <comment ref="L35" authorId="0" shapeId="0">
      <text>
        <t>Taxes $
FORMULA: =L33*L13
WHY: EBT times effective tax rate; book tax expense for the income statement.</t>
      </text>
    </comment>
    <comment ref="M35" authorId="0" shapeId="0">
      <text>
        <t>Taxes $
FORMULA: =M33*M13
WHY: EBT times effective tax rate; book tax expense for the income statement.</t>
      </text>
    </comment>
    <comment ref="N35" authorId="0" shapeId="0">
      <text>
        <t>Taxes $
FORMULA: =N33*N13
WHY: EBT times effective tax rate; book tax expense for the income statement.</t>
      </text>
    </comment>
    <comment ref="B36" authorId="0" shapeId="0">
      <text>
        <t>Net earnings
WHY: EBT kept after tax; full equation, not a pointer, so NI tracks the tax rate driver.
PATTERN: ={c}33*(1-{c}13)</t>
      </text>
    </comment>
    <comment ref="J36" authorId="0" shapeId="0">
      <text>
        <t>Net earnings
FORMULA: =J33*(1-J13)
WHY: EBT kept after tax; full equation, not a pointer, so NI tracks the tax rate driver.</t>
      </text>
    </comment>
    <comment ref="K36" authorId="0" shapeId="0">
      <text>
        <t>Net earnings
FORMULA: =K33*(1-K13)
WHY: EBT kept after tax; full equation, not a pointer, so NI tracks the tax rate driver.</t>
      </text>
    </comment>
    <comment ref="L36" authorId="0" shapeId="0">
      <text>
        <t>Net earnings
FORMULA: =L33*(1-L13)
WHY: EBT kept after tax; full equation, not a pointer, so NI tracks the tax rate driver.</t>
      </text>
    </comment>
    <comment ref="M36" authorId="0" shapeId="0">
      <text>
        <t>Net earnings
FORMULA: =M33*(1-M13)
WHY: EBT kept after tax; full equation, not a pointer, so NI tracks the tax rate driver.</t>
      </text>
    </comment>
    <comment ref="N36" authorId="0" shapeId="0">
      <text>
        <t>Net earnings
FORMULA: =N33*(1-N13)
WHY: EBT kept after tax; full equation, not a pointer, so NI tracks the tax rate driver.</t>
      </text>
    </comment>
    <comment ref="B41" authorId="0" shapeId="0">
      <text>
        <t>Cash (BS)
WHY: Balance-sheet cash equals cash-flow closing cash so the three statements stay linked.
PATTERN: ={c}78</t>
      </text>
    </comment>
    <comment ref="J41" authorId="0" shapeId="0">
      <text>
        <t>Cash (BS)
FORMULA: =J78
WHY: Balance-sheet cash equals cash-flow closing cash so the three statements stay linked.</t>
      </text>
    </comment>
    <comment ref="K41" authorId="0" shapeId="0">
      <text>
        <t>Cash (BS)
FORMULA: =K78
WHY: Balance-sheet cash equals cash-flow closing cash so the three statements stay linked.</t>
      </text>
    </comment>
    <comment ref="L41" authorId="0" shapeId="0">
      <text>
        <t>Cash (BS)
FORMULA: =L78
WHY: Balance-sheet cash equals cash-flow closing cash so the three statements stay linked.</t>
      </text>
    </comment>
    <comment ref="M41" authorId="0" shapeId="0">
      <text>
        <t>Cash (BS)
FORMULA: =M78
WHY: Balance-sheet cash equals cash-flow closing cash so the three statements stay linked.</t>
      </text>
    </comment>
    <comment ref="N41" authorId="0" shapeId="0">
      <text>
        <t>Cash (BS)
FORMULA: =N78
WHY: Balance-sheet cash equals cash-flow closing cash so the three statements stay linked.</t>
      </text>
    </comment>
    <comment ref="B42" authorId="0" shapeId="0">
      <text>
        <t>AR $
WHY: Revenue × AR days / 365; receivables from the days-sales-outstanding assumption.
PATTERN: ={c}24*{c}15/365</t>
      </text>
    </comment>
    <comment ref="J42" authorId="0" shapeId="0">
      <text>
        <t>AR $
FORMULA: =J24*J15/365
WHY: Revenue × AR days / 365; receivables from the days-sales-outstanding assumption.</t>
      </text>
    </comment>
    <comment ref="K42" authorId="0" shapeId="0">
      <text>
        <t>AR $
FORMULA: =K24*K15/365
WHY: Revenue × AR days / 365; receivables from the days-sales-outstanding assumption.</t>
      </text>
    </comment>
    <comment ref="L42" authorId="0" shapeId="0">
      <text>
        <t>AR $
FORMULA: =L24*L15/365
WHY: Revenue × AR days / 365; receivables from the days-sales-outstanding assumption.</t>
      </text>
    </comment>
    <comment ref="M42" authorId="0" shapeId="0">
      <text>
        <t>AR $
FORMULA: =M24*M15/365
WHY: Revenue × AR days / 365; receivables from the days-sales-outstanding assumption.</t>
      </text>
    </comment>
    <comment ref="N42" authorId="0" shapeId="0">
      <text>
        <t>AR $
FORMULA: =N24*N15/365
WHY: Revenue × AR days / 365; receivables from the days-sales-outstanding assumption.</t>
      </text>
    </comment>
    <comment ref="B43" authorId="0" shapeId="0">
      <text>
        <t>Inventory $
WHY: COGS × inventory days / 365; stays zero because inventory days are policy zero.
PATTERN: ={c}25*{c}16/365</t>
      </text>
    </comment>
    <comment ref="J43" authorId="0" shapeId="0">
      <text>
        <t>Inventory $
FORMULA: =J25*J16/365
WHY: COGS × inventory days / 365; stays zero because inventory days are policy zero.</t>
      </text>
    </comment>
    <comment ref="K43" authorId="0" shapeId="0">
      <text>
        <t>Inventory $
FORMULA: =K25*K16/365
WHY: COGS × inventory days / 365; stays zero because inventory days are policy zero.</t>
      </text>
    </comment>
    <comment ref="L43" authorId="0" shapeId="0">
      <text>
        <t>Inventory $
FORMULA: =L25*L16/365
WHY: COGS × inventory days / 365; stays zero because inventory days are policy zero.</t>
      </text>
    </comment>
    <comment ref="M43" authorId="0" shapeId="0">
      <text>
        <t>Inventory $
FORMULA: =M25*M16/365
WHY: COGS × inventory days / 365; stays zero because inventory days are policy zero.</t>
      </text>
    </comment>
    <comment ref="N43" authorId="0" shapeId="0">
      <text>
        <t>Inventory $
FORMULA: =N25*N16/365
WHY: COGS × inventory days / 365; stays zero because inventory days are policy zero.</t>
      </text>
    </comment>
    <comment ref="B44" authorId="0" shapeId="0">
      <text>
        <t>PP&amp;E (BS)
WHY: Net PP&amp;E equals the PPE schedule closing balance after CapEx and depreciation.
PATTERN: ={c}95</t>
      </text>
    </comment>
    <comment ref="J44" authorId="0" shapeId="0">
      <text>
        <t>PP&amp;E (BS)
FORMULA: =J95
WHY: Net PP&amp;E equals the PPE schedule closing balance after CapEx and depreciation.</t>
      </text>
    </comment>
    <comment ref="K44" authorId="0" shapeId="0">
      <text>
        <t>PP&amp;E (BS)
FORMULA: =K95
WHY: Net PP&amp;E equals the PPE schedule closing balance after CapEx and depreciation.</t>
      </text>
    </comment>
    <comment ref="L44" authorId="0" shapeId="0">
      <text>
        <t>PP&amp;E (BS)
FORMULA: =L95
WHY: Net PP&amp;E equals the PPE schedule closing balance after CapEx and depreciation.</t>
      </text>
    </comment>
    <comment ref="M44" authorId="0" shapeId="0">
      <text>
        <t>PP&amp;E (BS)
FORMULA: =M95
WHY: Net PP&amp;E equals the PPE schedule closing balance after CapEx and depreciation.</t>
      </text>
    </comment>
    <comment ref="N44" authorId="0" shapeId="0">
      <text>
        <t>PP&amp;E (BS)
FORMULA: =N95
WHY: Net PP&amp;E equals the PPE schedule closing balance after CapEx and depreciation.</t>
      </text>
    </comment>
    <comment ref="B45" authorId="0" shapeId="0">
      <text>
        <t>Total assets
WHY: Cash + AR + inventory + PP&amp;E; simplified asset base used for the balance-sheet check.
PATTERN: =SUM({c}41:{c}44)</t>
      </text>
    </comment>
    <comment ref="J45" authorId="0" shapeId="0">
      <text>
        <t>Total assets
FORMULA: =SUM(J41:J44)
WHY: Cash + AR + inventory + PP&amp;E; simplified asset base used for the balance-sheet check.</t>
      </text>
    </comment>
    <comment ref="K45" authorId="0" shapeId="0">
      <text>
        <t>Total assets
FORMULA: =SUM(K41:K44)
WHY: Cash + AR + inventory + PP&amp;E; simplified asset base used for the balance-sheet check.</t>
      </text>
    </comment>
    <comment ref="L45" authorId="0" shapeId="0">
      <text>
        <t>Total assets
FORMULA: =SUM(L41:L44)
WHY: Cash + AR + inventory + PP&amp;E; simplified asset base used for the balance-sheet check.</t>
      </text>
    </comment>
    <comment ref="M45" authorId="0" shapeId="0">
      <text>
        <t>Total assets
FORMULA: =SUM(M41:M44)
WHY: Cash + AR + inventory + PP&amp;E; simplified asset base used for the balance-sheet check.</t>
      </text>
    </comment>
    <comment ref="N45" authorId="0" shapeId="0">
      <text>
        <t>Total assets
FORMULA: =SUM(N41:N44)
WHY: Cash + AR + inventory + PP&amp;E; simplified asset base used for the balance-sheet check.</t>
      </text>
    </comment>
    <comment ref="B48" authorId="0" shapeId="0">
      <text>
        <t>AP $
WHY: COGS × AP days / 365; payables funded by the payable-days assumption.
PATTERN: ={c}25*{c}17/365</t>
      </text>
    </comment>
    <comment ref="J48" authorId="0" shapeId="0">
      <text>
        <t>AP $
FORMULA: =J25*J17/365
WHY: COGS × AP days / 365; payables funded by the payable-days assumption.</t>
      </text>
    </comment>
    <comment ref="K48" authorId="0" shapeId="0">
      <text>
        <t>AP $
FORMULA: =K25*K17/365
WHY: COGS × AP days / 365; payables funded by the payable-days assumption.</t>
      </text>
    </comment>
    <comment ref="L48" authorId="0" shapeId="0">
      <text>
        <t>AP $
FORMULA: =L25*L17/365
WHY: COGS × AP days / 365; payables funded by the payable-days assumption.</t>
      </text>
    </comment>
    <comment ref="M48" authorId="0" shapeId="0">
      <text>
        <t>AP $
FORMULA: =M25*M17/365
WHY: COGS × AP days / 365; payables funded by the payable-days assumption.</t>
      </text>
    </comment>
    <comment ref="N48" authorId="0" shapeId="0">
      <text>
        <t>AP $
FORMULA: =N25*N17/365
WHY: COGS × AP days / 365; payables funded by the payable-days assumption.</t>
      </text>
    </comment>
    <comment ref="B49" authorId="0" shapeId="0">
      <text>
        <t>Debt (BS)
WHY: Debt equals the debt-schedule closing balance (open + issuance, issuance usually 0).
PATTERN: ={c}100</t>
      </text>
    </comment>
    <comment ref="J49" authorId="0" shapeId="0">
      <text>
        <t>Debt (BS)
FORMULA: =J100
WHY: Debt equals the debt-schedule closing balance (open + issuance, issuance usually 0).</t>
      </text>
    </comment>
    <comment ref="K49" authorId="0" shapeId="0">
      <text>
        <t>Debt (BS)
FORMULA: =K100
WHY: Debt equals the debt-schedule closing balance (open + issuance, issuance usually 0).</t>
      </text>
    </comment>
    <comment ref="L49" authorId="0" shapeId="0">
      <text>
        <t>Debt (BS)
FORMULA: =L100
WHY: Debt equals the debt-schedule closing balance (open + issuance, issuance usually 0).</t>
      </text>
    </comment>
    <comment ref="M49" authorId="0" shapeId="0">
      <text>
        <t>Debt (BS)
FORMULA: =M100
WHY: Debt equals the debt-schedule closing balance (open + issuance, issuance usually 0).</t>
      </text>
    </comment>
    <comment ref="N49" authorId="0" shapeId="0">
      <text>
        <t>Debt (BS)
FORMULA: =N100
WHY: Debt equals the debt-schedule closing balance (open + issuance, issuance usually 0).</t>
      </text>
    </comment>
    <comment ref="B50" authorId="0" shapeId="0">
      <text>
        <t>Total liabilities
WHY: Accounts payable plus debt; simplified liability total in this teaching template.
PATTERN: =SUM({c}48:{c}49)</t>
      </text>
    </comment>
    <comment ref="J50" authorId="0" shapeId="0">
      <text>
        <t>Total liabilities
FORMULA: =SUM(J48:J49)
WHY: Accounts payable plus debt; simplified liability total in this teaching template.</t>
      </text>
    </comment>
    <comment ref="K50" authorId="0" shapeId="0">
      <text>
        <t>Total liabilities
FORMULA: =SUM(K48:K49)
WHY: Accounts payable plus debt; simplified liability total in this teaching template.</t>
      </text>
    </comment>
    <comment ref="L50" authorId="0" shapeId="0">
      <text>
        <t>Total liabilities
FORMULA: =SUM(L48:L49)
WHY: Accounts payable plus debt; simplified liability total in this teaching template.</t>
      </text>
    </comment>
    <comment ref="M50" authorId="0" shapeId="0">
      <text>
        <t>Total liabilities
FORMULA: =SUM(M48:M49)
WHY: Accounts payable plus debt; simplified liability total in this teaching template.</t>
      </text>
    </comment>
    <comment ref="N50" authorId="0" shapeId="0">
      <text>
        <t>Total liabilities
FORMULA: =SUM(N48:N49)
WHY: Accounts payable plus debt; simplified liability total in this teaching template.</t>
      </text>
    </comment>
    <comment ref="B52" authorId="0" shapeId="0">
      <text>
        <t>Equity capital
WHY: Prior equity capital plus equity issued/(repurchased); policy keeps issuance at zero.
PATTERN: ={p}52+{c}20</t>
      </text>
    </comment>
    <comment ref="J52" authorId="0" shapeId="0">
      <text>
        <t>Equity capital
FORMULA: =I52+J20
WHY: Prior equity capital plus equity issued/(repurchased); policy keeps issuance at zero.</t>
      </text>
    </comment>
    <comment ref="K52" authorId="0" shapeId="0">
      <text>
        <t>Equity capital
FORMULA: =J52+K20
WHY: Prior equity capital plus equity issued/(repurchased); policy keeps issuance at zero.</t>
      </text>
    </comment>
    <comment ref="L52" authorId="0" shapeId="0">
      <text>
        <t>Equity capital
FORMULA: =K52+L20
WHY: Prior equity capital plus equity issued/(repurchased); policy keeps issuance at zero.</t>
      </text>
    </comment>
    <comment ref="M52" authorId="0" shapeId="0">
      <text>
        <t>Equity capital
FORMULA: =L52+M20
WHY: Prior equity capital plus equity issued/(repurchased); policy keeps issuance at zero.</t>
      </text>
    </comment>
    <comment ref="N52" authorId="0" shapeId="0">
      <text>
        <t>Equity capital
FORMULA: =M52+N20
WHY: Prior equity capital plus equity issued/(repurchased); policy keeps issuance at zero.</t>
      </text>
    </comment>
    <comment ref="B53" authorId="0" shapeId="0">
      <text>
        <t>Retained earnings
WHY: Prior RE plus this year’s net earnings; accumulates NI into equity without dividends.
PATTERN: ={p}53+{c}33*(1-{c}13)</t>
      </text>
    </comment>
    <comment ref="J53" authorId="0" shapeId="0">
      <text>
        <t>Retained earnings
FORMULA: =I53+J33*(1-J13)
WHY: Prior RE plus this year’s net earnings; accumulates NI into equity without dividends.</t>
      </text>
    </comment>
    <comment ref="K53" authorId="0" shapeId="0">
      <text>
        <t>Retained earnings
FORMULA: =J53+K33*(1-K13)
WHY: Prior RE plus this year’s net earnings; accumulates NI into equity without dividends.</t>
      </text>
    </comment>
    <comment ref="L53" authorId="0" shapeId="0">
      <text>
        <t>Retained earnings
FORMULA: =K53+L33*(1-L13)
WHY: Prior RE plus this year’s net earnings; accumulates NI into equity without dividends.</t>
      </text>
    </comment>
    <comment ref="M53" authorId="0" shapeId="0">
      <text>
        <t>Retained earnings
FORMULA: =L53+M33*(1-M13)
WHY: Prior RE plus this year’s net earnings; accumulates NI into equity without dividends.</t>
      </text>
    </comment>
    <comment ref="N53" authorId="0" shapeId="0">
      <text>
        <t>Retained earnings
FORMULA: =M53+N33*(1-N13)
WHY: Prior RE plus this year’s net earnings; accumulates NI into equity without dividends.</t>
      </text>
    </comment>
    <comment ref="B54" authorId="0" shapeId="0">
      <text>
        <t>Shareholders’ equity
WHY: Equity capital plus retained earnings; book equity for the L+E side of the check.
PATTERN: =SUM({c}52:{c}53)</t>
      </text>
    </comment>
    <comment ref="J54" authorId="0" shapeId="0">
      <text>
        <t>Shareholders’ equity
FORMULA: =SUM(J52:J53)
WHY: Equity capital plus retained earnings; book equity for the L+E side of the check.</t>
      </text>
    </comment>
    <comment ref="K54" authorId="0" shapeId="0">
      <text>
        <t>Shareholders’ equity
FORMULA: =SUM(K52:K53)
WHY: Equity capital plus retained earnings; book equity for the L+E side of the check.</t>
      </text>
    </comment>
    <comment ref="L54" authorId="0" shapeId="0">
      <text>
        <t>Shareholders’ equity
FORMULA: =SUM(L52:L53)
WHY: Equity capital plus retained earnings; book equity for the L+E side of the check.</t>
      </text>
    </comment>
    <comment ref="M54" authorId="0" shapeId="0">
      <text>
        <t>Shareholders’ equity
FORMULA: =SUM(M52:M53)
WHY: Equity capital plus retained earnings; book equity for the L+E side of the check.</t>
      </text>
    </comment>
    <comment ref="N54" authorId="0" shapeId="0">
      <text>
        <t>Shareholders’ equity
FORMULA: =SUM(N52:N53)
WHY: Equity capital plus retained earnings; book equity for the L+E side of the check.</t>
      </text>
    </comment>
    <comment ref="B55" authorId="0" shapeId="0">
      <text>
        <t>Total L+E
WHY: Liabilities plus equity; must equal total assets when the model is in balance.
PATTERN: ={c}50+{c}54</t>
      </text>
    </comment>
    <comment ref="J55" authorId="0" shapeId="0">
      <text>
        <t>Total L+E
FORMULA: =J50+J54
WHY: Liabilities plus equity; must equal total assets when the model is in balance.</t>
      </text>
    </comment>
    <comment ref="K55" authorId="0" shapeId="0">
      <text>
        <t>Total L+E
FORMULA: =K50+K54
WHY: Liabilities plus equity; must equal total assets when the model is in balance.</t>
      </text>
    </comment>
    <comment ref="L55" authorId="0" shapeId="0">
      <text>
        <t>Total L+E
FORMULA: =L50+L54
WHY: Liabilities plus equity; must equal total assets when the model is in balance.</t>
      </text>
    </comment>
    <comment ref="M55" authorId="0" shapeId="0">
      <text>
        <t>Total L+E
FORMULA: =M50+M54
WHY: Liabilities plus equity; must equal total assets when the model is in balance.</t>
      </text>
    </comment>
    <comment ref="N55" authorId="0" shapeId="0">
      <text>
        <t>Total L+E
FORMULA: =N50+N54
WHY: Liabilities plus equity; must equal total assets when the model is in balance.</t>
      </text>
    </comment>
    <comment ref="B57" authorId="0" shapeId="0">
      <text>
        <t>BS imbalance
WHY: L+E minus assets; should be ~0. Nonzero means a link or plug is broken.
PATTERN: ={c}55-{c}45</t>
      </text>
    </comment>
    <comment ref="J57" authorId="0" shapeId="0">
      <text>
        <t>BS imbalance
FORMULA: =J55-J45
WHY: L+E minus assets; should be ~0. Nonzero means a link or plug is broken.</t>
      </text>
    </comment>
    <comment ref="K57" authorId="0" shapeId="0">
      <text>
        <t>BS imbalance
FORMULA: =K55-K45
WHY: L+E minus assets; should be ~0. Nonzero means a link or plug is broken.</t>
      </text>
    </comment>
    <comment ref="L57" authorId="0" shapeId="0">
      <text>
        <t>BS imbalance
FORMULA: =L55-L45
WHY: L+E minus assets; should be ~0. Nonzero means a link or plug is broken.</t>
      </text>
    </comment>
    <comment ref="M57" authorId="0" shapeId="0">
      <text>
        <t>BS imbalance
FORMULA: =M55-M45
WHY: L+E minus assets; should be ~0. Nonzero means a link or plug is broken.</t>
      </text>
    </comment>
    <comment ref="N57" authorId="0" shapeId="0">
      <text>
        <t>BS imbalance
FORMULA: =N55-N45
WHY: L+E minus assets; should be ~0. Nonzero means a link or plug is broken.</t>
      </text>
    </comment>
    <comment ref="B62" authorId="0" shapeId="0">
      <text>
        <t>CF net earnings
WHY: Same NI equation as the IS, written out so CFO does not hide behind a bare pointer.
PATTERN: ={c}33*(1-{c}13)</t>
      </text>
    </comment>
    <comment ref="J62" authorId="0" shapeId="0">
      <text>
        <t>CF net earnings
FORMULA: =J33*(1-J13)
WHY: Same NI equation as the IS, written out so CFO does not hide behind a bare pointer.</t>
      </text>
    </comment>
    <comment ref="K62" authorId="0" shapeId="0">
      <text>
        <t>CF net earnings
FORMULA: =K33*(1-K13)
WHY: Same NI equation as the IS, written out so CFO does not hide behind a bare pointer.</t>
      </text>
    </comment>
    <comment ref="L62" authorId="0" shapeId="0">
      <text>
        <t>CF net earnings
FORMULA: =L33*(1-L13)
WHY: Same NI equation as the IS, written out so CFO does not hide behind a bare pointer.</t>
      </text>
    </comment>
    <comment ref="M62" authorId="0" shapeId="0">
      <text>
        <t>CF net earnings
FORMULA: =M33*(1-M13)
WHY: Same NI equation as the IS, written out so CFO does not hide behind a bare pointer.</t>
      </text>
    </comment>
    <comment ref="N62" authorId="0" shapeId="0">
      <text>
        <t>CF net earnings
FORMULA: =N33*(1-N13)
WHY: Same NI equation as the IS, written out so CFO does not hide behind a bare pointer.</t>
      </text>
    </comment>
    <comment ref="B63" authorId="0" shapeId="0">
      <text>
        <t>CF + D&amp;A
WHY: Adds back non-cash D&amp;A (open PP&amp;E × D&amp;A%) in the cash-from-operations bridge.
PATTERN: ={c}92*{c}11</t>
      </text>
    </comment>
    <comment ref="J63" authorId="0" shapeId="0">
      <text>
        <t>CF + D&amp;A
FORMULA: =J92*J11
WHY: Adds back non-cash D&amp;A (open PP&amp;E × D&amp;A%) in the cash-from-operations bridge.</t>
      </text>
    </comment>
    <comment ref="K63" authorId="0" shapeId="0">
      <text>
        <t>CF + D&amp;A
FORMULA: =K92*K11
WHY: Adds back non-cash D&amp;A (open PP&amp;E × D&amp;A%) in the cash-from-operations bridge.</t>
      </text>
    </comment>
    <comment ref="L63" authorId="0" shapeId="0">
      <text>
        <t>CF + D&amp;A
FORMULA: =L92*L11
WHY: Adds back non-cash D&amp;A (open PP&amp;E × D&amp;A%) in the cash-from-operations bridge.</t>
      </text>
    </comment>
    <comment ref="M63" authorId="0" shapeId="0">
      <text>
        <t>CF + D&amp;A
FORMULA: =M92*M11
WHY: Adds back non-cash D&amp;A (open PP&amp;E × D&amp;A%) in the cash-from-operations bridge.</t>
      </text>
    </comment>
    <comment ref="N63" authorId="0" shapeId="0">
      <text>
        <t>CF + D&amp;A
FORMULA: =N92*N11
WHY: Adds back non-cash D&amp;A (open PP&amp;E × D&amp;A%) in the cash-from-operations bridge.</t>
      </text>
    </comment>
    <comment ref="B64" authorId="0" shapeId="0">
      <text>
        <t>CF − ΔNWC
WHY: Increase in net working capital uses cash; decrease frees cash in the CFO build.
PATTERN: ={c}88-{p}88</t>
      </text>
    </comment>
    <comment ref="J64" authorId="0" shapeId="0">
      <text>
        <t>CF − ΔNWC
FORMULA: =J88-I88
WHY: Increase in net working capital uses cash; decrease frees cash in the CFO build.</t>
      </text>
    </comment>
    <comment ref="K64" authorId="0" shapeId="0">
      <text>
        <t>CF − ΔNWC
FORMULA: =K88-J88
WHY: Increase in net working capital uses cash; decrease frees cash in the CFO build.</t>
      </text>
    </comment>
    <comment ref="L64" authorId="0" shapeId="0">
      <text>
        <t>CF − ΔNWC
FORMULA: =L88-K88
WHY: Increase in net working capital uses cash; decrease frees cash in the CFO build.</t>
      </text>
    </comment>
    <comment ref="M64" authorId="0" shapeId="0">
      <text>
        <t>CF − ΔNWC
FORMULA: =M88-L88
WHY: Increase in net working capital uses cash; decrease frees cash in the CFO build.</t>
      </text>
    </comment>
    <comment ref="N64" authorId="0" shapeId="0">
      <text>
        <t>CF − ΔNWC
FORMULA: =N88-M88
WHY: Increase in net working capital uses cash; decrease frees cash in the CFO build.</t>
      </text>
    </comment>
    <comment ref="B65" authorId="0" shapeId="0">
      <text>
        <t>Cash from operations
WHY: Full CFO: NI + D&amp;A − ΔNWC written as one equation, not assembled from pointers.
PATTERN: ={c}33*(1-{c}13)+{c}92*{c}11-({c}88-{p}88)</t>
      </text>
    </comment>
    <comment ref="J65" authorId="0" shapeId="0">
      <text>
        <t>Cash from operations
FORMULA: =J33*(1-J13)+J92*J11-(J88-I88)
WHY: Full CFO: NI + D&amp;A − ΔNWC written as one equation, not assembled from pointers.</t>
      </text>
    </comment>
    <comment ref="K65" authorId="0" shapeId="0">
      <text>
        <t>Cash from operations
FORMULA: =K33*(1-K13)+K92*K11-(K88-J88)
WHY: Full CFO: NI + D&amp;A − ΔNWC written as one equation, not assembled from pointers.</t>
      </text>
    </comment>
    <comment ref="L65" authorId="0" shapeId="0">
      <text>
        <t>Cash from operations
FORMULA: =L33*(1-L13)+L92*L11-(L88-K88)
WHY: Full CFO: NI + D&amp;A − ΔNWC written as one equation, not assembled from pointers.</t>
      </text>
    </comment>
    <comment ref="M65" authorId="0" shapeId="0">
      <text>
        <t>Cash from operations
FORMULA: =M33*(1-M13)+M92*M11-(M88-L88)
WHY: Full CFO: NI + D&amp;A − ΔNWC written as one equation, not assembled from pointers.</t>
      </text>
    </comment>
    <comment ref="N65" authorId="0" shapeId="0">
      <text>
        <t>Cash from operations
FORMULA: =N33*(1-N13)+N92*N11-(N88-M88)
WHY: Full CFO: NI + D&amp;A − ΔNWC written as one equation, not assembled from pointers.</t>
      </text>
    </comment>
    <comment ref="B68" authorId="0" shapeId="0">
      <text>
        <t>CapEx $
WHY: Revenue times CapEx%; investing outflow used in CF and the PPE roll-forward.
PATTERN: ={c}24*{c}18</t>
      </text>
    </comment>
    <comment ref="J68" authorId="0" shapeId="0">
      <text>
        <t>CapEx $
FORMULA: =J24*J18
WHY: Revenue times CapEx%; investing outflow used in CF and the PPE roll-forward.</t>
      </text>
    </comment>
    <comment ref="K68" authorId="0" shapeId="0">
      <text>
        <t>CapEx $
FORMULA: =K24*K18
WHY: Revenue times CapEx%; investing outflow used in CF and the PPE roll-forward.</t>
      </text>
    </comment>
    <comment ref="L68" authorId="0" shapeId="0">
      <text>
        <t>CapEx $
FORMULA: =L24*L18
WHY: Revenue times CapEx%; investing outflow used in CF and the PPE roll-forward.</t>
      </text>
    </comment>
    <comment ref="M68" authorId="0" shapeId="0">
      <text>
        <t>CapEx $
FORMULA: =M24*M18
WHY: Revenue times CapEx%; investing outflow used in CF and the PPE roll-forward.</t>
      </text>
    </comment>
    <comment ref="N68" authorId="0" shapeId="0">
      <text>
        <t>CapEx $
FORMULA: =N24*N18
WHY: Revenue times CapEx%; investing outflow used in CF and the PPE roll-forward.</t>
      </text>
    </comment>
    <comment ref="B69" authorId="0" shapeId="0">
      <text>
        <t>Cash from investing
WHY: In this template CFI is CapEx only; equals the CapEx dollar line above.
PATTERN: ={c}68</t>
      </text>
    </comment>
    <comment ref="J69" authorId="0" shapeId="0">
      <text>
        <t>Cash from investing
FORMULA: =J68
WHY: In this template CFI is CapEx only; equals the CapEx dollar line above.</t>
      </text>
    </comment>
    <comment ref="K69" authorId="0" shapeId="0">
      <text>
        <t>Cash from investing
FORMULA: =K68
WHY: In this template CFI is CapEx only; equals the CapEx dollar line above.</t>
      </text>
    </comment>
    <comment ref="L69" authorId="0" shapeId="0">
      <text>
        <t>Cash from investing
FORMULA: =L68
WHY: In this template CFI is CapEx only; equals the CapEx dollar line above.</t>
      </text>
    </comment>
    <comment ref="M69" authorId="0" shapeId="0">
      <text>
        <t>Cash from investing
FORMULA: =M68
WHY: In this template CFI is CapEx only; equals the CapEx dollar line above.</t>
      </text>
    </comment>
    <comment ref="N69" authorId="0" shapeId="0">
      <text>
        <t>Cash from investing
FORMULA: =N68
WHY: In this template CFI is CapEx only; equals the CapEx dollar line above.</t>
      </text>
    </comment>
    <comment ref="B72" authorId="0" shapeId="0">
      <text>
        <t>Debt issuance CF
WHY: Pulls the debt issuance/(repayment) policy into financing cash flow.
PATTERN: ={c}19</t>
      </text>
    </comment>
    <comment ref="J72" authorId="0" shapeId="0">
      <text>
        <t>Debt issuance CF
FORMULA: =J19
WHY: Pulls the debt issuance/(repayment) policy into financing cash flow.</t>
      </text>
    </comment>
    <comment ref="K72" authorId="0" shapeId="0">
      <text>
        <t>Debt issuance CF
FORMULA: =K19
WHY: Pulls the debt issuance/(repayment) policy into financing cash flow.</t>
      </text>
    </comment>
    <comment ref="L72" authorId="0" shapeId="0">
      <text>
        <t>Debt issuance CF
FORMULA: =L19
WHY: Pulls the debt issuance/(repayment) policy into financing cash flow.</t>
      </text>
    </comment>
    <comment ref="M72" authorId="0" shapeId="0">
      <text>
        <t>Debt issuance CF
FORMULA: =M19
WHY: Pulls the debt issuance/(repayment) policy into financing cash flow.</t>
      </text>
    </comment>
    <comment ref="N72" authorId="0" shapeId="0">
      <text>
        <t>Debt issuance CF
FORMULA: =N19
WHY: Pulls the debt issuance/(repayment) policy into financing cash flow.</t>
      </text>
    </comment>
    <comment ref="B73" authorId="0" shapeId="0">
      <text>
        <t>Equity issuance CF
WHY: Pulls the equity issuance/(buyback) policy into financing cash flow.
PATTERN: ={c}20</t>
      </text>
    </comment>
    <comment ref="J73" authorId="0" shapeId="0">
      <text>
        <t>Equity issuance CF
FORMULA: =J20
WHY: Pulls the equity issuance/(buyback) policy into financing cash flow.</t>
      </text>
    </comment>
    <comment ref="K73" authorId="0" shapeId="0">
      <text>
        <t>Equity issuance CF
FORMULA: =K20
WHY: Pulls the equity issuance/(buyback) policy into financing cash flow.</t>
      </text>
    </comment>
    <comment ref="L73" authorId="0" shapeId="0">
      <text>
        <t>Equity issuance CF
FORMULA: =L20
WHY: Pulls the equity issuance/(buyback) policy into financing cash flow.</t>
      </text>
    </comment>
    <comment ref="M73" authorId="0" shapeId="0">
      <text>
        <t>Equity issuance CF
FORMULA: =M20
WHY: Pulls the equity issuance/(buyback) policy into financing cash flow.</t>
      </text>
    </comment>
    <comment ref="N73" authorId="0" shapeId="0">
      <text>
        <t>Equity issuance CF
FORMULA: =N20
WHY: Pulls the equity issuance/(buyback) policy into financing cash flow.</t>
      </text>
    </comment>
    <comment ref="B74" authorId="0" shapeId="0">
      <text>
        <t>Cash from financing
WHY: Debt plus equity financing cash; both policies are zero in the base case.
PATTERN: ={c}19+{c}20</t>
      </text>
    </comment>
    <comment ref="J74" authorId="0" shapeId="0">
      <text>
        <t>Cash from financing
FORMULA: =J19+J20
WHY: Debt plus equity financing cash; both policies are zero in the base case.</t>
      </text>
    </comment>
    <comment ref="K74" authorId="0" shapeId="0">
      <text>
        <t>Cash from financing
FORMULA: =K19+K20
WHY: Debt plus equity financing cash; both policies are zero in the base case.</t>
      </text>
    </comment>
    <comment ref="L74" authorId="0" shapeId="0">
      <text>
        <t>Cash from financing
FORMULA: =L19+L20
WHY: Debt plus equity financing cash; both policies are zero in the base case.</t>
      </text>
    </comment>
    <comment ref="M74" authorId="0" shapeId="0">
      <text>
        <t>Cash from financing
FORMULA: =M19+M20
WHY: Debt plus equity financing cash; both policies are zero in the base case.</t>
      </text>
    </comment>
    <comment ref="N74" authorId="0" shapeId="0">
      <text>
        <t>Cash from financing
FORMULA: =N19+N20
WHY: Debt plus equity financing cash; both policies are zero in the base case.</t>
      </text>
    </comment>
    <comment ref="B76" authorId="0" shapeId="0">
      <text>
        <t>Δ Cash
WHY: CFO minus CapEx plus financing; net change that rolls opening cash to closing.
PATTERN: ={c}65-{c}69+{c}74</t>
      </text>
    </comment>
    <comment ref="J76" authorId="0" shapeId="0">
      <text>
        <t>Δ Cash
FORMULA: =J65-J69+J74
WHY: CFO minus CapEx plus financing; net change that rolls opening cash to closing.</t>
      </text>
    </comment>
    <comment ref="K76" authorId="0" shapeId="0">
      <text>
        <t>Δ Cash
FORMULA: =K65-K69+K74
WHY: CFO minus CapEx plus financing; net change that rolls opening cash to closing.</t>
      </text>
    </comment>
    <comment ref="L76" authorId="0" shapeId="0">
      <text>
        <t>Δ Cash
FORMULA: =L65-L69+L74
WHY: CFO minus CapEx plus financing; net change that rolls opening cash to closing.</t>
      </text>
    </comment>
    <comment ref="M76" authorId="0" shapeId="0">
      <text>
        <t>Δ Cash
FORMULA: =M65-M69+M74
WHY: CFO minus CapEx plus financing; net change that rolls opening cash to closing.</t>
      </text>
    </comment>
    <comment ref="N76" authorId="0" shapeId="0">
      <text>
        <t>Δ Cash
FORMULA: =N65-N69+N74
WHY: CFO minus CapEx plus financing; net change that rolls opening cash to closing.</t>
      </text>
    </comment>
    <comment ref="B77" authorId="0" shapeId="0">
      <text>
        <t>Opening cash
WHY: Starts at prior balance-sheet cash so the cash roll-forward matches history.
PATTERN: ={p}41</t>
      </text>
    </comment>
    <comment ref="J77" authorId="0" shapeId="0">
      <text>
        <t>Opening cash
FORMULA: =I41
WHY: Starts at prior balance-sheet cash so the cash roll-forward matches history.</t>
      </text>
    </comment>
    <comment ref="K77" authorId="0" shapeId="0">
      <text>
        <t>Opening cash
FORMULA: =J41
WHY: Starts at prior balance-sheet cash so the cash roll-forward matches history.</t>
      </text>
    </comment>
    <comment ref="L77" authorId="0" shapeId="0">
      <text>
        <t>Opening cash
FORMULA: =K41
WHY: Starts at prior balance-sheet cash so the cash roll-forward matches history.</t>
      </text>
    </comment>
    <comment ref="M77" authorId="0" shapeId="0">
      <text>
        <t>Opening cash
FORMULA: =L41
WHY: Starts at prior balance-sheet cash so the cash roll-forward matches history.</t>
      </text>
    </comment>
    <comment ref="N77" authorId="0" shapeId="0">
      <text>
        <t>Opening cash
FORMULA: =M41
WHY: Starts at prior balance-sheet cash so the cash roll-forward matches history.</t>
      </text>
    </comment>
    <comment ref="B78" authorId="0" shapeId="0">
      <text>
        <t>Closing cash
WHY: Opening cash plus Δ cash; feeds BS cash and the cash-flow check.
PATTERN: ={c}77+{c}76</t>
      </text>
    </comment>
    <comment ref="J78" authorId="0" shapeId="0">
      <text>
        <t>Closing cash
FORMULA: =J77+J76
WHY: Opening cash plus Δ cash; feeds BS cash and the cash-flow check.</t>
      </text>
    </comment>
    <comment ref="K78" authorId="0" shapeId="0">
      <text>
        <t>Closing cash
FORMULA: =K77+K76
WHY: Opening cash plus Δ cash; feeds BS cash and the cash-flow check.</t>
      </text>
    </comment>
    <comment ref="L78" authorId="0" shapeId="0">
      <text>
        <t>Closing cash
FORMULA: =L77+L76
WHY: Opening cash plus Δ cash; feeds BS cash and the cash-flow check.</t>
      </text>
    </comment>
    <comment ref="M78" authorId="0" shapeId="0">
      <text>
        <t>Closing cash
FORMULA: =M77+M76
WHY: Opening cash plus Δ cash; feeds BS cash and the cash-flow check.</t>
      </text>
    </comment>
    <comment ref="N78" authorId="0" shapeId="0">
      <text>
        <t>Closing cash
FORMULA: =N77+N76
WHY: Opening cash plus Δ cash; feeds BS cash and the cash-flow check.</t>
      </text>
    </comment>
    <comment ref="B80" authorId="0" shapeId="0">
      <text>
        <t>Cash check
WHY: Closing CF cash minus BS cash; must be zero when statements are linked.
PATTERN: ={c}78-{c}41</t>
      </text>
    </comment>
    <comment ref="J80" authorId="0" shapeId="0">
      <text>
        <t>Cash check
FORMULA: =J78-J41
WHY: Closing CF cash minus BS cash; must be zero when statements are linked.</t>
      </text>
    </comment>
    <comment ref="K80" authorId="0" shapeId="0">
      <text>
        <t>Cash check
FORMULA: =K78-K41
WHY: Closing CF cash minus BS cash; must be zero when statements are linked.</t>
      </text>
    </comment>
    <comment ref="L80" authorId="0" shapeId="0">
      <text>
        <t>Cash check
FORMULA: =L78-L41
WHY: Closing CF cash minus BS cash; must be zero when statements are linked.</t>
      </text>
    </comment>
    <comment ref="M80" authorId="0" shapeId="0">
      <text>
        <t>Cash check
FORMULA: =M78-M41
WHY: Closing CF cash minus BS cash; must be zero when statements are linked.</t>
      </text>
    </comment>
    <comment ref="N80" authorId="0" shapeId="0">
      <text>
        <t>Cash check
FORMULA: =N78-N41
WHY: Closing CF cash minus BS cash; must be zero when statements are linked.</t>
      </text>
    </comment>
    <comment ref="B85" authorId="0" shapeId="0">
      <text>
        <t>WC: AR
WHY: Working-capital schedule AR mirrors the balance-sheet AR used in ΔNWC.
PATTERN: ={c}42</t>
      </text>
    </comment>
    <comment ref="J85" authorId="0" shapeId="0">
      <text>
        <t>WC: AR
FORMULA: =J42
WHY: Working-capital schedule AR mirrors the balance-sheet AR used in ΔNWC.</t>
      </text>
    </comment>
    <comment ref="K85" authorId="0" shapeId="0">
      <text>
        <t>WC: AR
FORMULA: =K42
WHY: Working-capital schedule AR mirrors the balance-sheet AR used in ΔNWC.</t>
      </text>
    </comment>
    <comment ref="L85" authorId="0" shapeId="0">
      <text>
        <t>WC: AR
FORMULA: =L42
WHY: Working-capital schedule AR mirrors the balance-sheet AR used in ΔNWC.</t>
      </text>
    </comment>
    <comment ref="M85" authorId="0" shapeId="0">
      <text>
        <t>WC: AR
FORMULA: =M42
WHY: Working-capital schedule AR mirrors the balance-sheet AR used in ΔNWC.</t>
      </text>
    </comment>
    <comment ref="N85" authorId="0" shapeId="0">
      <text>
        <t>WC: AR
FORMULA: =N42
WHY: Working-capital schedule AR mirrors the balance-sheet AR used in ΔNWC.</t>
      </text>
    </comment>
    <comment ref="B86" authorId="0" shapeId="0">
      <text>
        <t>WC: Inventory
WHY: Working-capital inventory mirrors BS inventory (zero for this software business).
PATTERN: ={c}43</t>
      </text>
    </comment>
    <comment ref="J86" authorId="0" shapeId="0">
      <text>
        <t>WC: Inventory
FORMULA: =J43
WHY: Working-capital inventory mirrors BS inventory (zero for this software business).</t>
      </text>
    </comment>
    <comment ref="K86" authorId="0" shapeId="0">
      <text>
        <t>WC: Inventory
FORMULA: =K43
WHY: Working-capital inventory mirrors BS inventory (zero for this software business).</t>
      </text>
    </comment>
    <comment ref="L86" authorId="0" shapeId="0">
      <text>
        <t>WC: Inventory
FORMULA: =L43
WHY: Working-capital inventory mirrors BS inventory (zero for this software business).</t>
      </text>
    </comment>
    <comment ref="M86" authorId="0" shapeId="0">
      <text>
        <t>WC: Inventory
FORMULA: =M43
WHY: Working-capital inventory mirrors BS inventory (zero for this software business).</t>
      </text>
    </comment>
    <comment ref="N86" authorId="0" shapeId="0">
      <text>
        <t>WC: Inventory
FORMULA: =N43
WHY: Working-capital inventory mirrors BS inventory (zero for this software business).</t>
      </text>
    </comment>
    <comment ref="B87" authorId="0" shapeId="0">
      <text>
        <t>WC: AP
WHY: Working-capital AP mirrors BS AP so NWC uses the same operating balances.
PATTERN: ={c}48</t>
      </text>
    </comment>
    <comment ref="J87" authorId="0" shapeId="0">
      <text>
        <t>WC: AP
FORMULA: =J48
WHY: Working-capital AP mirrors BS AP so NWC uses the same operating balances.</t>
      </text>
    </comment>
    <comment ref="K87" authorId="0" shapeId="0">
      <text>
        <t>WC: AP
FORMULA: =K48
WHY: Working-capital AP mirrors BS AP so NWC uses the same operating balances.</t>
      </text>
    </comment>
    <comment ref="L87" authorId="0" shapeId="0">
      <text>
        <t>WC: AP
FORMULA: =L48
WHY: Working-capital AP mirrors BS AP so NWC uses the same operating balances.</t>
      </text>
    </comment>
    <comment ref="M87" authorId="0" shapeId="0">
      <text>
        <t>WC: AP
FORMULA: =M48
WHY: Working-capital AP mirrors BS AP so NWC uses the same operating balances.</t>
      </text>
    </comment>
    <comment ref="N87" authorId="0" shapeId="0">
      <text>
        <t>WC: AP
FORMULA: =N48
WHY: Working-capital AP mirrors BS AP so NWC uses the same operating balances.</t>
      </text>
    </comment>
    <comment ref="B88" authorId="0" shapeId="0">
      <text>
        <t>Net working capital
WHY: AR + inventory − AP; operating NWC (deferred already netted in AR).
PATTERN: ={c}85+{c}86-{c}87</t>
      </text>
    </comment>
    <comment ref="J88" authorId="0" shapeId="0">
      <text>
        <t>Net working capital
FORMULA: =J85+J86-J87
WHY: AR + inventory − AP; operating NWC (deferred already netted in AR).</t>
      </text>
    </comment>
    <comment ref="K88" authorId="0" shapeId="0">
      <text>
        <t>Net working capital
FORMULA: =K85+K86-K87
WHY: AR + inventory − AP; operating NWC (deferred already netted in AR).</t>
      </text>
    </comment>
    <comment ref="L88" authorId="0" shapeId="0">
      <text>
        <t>Net working capital
FORMULA: =L85+L86-L87
WHY: AR + inventory − AP; operating NWC (deferred already netted in AR).</t>
      </text>
    </comment>
    <comment ref="M88" authorId="0" shapeId="0">
      <text>
        <t>Net working capital
FORMULA: =M85+M86-M87
WHY: AR + inventory − AP; operating NWC (deferred already netted in AR).</t>
      </text>
    </comment>
    <comment ref="N88" authorId="0" shapeId="0">
      <text>
        <t>Net working capital
FORMULA: =N85+N86-N87
WHY: AR + inventory − AP; operating NWC (deferred already netted in AR).</t>
      </text>
    </comment>
    <comment ref="B89" authorId="0" shapeId="0">
      <text>
        <t>Change in NWC
WHY: Year-over-year NWC change; the cash investment/(release) used in CFO and FCFF.
PATTERN: ={c}88-{p}88</t>
      </text>
    </comment>
    <comment ref="J89" authorId="0" shapeId="0">
      <text>
        <t>Change in NWC
FORMULA: =J88-I88
WHY: Year-over-year NWC change; the cash investment/(release) used in CFO and FCFF.</t>
      </text>
    </comment>
    <comment ref="K89" authorId="0" shapeId="0">
      <text>
        <t>Change in NWC
FORMULA: =K88-J88
WHY: Year-over-year NWC change; the cash investment/(release) used in CFO and FCFF.</t>
      </text>
    </comment>
    <comment ref="L89" authorId="0" shapeId="0">
      <text>
        <t>Change in NWC
FORMULA: =L88-K88
WHY: Year-over-year NWC change; the cash investment/(release) used in CFO and FCFF.</t>
      </text>
    </comment>
    <comment ref="M89" authorId="0" shapeId="0">
      <text>
        <t>Change in NWC
FORMULA: =M88-L88
WHY: Year-over-year NWC change; the cash investment/(release) used in CFO and FCFF.</t>
      </text>
    </comment>
    <comment ref="N89" authorId="0" shapeId="0">
      <text>
        <t>Change in NWC
FORMULA: =N88-M88
WHY: Year-over-year NWC change; the cash investment/(release) used in CFO and FCFF.</t>
      </text>
    </comment>
    <comment ref="B92" authorId="0" shapeId="0">
      <text>
        <t>PPE opening
WHY: Prior closing PP&amp;E (FY1 opens at last historical I44); base for CapEx and D&amp;A.
PATTERN: ={p}95 or I44</t>
      </text>
    </comment>
    <comment ref="J92" authorId="0" shapeId="0">
      <text>
        <t>PPE opening
FORMULA: =I95 or I44
WHY: Prior closing PP&amp;E (FY1 opens at last historical I44); base for CapEx and D&amp;A.</t>
      </text>
    </comment>
    <comment ref="K92" authorId="0" shapeId="0">
      <text>
        <t>PPE opening
FORMULA: =J95 or I44
WHY: Prior closing PP&amp;E (FY1 opens at last historical I44); base for CapEx and D&amp;A.</t>
      </text>
    </comment>
    <comment ref="L92" authorId="0" shapeId="0">
      <text>
        <t>PPE opening
FORMULA: =K95 or I44
WHY: Prior closing PP&amp;E (FY1 opens at last historical I44); base for CapEx and D&amp;A.</t>
      </text>
    </comment>
    <comment ref="M92" authorId="0" shapeId="0">
      <text>
        <t>PPE opening
FORMULA: =L95 or I44
WHY: Prior closing PP&amp;E (FY1 opens at last historical I44); base for CapEx and D&amp;A.</t>
      </text>
    </comment>
    <comment ref="N92" authorId="0" shapeId="0">
      <text>
        <t>PPE opening
FORMULA: =M95 or I44
WHY: Prior closing PP&amp;E (FY1 opens at last historical I44); base for CapEx and D&amp;A.</t>
      </text>
    </comment>
    <comment ref="B93" authorId="0" shapeId="0">
      <text>
        <t>PPE + CapEx
WHY: Same CapEx dollars as CF; additions that grow the gross PP&amp;E stock.
PATTERN: ={c}24*{c}18</t>
      </text>
    </comment>
    <comment ref="J93" authorId="0" shapeId="0">
      <text>
        <t>PPE + CapEx
FORMULA: =J24*J18
WHY: Same CapEx dollars as CF; additions that grow the gross PP&amp;E stock.</t>
      </text>
    </comment>
    <comment ref="K93" authorId="0" shapeId="0">
      <text>
        <t>PPE + CapEx
FORMULA: =K24*K18
WHY: Same CapEx dollars as CF; additions that grow the gross PP&amp;E stock.</t>
      </text>
    </comment>
    <comment ref="L93" authorId="0" shapeId="0">
      <text>
        <t>PPE + CapEx
FORMULA: =L24*L18
WHY: Same CapEx dollars as CF; additions that grow the gross PP&amp;E stock.</t>
      </text>
    </comment>
    <comment ref="M93" authorId="0" shapeId="0">
      <text>
        <t>PPE + CapEx
FORMULA: =M24*M18
WHY: Same CapEx dollars as CF; additions that grow the gross PP&amp;E stock.</t>
      </text>
    </comment>
    <comment ref="N93" authorId="0" shapeId="0">
      <text>
        <t>PPE + CapEx
FORMULA: =N24*N18
WHY: Same CapEx dollars as CF; additions that grow the gross PP&amp;E stock.</t>
      </text>
    </comment>
    <comment ref="B94" authorId="0" shapeId="0">
      <text>
        <t>PPE − D&amp;A
WHY: Depreciation on opening PP&amp;E; reduces net PP&amp;E in the roll-forward.
PATTERN: ={c}92*{c}11</t>
      </text>
    </comment>
    <comment ref="J94" authorId="0" shapeId="0">
      <text>
        <t>PPE − D&amp;A
FORMULA: =J92*J11
WHY: Depreciation on opening PP&amp;E; reduces net PP&amp;E in the roll-forward.</t>
      </text>
    </comment>
    <comment ref="K94" authorId="0" shapeId="0">
      <text>
        <t>PPE − D&amp;A
FORMULA: =K92*K11
WHY: Depreciation on opening PP&amp;E; reduces net PP&amp;E in the roll-forward.</t>
      </text>
    </comment>
    <comment ref="L94" authorId="0" shapeId="0">
      <text>
        <t>PPE − D&amp;A
FORMULA: =L92*L11
WHY: Depreciation on opening PP&amp;E; reduces net PP&amp;E in the roll-forward.</t>
      </text>
    </comment>
    <comment ref="M94" authorId="0" shapeId="0">
      <text>
        <t>PPE − D&amp;A
FORMULA: =M92*M11
WHY: Depreciation on opening PP&amp;E; reduces net PP&amp;E in the roll-forward.</t>
      </text>
    </comment>
    <comment ref="N94" authorId="0" shapeId="0">
      <text>
        <t>PPE − D&amp;A
FORMULA: =N92*N11
WHY: Depreciation on opening PP&amp;E; reduces net PP&amp;E in the roll-forward.</t>
      </text>
    </comment>
    <comment ref="B95" authorId="0" shapeId="0">
      <text>
        <t>PPE closing
WHY: Open + CapEx − D&amp;A; closing net PP&amp;E posted to the balance sheet.
PATTERN: ={c}92+{c}93-{c}94</t>
      </text>
    </comment>
    <comment ref="J95" authorId="0" shapeId="0">
      <text>
        <t>PPE closing
FORMULA: =J92+J93-J94
WHY: Open + CapEx − D&amp;A; closing net PP&amp;E posted to the balance sheet.</t>
      </text>
    </comment>
    <comment ref="K95" authorId="0" shapeId="0">
      <text>
        <t>PPE closing
FORMULA: =K92+K93-K94
WHY: Open + CapEx − D&amp;A; closing net PP&amp;E posted to the balance sheet.</t>
      </text>
    </comment>
    <comment ref="L95" authorId="0" shapeId="0">
      <text>
        <t>PPE closing
FORMULA: =L92+L93-L94
WHY: Open + CapEx − D&amp;A; closing net PP&amp;E posted to the balance sheet.</t>
      </text>
    </comment>
    <comment ref="M95" authorId="0" shapeId="0">
      <text>
        <t>PPE closing
FORMULA: =M92+M93-M94
WHY: Open + CapEx − D&amp;A; closing net PP&amp;E posted to the balance sheet.</t>
      </text>
    </comment>
    <comment ref="N95" authorId="0" shapeId="0">
      <text>
        <t>PPE closing
FORMULA: =N92+N93-N94
WHY: Open + CapEx − D&amp;A; closing net PP&amp;E posted to the balance sheet.</t>
      </text>
    </comment>
    <comment ref="B98" authorId="0" shapeId="0">
      <text>
        <t>Debt opening
WHY: Prior closing debt (FY1 opens at historical I49); base for interest and issuance.
PATTERN: ={p}100 or I49</t>
      </text>
    </comment>
    <comment ref="J98" authorId="0" shapeId="0">
      <text>
        <t>Debt opening
FORMULA: =I100 or I49
WHY: Prior closing debt (FY1 opens at historical I49); base for interest and issuance.</t>
      </text>
    </comment>
    <comment ref="K98" authorId="0" shapeId="0">
      <text>
        <t>Debt opening
FORMULA: =J100 or I49
WHY: Prior closing debt (FY1 opens at historical I49); base for interest and issuance.</t>
      </text>
    </comment>
    <comment ref="L98" authorId="0" shapeId="0">
      <text>
        <t>Debt opening
FORMULA: =K100 or I49
WHY: Prior closing debt (FY1 opens at historical I49); base for interest and issuance.</t>
      </text>
    </comment>
    <comment ref="M98" authorId="0" shapeId="0">
      <text>
        <t>Debt opening
FORMULA: =L100 or I49
WHY: Prior closing debt (FY1 opens at historical I49); base for interest and issuance.</t>
      </text>
    </comment>
    <comment ref="N98" authorId="0" shapeId="0">
      <text>
        <t>Debt opening
FORMULA: =M100 or I49
WHY: Prior closing debt (FY1 opens at historical I49); base for interest and issuance.</t>
      </text>
    </comment>
    <comment ref="B99" authorId="0" shapeId="0">
      <text>
        <t>Debt issuance
WHY: Links the debt policy row into the schedule; base case keeps this at zero.
PATTERN: ={c}19</t>
      </text>
    </comment>
    <comment ref="J99" authorId="0" shapeId="0">
      <text>
        <t>Debt issuance
FORMULA: =J19
WHY: Links the debt policy row into the schedule; base case keeps this at zero.</t>
      </text>
    </comment>
    <comment ref="K99" authorId="0" shapeId="0">
      <text>
        <t>Debt issuance
FORMULA: =K19
WHY: Links the debt policy row into the schedule; base case keeps this at zero.</t>
      </text>
    </comment>
    <comment ref="L99" authorId="0" shapeId="0">
      <text>
        <t>Debt issuance
FORMULA: =L19
WHY: Links the debt policy row into the schedule; base case keeps this at zero.</t>
      </text>
    </comment>
    <comment ref="M99" authorId="0" shapeId="0">
      <text>
        <t>Debt issuance
FORMULA: =M19
WHY: Links the debt policy row into the schedule; base case keeps this at zero.</t>
      </text>
    </comment>
    <comment ref="N99" authorId="0" shapeId="0">
      <text>
        <t>Debt issuance
FORMULA: =N19
WHY: Links the debt policy row into the schedule; base case keeps this at zero.</t>
      </text>
    </comment>
    <comment ref="B100" authorId="0" shapeId="0">
      <text>
        <t>Debt closing
WHY: Open plus issuance/(repayment); closing debt posted to the balance sheet.
PATTERN: ={c}98+{c}99</t>
      </text>
    </comment>
    <comment ref="J100" authorId="0" shapeId="0">
      <text>
        <t>Debt closing
FORMULA: =J98+J99
WHY: Open plus issuance/(repayment); closing debt posted to the balance sheet.</t>
      </text>
    </comment>
    <comment ref="K100" authorId="0" shapeId="0">
      <text>
        <t>Debt closing
FORMULA: =K98+K99
WHY: Open plus issuance/(repayment); closing debt posted to the balance sheet.</t>
      </text>
    </comment>
    <comment ref="L100" authorId="0" shapeId="0">
      <text>
        <t>Debt closing
FORMULA: =L98+L99
WHY: Open plus issuance/(repayment); closing debt posted to the balance sheet.</t>
      </text>
    </comment>
    <comment ref="M100" authorId="0" shapeId="0">
      <text>
        <t>Debt closing
FORMULA: =M98+M99
WHY: Open plus issuance/(repayment); closing debt posted to the balance sheet.</t>
      </text>
    </comment>
    <comment ref="N100" authorId="0" shapeId="0">
      <text>
        <t>Debt closing
FORMULA: =N98+N99
WHY: Open plus issuance/(repayment); closing debt posted to the balance sheet.</t>
      </text>
    </comment>
    <comment ref="B101" authorId="0" shapeId="0">
      <text>
        <t>Interest (schedule)
WHY: Opening debt × interest%; same economics as IS interest, from the debt schedule.
PATTERN: ={c}98*{c}12</t>
      </text>
    </comment>
    <comment ref="J101" authorId="0" shapeId="0">
      <text>
        <t>Interest (schedule)
FORMULA: =J98*J12
WHY: Opening debt × interest%; same economics as IS interest, from the debt schedule.</t>
      </text>
    </comment>
    <comment ref="K101" authorId="0" shapeId="0">
      <text>
        <t>Interest (schedule)
FORMULA: =K98*K12
WHY: Opening debt × interest%; same economics as IS interest, from the debt schedule.</t>
      </text>
    </comment>
    <comment ref="L101" authorId="0" shapeId="0">
      <text>
        <t>Interest (schedule)
FORMULA: =L98*L12
WHY: Opening debt × interest%; same economics as IS interest, from the debt schedule.</t>
      </text>
    </comment>
    <comment ref="M101" authorId="0" shapeId="0">
      <text>
        <t>Interest (schedule)
FORMULA: =M98*M12
WHY: Opening debt × interest%; same economics as IS interest, from the debt schedule.</t>
      </text>
    </comment>
    <comment ref="N101" authorId="0" shapeId="0">
      <text>
        <t>Interest (schedule)
FORMULA: =N98*N12
WHY: Opening debt × interest%; same economics as IS interest, from the debt schedule.</t>
      </text>
    </comment>
  </commentList>
</comments>
</file>

<file path=xl/comments/comment2.xml><?xml version="1.0" encoding="utf-8"?>
<comments xmlns="http://schemas.openxmlformats.org/spreadsheetml/2006/main">
  <authors>
    <author>vengeanceaiUSCMODEL4</author>
  </authors>
  <commentList>
    <comment ref="D6" authorId="0" shapeId="0">
      <text>
        <t>WACC
FORMULA: =R15
WHY: Pulls the live CAPM WACC from the baked CAPM block so discounting uses researched Ke/Rd.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vengeanceaiUSCMODEL4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vengeanceaiUSCMODEL4: forecast drivers are Excel equations off FY25 (COGS%=I25/I24, SGA/RD/CapEx=Rev×hist%, days=ROUND(I…)). Growth path + CAPM WACC=9.24% + Exit 25x are the only forward policy inputs. Open in Excel to recalculate. DCF live CAPM + sources in columns Q–V.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72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36" customWidth="1" min="21" max="21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>
      <c r="B4" s="137" t="inlineStr">
        <is>
          <t>vengeanceaiUSCMODEL4: hover any yellow/green assumption cell (J–N) for WHY + SOURCE commentary; col C also shows WHY | SOURCE | HOW</t>
        </is>
      </c>
      <c r="P4" s="138" t="inlineStr">
        <is>
          <t>ASSUMPTIONS EXPLAINED — every driver (also in each cell comment)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39" t="inlineStr">
        <is>
          <t>Yellow = policy judgment. Green = Excel equations linked to FY25 (col I). Hover J–N (or B label) for WHY + SOURCE. Column C is text only (not a formula).</t>
        </is>
      </c>
    </row>
    <row r="6" hidden="1" outlineLevel="1" customFormat="1" s="19">
      <c r="B6" s="18" t="inlineStr">
        <is>
          <t>Income statement</t>
        </is>
      </c>
      <c r="D6" s="47" t="n"/>
      <c r="P6" s="140" t="inlineStr">
        <is>
          <t>Row</t>
        </is>
      </c>
      <c r="Q6" s="140" t="inlineStr">
        <is>
          <t>Assumption</t>
        </is>
      </c>
      <c r="R6" s="140" t="inlineStr">
        <is>
          <t>What it is</t>
        </is>
      </c>
      <c r="S6" s="140" t="inlineStr">
        <is>
          <t>How set in model</t>
        </is>
      </c>
      <c r="T6" s="140" t="inlineStr">
        <is>
          <t>Why this choice</t>
        </is>
      </c>
      <c r="U6" s="140" t="inlineStr">
        <is>
          <t>Source</t>
        </is>
      </c>
    </row>
    <row r="7" hidden="1" outlineLevel="1" ht="36" customHeight="1">
      <c r="B7" s="19" t="inlineStr">
        <is>
          <t>Revenue Growth (% Change)</t>
        </is>
      </c>
      <c r="C7" s="141" t="inlineStr">
        <is>
          <t>WHY: Y1 ≈ company FY2026 revenue guidance (~$2.53B / FY25 $1.991B − 1 ≈ 27%). Then fade toward terminal g=3% (not straight-lined). This is the main forward-lookin… | SOURCE: FICO FY2026 guidance + fade policy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42" t="n">
        <v>0.27</v>
      </c>
      <c r="K7" s="142" t="n">
        <v>0.16</v>
      </c>
      <c r="L7" s="142" t="n">
        <v>0.13</v>
      </c>
      <c r="M7" s="142" t="n">
        <v>0.1</v>
      </c>
      <c r="N7" s="142" t="n">
        <v>0.07000000000000001</v>
      </c>
      <c r="P7" s="143" t="n">
        <v>7</v>
      </c>
      <c r="Q7" s="143" t="inlineStr">
        <is>
          <t>Revenue Growth</t>
        </is>
      </c>
      <c r="R7" s="144" t="inlineStr">
        <is>
          <t>Year-over-year % increase in revenue for each forecast year.</t>
        </is>
      </c>
      <c r="S7" s="144" t="inlineStr">
        <is>
          <t>Yellow POLICY input: 27% / 16% / 13% / 10% / 7%.</t>
        </is>
      </c>
      <c r="T7" s="144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44" t="inlineStr">
        <is>
          <t>FICO FY2026 guidance + fade policy</t>
        </is>
      </c>
    </row>
    <row r="8" hidden="1" outlineLevel="1" ht="36" customHeight="1">
      <c r="B8" s="19" t="inlineStr">
        <is>
          <t>Cost of Goods Sold (% of Revenue)</t>
        </is>
      </c>
      <c r="C8" s="141" t="inlineStr">
        <is>
          <t>WHY: Locks in latest reported cost structure (~17.8%). Scores mix is high-margin; holding FY25 is conservative vs further mix shift. | SOURCE: SEC 10-K FY2025 — Cost of revenues / Total revenues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45">
        <f>$I$25/$I$24</f>
        <v/>
      </c>
      <c r="K8" s="145">
        <f>$I$25/$I$24</f>
        <v/>
      </c>
      <c r="L8" s="145">
        <f>$I$25/$I$24</f>
        <v/>
      </c>
      <c r="M8" s="145">
        <f>$I$25/$I$24</f>
        <v/>
      </c>
      <c r="N8" s="145">
        <f>$I$25/$I$24</f>
        <v/>
      </c>
      <c r="P8" s="143" t="n">
        <v>8</v>
      </c>
      <c r="Q8" s="143" t="inlineStr">
        <is>
          <t>COGS % of Revenue</t>
        </is>
      </c>
      <c r="R8" s="144" t="inlineStr">
        <is>
          <t>Cost of revenues as a % of sales (gross margin = 1 − this).</t>
        </is>
      </c>
      <c r="S8" s="144" t="inlineStr">
        <is>
          <t>Excel equation: I25/I24 (FY25 COGS ÷ FY25 Revenue) held flat.</t>
        </is>
      </c>
      <c r="T8" s="144" t="inlineStr">
        <is>
          <t>Locks in latest reported cost structure (~17.8%). Scores mix is high-margin; holding FY25 is conservative vs further mix shift.</t>
        </is>
      </c>
      <c r="U8" s="144" t="inlineStr">
        <is>
          <t>SEC 10-K FY2025 — Cost of revenues / Total revenues</t>
        </is>
      </c>
    </row>
    <row r="9" hidden="1" outlineLevel="1" ht="36" customHeight="1">
      <c r="B9" s="19" t="inlineStr">
        <is>
          <t>SGA % of Revenue (equation)</t>
        </is>
      </c>
      <c r="C9" s="141" t="inlineStr">
        <is>
          <t>WHY: Normalize one-time restructuring ($10.9M). Mild efficiency grind reflects operating leverage as revenue scales; floored at 5%. | SOURCE: SEC 10-K FY2025 — SG&amp;A + restructuring note | HOW: Equation: (I28 − 10,922)/I24 − 50bps × year. Strips FY25 restructuring; then −0.5% of sales each year.</t>
        </is>
      </c>
      <c r="D9" s="47" t="n"/>
      <c r="E9" s="146">
        <f>E28</f>
        <v/>
      </c>
      <c r="F9" s="146">
        <f>F28</f>
        <v/>
      </c>
      <c r="G9" s="146">
        <f>G28</f>
        <v/>
      </c>
      <c r="H9" s="146">
        <f>H28</f>
        <v/>
      </c>
      <c r="I9" s="146">
        <f>I28</f>
        <v/>
      </c>
      <c r="J9" s="147">
        <f>MAX(0.05,(($I$28-10922.0)/$I$24)-0.005)</f>
        <v/>
      </c>
      <c r="K9" s="147">
        <f>MAX(0.05,(($I$28-10922.0)/$I$24)-0.01)</f>
        <v/>
      </c>
      <c r="L9" s="147">
        <f>MAX(0.05,(($I$28-10922.0)/$I$24)-0.015)</f>
        <v/>
      </c>
      <c r="M9" s="147">
        <f>MAX(0.05,(($I$28-10922.0)/$I$24)-0.02)</f>
        <v/>
      </c>
      <c r="N9" s="147">
        <f>MAX(0.05,(($I$28-10922.0)/$I$24)-0.025)</f>
        <v/>
      </c>
      <c r="P9" s="143" t="n">
        <v>9</v>
      </c>
      <c r="Q9" s="143" t="inlineStr">
        <is>
          <t>SGA % of Revenue</t>
        </is>
      </c>
      <c r="R9" s="144" t="inlineStr">
        <is>
          <t>Operating opex (Salaries &amp; Benefits / SG&amp;A) as % of sales.</t>
        </is>
      </c>
      <c r="S9" s="144" t="inlineStr">
        <is>
          <t>Equation: (I28 − 10,922)/I24 − 50bps × year. Strips FY25 restructuring; then −0.5% of sales each year.</t>
        </is>
      </c>
      <c r="T9" s="144" t="inlineStr">
        <is>
          <t>Normalize one-time restructuring ($10.9M). Mild efficiency grind reflects operating leverage as revenue scales; floored at 5%.</t>
        </is>
      </c>
      <c r="U9" s="144" t="inlineStr">
        <is>
          <t>SEC 10-K FY2025 — SG&amp;A + restructuring note</t>
        </is>
      </c>
    </row>
    <row r="10" hidden="1" outlineLevel="1" ht="36" customHeight="1">
      <c r="B10" s="19" t="inlineStr">
        <is>
          <t>R&amp;D % of Revenue (equation)</t>
        </is>
      </c>
      <c r="C10" s="141" t="inlineStr">
        <is>
          <t>WHY: FICO reinvests steadily in analytics/software. Flat % grows dollars with revenue. | SOURCE: SEC 10-K FY2025 — Research and development | HOW: Excel equation: I29/I24 held flat (~9.46%).</t>
        </is>
      </c>
      <c r="D10" s="47" t="n"/>
      <c r="E10" s="146">
        <f>E29</f>
        <v/>
      </c>
      <c r="F10" s="146">
        <f>F29</f>
        <v/>
      </c>
      <c r="G10" s="146">
        <f>G29</f>
        <v/>
      </c>
      <c r="H10" s="146">
        <f>H29</f>
        <v/>
      </c>
      <c r="I10" s="146">
        <f>I29</f>
        <v/>
      </c>
      <c r="J10" s="147">
        <f>$I$29/$I$24</f>
        <v/>
      </c>
      <c r="K10" s="147">
        <f>$I$29/$I$24</f>
        <v/>
      </c>
      <c r="L10" s="147">
        <f>$I$29/$I$24</f>
        <v/>
      </c>
      <c r="M10" s="147">
        <f>$I$29/$I$24</f>
        <v/>
      </c>
      <c r="N10" s="147">
        <f>$I$29/$I$24</f>
        <v/>
      </c>
      <c r="P10" s="143" t="n">
        <v>10</v>
      </c>
      <c r="Q10" s="143" t="inlineStr">
        <is>
          <t>R&amp;D % of Revenue</t>
        </is>
      </c>
      <c r="R10" s="144" t="inlineStr">
        <is>
          <t>Research &amp; development (template label may say Rent and Overhead) as % of sales.</t>
        </is>
      </c>
      <c r="S10" s="144" t="inlineStr">
        <is>
          <t>Excel equation: I29/I24 held flat (~9.46%).</t>
        </is>
      </c>
      <c r="T10" s="144" t="inlineStr">
        <is>
          <t>FICO reinvests steadily in analytics/software. Flat % grows dollars with revenue.</t>
        </is>
      </c>
      <c r="U10" s="144" t="inlineStr">
        <is>
          <t>SEC 10-K FY2025 — Research and development</t>
        </is>
      </c>
    </row>
    <row r="11" hidden="1" outlineLevel="1" ht="36" customHeight="1">
      <c r="B11" s="19" t="inlineStr">
        <is>
          <t>Depreciation &amp; Amortization (% of PP&amp;E Open Bal)</t>
        </is>
      </c>
      <c r="C11" s="141" t="inlineStr">
        <is>
          <t>WHY: Ties DA to the asset base the schedule rolls forward (opens at I44). | SOURCE: SEC 10-K FY2025 — D&amp;A and PP&amp;E | HOW: Excel equation: I30/I44 (FY25 DA ÷ FY25 PPE). Forecast DA = OpenPPE × this %.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45">
        <f>IF($I$44=0,0.25,$I$30/$I$44)</f>
        <v/>
      </c>
      <c r="K11" s="145">
        <f>IF($I$44=0,0.25,$I$30/$I$44)</f>
        <v/>
      </c>
      <c r="L11" s="145">
        <f>IF($I$44=0,0.25,$I$30/$I$44)</f>
        <v/>
      </c>
      <c r="M11" s="145">
        <f>IF($I$44=0,0.25,$I$30/$I$44)</f>
        <v/>
      </c>
      <c r="N11" s="145">
        <f>IF($I$44=0,0.25,$I$30/$I$44)</f>
        <v/>
      </c>
      <c r="P11" s="143" t="n">
        <v>11</v>
      </c>
      <c r="Q11" s="143" t="inlineStr">
        <is>
          <t>D&amp;A % of PP&amp;E Open</t>
        </is>
      </c>
      <c r="R11" s="144" t="inlineStr">
        <is>
          <t>Depreciation &amp; amortization as % of opening net PP&amp;E.</t>
        </is>
      </c>
      <c r="S11" s="144" t="inlineStr">
        <is>
          <t>Excel equation: I30/I44 (FY25 DA ÷ FY25 PPE). Forecast DA = OpenPPE × this %.</t>
        </is>
      </c>
      <c r="T11" s="144" t="inlineStr">
        <is>
          <t>Ties DA to the asset base the schedule rolls forward (opens at I44).</t>
        </is>
      </c>
      <c r="U11" s="144" t="inlineStr">
        <is>
          <t>SEC 10-K FY2025 — D&amp;A and PP&amp;E</t>
        </is>
      </c>
    </row>
    <row r="12" hidden="1" outlineLevel="1" ht="36" customHeight="1">
      <c r="B12" s="19" t="inlineStr">
        <is>
          <t>Interest (% of Debt Open Bal)</t>
        </is>
      </c>
      <c r="C12" s="141" t="inlineStr">
        <is>
          <t>WHY: Approximates average coupon / cost of debt on the book. Debt held flat (issuance = 0), so interest stays linked to that stock. | SOURCE: SEC 10-K FY2025 — Interest expense, net + debt footnote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45">
        <f>IF($I$98=0,0.05,$I$101/$I$98)</f>
        <v/>
      </c>
      <c r="K12" s="145">
        <f>IF($I$98=0,0.05,$I$101/$I$98)</f>
        <v/>
      </c>
      <c r="L12" s="145">
        <f>IF($I$98=0,0.05,$I$101/$I$98)</f>
        <v/>
      </c>
      <c r="M12" s="145">
        <f>IF($I$98=0,0.05,$I$101/$I$98)</f>
        <v/>
      </c>
      <c r="N12" s="145">
        <f>IF($I$98=0,0.05,$I$101/$I$98)</f>
        <v/>
      </c>
      <c r="P12" s="143" t="n">
        <v>12</v>
      </c>
      <c r="Q12" s="143" t="inlineStr">
        <is>
          <t>Interest % of Debt Open</t>
        </is>
      </c>
      <c r="R12" s="144" t="inlineStr">
        <is>
          <t>Interest expense as % of opening debt balance.</t>
        </is>
      </c>
      <c r="S12" s="144" t="inlineStr">
        <is>
          <t>Excel equation: I101/I98 (FY25 interest ÷ FY25 opening debt in schedule).</t>
        </is>
      </c>
      <c r="T12" s="144" t="inlineStr">
        <is>
          <t>Approximates average coupon / cost of debt on the book. Debt held flat (issuance = 0), so interest stays linked to that stock.</t>
        </is>
      </c>
      <c r="U12" s="144" t="inlineStr">
        <is>
          <t>SEC 10-K FY2025 — Interest expense, net + debt footnote</t>
        </is>
      </c>
    </row>
    <row r="13" hidden="1" outlineLevel="1" ht="36" customHeight="1">
      <c r="B13" s="19" t="inlineStr">
        <is>
          <t>Tax Rate (% of Earnings Before Tax)</t>
        </is>
      </c>
      <c r="C13" s="141" t="inlineStr">
        <is>
          <t>WHY: Uses reported effective rate (~19% on template EBT; ~18.8% on 10-K EBT). UFCF in DCF also uses unlevered EBIT × t. | SOURCE: SEC 10-K FY2025 — Provision for income taxes / Income before taxes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45">
        <f>IF($I$33=0,0.21,$I$35/$I$33)</f>
        <v/>
      </c>
      <c r="K13" s="145">
        <f>IF($I$33=0,0.21,$I$35/$I$33)</f>
        <v/>
      </c>
      <c r="L13" s="145">
        <f>IF($I$33=0,0.21,$I$35/$I$33)</f>
        <v/>
      </c>
      <c r="M13" s="145">
        <f>IF($I$33=0,0.21,$I$35/$I$33)</f>
        <v/>
      </c>
      <c r="N13" s="145">
        <f>IF($I$33=0,0.21,$I$35/$I$33)</f>
        <v/>
      </c>
      <c r="P13" s="143" t="n">
        <v>13</v>
      </c>
      <c r="Q13" s="143" t="inlineStr">
        <is>
          <t>Tax Rate (% of EBT)</t>
        </is>
      </c>
      <c r="R13" s="144" t="inlineStr">
        <is>
          <t>Effective book tax rate applied to forecast EBT.</t>
        </is>
      </c>
      <c r="S13" s="144" t="inlineStr">
        <is>
          <t>Excel equation: I35/I33 (FY25 tax ÷ simplified FY25 EBT in this template).</t>
        </is>
      </c>
      <c r="T13" s="144" t="inlineStr">
        <is>
          <t>Uses reported effective rate (~19% on template EBT; ~18.8% on 10-K EBT). UFCF in DCF also uses unlevered EBIT × t.</t>
        </is>
      </c>
      <c r="U13" s="144" t="inlineStr">
        <is>
          <t>SEC 10-K FY2025 — Provision for income taxes / Income before taxes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36" customHeight="1">
      <c r="B15" s="19" t="inlineStr">
        <is>
          <t>Accounts Receivable (Days)</t>
        </is>
      </c>
      <c r="C15" s="148" t="inlineStr">
        <is>
          <t>WHY: Operating working-capital view: contract liabilities (deferred revenue) reduce net AR so ΔNWC is not overstated. | SOURCE: SEC 10-K — AR; DeferredRevenueCurrent (XBRL) | HOW: Excel equation: ROUND(I42/I24×365, 0). I42 is net AR (AR − deferred).</t>
        </is>
      </c>
      <c r="D15" s="32" t="n"/>
      <c r="E15" s="146">
        <f>E42/E24*365</f>
        <v/>
      </c>
      <c r="F15" s="146">
        <f>F42/F24*365</f>
        <v/>
      </c>
      <c r="G15" s="146">
        <f>G42/G24*365</f>
        <v/>
      </c>
      <c r="H15" s="146">
        <f>H42/H24*365</f>
        <v/>
      </c>
      <c r="I15" s="146">
        <f>I42/I24*365</f>
        <v/>
      </c>
      <c r="J15" s="149">
        <f>ROUND($I$42/$I$24*365,0)</f>
        <v/>
      </c>
      <c r="K15" s="149">
        <f>ROUND($I$42/$I$24*365,0)</f>
        <v/>
      </c>
      <c r="L15" s="149">
        <f>ROUND($I$42/$I$24*365,0)</f>
        <v/>
      </c>
      <c r="M15" s="149">
        <f>ROUND($I$42/$I$24*365,0)</f>
        <v/>
      </c>
      <c r="N15" s="149">
        <f>ROUND($I$42/$I$24*365,0)</f>
        <v/>
      </c>
      <c r="P15" s="143" t="n">
        <v>15</v>
      </c>
      <c r="Q15" s="143" t="inlineStr">
        <is>
          <t>Accounts Receivable (Days)</t>
        </is>
      </c>
      <c r="R15" s="144" t="inlineStr">
        <is>
          <t>AR days sales outstanding used to project AR = Rev × days/365.</t>
        </is>
      </c>
      <c r="S15" s="144" t="inlineStr">
        <is>
          <t>Excel equation: ROUND(I42/I24×365, 0). I42 is net AR (AR − deferred).</t>
        </is>
      </c>
      <c r="T15" s="144" t="inlineStr">
        <is>
          <t>Operating working-capital view: contract liabilities (deferred revenue) reduce net AR so ΔNWC is not overstated.</t>
        </is>
      </c>
      <c r="U15" s="144" t="inlineStr">
        <is>
          <t>SEC 10-K — AR; DeferredRevenueCurrent (XBRL)</t>
        </is>
      </c>
    </row>
    <row r="16" hidden="1" outlineLevel="1" ht="36" customHeight="1">
      <c r="B16" s="19" t="inlineStr">
        <is>
          <t>Inventory (Days)</t>
        </is>
      </c>
      <c r="C16" s="148" t="inlineStr">
        <is>
          <t>WHY: No inventory cycle to fund. | SOURCE: SEC 10-K — Inventory ≈ $0 | HOW: Hard zero — FICO is software / scores; inventory is immaterial.</t>
        </is>
      </c>
      <c r="D16" s="32" t="n"/>
      <c r="E16" s="146">
        <f>E43/E25*365</f>
        <v/>
      </c>
      <c r="F16" s="146">
        <f>F43/F25*365</f>
        <v/>
      </c>
      <c r="G16" s="146">
        <f>G43/G25*365</f>
        <v/>
      </c>
      <c r="H16" s="146">
        <f>H43/H25*365</f>
        <v/>
      </c>
      <c r="I16" s="146">
        <f>I43/I25*365</f>
        <v/>
      </c>
      <c r="J16" s="150" t="n">
        <v>0</v>
      </c>
      <c r="K16" s="150" t="n">
        <v>0</v>
      </c>
      <c r="L16" s="150" t="n">
        <v>0</v>
      </c>
      <c r="M16" s="150" t="n">
        <v>0</v>
      </c>
      <c r="N16" s="150" t="n">
        <v>0</v>
      </c>
      <c r="P16" s="143" t="n">
        <v>16</v>
      </c>
      <c r="Q16" s="143" t="inlineStr">
        <is>
          <t>Inventory (Days)</t>
        </is>
      </c>
      <c r="R16" s="144" t="inlineStr">
        <is>
          <t>Inventory days (Inv = COGS × days/365).</t>
        </is>
      </c>
      <c r="S16" s="144" t="inlineStr">
        <is>
          <t>Hard zero — FICO is software / scores; inventory is immaterial.</t>
        </is>
      </c>
      <c r="T16" s="144" t="inlineStr">
        <is>
          <t>No inventory cycle to fund.</t>
        </is>
      </c>
      <c r="U16" s="144" t="inlineStr">
        <is>
          <t>SEC 10-K — Inventory ≈ $0</t>
        </is>
      </c>
    </row>
    <row r="17" hidden="1" outlineLevel="1" ht="36" customHeight="1">
      <c r="B17" s="19" t="inlineStr">
        <is>
          <t>Accounts Payable (Days)</t>
        </is>
      </c>
      <c r="C17" s="148" t="inlineStr">
        <is>
          <t>WHY: Payable timing offsets AR in operating NWC. | SOURCE: SEC 10-K FY2025 — Accounts payable | HOW: Excel equation: ROUND(I48/I25×365, 0) from FY25.</t>
        </is>
      </c>
      <c r="D17" s="32" t="n"/>
      <c r="E17" s="146">
        <f>E48/E25*365</f>
        <v/>
      </c>
      <c r="F17" s="146">
        <f>F48/F25*365</f>
        <v/>
      </c>
      <c r="G17" s="146">
        <f>G48/G25*365</f>
        <v/>
      </c>
      <c r="H17" s="146">
        <f>H48/H25*365</f>
        <v/>
      </c>
      <c r="I17" s="146">
        <f>I48/I25*365</f>
        <v/>
      </c>
      <c r="J17" s="149">
        <f>IF($I$25=0,0,ROUND($I$48/$I$25*365,0))</f>
        <v/>
      </c>
      <c r="K17" s="149">
        <f>IF($I$25=0,0,ROUND($I$48/$I$25*365,0))</f>
        <v/>
      </c>
      <c r="L17" s="149">
        <f>IF($I$25=0,0,ROUND($I$48/$I$25*365,0))</f>
        <v/>
      </c>
      <c r="M17" s="149">
        <f>IF($I$25=0,0,ROUND($I$48/$I$25*365,0))</f>
        <v/>
      </c>
      <c r="N17" s="149">
        <f>IF($I$25=0,0,ROUND($I$48/$I$25*365,0))</f>
        <v/>
      </c>
      <c r="P17" s="143" t="n">
        <v>17</v>
      </c>
      <c r="Q17" s="143" t="inlineStr">
        <is>
          <t>Accounts Payable (Days)</t>
        </is>
      </c>
      <c r="R17" s="144" t="inlineStr">
        <is>
          <t>AP days used to project AP = COGS × days/365.</t>
        </is>
      </c>
      <c r="S17" s="144" t="inlineStr">
        <is>
          <t>Excel equation: ROUND(I48/I25×365, 0) from FY25.</t>
        </is>
      </c>
      <c r="T17" s="144" t="inlineStr">
        <is>
          <t>Payable timing offsets AR in operating NWC.</t>
        </is>
      </c>
      <c r="U17" s="144" t="inlineStr">
        <is>
          <t>SEC 10-K FY2025 — Accounts payable</t>
        </is>
      </c>
    </row>
    <row r="18" hidden="1" outlineLevel="1" ht="36" customHeight="1">
      <c r="B18" s="19" t="inlineStr">
        <is>
          <t>CapEx % of Revenue (fade equation)</t>
        </is>
      </c>
      <c r="C18" s="148" t="inlineStr">
        <is>
          <t>WHY: FY25 CapEx was elevated by capitalized internal-use software. Fading avoids locking a peak reinvestment rate forever. | SOURCE: SEC 10-K — PP&amp;E purchases + capitalized software | HOW: Equation: fade from I68/I24 (FY25 CapEx/Sales ~1.98%) toward 1.0% steady. Weights 85%→65%→45%→30%→0% on the peak.</t>
        </is>
      </c>
      <c r="E18" s="146">
        <f>E68</f>
        <v/>
      </c>
      <c r="F18" s="146">
        <f>F68</f>
        <v/>
      </c>
      <c r="G18" s="146">
        <f>G68</f>
        <v/>
      </c>
      <c r="H18" s="146">
        <f>H68</f>
        <v/>
      </c>
      <c r="I18" s="146">
        <f>I68</f>
        <v/>
      </c>
      <c r="J18" s="147">
        <f>($I$68/$I$24)*0.85+0.01*(1-0.85)</f>
        <v/>
      </c>
      <c r="K18" s="147">
        <f>($I$68/$I$24)*0.65+0.01*(1-0.65)</f>
        <v/>
      </c>
      <c r="L18" s="147">
        <f>($I$68/$I$24)*0.45+0.01*(1-0.45)</f>
        <v/>
      </c>
      <c r="M18" s="147">
        <f>($I$68/$I$24)*0.3+0.01*(1-0.3)</f>
        <v/>
      </c>
      <c r="N18" s="147">
        <f>($I$68/$I$24)*0.0+0.01*(1-0.0)</f>
        <v/>
      </c>
      <c r="P18" s="143" t="n">
        <v>18</v>
      </c>
      <c r="Q18" s="143" t="inlineStr">
        <is>
          <t>CapEx % of Revenue</t>
        </is>
      </c>
      <c r="R18" s="144" t="inlineStr">
        <is>
          <t>Capital investment (PPE + capitalized software) as % of sales.</t>
        </is>
      </c>
      <c r="S18" s="144" t="inlineStr">
        <is>
          <t>Equation: fade from I68/I24 (FY25 CapEx/Sales ~1.98%) toward 1.0% steady. Weights 85%→65%→45%→30%→0% on the peak.</t>
        </is>
      </c>
      <c r="T18" s="144" t="inlineStr">
        <is>
          <t>FY25 CapEx was elevated by capitalized internal-use software. Fading avoids locking a peak reinvestment rate forever.</t>
        </is>
      </c>
      <c r="U18" s="144" t="inlineStr">
        <is>
          <t>SEC 10-K — PP&amp;E purchases + capitalized software</t>
        </is>
      </c>
    </row>
    <row r="19" hidden="1" outlineLevel="1" ht="36" customHeight="1">
      <c r="B19" s="19" t="inlineStr">
        <is>
          <t>Debt Issuance (Repayment) ($000's)</t>
        </is>
      </c>
      <c r="C19" s="148" t="inlineStr">
        <is>
          <t>WHY: Hold debt stock flat at FY25 level for the explicit period; interest follows. Net debt for DCF equity bridge uses the later 10-Q amount separately. | SOURCE: Modeling choice (financing not in FCFF) | HOW: POLICY input = 0 every year.</t>
        </is>
      </c>
      <c r="E19" s="146">
        <f>E99</f>
        <v/>
      </c>
      <c r="F19" s="146">
        <f>F99</f>
        <v/>
      </c>
      <c r="G19" s="146">
        <f>G99</f>
        <v/>
      </c>
      <c r="H19" s="146">
        <f>H99</f>
        <v/>
      </c>
      <c r="I19" s="146">
        <f>I99</f>
        <v/>
      </c>
      <c r="J19" s="151" t="n">
        <v>0</v>
      </c>
      <c r="K19" s="151" t="n">
        <v>0</v>
      </c>
      <c r="L19" s="151" t="n">
        <v>0</v>
      </c>
      <c r="M19" s="151" t="n">
        <v>0</v>
      </c>
      <c r="N19" s="151" t="n">
        <v>0</v>
      </c>
      <c r="P19" s="143" t="n">
        <v>19</v>
      </c>
      <c r="Q19" s="143" t="inlineStr">
        <is>
          <t>Debt Issuance (Repayment)</t>
        </is>
      </c>
      <c r="R19" s="144" t="inlineStr">
        <is>
          <t>New borrowing (+) or repayment (−) in the forecast.</t>
        </is>
      </c>
      <c r="S19" s="144" t="inlineStr">
        <is>
          <t>POLICY input = 0 every year.</t>
        </is>
      </c>
      <c r="T19" s="144" t="inlineStr">
        <is>
          <t>Hold debt stock flat at FY25 level for the explicit period; interest follows. Net debt for DCF equity bridge uses the later 10-Q amount separately.</t>
        </is>
      </c>
      <c r="U19" s="144" t="inlineStr">
        <is>
          <t>Modeling choice (financing not in FCFF)</t>
        </is>
      </c>
    </row>
    <row r="20" hidden="1" outlineLevel="1" ht="36" customHeight="1">
      <c r="B20" s="19" t="inlineStr">
        <is>
          <t>Equity Issued (Repaid) ($000's)</t>
        </is>
      </c>
      <c r="C20" s="148" t="inlineStr">
        <is>
          <t>WHY: Buybacks are real historically but are financing — excluded from FCFF. Share count for $/share is the spot shares outstanding assumption. | SOURCE: Modeling choice (financing not in FCFF) | HOW: POLICY input = 0 every year.</t>
        </is>
      </c>
      <c r="E20" s="146">
        <f>E73</f>
        <v/>
      </c>
      <c r="F20" s="146">
        <f>F73</f>
        <v/>
      </c>
      <c r="G20" s="146">
        <f>G73</f>
        <v/>
      </c>
      <c r="H20" s="146">
        <f>H73</f>
        <v/>
      </c>
      <c r="I20" s="146">
        <f>I73</f>
        <v/>
      </c>
      <c r="J20" s="151" t="n">
        <v>0</v>
      </c>
      <c r="K20" s="151" t="n">
        <v>0</v>
      </c>
      <c r="L20" s="151" t="n">
        <v>0</v>
      </c>
      <c r="M20" s="151" t="n">
        <v>0</v>
      </c>
      <c r="N20" s="151" t="n">
        <v>0</v>
      </c>
      <c r="P20" s="143" t="n">
        <v>20</v>
      </c>
      <c r="Q20" s="143" t="inlineStr">
        <is>
          <t>Equity Issued (Repaid)</t>
        </is>
      </c>
      <c r="R20" s="144" t="inlineStr">
        <is>
          <t>New equity issued (+) or buybacks (−) in the forecast BS/CF.</t>
        </is>
      </c>
      <c r="S20" s="144" t="inlineStr">
        <is>
          <t>POLICY input = 0 every year.</t>
        </is>
      </c>
      <c r="T20" s="144" t="inlineStr">
        <is>
          <t>Buybacks are real historically but are financing — excluded from FCFF. Share count for $/share is the spot shares outstanding assumption.</t>
        </is>
      </c>
      <c r="U20" s="144" t="inlineStr">
        <is>
          <t>Modeling choice (financing not in FCFF)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52" t="inlineStr">
        <is>
          <t>eqn: PriorRev × (1 + growth)</t>
        </is>
      </c>
      <c r="D24" s="46" t="n"/>
      <c r="E24" s="153" t="n">
        <v>1316536</v>
      </c>
      <c r="F24" s="153" t="n">
        <v>1377270</v>
      </c>
      <c r="G24" s="153" t="n">
        <v>1513557</v>
      </c>
      <c r="H24" s="153" t="n">
        <v>1717526</v>
      </c>
      <c r="I24" s="153" t="n">
        <v>1990869</v>
      </c>
      <c r="J24" s="149">
        <f>I24*(1+J7)</f>
        <v/>
      </c>
      <c r="K24" s="149">
        <f>J24*(1+K7)</f>
        <v/>
      </c>
      <c r="L24" s="149">
        <f>K24*(1+L7)</f>
        <v/>
      </c>
      <c r="M24" s="149">
        <f>L24*(1+M7)</f>
        <v/>
      </c>
      <c r="N24" s="149">
        <f>M24*(1+N7)</f>
        <v/>
      </c>
    </row>
    <row r="25" hidden="1" outlineLevel="1">
      <c r="B25" s="19" t="inlineStr">
        <is>
          <t>Cost of Goods Sold (COGS)</t>
        </is>
      </c>
      <c r="C25" s="152" t="inlineStr">
        <is>
          <t>eqn: Rev × COGS%</t>
        </is>
      </c>
      <c r="D25" s="47" t="n"/>
      <c r="E25" s="153" t="n">
        <v>332462</v>
      </c>
      <c r="F25" s="153" t="n">
        <v>302174</v>
      </c>
      <c r="G25" s="153" t="n">
        <v>311053</v>
      </c>
      <c r="H25" s="153" t="n">
        <v>348206</v>
      </c>
      <c r="I25" s="153" t="n">
        <v>353722</v>
      </c>
      <c r="J25" s="149">
        <f>J24*J8</f>
        <v/>
      </c>
      <c r="K25" s="149">
        <f>K24*K8</f>
        <v/>
      </c>
      <c r="L25" s="149">
        <f>L24*L8</f>
        <v/>
      </c>
      <c r="M25" s="149">
        <f>M24*M8</f>
        <v/>
      </c>
      <c r="N25" s="149">
        <f>N24*N8</f>
        <v/>
      </c>
    </row>
    <row r="26" hidden="1" outlineLevel="1">
      <c r="B26" s="4" t="inlineStr">
        <is>
          <t>Gross Profit</t>
        </is>
      </c>
      <c r="C26" s="154" t="inlineStr">
        <is>
          <t>eqn: Rev − COGS</t>
        </is>
      </c>
      <c r="D26" s="22" t="n"/>
      <c r="E26" s="155">
        <f>E24-E25</f>
        <v/>
      </c>
      <c r="F26" s="155">
        <f>F24-F25</f>
        <v/>
      </c>
      <c r="G26" s="155">
        <f>G24-G25</f>
        <v/>
      </c>
      <c r="H26" s="155">
        <f>H24-H25</f>
        <v/>
      </c>
      <c r="I26" s="155">
        <f>I24-I25</f>
        <v/>
      </c>
      <c r="J26" s="149">
        <f>J24-J25</f>
        <v/>
      </c>
      <c r="K26" s="149">
        <f>K24-K25</f>
        <v/>
      </c>
      <c r="L26" s="149">
        <f>L24-L25</f>
        <v/>
      </c>
      <c r="M26" s="149">
        <f>M24-M25</f>
        <v/>
      </c>
      <c r="N26" s="149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C28" s="156" t="inlineStr">
        <is>
          <t>eqn: Rev × SGA%</t>
        </is>
      </c>
      <c r="E28" s="153" t="n">
        <v>396281</v>
      </c>
      <c r="F28" s="153" t="n">
        <v>383863</v>
      </c>
      <c r="G28" s="153" t="n">
        <v>400565</v>
      </c>
      <c r="H28" s="153" t="n">
        <v>462834</v>
      </c>
      <c r="I28" s="153" t="n">
        <v>513028</v>
      </c>
      <c r="J28" s="149">
        <f>J24*J9</f>
        <v/>
      </c>
      <c r="K28" s="149">
        <f>K24*K9</f>
        <v/>
      </c>
      <c r="L28" s="149">
        <f>L24*L9</f>
        <v/>
      </c>
      <c r="M28" s="149">
        <f>M24*M9</f>
        <v/>
      </c>
      <c r="N28" s="149">
        <f>N24*N9</f>
        <v/>
      </c>
    </row>
    <row r="29" hidden="1" outlineLevel="1">
      <c r="B29" s="19" t="inlineStr">
        <is>
          <t>Rent and Overhead</t>
        </is>
      </c>
      <c r="C29" s="156" t="inlineStr">
        <is>
          <t>eqn: Rev × R&amp;D%</t>
        </is>
      </c>
      <c r="E29" s="153" t="n">
        <v>171231</v>
      </c>
      <c r="F29" s="153" t="n">
        <v>146758</v>
      </c>
      <c r="G29" s="153" t="n">
        <v>159950</v>
      </c>
      <c r="H29" s="153" t="n">
        <v>171940</v>
      </c>
      <c r="I29" s="153" t="n">
        <v>188347</v>
      </c>
      <c r="J29" s="149">
        <f>J24*J10</f>
        <v/>
      </c>
      <c r="K29" s="149">
        <f>K24*K10</f>
        <v/>
      </c>
      <c r="L29" s="149">
        <f>L24*L10</f>
        <v/>
      </c>
      <c r="M29" s="149">
        <f>M24*M10</f>
        <v/>
      </c>
      <c r="N29" s="149">
        <f>N24*N10</f>
        <v/>
      </c>
    </row>
    <row r="30" hidden="1" outlineLevel="1">
      <c r="B30" s="19" t="inlineStr">
        <is>
          <t>Depreciation &amp; Amortization</t>
        </is>
      </c>
      <c r="C30" s="156" t="inlineStr">
        <is>
          <t>eqn: PPE_open × DA%</t>
        </is>
      </c>
      <c r="E30" s="153" t="n">
        <v>25592</v>
      </c>
      <c r="F30" s="153" t="n">
        <v>20465</v>
      </c>
      <c r="G30" s="153" t="n">
        <v>14638</v>
      </c>
      <c r="H30" s="153" t="n">
        <v>13827</v>
      </c>
      <c r="I30" s="153" t="n">
        <v>14952</v>
      </c>
      <c r="J30" s="149">
        <f>J92*J11</f>
        <v/>
      </c>
      <c r="K30" s="149">
        <f>K92*K11</f>
        <v/>
      </c>
      <c r="L30" s="149">
        <f>L92*L11</f>
        <v/>
      </c>
      <c r="M30" s="149">
        <f>M92*M11</f>
        <v/>
      </c>
      <c r="N30" s="149">
        <f>N92*N11</f>
        <v/>
      </c>
    </row>
    <row r="31" hidden="1" outlineLevel="1">
      <c r="B31" s="2" t="inlineStr">
        <is>
          <t>Interest</t>
        </is>
      </c>
      <c r="C31" s="157" t="inlineStr">
        <is>
          <t>eqn: Debt_open × Int%</t>
        </is>
      </c>
      <c r="D31" s="24" t="n"/>
      <c r="E31" s="158" t="n">
        <v>40092</v>
      </c>
      <c r="F31" s="158" t="n">
        <v>68967</v>
      </c>
      <c r="G31" s="158" t="n">
        <v>95546</v>
      </c>
      <c r="H31" s="158" t="n">
        <v>105638</v>
      </c>
      <c r="I31" s="158" t="n">
        <v>133647</v>
      </c>
      <c r="J31" s="149">
        <f>J98*J12</f>
        <v/>
      </c>
      <c r="K31" s="149">
        <f>K98*K12</f>
        <v/>
      </c>
      <c r="L31" s="149">
        <f>L98*L12</f>
        <v/>
      </c>
      <c r="M31" s="149">
        <f>M98*M12</f>
        <v/>
      </c>
      <c r="N31" s="149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59">
        <f>SUM(E28:E31)</f>
        <v/>
      </c>
      <c r="F32" s="159">
        <f>SUM(F28:F31)</f>
        <v/>
      </c>
      <c r="G32" s="159">
        <f>SUM(G28:G31)</f>
        <v/>
      </c>
      <c r="H32" s="159">
        <f>SUM(H28:H31)</f>
        <v/>
      </c>
      <c r="I32" s="159">
        <f>SUM(I28:I31)</f>
        <v/>
      </c>
      <c r="J32" s="149">
        <f>SUM(J28:J31)</f>
        <v/>
      </c>
      <c r="K32" s="149">
        <f>SUM(K28:K31)</f>
        <v/>
      </c>
      <c r="L32" s="149">
        <f>SUM(L28:L31)</f>
        <v/>
      </c>
      <c r="M32" s="149">
        <f>SUM(M28:M31)</f>
        <v/>
      </c>
      <c r="N32" s="149">
        <f>SUM(N28:N31)</f>
        <v/>
      </c>
    </row>
    <row r="33" hidden="1" outlineLevel="1">
      <c r="B33" s="4" t="inlineStr">
        <is>
          <t>Earnings Before Tax</t>
        </is>
      </c>
      <c r="C33" s="154" t="inlineStr">
        <is>
          <t>eqn: GP − Expenses</t>
        </is>
      </c>
      <c r="D33" s="22" t="n"/>
      <c r="E33" s="155">
        <f>E26-E32</f>
        <v/>
      </c>
      <c r="F33" s="155">
        <f>F26-F32</f>
        <v/>
      </c>
      <c r="G33" s="155">
        <f>G26-G32</f>
        <v/>
      </c>
      <c r="H33" s="155">
        <f>H26-H32</f>
        <v/>
      </c>
      <c r="I33" s="155">
        <f>I26-I32</f>
        <v/>
      </c>
      <c r="J33" s="149">
        <f>J26-J32</f>
        <v/>
      </c>
      <c r="K33" s="149">
        <f>K26-K32</f>
        <v/>
      </c>
      <c r="L33" s="149">
        <f>L26-L32</f>
        <v/>
      </c>
      <c r="M33" s="149">
        <f>M26-M32</f>
        <v/>
      </c>
      <c r="N33" s="149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52" t="inlineStr">
        <is>
          <t>eqn: EBT × tax%</t>
        </is>
      </c>
      <c r="D35" s="47" t="n"/>
      <c r="E35" s="153" t="n">
        <v>81058</v>
      </c>
      <c r="F35" s="153" t="n">
        <v>97768</v>
      </c>
      <c r="G35" s="153" t="n">
        <v>124249</v>
      </c>
      <c r="H35" s="153" t="n">
        <v>129214</v>
      </c>
      <c r="I35" s="153" t="n">
        <v>150649</v>
      </c>
      <c r="J35" s="149">
        <f>J33*J13</f>
        <v/>
      </c>
      <c r="K35" s="149">
        <f>K33*K13</f>
        <v/>
      </c>
      <c r="L35" s="149">
        <f>L33*L13</f>
        <v/>
      </c>
      <c r="M35" s="149">
        <f>M33*M13</f>
        <v/>
      </c>
      <c r="N35" s="149">
        <f>N33*N13</f>
        <v/>
      </c>
    </row>
    <row r="36" hidden="1" outlineLevel="1" ht="16.2" customHeight="1" thickBot="1">
      <c r="B36" s="39" t="inlineStr">
        <is>
          <t>Net Earnings</t>
        </is>
      </c>
      <c r="C36" s="160" t="inlineStr">
        <is>
          <t>eqn: EBT × (1 − tax%)  — grows with Rev×(1+g)</t>
        </is>
      </c>
      <c r="D36" s="40" t="n"/>
      <c r="E36" s="161">
        <f>E33-E35</f>
        <v/>
      </c>
      <c r="F36" s="161">
        <f>F33-F35</f>
        <v/>
      </c>
      <c r="G36" s="161">
        <f>G33-G35</f>
        <v/>
      </c>
      <c r="H36" s="161">
        <f>H33-H35</f>
        <v/>
      </c>
      <c r="I36" s="161">
        <f>I33-I35</f>
        <v/>
      </c>
      <c r="J36" s="149">
        <f>J33*(1-J13)</f>
        <v/>
      </c>
      <c r="K36" s="149">
        <f>K33*(1-K13)</f>
        <v/>
      </c>
      <c r="L36" s="149">
        <f>L33*(1-L13)</f>
        <v/>
      </c>
      <c r="M36" s="149">
        <f>M33*(1-M13)</f>
        <v/>
      </c>
      <c r="N36" s="149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53" t="n">
        <v>195354</v>
      </c>
      <c r="F41" s="153" t="n">
        <v>133202</v>
      </c>
      <c r="G41" s="153" t="n">
        <v>136778</v>
      </c>
      <c r="H41" s="153" t="n">
        <v>150667</v>
      </c>
      <c r="I41" s="153" t="n">
        <v>134136</v>
      </c>
      <c r="J41" s="149">
        <f>J78</f>
        <v/>
      </c>
      <c r="K41" s="149">
        <f>K78</f>
        <v/>
      </c>
      <c r="L41" s="149">
        <f>L78</f>
        <v/>
      </c>
      <c r="M41" s="149">
        <f>M78</f>
        <v/>
      </c>
      <c r="N41" s="149">
        <f>N78</f>
        <v/>
      </c>
    </row>
    <row r="42" hidden="1" outlineLevel="1">
      <c r="B42" s="19" t="inlineStr">
        <is>
          <t>Accounts Receivable</t>
        </is>
      </c>
      <c r="C42" s="156" t="inlineStr">
        <is>
          <t>eqn: Rev × AR_days / 365</t>
        </is>
      </c>
      <c r="E42" s="153" t="n">
        <v>206690</v>
      </c>
      <c r="F42" s="153" t="n">
        <v>202365</v>
      </c>
      <c r="G42" s="153" t="n">
        <v>251217</v>
      </c>
      <c r="H42" s="153" t="n">
        <v>269745</v>
      </c>
      <c r="I42" s="153" t="n">
        <v>341776</v>
      </c>
      <c r="J42" s="149">
        <f>J24*J15/365</f>
        <v/>
      </c>
      <c r="K42" s="149">
        <f>K24*K15/365</f>
        <v/>
      </c>
      <c r="L42" s="149">
        <f>L24*L15/365</f>
        <v/>
      </c>
      <c r="M42" s="149">
        <f>M24*M15/365</f>
        <v/>
      </c>
      <c r="N42" s="149">
        <f>N24*N15/365</f>
        <v/>
      </c>
    </row>
    <row r="43" hidden="1" outlineLevel="1">
      <c r="B43" s="19" t="inlineStr">
        <is>
          <t>Inventory</t>
        </is>
      </c>
      <c r="E43" s="153" t="n">
        <v>0</v>
      </c>
      <c r="F43" s="153" t="n">
        <v>0</v>
      </c>
      <c r="G43" s="153" t="n">
        <v>0</v>
      </c>
      <c r="H43" s="153" t="n">
        <v>0</v>
      </c>
      <c r="I43" s="153" t="n">
        <v>0</v>
      </c>
      <c r="J43" s="149">
        <f>J25*J16/365</f>
        <v/>
      </c>
      <c r="K43" s="149">
        <f>K25*K16/365</f>
        <v/>
      </c>
      <c r="L43" s="149">
        <f>L25*L16/365</f>
        <v/>
      </c>
      <c r="M43" s="149">
        <f>M25*M16/365</f>
        <v/>
      </c>
      <c r="N43" s="149">
        <f>N25*N16/365</f>
        <v/>
      </c>
    </row>
    <row r="44" hidden="1" outlineLevel="1">
      <c r="B44" s="19" t="inlineStr">
        <is>
          <t>Property &amp; Equipment</t>
        </is>
      </c>
      <c r="E44" s="153" t="n">
        <v>27913</v>
      </c>
      <c r="F44" s="153" t="n">
        <v>17580</v>
      </c>
      <c r="G44" s="153" t="n">
        <v>10966</v>
      </c>
      <c r="H44" s="153" t="n">
        <v>38465</v>
      </c>
      <c r="I44" s="153" t="n">
        <v>67713</v>
      </c>
      <c r="J44" s="149">
        <f>J95</f>
        <v/>
      </c>
      <c r="K44" s="149">
        <f>K95</f>
        <v/>
      </c>
      <c r="L44" s="149">
        <f>L95</f>
        <v/>
      </c>
      <c r="M44" s="149">
        <f>M95</f>
        <v/>
      </c>
      <c r="N44" s="14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61">
        <f>SUM(E41:E44)</f>
        <v/>
      </c>
      <c r="F45" s="161">
        <f>SUM(F41:F44)</f>
        <v/>
      </c>
      <c r="G45" s="161">
        <f>SUM(G41:G44)</f>
        <v/>
      </c>
      <c r="H45" s="161">
        <f>SUM(H41:H44)</f>
        <v/>
      </c>
      <c r="I45" s="161">
        <f>SUM(I41:I44)</f>
        <v/>
      </c>
      <c r="J45" s="149">
        <f>SUM(J41:J44)</f>
        <v/>
      </c>
      <c r="K45" s="149">
        <f>SUM(K41:K44)</f>
        <v/>
      </c>
      <c r="L45" s="149">
        <f>SUM(L41:L44)</f>
        <v/>
      </c>
      <c r="M45" s="149">
        <f>SUM(M41:M44)</f>
        <v/>
      </c>
      <c r="N45" s="149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56" t="inlineStr">
        <is>
          <t>eqn: COGS × AP_days / 365</t>
        </is>
      </c>
      <c r="E48" s="153" t="n">
        <v>20749</v>
      </c>
      <c r="F48" s="153" t="n">
        <v>17273</v>
      </c>
      <c r="G48" s="153" t="n">
        <v>19009</v>
      </c>
      <c r="H48" s="153" t="n">
        <v>22473</v>
      </c>
      <c r="I48" s="153" t="n">
        <v>32315</v>
      </c>
      <c r="J48" s="149">
        <f>J25*J17/365</f>
        <v/>
      </c>
      <c r="K48" s="149">
        <f>K25*K17/365</f>
        <v/>
      </c>
      <c r="L48" s="149">
        <f>L25*L17/365</f>
        <v/>
      </c>
      <c r="M48" s="149">
        <f>M25*M17/365</f>
        <v/>
      </c>
      <c r="N48" s="149">
        <f>N25*N17/365</f>
        <v/>
      </c>
    </row>
    <row r="49" hidden="1" outlineLevel="1">
      <c r="B49" s="19" t="inlineStr">
        <is>
          <t>Debt</t>
        </is>
      </c>
      <c r="E49" s="153" t="n">
        <v>1259018</v>
      </c>
      <c r="F49" s="153" t="n">
        <v>1853669</v>
      </c>
      <c r="G49" s="153" t="n">
        <v>1861658</v>
      </c>
      <c r="H49" s="153" t="n">
        <v>2209021</v>
      </c>
      <c r="I49" s="153" t="n">
        <v>3055691</v>
      </c>
      <c r="J49" s="149">
        <f>J100</f>
        <v/>
      </c>
      <c r="K49" s="149">
        <f>K100</f>
        <v/>
      </c>
      <c r="L49" s="149">
        <f>L100</f>
        <v/>
      </c>
      <c r="M49" s="149">
        <f>M100</f>
        <v/>
      </c>
      <c r="N49" s="14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55">
        <f>SUM(E48:E49)</f>
        <v/>
      </c>
      <c r="F50" s="155">
        <f>SUM(F48:F49)</f>
        <v/>
      </c>
      <c r="G50" s="155">
        <f>SUM(G48:G49)</f>
        <v/>
      </c>
      <c r="H50" s="155">
        <f>SUM(H48:H49)</f>
        <v/>
      </c>
      <c r="I50" s="155">
        <f>SUM(I48:I49)</f>
        <v/>
      </c>
      <c r="J50" s="149">
        <f>SUM(J48:J49)</f>
        <v/>
      </c>
      <c r="K50" s="149">
        <f>SUM(K48:K49)</f>
        <v/>
      </c>
      <c r="L50" s="149">
        <f>SUM(L48:L49)</f>
        <v/>
      </c>
      <c r="M50" s="149">
        <f>SUM(M48:M49)</f>
        <v/>
      </c>
      <c r="N50" s="149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53" t="n">
        <v>-849810</v>
      </c>
      <c r="F52" s="153" t="n">
        <v>-1517795</v>
      </c>
      <c r="G52" s="153" t="n">
        <v>-1481706</v>
      </c>
      <c r="H52" s="153" t="n">
        <v>-1772617</v>
      </c>
      <c r="I52" s="153" t="n">
        <v>-2544381</v>
      </c>
      <c r="J52" s="149">
        <f>I52+J20</f>
        <v/>
      </c>
      <c r="K52" s="149">
        <f>J52+K20</f>
        <v/>
      </c>
      <c r="L52" s="149">
        <f>K52+L20</f>
        <v/>
      </c>
      <c r="M52" s="149">
        <f>L52+M20</f>
        <v/>
      </c>
      <c r="N52" s="149">
        <f>M52+N20</f>
        <v/>
      </c>
    </row>
    <row r="53" hidden="1" outlineLevel="1">
      <c r="B53" s="19" t="inlineStr">
        <is>
          <t>Retained Earnings</t>
        </is>
      </c>
      <c r="C53" s="156" t="inlineStr">
        <is>
          <t>eqn: PriorRE + EBT×(1−t)</t>
        </is>
      </c>
      <c r="E53" s="153" t="n">
        <v>0</v>
      </c>
      <c r="F53" s="153" t="n">
        <v>0</v>
      </c>
      <c r="G53" s="153" t="n">
        <v>0</v>
      </c>
      <c r="H53" s="153" t="n">
        <v>0</v>
      </c>
      <c r="I53" s="153" t="n">
        <v>0</v>
      </c>
      <c r="J53" s="149">
        <f>I53+J33*(1-J13)</f>
        <v/>
      </c>
      <c r="K53" s="149">
        <f>J53+K33*(1-K13)</f>
        <v/>
      </c>
      <c r="L53" s="149">
        <f>K53+L33*(1-L13)</f>
        <v/>
      </c>
      <c r="M53" s="149">
        <f>L53+M33*(1-M13)</f>
        <v/>
      </c>
      <c r="N53" s="149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62">
        <f>SUM(E52:E53)</f>
        <v/>
      </c>
      <c r="F54" s="162">
        <f>SUM(F52:F53)</f>
        <v/>
      </c>
      <c r="G54" s="162">
        <f>SUM(G52:G53)</f>
        <v/>
      </c>
      <c r="H54" s="162">
        <f>SUM(H52:H53)</f>
        <v/>
      </c>
      <c r="I54" s="162">
        <f>SUM(I52:I53)</f>
        <v/>
      </c>
      <c r="J54" s="149">
        <f>SUM(J52:J53)</f>
        <v/>
      </c>
      <c r="K54" s="149">
        <f>SUM(K52:K53)</f>
        <v/>
      </c>
      <c r="L54" s="149">
        <f>SUM(L52:L53)</f>
        <v/>
      </c>
      <c r="M54" s="149">
        <f>SUM(M52:M53)</f>
        <v/>
      </c>
      <c r="N54" s="149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61">
        <f>E50+E54</f>
        <v/>
      </c>
      <c r="F55" s="161">
        <f>F50+F54</f>
        <v/>
      </c>
      <c r="G55" s="161">
        <f>G50+G54</f>
        <v/>
      </c>
      <c r="H55" s="161">
        <f>H50+H54</f>
        <v/>
      </c>
      <c r="I55" s="161">
        <f>I50+I54</f>
        <v/>
      </c>
      <c r="J55" s="149">
        <f>J50+J54</f>
        <v/>
      </c>
      <c r="K55" s="149">
        <f>K50+K54</f>
        <v/>
      </c>
      <c r="L55" s="149">
        <f>L50+L54</f>
        <v/>
      </c>
      <c r="M55" s="149">
        <f>M50+M54</f>
        <v/>
      </c>
      <c r="N55" s="149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63">
        <f>E55-E45</f>
        <v/>
      </c>
      <c r="F57" s="163">
        <f>F55-F45</f>
        <v/>
      </c>
      <c r="G57" s="163">
        <f>G55-G45</f>
        <v/>
      </c>
      <c r="H57" s="163">
        <f>H55-H45</f>
        <v/>
      </c>
      <c r="I57" s="163">
        <f>I55-I45</f>
        <v/>
      </c>
      <c r="J57" s="149">
        <f>J55-J45</f>
        <v/>
      </c>
      <c r="K57" s="149">
        <f>K55-K45</f>
        <v/>
      </c>
      <c r="L57" s="149">
        <f>L55-L45</f>
        <v/>
      </c>
      <c r="M57" s="149">
        <f>M55-M45</f>
        <v/>
      </c>
      <c r="N57" s="14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56" t="inlineStr">
        <is>
          <t>eqn: EBT × (1 − tax%)  — full eqn, not pointer to IS</t>
        </is>
      </c>
      <c r="E62" s="164">
        <f>E36</f>
        <v/>
      </c>
      <c r="F62" s="164">
        <f>F36</f>
        <v/>
      </c>
      <c r="G62" s="164">
        <f>G36</f>
        <v/>
      </c>
      <c r="H62" s="164">
        <f>H36</f>
        <v/>
      </c>
      <c r="I62" s="164">
        <f>I36</f>
        <v/>
      </c>
      <c r="J62" s="149">
        <f>J33*(1-J13)</f>
        <v/>
      </c>
      <c r="K62" s="149">
        <f>K33*(1-K13)</f>
        <v/>
      </c>
      <c r="L62" s="149">
        <f>L33*(1-L13)</f>
        <v/>
      </c>
      <c r="M62" s="149">
        <f>M33*(1-M13)</f>
        <v/>
      </c>
      <c r="N62" s="149">
        <f>N33*(1-N13)</f>
        <v/>
      </c>
    </row>
    <row r="63" hidden="1" outlineLevel="1">
      <c r="B63" s="19" t="inlineStr">
        <is>
          <t>Plus: Depreciation &amp; Amortization</t>
        </is>
      </c>
      <c r="C63" s="156" t="inlineStr">
        <is>
          <t>eqn: PPE_open × DA%</t>
        </is>
      </c>
      <c r="E63" s="164">
        <f>+E30</f>
        <v/>
      </c>
      <c r="F63" s="164">
        <f>+F30</f>
        <v/>
      </c>
      <c r="G63" s="164">
        <f>+G30</f>
        <v/>
      </c>
      <c r="H63" s="164">
        <f>+H30</f>
        <v/>
      </c>
      <c r="I63" s="164">
        <f>+I30</f>
        <v/>
      </c>
      <c r="J63" s="149">
        <f>J92*J11</f>
        <v/>
      </c>
      <c r="K63" s="149">
        <f>K92*K11</f>
        <v/>
      </c>
      <c r="L63" s="149">
        <f>L92*L11</f>
        <v/>
      </c>
      <c r="M63" s="149">
        <f>M92*M11</f>
        <v/>
      </c>
      <c r="N63" s="149">
        <f>N92*N11</f>
        <v/>
      </c>
    </row>
    <row r="64" hidden="1" outlineLevel="1">
      <c r="B64" s="19" t="inlineStr">
        <is>
          <t>Less: Changes in Working Capital</t>
        </is>
      </c>
      <c r="C64" s="156" t="inlineStr">
        <is>
          <t>eqn: NWC_t − NWC_t−1</t>
        </is>
      </c>
      <c r="E64" s="153" t="n">
        <v>0</v>
      </c>
      <c r="F64" s="153" t="n">
        <v>-849</v>
      </c>
      <c r="G64" s="153" t="n">
        <v>47116</v>
      </c>
      <c r="H64" s="153" t="n">
        <v>15064</v>
      </c>
      <c r="I64" s="153" t="n">
        <v>62189</v>
      </c>
      <c r="J64" s="149">
        <f>J88-I88</f>
        <v/>
      </c>
      <c r="K64" s="149">
        <f>K88-J88</f>
        <v/>
      </c>
      <c r="L64" s="149">
        <f>L88-K88</f>
        <v/>
      </c>
      <c r="M64" s="149">
        <f>M88-L88</f>
        <v/>
      </c>
      <c r="N64" s="149">
        <f>N88-M88</f>
        <v/>
      </c>
    </row>
    <row r="65" hidden="1" outlineLevel="1">
      <c r="B65" s="4" t="inlineStr">
        <is>
          <t>Cash from Operations</t>
        </is>
      </c>
      <c r="C65" s="154" t="inlineStr">
        <is>
          <t>eqn: NI + DA − ΔNWC</t>
        </is>
      </c>
      <c r="D65" s="28" t="n"/>
      <c r="E65" s="155">
        <f>E62+E63-E64</f>
        <v/>
      </c>
      <c r="F65" s="155">
        <f>F62+F63-F64</f>
        <v/>
      </c>
      <c r="G65" s="155">
        <f>G62+G63-G64</f>
        <v/>
      </c>
      <c r="H65" s="155">
        <f>H62+H63-H64</f>
        <v/>
      </c>
      <c r="I65" s="155">
        <f>I62+I63-I64</f>
        <v/>
      </c>
      <c r="J65" s="149">
        <f>J33*(1-J13)+J92*J11-(J88-I88)</f>
        <v/>
      </c>
      <c r="K65" s="149">
        <f>K33*(1-K13)+K92*K11-(K88-J88)</f>
        <v/>
      </c>
      <c r="L65" s="149">
        <f>L33*(1-L13)+L92*L11-(L88-K88)</f>
        <v/>
      </c>
      <c r="M65" s="149">
        <f>M33*(1-M13)+M92*M11-(M88-L88)</f>
        <v/>
      </c>
      <c r="N65" s="149">
        <f>N33*(1-N13)+N92*N11-(N88-M88)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56" t="inlineStr">
        <is>
          <t>eqn: Rev × CapEx%</t>
        </is>
      </c>
      <c r="E68" s="153" t="n">
        <v>7569</v>
      </c>
      <c r="F68" s="153" t="n">
        <v>6029</v>
      </c>
      <c r="G68" s="153" t="n">
        <v>4237</v>
      </c>
      <c r="H68" s="153" t="n">
        <v>25551</v>
      </c>
      <c r="I68" s="153" t="n">
        <v>39407</v>
      </c>
      <c r="J68" s="149">
        <f>J24*J18</f>
        <v/>
      </c>
      <c r="K68" s="149">
        <f>K24*K18</f>
        <v/>
      </c>
      <c r="L68" s="149">
        <f>L24*L18</f>
        <v/>
      </c>
      <c r="M68" s="149">
        <f>M24*M18</f>
        <v/>
      </c>
      <c r="N68" s="149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55">
        <f>SUM(E68)</f>
        <v/>
      </c>
      <c r="F69" s="155">
        <f>SUM(F68)</f>
        <v/>
      </c>
      <c r="G69" s="155">
        <f>SUM(G68)</f>
        <v/>
      </c>
      <c r="H69" s="155">
        <f>SUM(H68)</f>
        <v/>
      </c>
      <c r="I69" s="155">
        <f>SUM(I68)</f>
        <v/>
      </c>
      <c r="J69" s="149">
        <f>J68</f>
        <v/>
      </c>
      <c r="K69" s="149">
        <f>K68</f>
        <v/>
      </c>
      <c r="L69" s="149">
        <f>L68</f>
        <v/>
      </c>
      <c r="M69" s="149">
        <f>M68</f>
        <v/>
      </c>
      <c r="N69" s="149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53" t="n">
        <v>519583</v>
      </c>
      <c r="F72" s="153" t="n">
        <v>594651</v>
      </c>
      <c r="G72" s="153" t="n">
        <v>7989</v>
      </c>
      <c r="H72" s="153" t="n">
        <v>347363</v>
      </c>
      <c r="I72" s="153" t="n">
        <v>846670</v>
      </c>
      <c r="J72" s="149">
        <f>J19</f>
        <v/>
      </c>
      <c r="K72" s="149">
        <f>K19</f>
        <v/>
      </c>
      <c r="L72" s="149">
        <f>L19</f>
        <v/>
      </c>
      <c r="M72" s="149">
        <f>M19</f>
        <v/>
      </c>
      <c r="N72" s="149">
        <f>N19</f>
        <v/>
      </c>
    </row>
    <row r="73" hidden="1" outlineLevel="1">
      <c r="B73" s="19" t="inlineStr">
        <is>
          <t>Issuance (repayment) of equity</t>
        </is>
      </c>
      <c r="E73" s="153" t="n">
        <v>0</v>
      </c>
      <c r="F73" s="153" t="n">
        <v>0</v>
      </c>
      <c r="G73" s="153" t="n">
        <v>0</v>
      </c>
      <c r="H73" s="153" t="n">
        <v>0</v>
      </c>
      <c r="I73" s="153" t="n">
        <v>0</v>
      </c>
      <c r="J73" s="149">
        <f>J20</f>
        <v/>
      </c>
      <c r="K73" s="149">
        <f>K20</f>
        <v/>
      </c>
      <c r="L73" s="149">
        <f>L20</f>
        <v/>
      </c>
      <c r="M73" s="149">
        <f>M20</f>
        <v/>
      </c>
      <c r="N73" s="14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55">
        <f>SUM(E72:E73)</f>
        <v/>
      </c>
      <c r="F74" s="155">
        <f>SUM(F72:F73)</f>
        <v/>
      </c>
      <c r="G74" s="155">
        <f>SUM(G72:G73)</f>
        <v/>
      </c>
      <c r="H74" s="155">
        <f>SUM(H72:H73)</f>
        <v/>
      </c>
      <c r="I74" s="155">
        <f>SUM(I72:I73)</f>
        <v/>
      </c>
      <c r="J74" s="149">
        <f>J19+J20</f>
        <v/>
      </c>
      <c r="K74" s="149">
        <f>K19+K20</f>
        <v/>
      </c>
      <c r="L74" s="149">
        <f>L19+L20</f>
        <v/>
      </c>
      <c r="M74" s="149">
        <f>M19+M20</f>
        <v/>
      </c>
      <c r="N74" s="149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56" t="inlineStr">
        <is>
          <t>eqn: CFO − CapEx + Financing</t>
        </is>
      </c>
      <c r="E76" s="165">
        <f>E41-E77</f>
        <v/>
      </c>
      <c r="F76" s="165">
        <f>F41-F77</f>
        <v/>
      </c>
      <c r="G76" s="165">
        <f>G41-G77</f>
        <v/>
      </c>
      <c r="H76" s="165">
        <f>H41-H77</f>
        <v/>
      </c>
      <c r="I76" s="165">
        <f>I41-I77</f>
        <v/>
      </c>
      <c r="J76" s="149">
        <f>J65-J69+J74</f>
        <v/>
      </c>
      <c r="K76" s="149">
        <f>K65-K69+K74</f>
        <v/>
      </c>
      <c r="L76" s="149">
        <f>L65-L69+L74</f>
        <v/>
      </c>
      <c r="M76" s="149">
        <f>M65-M69+M74</f>
        <v/>
      </c>
      <c r="N76" s="149">
        <f>N65-N69+N74</f>
        <v/>
      </c>
    </row>
    <row r="77" hidden="1" outlineLevel="1">
      <c r="B77" s="19" t="inlineStr">
        <is>
          <t>Opening Cash Balance</t>
        </is>
      </c>
      <c r="E77" s="153" t="n">
        <v>157394</v>
      </c>
      <c r="F77" s="165">
        <f>E41</f>
        <v/>
      </c>
      <c r="G77" s="165">
        <f>F41</f>
        <v/>
      </c>
      <c r="H77" s="165">
        <f>G41</f>
        <v/>
      </c>
      <c r="I77" s="165">
        <f>H41</f>
        <v/>
      </c>
      <c r="J77" s="149">
        <f>I41</f>
        <v/>
      </c>
      <c r="K77" s="149">
        <f>J41</f>
        <v/>
      </c>
      <c r="L77" s="149">
        <f>K41</f>
        <v/>
      </c>
      <c r="M77" s="149">
        <f>L41</f>
        <v/>
      </c>
      <c r="N77" s="149">
        <f>M41</f>
        <v/>
      </c>
    </row>
    <row r="78" hidden="1" outlineLevel="1">
      <c r="B78" s="4" t="inlineStr">
        <is>
          <t>Closing Cash Balance</t>
        </is>
      </c>
      <c r="C78" s="5" t="n"/>
      <c r="D78" s="166" t="n">
        <v>157394</v>
      </c>
      <c r="E78" s="155">
        <f>SUM(E76:E77)</f>
        <v/>
      </c>
      <c r="F78" s="155">
        <f>SUM(F76:F77)</f>
        <v/>
      </c>
      <c r="G78" s="155">
        <f>SUM(G76:G77)</f>
        <v/>
      </c>
      <c r="H78" s="155">
        <f>SUM(H76:H77)</f>
        <v/>
      </c>
      <c r="I78" s="155">
        <f>SUM(I76:I77)</f>
        <v/>
      </c>
      <c r="J78" s="149">
        <f>J77+J76</f>
        <v/>
      </c>
      <c r="K78" s="149">
        <f>K77+K76</f>
        <v/>
      </c>
      <c r="L78" s="149">
        <f>L77+L76</f>
        <v/>
      </c>
      <c r="M78" s="149">
        <f>M77+M76</f>
        <v/>
      </c>
      <c r="N78" s="149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63">
        <f>E78-E41</f>
        <v/>
      </c>
      <c r="F80" s="163">
        <f>F78-F41</f>
        <v/>
      </c>
      <c r="G80" s="163">
        <f>G78-G41</f>
        <v/>
      </c>
      <c r="H80" s="163">
        <f>H78-H41</f>
        <v/>
      </c>
      <c r="I80" s="163">
        <f>I78-I41</f>
        <v/>
      </c>
      <c r="J80" s="149">
        <f>J78-J41</f>
        <v/>
      </c>
      <c r="K80" s="149">
        <f>K78-K41</f>
        <v/>
      </c>
      <c r="L80" s="149">
        <f>L78-L41</f>
        <v/>
      </c>
      <c r="M80" s="149">
        <f>M78-M41</f>
        <v/>
      </c>
      <c r="N80" s="14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53" t="n">
        <v>206690</v>
      </c>
      <c r="F85" s="153" t="n">
        <v>202365</v>
      </c>
      <c r="G85" s="153" t="n">
        <v>251217</v>
      </c>
      <c r="H85" s="153" t="n">
        <v>269745</v>
      </c>
      <c r="I85" s="153" t="n">
        <v>341776</v>
      </c>
      <c r="J85" s="149">
        <f>J42</f>
        <v/>
      </c>
      <c r="K85" s="149">
        <f>K42</f>
        <v/>
      </c>
      <c r="L85" s="149">
        <f>L42</f>
        <v/>
      </c>
      <c r="M85" s="149">
        <f>M42</f>
        <v/>
      </c>
      <c r="N85" s="149">
        <f>N42</f>
        <v/>
      </c>
    </row>
    <row r="86" hidden="1" outlineLevel="1">
      <c r="B86" s="19" t="inlineStr">
        <is>
          <t>Inventory</t>
        </is>
      </c>
      <c r="E86" s="153" t="n">
        <v>0</v>
      </c>
      <c r="F86" s="153" t="n">
        <v>0</v>
      </c>
      <c r="G86" s="153" t="n">
        <v>0</v>
      </c>
      <c r="H86" s="153" t="n">
        <v>0</v>
      </c>
      <c r="I86" s="153" t="n">
        <v>0</v>
      </c>
      <c r="J86" s="149">
        <f>J43</f>
        <v/>
      </c>
      <c r="K86" s="149">
        <f>K43</f>
        <v/>
      </c>
      <c r="L86" s="149">
        <f>L43</f>
        <v/>
      </c>
      <c r="M86" s="149">
        <f>M43</f>
        <v/>
      </c>
      <c r="N86" s="149">
        <f>N43</f>
        <v/>
      </c>
    </row>
    <row r="87" hidden="1" outlineLevel="1">
      <c r="B87" s="19" t="inlineStr">
        <is>
          <t>Accounts Payable</t>
        </is>
      </c>
      <c r="E87" s="153" t="n">
        <v>20749</v>
      </c>
      <c r="F87" s="153" t="n">
        <v>17273</v>
      </c>
      <c r="G87" s="153" t="n">
        <v>19009</v>
      </c>
      <c r="H87" s="153" t="n">
        <v>22473</v>
      </c>
      <c r="I87" s="153" t="n">
        <v>32315</v>
      </c>
      <c r="J87" s="149">
        <f>J48</f>
        <v/>
      </c>
      <c r="K87" s="149">
        <f>K48</f>
        <v/>
      </c>
      <c r="L87" s="149">
        <f>L48</f>
        <v/>
      </c>
      <c r="M87" s="149">
        <f>M48</f>
        <v/>
      </c>
      <c r="N87" s="149">
        <f>N48</f>
        <v/>
      </c>
    </row>
    <row r="88" hidden="1" outlineLevel="1">
      <c r="B88" s="5" t="inlineStr">
        <is>
          <t>Net Working Capital (NWC)</t>
        </is>
      </c>
      <c r="C88" s="5" t="n"/>
      <c r="D88" s="166" t="n">
        <v>205747</v>
      </c>
      <c r="E88" s="167">
        <f>E85+E86-E87</f>
        <v/>
      </c>
      <c r="F88" s="167">
        <f>F85+F86-F87</f>
        <v/>
      </c>
      <c r="G88" s="167">
        <f>G85+G86-G87</f>
        <v/>
      </c>
      <c r="H88" s="167">
        <f>H85+H86-H87</f>
        <v/>
      </c>
      <c r="I88" s="167">
        <f>I85+I86-I87</f>
        <v/>
      </c>
      <c r="J88" s="149">
        <f>J85+J86-J87</f>
        <v/>
      </c>
      <c r="K88" s="149">
        <f>K85+K86-K87</f>
        <v/>
      </c>
      <c r="L88" s="149">
        <f>L85+L86-L87</f>
        <v/>
      </c>
      <c r="M88" s="149">
        <f>M85+M86-M87</f>
        <v/>
      </c>
      <c r="N88" s="149">
        <f>N85+N86-N87</f>
        <v/>
      </c>
    </row>
    <row r="89" hidden="1" outlineLevel="1">
      <c r="B89" s="19" t="inlineStr">
        <is>
          <t>Change in NWC</t>
        </is>
      </c>
      <c r="E89" s="146">
        <f>E88-D88</f>
        <v/>
      </c>
      <c r="F89" s="146">
        <f>F88-E88</f>
        <v/>
      </c>
      <c r="G89" s="146">
        <f>G88-F88</f>
        <v/>
      </c>
      <c r="H89" s="146">
        <f>H88-G88</f>
        <v/>
      </c>
      <c r="I89" s="146">
        <f>I88-H88</f>
        <v/>
      </c>
      <c r="J89" s="149">
        <f>J88-I88</f>
        <v/>
      </c>
      <c r="K89" s="149">
        <f>K88-J88</f>
        <v/>
      </c>
      <c r="L89" s="149">
        <f>L88-K88</f>
        <v/>
      </c>
      <c r="M89" s="149">
        <f>M88-L88</f>
        <v/>
      </c>
      <c r="N89" s="149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53" t="n">
        <v>46419</v>
      </c>
      <c r="F92" s="165">
        <f>E95</f>
        <v/>
      </c>
      <c r="G92" s="165">
        <f>F95</f>
        <v/>
      </c>
      <c r="H92" s="165">
        <f>G95</f>
        <v/>
      </c>
      <c r="I92" s="165">
        <f>H95</f>
        <v/>
      </c>
      <c r="J92" s="149">
        <f>I44</f>
        <v/>
      </c>
      <c r="K92" s="149">
        <f>J95</f>
        <v/>
      </c>
      <c r="L92" s="149">
        <f>K95</f>
        <v/>
      </c>
      <c r="M92" s="149">
        <f>L95</f>
        <v/>
      </c>
      <c r="N92" s="149">
        <f>M95</f>
        <v/>
      </c>
    </row>
    <row r="93" hidden="1" outlineLevel="1">
      <c r="B93" s="19" t="inlineStr">
        <is>
          <t>Plus Capex</t>
        </is>
      </c>
      <c r="E93" s="153" t="n">
        <v>7569</v>
      </c>
      <c r="F93" s="153" t="n">
        <v>6029</v>
      </c>
      <c r="G93" s="153" t="n">
        <v>4237</v>
      </c>
      <c r="H93" s="153" t="n">
        <v>25551</v>
      </c>
      <c r="I93" s="153" t="n">
        <v>39407</v>
      </c>
      <c r="J93" s="149">
        <f>J24*J18</f>
        <v/>
      </c>
      <c r="K93" s="149">
        <f>K24*K18</f>
        <v/>
      </c>
      <c r="L93" s="149">
        <f>L24*L18</f>
        <v/>
      </c>
      <c r="M93" s="149">
        <f>M24*M18</f>
        <v/>
      </c>
      <c r="N93" s="149">
        <f>N24*N18</f>
        <v/>
      </c>
    </row>
    <row r="94" hidden="1" outlineLevel="1">
      <c r="B94" s="19" t="inlineStr">
        <is>
          <t>Less Depreciation</t>
        </is>
      </c>
      <c r="E94" s="153" t="n">
        <v>25592</v>
      </c>
      <c r="F94" s="153" t="n">
        <v>20465</v>
      </c>
      <c r="G94" s="153" t="n">
        <v>14638</v>
      </c>
      <c r="H94" s="153" t="n">
        <v>13827</v>
      </c>
      <c r="I94" s="153" t="n">
        <v>14952</v>
      </c>
      <c r="J94" s="149">
        <f>J92*J11</f>
        <v/>
      </c>
      <c r="K94" s="149">
        <f>K92*K11</f>
        <v/>
      </c>
      <c r="L94" s="149">
        <f>L92*L11</f>
        <v/>
      </c>
      <c r="M94" s="149">
        <f>M92*M11</f>
        <v/>
      </c>
      <c r="N94" s="149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68" t="n">
        <v>27913</v>
      </c>
      <c r="F95" s="168" t="n">
        <v>17580</v>
      </c>
      <c r="G95" s="168" t="n">
        <v>10966</v>
      </c>
      <c r="H95" s="168" t="n">
        <v>38465</v>
      </c>
      <c r="I95" s="168" t="n">
        <v>67713</v>
      </c>
      <c r="J95" s="149">
        <f>J92+J93-J94</f>
        <v/>
      </c>
      <c r="K95" s="149">
        <f>K92+K93-K94</f>
        <v/>
      </c>
      <c r="L95" s="149">
        <f>L92+L93-L94</f>
        <v/>
      </c>
      <c r="M95" s="149">
        <f>M92+M93-M94</f>
        <v/>
      </c>
      <c r="N95" s="149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53" t="n">
        <v>739435</v>
      </c>
      <c r="F98" s="165">
        <f>E100</f>
        <v/>
      </c>
      <c r="G98" s="165">
        <f>F100</f>
        <v/>
      </c>
      <c r="H98" s="165">
        <f>G100</f>
        <v/>
      </c>
      <c r="I98" s="165">
        <f>H100</f>
        <v/>
      </c>
      <c r="J98" s="149">
        <f>I49</f>
        <v/>
      </c>
      <c r="K98" s="149">
        <f>J100</f>
        <v/>
      </c>
      <c r="L98" s="149">
        <f>K100</f>
        <v/>
      </c>
      <c r="M98" s="149">
        <f>L100</f>
        <v/>
      </c>
      <c r="N98" s="149">
        <f>M100</f>
        <v/>
      </c>
    </row>
    <row r="99" hidden="1" outlineLevel="1">
      <c r="B99" s="19" t="inlineStr">
        <is>
          <t>Issuance (repayment)</t>
        </is>
      </c>
      <c r="E99" s="153" t="n">
        <v>519583</v>
      </c>
      <c r="F99" s="153" t="n">
        <v>594651</v>
      </c>
      <c r="G99" s="153" t="n">
        <v>7989</v>
      </c>
      <c r="H99" s="153" t="n">
        <v>347363</v>
      </c>
      <c r="I99" s="153" t="n">
        <v>846670</v>
      </c>
      <c r="J99" s="149">
        <f>J19</f>
        <v/>
      </c>
      <c r="K99" s="149">
        <f>K19</f>
        <v/>
      </c>
      <c r="L99" s="149">
        <f>L19</f>
        <v/>
      </c>
      <c r="M99" s="149">
        <f>M19</f>
        <v/>
      </c>
      <c r="N99" s="149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68" t="n">
        <v>1259018</v>
      </c>
      <c r="F100" s="168" t="n">
        <v>1853669</v>
      </c>
      <c r="G100" s="168" t="n">
        <v>1861658</v>
      </c>
      <c r="H100" s="168" t="n">
        <v>2209021</v>
      </c>
      <c r="I100" s="168" t="n">
        <v>3055691</v>
      </c>
      <c r="J100" s="149">
        <f>J98+J99</f>
        <v/>
      </c>
      <c r="K100" s="149">
        <f>K98+K99</f>
        <v/>
      </c>
      <c r="L100" s="149">
        <f>L98+L99</f>
        <v/>
      </c>
      <c r="M100" s="149">
        <f>M98+M99</f>
        <v/>
      </c>
      <c r="N100" s="149">
        <f>N98+N99</f>
        <v/>
      </c>
    </row>
    <row r="101" hidden="1" outlineLevel="1">
      <c r="B101" s="19" t="inlineStr">
        <is>
          <t>Interest Expense</t>
        </is>
      </c>
      <c r="E101" s="153" t="n">
        <v>40092</v>
      </c>
      <c r="F101" s="153" t="n">
        <v>68967</v>
      </c>
      <c r="G101" s="153" t="n">
        <v>95546</v>
      </c>
      <c r="H101" s="153" t="n">
        <v>105638</v>
      </c>
      <c r="I101" s="153" t="n">
        <v>133647</v>
      </c>
      <c r="J101" s="149">
        <f>J98*J12</f>
        <v/>
      </c>
      <c r="K101" s="149">
        <f>K98*K12</f>
        <v/>
      </c>
      <c r="L101" s="149">
        <f>L98*L12</f>
        <v/>
      </c>
      <c r="M101" s="149">
        <f>M98*M12</f>
        <v/>
      </c>
      <c r="N101" s="14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U5"/>
    <mergeCell ref="P4:U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69" t="inlineStr">
        <is>
          <t>vengeanceaiUSCMODEL4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70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71" t="inlineStr">
        <is>
          <t>Input</t>
        </is>
      </c>
      <c r="R4" s="171" t="inlineStr">
        <is>
          <t>Value</t>
        </is>
      </c>
      <c r="S4" s="171" t="inlineStr">
        <is>
          <t>Description</t>
        </is>
      </c>
      <c r="T4" s="171" t="inlineStr">
        <is>
          <t>Role</t>
        </is>
      </c>
      <c r="U4" s="171" t="inlineStr">
        <is>
          <t>Primary source (click)</t>
        </is>
      </c>
      <c r="V4" s="171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72" t="n">
        <v>0.1877023903712333</v>
      </c>
      <c r="E5" s="173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37" t="inlineStr">
        <is>
          <t>1) CAPM → WACC   (D6 = R15)</t>
        </is>
      </c>
    </row>
    <row r="6" ht="16" customHeight="1">
      <c r="A6" s="174" t="inlineStr">
        <is>
          <t>WACC sources → columns U–V</t>
        </is>
      </c>
      <c r="B6" s="103" t="inlineStr">
        <is>
          <t>Discount Rate (WACC = We×Ke + Wd×Rd(1−t))</t>
        </is>
      </c>
      <c r="C6" s="175" t="inlineStr">
        <is>
          <t>Sources →</t>
        </is>
      </c>
      <c r="D6" s="176">
        <f>R15</f>
        <v/>
      </c>
      <c r="E6" s="173" t="inlineStr">
        <is>
          <t>WACC sources → scroll to col U (Rf/ERP/β/Rd links)</t>
        </is>
      </c>
      <c r="F6" s="173" t="inlineStr">
        <is>
          <t>Damodaran ERP</t>
        </is>
      </c>
      <c r="G6" s="173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77" t="inlineStr">
        <is>
          <t>Risk-free rate (Rf)</t>
        </is>
      </c>
      <c r="R6" s="178" t="n">
        <v>0.0463</v>
      </c>
      <c r="S6" s="177" t="inlineStr">
        <is>
          <t>US 10Y Treasury yield</t>
        </is>
      </c>
      <c r="T6" s="177" t="inlineStr">
        <is>
          <t>CAPM input</t>
        </is>
      </c>
      <c r="U6" s="179" t="inlineStr">
        <is>
          <t>FRED DGS10 (US 10Y)</t>
        </is>
      </c>
      <c r="V6" s="179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72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77" t="inlineStr">
        <is>
          <t>Equity risk premium (ERP)</t>
        </is>
      </c>
      <c r="R7" s="178" t="n">
        <v>0.0428</v>
      </c>
      <c r="S7" s="177" t="inlineStr">
        <is>
          <t>Damodaran implied ERP</t>
        </is>
      </c>
      <c r="T7" s="177" t="inlineStr">
        <is>
          <t>CAPM input</t>
        </is>
      </c>
      <c r="U7" s="179" t="inlineStr">
        <is>
          <t>Damodaran Online — Implied ERP</t>
        </is>
      </c>
      <c r="V7" s="179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80" t="n">
        <v>25</v>
      </c>
      <c r="E8" s="173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77" t="inlineStr">
        <is>
          <t>Beta (β)</t>
        </is>
      </c>
      <c r="R8" s="181" t="n">
        <v>1.32</v>
      </c>
      <c r="S8" s="177" t="inlineStr">
        <is>
          <t>Yahoo 5Y monthly beta</t>
        </is>
      </c>
      <c r="T8" s="177" t="inlineStr">
        <is>
          <t>CAPM input</t>
        </is>
      </c>
      <c r="U8" s="179" t="inlineStr">
        <is>
          <t>Yahoo Finance FICO Key Statistics</t>
        </is>
      </c>
      <c r="V8" s="179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82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83" t="inlineStr">
        <is>
          <t>Ke = Rf + β × ERP</t>
        </is>
      </c>
      <c r="R9" s="184">
        <f>R6+R8*R7</f>
        <v/>
      </c>
      <c r="S9" s="177" t="inlineStr">
        <is>
          <t>Cost of equity (CAPM)</t>
        </is>
      </c>
      <c r="T9" s="183" t="inlineStr">
        <is>
          <t>→ WACC</t>
        </is>
      </c>
      <c r="U9" s="177" t="inlineStr">
        <is>
          <t>Derived: R6 + R8 × R7</t>
        </is>
      </c>
      <c r="V9" s="177" t="inlineStr"/>
    </row>
    <row r="10" ht="16" customHeight="1">
      <c r="A10" s="97" t="n"/>
      <c r="B10" s="97" t="inlineStr">
        <is>
          <t>Fiscal Year End</t>
        </is>
      </c>
      <c r="C10" s="97" t="n"/>
      <c r="D10" s="182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77" t="inlineStr">
        <is>
          <t>Pre-tax cost of debt (Rd)</t>
        </is>
      </c>
      <c r="R10" s="178" t="n">
        <v>0.0625</v>
      </c>
      <c r="S10" s="177" t="inlineStr">
        <is>
          <t>6.250% Senior Notes due 2034</t>
        </is>
      </c>
      <c r="T10" s="177" t="inlineStr">
        <is>
          <t>WACC input</t>
        </is>
      </c>
      <c r="U10" s="179" t="inlineStr">
        <is>
          <t>SEC 8-K — Notes closing (6.250%)</t>
        </is>
      </c>
      <c r="V10" s="179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85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77" t="inlineStr">
        <is>
          <t>Tax rate (t)</t>
        </is>
      </c>
      <c r="R11" s="184">
        <f>$D$5</f>
        <v/>
      </c>
      <c r="S11" s="177" t="inlineStr">
        <is>
          <t>FY25 effective = 150,649 / 802,595</t>
        </is>
      </c>
      <c r="T11" s="177" t="inlineStr">
        <is>
          <t>Linked D5</t>
        </is>
      </c>
      <c r="U11" s="179" t="inlineStr">
        <is>
          <t>SEC 10-K FY2025 (tax / EBT)</t>
        </is>
      </c>
      <c r="V11" s="179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86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83" t="inlineStr">
        <is>
          <t>Rd_aftertax = Rd × (1 − t)</t>
        </is>
      </c>
      <c r="R12" s="184">
        <f>R10*(1-R11)</f>
        <v/>
      </c>
      <c r="S12" s="177" t="inlineStr">
        <is>
          <t>After-tax cost of debt</t>
        </is>
      </c>
      <c r="T12" s="183" t="inlineStr">
        <is>
          <t>→ WACC</t>
        </is>
      </c>
      <c r="U12" s="177" t="inlineStr">
        <is>
          <t>Derived: R10 × (1 − R11)</t>
        </is>
      </c>
      <c r="V12" s="177" t="inlineStr"/>
    </row>
    <row r="13" ht="16" customHeight="1">
      <c r="A13" s="97" t="n"/>
      <c r="B13" s="97" t="inlineStr">
        <is>
          <t>Debt</t>
        </is>
      </c>
      <c r="C13" s="97" t="n"/>
      <c r="D13" s="186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77" t="inlineStr">
        <is>
          <t>Equity weight (We)</t>
        </is>
      </c>
      <c r="R13" s="187" t="n">
        <v>0.8</v>
      </c>
      <c r="S13" s="177" t="inlineStr">
        <is>
          <t>Target ~80% equity at market</t>
        </is>
      </c>
      <c r="T13" s="177" t="inlineStr">
        <is>
          <t>WACC weight</t>
        </is>
      </c>
      <c r="U13" s="179" t="inlineStr">
        <is>
          <t>SEC 10-Q Q3 FY2026 (debt / capital)</t>
        </is>
      </c>
      <c r="V13" s="179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86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77" t="inlineStr">
        <is>
          <t>Debt weight (Wd)</t>
        </is>
      </c>
      <c r="R14" s="187" t="n">
        <v>0.2</v>
      </c>
      <c r="S14" s="177" t="inlineStr">
        <is>
          <t>Target ~20% debt (We+Wd=100%)</t>
        </is>
      </c>
      <c r="T14" s="177" t="inlineStr">
        <is>
          <t>WACC weight</t>
        </is>
      </c>
      <c r="U14" s="179" t="inlineStr">
        <is>
          <t>SEC 10-Q — total debt $5,582,389k</t>
        </is>
      </c>
      <c r="V14" s="179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88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83" t="inlineStr">
        <is>
          <t>WACC = We×Ke + Wd×Rd_aftertax</t>
        </is>
      </c>
      <c r="R15" s="184">
        <f>R13*R9+R14*R12</f>
        <v/>
      </c>
      <c r="S15" s="177" t="inlineStr">
        <is>
          <t>PRIMARY discount rate → cell D6</t>
        </is>
      </c>
      <c r="T15" s="183" t="inlineStr">
        <is>
          <t>→ D6</t>
        </is>
      </c>
      <c r="U15" s="179" t="inlineStr">
        <is>
          <t>SEC filings (tax, debt coupons)</t>
        </is>
      </c>
      <c r="V15" s="179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89">
        <f>YEAR(E18)</f>
        <v/>
      </c>
      <c r="F17" s="189">
        <f>YEAR(F18)</f>
        <v/>
      </c>
      <c r="G17" s="189">
        <f>YEAR(G18)</f>
        <v/>
      </c>
      <c r="H17" s="189">
        <f>YEAR(H18)</f>
        <v/>
      </c>
      <c r="I17" s="189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37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190">
        <f>D9</f>
        <v/>
      </c>
      <c r="E18" s="191">
        <f>DATE(YEAR($D$10)+E19,3,31)</f>
        <v/>
      </c>
      <c r="F18" s="191">
        <f>DATE(YEAR($D$10)+F19,3,31)</f>
        <v/>
      </c>
      <c r="G18" s="191">
        <f>DATE(YEAR($D$10)+G19,3,31)</f>
        <v/>
      </c>
      <c r="H18" s="191">
        <f>DATE(YEAR($D$10)+H19,3,31)</f>
        <v/>
      </c>
      <c r="I18" s="191">
        <f>DATE(YEAR($D$10)+I19,3,31)</f>
        <v/>
      </c>
      <c r="J18" s="192">
        <f>I18</f>
        <v/>
      </c>
      <c r="K18" s="97" t="n"/>
      <c r="L18" s="97" t="inlineStr">
        <is>
          <t>Exit EV/EBITDA (in J27) — primary</t>
        </is>
      </c>
      <c r="M18" s="188">
        <f>J27</f>
        <v/>
      </c>
      <c r="N18" s="97">
        <f>(I26*(1+D7))/(D6-D7)</f>
        <v/>
      </c>
      <c r="O18" s="97" t="n"/>
      <c r="Q18" s="183" t="inlineStr">
        <is>
          <t>FCFF = EBIT − EBIT×t + D&amp;A − CapEx − ΔNWC</t>
        </is>
      </c>
      <c r="U18" s="179" t="inlineStr">
        <is>
          <t>Drivers from SEC XBRL → 3-statement</t>
        </is>
      </c>
      <c r="V18" s="179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93" t="n">
        <v>0</v>
      </c>
      <c r="F19" s="190">
        <f>E19+1</f>
        <v/>
      </c>
      <c r="G19" s="190">
        <f>F19+1</f>
        <v/>
      </c>
      <c r="H19" s="190">
        <f>G19+1</f>
        <v/>
      </c>
      <c r="I19" s="190">
        <f>H19+1</f>
        <v/>
      </c>
      <c r="J19" s="115" t="n"/>
      <c r="K19" s="97" t="n"/>
      <c r="L19" s="97" t="inlineStr">
        <is>
          <t>Gordon cross-check</t>
        </is>
      </c>
      <c r="M19" s="188">
        <f>IF(($D$6-$D$7)&lt;=0,"WACC must exceed g",$I$26*(1+$D$7)/($D$6-$D$7))</f>
        <v/>
      </c>
      <c r="N19" s="121">
        <f>D8*(I21+I23)</f>
        <v/>
      </c>
      <c r="O19" s="97" t="n"/>
      <c r="Q19" s="177" t="inlineStr">
        <is>
          <t>Excel (col E example)</t>
        </is>
      </c>
      <c r="R19" s="183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90">
        <f>YEARFRAC(D18,E18)</f>
        <v/>
      </c>
      <c r="F20" s="190">
        <f>YEARFRAC(E18,F18)</f>
        <v/>
      </c>
      <c r="G20" s="190">
        <f>YEARFRAC(F18,G18)</f>
        <v/>
      </c>
      <c r="H20" s="190">
        <f>YEARFRAC(G18,H18)</f>
        <v/>
      </c>
      <c r="I20" s="190">
        <f>YEARFRAC(H18,I18)</f>
        <v/>
      </c>
      <c r="J20" s="97" t="n"/>
      <c r="K20" s="97" t="n"/>
      <c r="L20" s="97" t="inlineStr">
        <is>
          <t>Implied Gordon exit multiple</t>
        </is>
      </c>
      <c r="M20" s="188">
        <f>IF(($I$21+$I$23)=0,0,M19/($I$21+$I$23))</f>
        <v/>
      </c>
      <c r="N20" s="123">
        <f>AVERAGE(N18:N19)</f>
        <v/>
      </c>
      <c r="O20" s="97" t="n"/>
      <c r="Q20" s="177" t="inlineStr">
        <is>
          <t>Tax on EBIT (unlevered)</t>
        </is>
      </c>
      <c r="R20" s="183">
        <f>E21*$D$5</f>
        <v/>
      </c>
      <c r="S20" s="177" t="inlineStr">
        <is>
          <t>NOT levered IS tax dollars</t>
        </is>
      </c>
      <c r="U20" s="179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194" t="inlineStr">
        <is>
          <t>EBIT</t>
        </is>
      </c>
      <c r="D21" s="97" t="n"/>
      <c r="E21" s="188">
        <f>'3 Statement Model'!J26-'3 Statement Model'!J28-'3 Statement Model'!J29-'3 Statement Model'!J30</f>
        <v/>
      </c>
      <c r="F21" s="188">
        <f>'3 Statement Model'!K26-'3 Statement Model'!K28-'3 Statement Model'!K29-'3 Statement Model'!K30</f>
        <v/>
      </c>
      <c r="G21" s="188">
        <f>'3 Statement Model'!L26-'3 Statement Model'!L28-'3 Statement Model'!L29-'3 Statement Model'!L30</f>
        <v/>
      </c>
      <c r="H21" s="188">
        <f>'3 Statement Model'!M26-'3 Statement Model'!M28-'3 Statement Model'!M29-'3 Statement Model'!M30</f>
        <v/>
      </c>
      <c r="I21" s="188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77" t="inlineStr">
        <is>
          <t>FCFF check (FY5 / col I)</t>
        </is>
      </c>
      <c r="R21" s="195">
        <f>I26</f>
        <v/>
      </c>
      <c r="S21" s="177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194" t="inlineStr">
        <is>
          <t>EBIT×t</t>
        </is>
      </c>
      <c r="D22" s="97" t="n"/>
      <c r="E22" s="188">
        <f>E21*$D$5</f>
        <v/>
      </c>
      <c r="F22" s="188">
        <f>F21*$D$5</f>
        <v/>
      </c>
      <c r="G22" s="188">
        <f>G21*$D$5</f>
        <v/>
      </c>
      <c r="H22" s="188">
        <f>H21*$D$5</f>
        <v/>
      </c>
      <c r="I22" s="188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194" t="inlineStr">
        <is>
          <t>+D&amp;A</t>
        </is>
      </c>
      <c r="D23" s="97" t="n"/>
      <c r="E23" s="188">
        <f>'3 Statement Model'!J30</f>
        <v/>
      </c>
      <c r="F23" s="188">
        <f>'3 Statement Model'!K30</f>
        <v/>
      </c>
      <c r="G23" s="188">
        <f>'3 Statement Model'!L30</f>
        <v/>
      </c>
      <c r="H23" s="188">
        <f>'3 Statement Model'!M30</f>
        <v/>
      </c>
      <c r="I23" s="188">
        <f>'3 Statement Model'!N30</f>
        <v/>
      </c>
      <c r="J23" s="97" t="n"/>
      <c r="K23" s="97" t="n"/>
      <c r="L23" s="97" t="n"/>
      <c r="M23" s="97" t="n"/>
      <c r="N23" s="97" t="n"/>
      <c r="O23" s="97" t="n"/>
      <c r="Q23" s="137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194" t="inlineStr">
        <is>
          <t>−CapEx</t>
        </is>
      </c>
      <c r="D24" s="97" t="n"/>
      <c r="E24" s="188">
        <f>'3 Statement Model'!J68</f>
        <v/>
      </c>
      <c r="F24" s="188">
        <f>'3 Statement Model'!K68</f>
        <v/>
      </c>
      <c r="G24" s="188">
        <f>'3 Statement Model'!L68</f>
        <v/>
      </c>
      <c r="H24" s="188">
        <f>'3 Statement Model'!M68</f>
        <v/>
      </c>
      <c r="I24" s="188">
        <f>'3 Statement Model'!N68</f>
        <v/>
      </c>
      <c r="J24" s="97" t="n"/>
      <c r="K24" s="97" t="n"/>
      <c r="L24" s="97" t="n"/>
      <c r="M24" s="97" t="n"/>
      <c r="N24" s="97" t="n"/>
      <c r="O24" s="97" t="n"/>
      <c r="Q24" s="183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194" t="inlineStr">
        <is>
          <t>−ΔNWC</t>
        </is>
      </c>
      <c r="D25" s="97" t="n"/>
      <c r="E25" s="188">
        <f>'3 Statement Model'!J64</f>
        <v/>
      </c>
      <c r="F25" s="188">
        <f>'3 Statement Model'!K64</f>
        <v/>
      </c>
      <c r="G25" s="188">
        <f>'3 Statement Model'!L64</f>
        <v/>
      </c>
      <c r="H25" s="188">
        <f>'3 Statement Model'!M64</f>
        <v/>
      </c>
      <c r="I25" s="188">
        <f>'3 Statement Model'!N64</f>
        <v/>
      </c>
      <c r="J25" s="97" t="n"/>
      <c r="K25" s="97" t="n"/>
      <c r="L25" s="97" t="n"/>
      <c r="M25" s="97" t="n"/>
      <c r="N25" s="97" t="n"/>
      <c r="O25" s="97" t="n"/>
      <c r="Q25" s="177" t="inlineStr">
        <is>
          <t>Excel</t>
        </is>
      </c>
      <c r="R25" s="183">
        <f>($I$21+$I$23)*$D$8</f>
        <v/>
      </c>
      <c r="T25" s="195">
        <f>J27</f>
        <v/>
      </c>
      <c r="U25" s="179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194" t="inlineStr">
        <is>
          <t>FCFF=EBIT−tax+DA−CapEx−ΔNWC</t>
        </is>
      </c>
      <c r="D26" s="97" t="n"/>
      <c r="E26" s="196">
        <f>E21-E22+E23-E24-E25</f>
        <v/>
      </c>
      <c r="F26" s="196">
        <f>F21-F22+F23-F24-F25</f>
        <v/>
      </c>
      <c r="G26" s="196">
        <f>G21-G22+G23-G24-G25</f>
        <v/>
      </c>
      <c r="H26" s="196">
        <f>H21-H22+H23-H24-H25</f>
        <v/>
      </c>
      <c r="I26" s="196">
        <f>I21-I22+I23-I24-I25</f>
        <v/>
      </c>
      <c r="J26" s="97" t="n"/>
      <c r="K26" s="97" t="n"/>
      <c r="L26" s="97" t="n"/>
      <c r="M26" s="97" t="n"/>
      <c r="N26" s="97" t="n"/>
      <c r="O26" s="97" t="n"/>
      <c r="Q26" s="183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197">
        <f>-I35</f>
        <v/>
      </c>
      <c r="E27" s="97" t="n"/>
      <c r="F27" s="97" t="n"/>
      <c r="G27" s="97" t="n"/>
      <c r="H27" s="97" t="n"/>
      <c r="I27" s="97" t="n"/>
      <c r="J27" s="188">
        <f>($I$21+$I$23)*$D$8</f>
        <v/>
      </c>
      <c r="K27" s="97" t="n"/>
      <c r="L27" s="97" t="n"/>
      <c r="M27" s="97" t="n"/>
      <c r="N27" s="97" t="n"/>
      <c r="O27" s="97" t="n"/>
      <c r="Q27" s="177" t="inlineStr">
        <is>
          <t>Excel</t>
        </is>
      </c>
      <c r="R27" s="183">
        <f>IF(($D$6-$D$7)&lt;=0,"err",$I$26*(1+$D$7)/($D$6-$D$7))</f>
        <v/>
      </c>
      <c r="T27" s="195">
        <f>M19</f>
        <v/>
      </c>
      <c r="U27" s="179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196" t="n">
        <v>0</v>
      </c>
      <c r="E28" s="198">
        <f>E27+E26</f>
        <v/>
      </c>
      <c r="F28" s="198">
        <f>F27+F26</f>
        <v/>
      </c>
      <c r="G28" s="198">
        <f>G27+G26</f>
        <v/>
      </c>
      <c r="H28" s="198">
        <f>H27+H26</f>
        <v/>
      </c>
      <c r="I28" s="198">
        <f>I27+I26</f>
        <v/>
      </c>
      <c r="J28" s="198">
        <f>J27+J26</f>
        <v/>
      </c>
      <c r="K28" s="97" t="n"/>
      <c r="L28" s="97" t="n"/>
      <c r="M28" s="97" t="n"/>
      <c r="N28" s="97" t="n"/>
      <c r="O28" s="97" t="n"/>
      <c r="Q28" s="177" t="inlineStr">
        <is>
          <t>Implied Gordon exit multiple</t>
        </is>
      </c>
      <c r="R28" s="199">
        <f>IF(($I$21+$I$23)=0,0,T27/($I$21+$I$23))</f>
        <v/>
      </c>
      <c r="S28" s="177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197">
        <f>D27+D26</f>
        <v/>
      </c>
      <c r="E29" s="188">
        <f>E27+E26</f>
        <v/>
      </c>
      <c r="F29" s="188">
        <f>F27+F26</f>
        <v/>
      </c>
      <c r="G29" s="188">
        <f>G27+G26</f>
        <v/>
      </c>
      <c r="H29" s="188">
        <f>H27+H26</f>
        <v/>
      </c>
      <c r="I29" s="188">
        <f>I27+I26</f>
        <v/>
      </c>
      <c r="J29" s="188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37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83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188">
        <f>XNPV(D6,D28:J28,D18:J18)</f>
        <v/>
      </c>
      <c r="E32" s="97" t="n"/>
      <c r="G32" s="97" t="inlineStr">
        <is>
          <t>Market Cap</t>
        </is>
      </c>
      <c r="H32" s="97" t="n"/>
      <c r="I32" s="1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77" t="inlineStr">
        <is>
          <t>Excel</t>
        </is>
      </c>
      <c r="R32" s="183">
        <f>XNPV(D6,D28:J28,D18:J18)</f>
        <v/>
      </c>
      <c r="T32" s="195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197">
        <f>+D14</f>
        <v/>
      </c>
      <c r="E33" s="97" t="n"/>
      <c r="G33" s="97" t="inlineStr">
        <is>
          <t>Plus: Debt</t>
        </is>
      </c>
      <c r="H33" s="97" t="n"/>
      <c r="I33" s="1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83" t="inlineStr">
        <is>
          <t>Equity = EV + Cash − Debt</t>
        </is>
      </c>
      <c r="R33" s="195">
        <f>D35</f>
        <v/>
      </c>
      <c r="S33" s="177" t="inlineStr">
        <is>
          <t>Net debt from 10-Q bridge</t>
        </is>
      </c>
      <c r="U33" s="179" t="inlineStr">
        <is>
          <t>SEC 10-Q — cash, mkt secs, total debt</t>
        </is>
      </c>
      <c r="V33" s="179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197">
        <f>+D13</f>
        <v/>
      </c>
      <c r="E34" s="97" t="n"/>
      <c r="G34" s="97" t="inlineStr">
        <is>
          <t>Less: Cash</t>
        </is>
      </c>
      <c r="H34" s="97" t="n"/>
      <c r="I34" s="197">
        <f>+D14</f>
        <v/>
      </c>
      <c r="J34" s="97" t="n"/>
      <c r="L34" s="97" t="n"/>
      <c r="M34" s="97" t="n"/>
      <c r="N34" s="97" t="n"/>
      <c r="O34" s="97" t="n"/>
      <c r="Q34" s="183" t="inlineStr">
        <is>
          <t>$/share = Equity / Shares</t>
        </is>
      </c>
      <c r="R34" s="200">
        <f>D37</f>
        <v/>
      </c>
      <c r="S34" s="177" t="inlineStr">
        <is>
          <t>Shares outstanding (Yahoo)</t>
        </is>
      </c>
      <c r="U34" s="179" t="inlineStr">
        <is>
          <t>Yahoo Finance — shares outstanding</t>
        </is>
      </c>
      <c r="V34" s="179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196">
        <f>D32+D33-D34</f>
        <v/>
      </c>
      <c r="E35" s="97" t="n"/>
      <c r="G35" s="97" t="inlineStr">
        <is>
          <t>Enterprise Value</t>
        </is>
      </c>
      <c r="H35" s="97" t="n"/>
      <c r="I35" s="196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77" t="inlineStr">
        <is>
          <t>Upside vs market</t>
        </is>
      </c>
      <c r="R35" s="201">
        <f>D37/D11-1</f>
        <v/>
      </c>
      <c r="S35" s="177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202" t="n"/>
      <c r="J36" s="97" t="n"/>
      <c r="L36" s="97" t="inlineStr">
        <is>
          <t>Market Value</t>
        </is>
      </c>
      <c r="M36" s="97" t="n"/>
      <c r="N36" s="202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97">
        <f>D35/D12</f>
        <v/>
      </c>
      <c r="E37" s="97" t="n"/>
      <c r="G37" s="97" t="inlineStr">
        <is>
          <t>Equity Value/Share</t>
        </is>
      </c>
      <c r="H37" s="97" t="n"/>
      <c r="I37" s="197">
        <f>D11</f>
        <v/>
      </c>
      <c r="J37" s="97" t="n"/>
      <c r="L37" s="97" t="inlineStr">
        <is>
          <t>Upside</t>
        </is>
      </c>
      <c r="M37" s="97" t="n"/>
      <c r="N37" s="202">
        <f>D37-I37</f>
        <v/>
      </c>
      <c r="O37" s="97" t="n"/>
      <c r="Q37" s="137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202">
        <f>SUM(N36:N37)</f>
        <v/>
      </c>
      <c r="O38" s="97" t="n"/>
      <c r="Q38" s="183" t="inlineStr">
        <is>
          <t>NWC = AR + Inventory − AP − DeferredRevenue</t>
        </is>
      </c>
      <c r="U38" s="179" t="inlineStr">
        <is>
          <t>SEC 10-K — AR / AP / deferred revenue</t>
        </is>
      </c>
      <c r="V38" s="179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83" t="inlineStr">
        <is>
          <t>ΔNWC_t = NWC_t − NWC_(t−1)</t>
        </is>
      </c>
      <c r="S39" s="177" t="inlineStr">
        <is>
          <t>Linked from 3-statement CF row 64</t>
        </is>
      </c>
      <c r="T39" s="195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37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79" t="inlineStr">
        <is>
          <t>SEC 10-K FY2025</t>
        </is>
      </c>
      <c r="R42" s="203" t="n"/>
      <c r="S42" s="204" t="n"/>
      <c r="T42" s="177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79" t="inlineStr">
        <is>
          <t>SEC 10-Q Q3 FY2026</t>
        </is>
      </c>
      <c r="R43" s="203" t="n"/>
      <c r="S43" s="204" t="n"/>
      <c r="T43" s="177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79" t="inlineStr">
        <is>
          <t>SEC 8-K 6.250% notes</t>
        </is>
      </c>
      <c r="R44" s="203" t="n"/>
      <c r="S44" s="204" t="n"/>
      <c r="T44" s="177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79" t="inlineStr">
        <is>
          <t>SEC EX-99.1 pricing</t>
        </is>
      </c>
      <c r="R45" s="203" t="n"/>
      <c r="S45" s="204" t="n"/>
      <c r="T45" s="177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79" t="inlineStr">
        <is>
          <t>SEC companyfacts XBRL</t>
        </is>
      </c>
      <c r="R46" s="203" t="n"/>
      <c r="S46" s="204" t="n"/>
      <c r="T46" s="177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79" t="inlineStr">
        <is>
          <t>FRED DGS10</t>
        </is>
      </c>
      <c r="R47" s="203" t="n"/>
      <c r="S47" s="204" t="n"/>
      <c r="T47" s="177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79" t="inlineStr">
        <is>
          <t>US Treasury yield curve</t>
        </is>
      </c>
      <c r="R48" s="203" t="n"/>
      <c r="S48" s="204" t="n"/>
      <c r="T48" s="177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79" t="inlineStr">
        <is>
          <t>Damodaran Implied ERP</t>
        </is>
      </c>
      <c r="R49" s="203" t="n"/>
      <c r="S49" s="204" t="n"/>
      <c r="T49" s="177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79" t="inlineStr">
        <is>
          <t>Damodaran histimpl</t>
        </is>
      </c>
      <c r="R50" s="203" t="n"/>
      <c r="S50" s="204" t="n"/>
      <c r="T50" s="177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79" t="inlineStr">
        <is>
          <t>Yahoo FICO stats</t>
        </is>
      </c>
      <c r="R51" s="203" t="n"/>
      <c r="S51" s="204" t="n"/>
      <c r="T51" s="177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2026-08-05T15:13:15Z</dcterms:modified>
  <cp:lastModifiedBy>Katie Au Yeung</cp:lastModifiedBy>
  <cp:lastPrinted>2014-12-13T23:43:21Z</cp:lastPrinted>
</cp:coreProperties>
</file>