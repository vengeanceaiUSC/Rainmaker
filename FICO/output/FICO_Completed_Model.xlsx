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4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  <numFmt numFmtId="174" formatCode="#,##0.0;(#,##0.0);-"/>
    <numFmt numFmtId="175" formatCode="yyyy-mm-dd"/>
    <numFmt numFmtId="176" formatCode="$#,##0.00"/>
    <numFmt numFmtId="177" formatCode="0.0"/>
  </numFmts>
  <fonts count="4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  <font>
      <name val="Calibri"/>
      <color rgb="000000FF"/>
    </font>
  </fonts>
  <fills count="9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9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4" fontId="5" fillId="0" borderId="0" applyAlignment="1" pivotButton="0" quotePrefix="0" xfId="1">
      <alignment horizontal="right"/>
    </xf>
    <xf numFmtId="166" fontId="40" fillId="8" borderId="0" pivotButton="0" quotePrefix="0" xfId="2"/>
    <xf numFmtId="174" fontId="9" fillId="0" borderId="0" pivotButton="0" quotePrefix="0" xfId="1"/>
    <xf numFmtId="174" fontId="40" fillId="8" borderId="0" pivotButton="0" quotePrefix="0" xfId="1"/>
    <xf numFmtId="166" fontId="40" fillId="8" borderId="0" pivotButton="0" quotePrefix="0" xfId="1"/>
    <xf numFmtId="174" fontId="4" fillId="0" borderId="0" pivotButton="0" quotePrefix="0" xfId="1"/>
    <xf numFmtId="174" fontId="2" fillId="0" borderId="0" pivotButton="0" quotePrefix="0" xfId="1"/>
    <xf numFmtId="174" fontId="6" fillId="0" borderId="2" pivotButton="0" quotePrefix="0" xfId="1"/>
    <xf numFmtId="174" fontId="40" fillId="8" borderId="1" pivotButton="0" quotePrefix="0" xfId="1"/>
    <xf numFmtId="174" fontId="9" fillId="0" borderId="1" pivotButton="0" quotePrefix="0" xfId="1"/>
    <xf numFmtId="174" fontId="6" fillId="0" borderId="0" pivotButton="0" quotePrefix="0" xfId="1"/>
    <xf numFmtId="174" fontId="6" fillId="0" borderId="4" pivotButton="0" quotePrefix="0" xfId="1"/>
    <xf numFmtId="174" fontId="6" fillId="0" borderId="3" pivotButton="0" quotePrefix="0" xfId="1"/>
    <xf numFmtId="174" fontId="5" fillId="0" borderId="0" pivotButton="0" quotePrefix="0" xfId="1"/>
    <xf numFmtId="174" fontId="38" fillId="7" borderId="0" pivotButton="0" quotePrefix="0" xfId="1"/>
    <xf numFmtId="174" fontId="40" fillId="8" borderId="2" applyAlignment="1" pivotButton="0" quotePrefix="0" xfId="1">
      <alignment horizontal="center"/>
    </xf>
    <xf numFmtId="174" fontId="9" fillId="0" borderId="2" pivotButton="0" quotePrefix="0" xfId="1"/>
    <xf numFmtId="174" fontId="40" fillId="8" borderId="2" pivotButton="0" quotePrefix="0" xfId="1"/>
    <xf numFmtId="166" fontId="40" fillId="8" borderId="0" applyAlignment="1" pivotButton="0" quotePrefix="0" xfId="0">
      <alignment horizontal="right"/>
    </xf>
    <xf numFmtId="177" fontId="40" fillId="8" borderId="0" applyAlignment="1" pivotButton="0" quotePrefix="0" xfId="0">
      <alignment horizontal="right"/>
    </xf>
    <xf numFmtId="175" fontId="32" fillId="0" borderId="0" pivotButton="0" quotePrefix="0" xfId="0"/>
    <xf numFmtId="176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174" fontId="38" fillId="7" borderId="0" pivotButton="0" quotePrefix="0" xfId="0"/>
    <xf numFmtId="1" fontId="31" fillId="6" borderId="0" pivotButton="0" quotePrefix="0" xfId="0"/>
    <xf numFmtId="174" fontId="35" fillId="0" borderId="0" pivotButton="0" quotePrefix="0" xfId="0"/>
    <xf numFmtId="175" fontId="38" fillId="7" borderId="0" pivotButton="0" quotePrefix="0" xfId="0"/>
    <xf numFmtId="174" fontId="36" fillId="0" borderId="0" pivotButton="0" quotePrefix="0" xfId="0"/>
    <xf numFmtId="174" fontId="37" fillId="0" borderId="0" pivotButton="0" quotePrefix="0" xfId="0"/>
    <xf numFmtId="174" fontId="30" fillId="0" borderId="2" pivotButton="0" quotePrefix="0" xfId="0"/>
    <xf numFmtId="174" fontId="30" fillId="0" borderId="0" pivotButton="0" quotePrefix="0" xfId="0"/>
    <xf numFmtId="174" fontId="38" fillId="7" borderId="2" pivotButton="0" quotePrefix="0" xfId="0"/>
    <xf numFmtId="173" fontId="30" fillId="0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Model2.0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Model2.0: revenue fades (not straight-lined). DCF uses unlevered EBIT×t taxes, Gordon TV primary, mid-year XNPV dates, CapEx/ΔNWC/D&amp;A linked to 3-statement. Open in Excel to recalculate.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33" t="n">
        <v>2021</v>
      </c>
      <c r="F2" s="134">
        <f>+E2+1</f>
        <v/>
      </c>
      <c r="G2" s="134">
        <f>+F2+1</f>
        <v/>
      </c>
      <c r="H2" s="134">
        <f>+G2+1</f>
        <v/>
      </c>
      <c r="I2" s="134">
        <f>+H2+1</f>
        <v/>
      </c>
      <c r="J2" s="135">
        <f>+I2+1</f>
        <v/>
      </c>
      <c r="K2" s="135">
        <f>+J2+1</f>
        <v/>
      </c>
      <c r="L2" s="135">
        <f>+K2+1</f>
        <v/>
      </c>
      <c r="M2" s="135">
        <f>+L2+1</f>
        <v/>
      </c>
      <c r="N2" s="135">
        <f>+M2+1</f>
        <v/>
      </c>
    </row>
    <row r="3">
      <c r="B3" s="19" t="inlineStr">
        <is>
          <t>Balance Sheet Check</t>
        </is>
      </c>
      <c r="E3" s="136">
        <f>IFERROR(IF(ABS(E57)&gt;1,"ERROR","OK"),"OK")</f>
        <v/>
      </c>
      <c r="F3" s="136">
        <f>IFERROR(IF(ABS(F57)&gt;1,"ERROR","OK"),"OK")</f>
        <v/>
      </c>
      <c r="G3" s="136">
        <f>IFERROR(IF(ABS(G57)&gt;1,"ERROR","OK"),"OK")</f>
        <v/>
      </c>
      <c r="H3" s="136">
        <f>IFERROR(IF(ABS(H57)&gt;1,"ERROR","OK"),"OK")</f>
        <v/>
      </c>
      <c r="I3" s="136">
        <f>IFERROR(IF(ABS(I57)&gt;1,"ERROR","OK"),"OK")</f>
        <v/>
      </c>
      <c r="J3" s="136">
        <f>IFERROR(IF(ABS(J57)&gt;1,"ERROR","OK"),"OK")</f>
        <v/>
      </c>
      <c r="K3" s="136">
        <f>IFERROR(IF(ABS(K57)&gt;1,"ERROR","OK"),"OK")</f>
        <v/>
      </c>
      <c r="L3" s="136">
        <f>IFERROR(IF(ABS(L57)&gt;1,"ERROR","OK"),"OK")</f>
        <v/>
      </c>
      <c r="M3" s="136">
        <f>IFERROR(IF(ABS(M57)&gt;1,"ERROR","OK"),"OK")</f>
        <v/>
      </c>
      <c r="N3" s="136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37" t="n">
        <v>0.27</v>
      </c>
      <c r="K7" s="137" t="n">
        <v>0.15</v>
      </c>
      <c r="L7" s="137" t="n">
        <v>0.12</v>
      </c>
      <c r="M7" s="137" t="n">
        <v>0.1</v>
      </c>
      <c r="N7" s="137" t="n">
        <v>0.08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37" t="n">
        <v>0.1776721622567833</v>
      </c>
      <c r="K8" s="137" t="n">
        <v>0.1776721622567833</v>
      </c>
      <c r="L8" s="137" t="n">
        <v>0.1776721622567833</v>
      </c>
      <c r="M8" s="137" t="n">
        <v>0.1776721622567833</v>
      </c>
      <c r="N8" s="137" t="n">
        <v>0.1776721622567833</v>
      </c>
    </row>
    <row r="9" hidden="1" outlineLevel="1">
      <c r="B9" s="19" t="inlineStr">
        <is>
          <t>Salaries and Benefits ($000's)</t>
        </is>
      </c>
      <c r="C9" s="19" t="n"/>
      <c r="D9" s="47" t="n"/>
      <c r="E9" s="138">
        <f>E28</f>
        <v/>
      </c>
      <c r="F9" s="138">
        <f>F28</f>
        <v/>
      </c>
      <c r="G9" s="138">
        <f>G28</f>
        <v/>
      </c>
      <c r="H9" s="138">
        <f>H28</f>
        <v/>
      </c>
      <c r="I9" s="138">
        <f>I28</f>
        <v/>
      </c>
      <c r="J9" s="139" t="n">
        <v>651545.6</v>
      </c>
      <c r="K9" s="139" t="n">
        <v>749277.4</v>
      </c>
      <c r="L9" s="139" t="n">
        <v>839190.7</v>
      </c>
      <c r="M9" s="139" t="n">
        <v>923109.7</v>
      </c>
      <c r="N9" s="139" t="n">
        <v>996958.5</v>
      </c>
    </row>
    <row r="10" hidden="1" outlineLevel="1">
      <c r="B10" s="19" t="inlineStr">
        <is>
          <t>Rent and Overhead ($000's)</t>
        </is>
      </c>
      <c r="C10" s="19" t="n"/>
      <c r="D10" s="47" t="n"/>
      <c r="E10" s="138">
        <f>E29</f>
        <v/>
      </c>
      <c r="F10" s="138">
        <f>F29</f>
        <v/>
      </c>
      <c r="G10" s="138">
        <f>G29</f>
        <v/>
      </c>
      <c r="H10" s="138">
        <f>H29</f>
        <v/>
      </c>
      <c r="I10" s="138">
        <f>I29</f>
        <v/>
      </c>
      <c r="J10" s="139" t="n">
        <v>239200.7</v>
      </c>
      <c r="K10" s="139" t="n">
        <v>275080.8</v>
      </c>
      <c r="L10" s="139" t="n">
        <v>308090.5</v>
      </c>
      <c r="M10" s="139" t="n">
        <v>338899.5</v>
      </c>
      <c r="N10" s="139" t="n">
        <v>366011.5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37" t="n">
        <v>0.2208143192592265</v>
      </c>
      <c r="K11" s="137" t="n">
        <v>0.2208143192592265</v>
      </c>
      <c r="L11" s="137" t="n">
        <v>0.2208143192592265</v>
      </c>
      <c r="M11" s="137" t="n">
        <v>0.2208143192592265</v>
      </c>
      <c r="N11" s="137" t="n">
        <v>0.2208143192592265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37" t="n">
        <v>0.04373707943636971</v>
      </c>
      <c r="K12" s="137" t="n">
        <v>0.04373707943636971</v>
      </c>
      <c r="L12" s="137" t="n">
        <v>0.04373707943636971</v>
      </c>
      <c r="M12" s="137" t="n">
        <v>0.04373707943636971</v>
      </c>
      <c r="N12" s="137" t="n">
        <v>0.04373707943636971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37" t="n">
        <v>0.1877023903712333</v>
      </c>
      <c r="K13" s="137" t="n">
        <v>0.1877023903712333</v>
      </c>
      <c r="L13" s="137" t="n">
        <v>0.1877023903712333</v>
      </c>
      <c r="M13" s="137" t="n">
        <v>0.1877023903712333</v>
      </c>
      <c r="N13" s="137" t="n">
        <v>0.1877023903712333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138">
        <f>E42/E24*365</f>
        <v/>
      </c>
      <c r="F15" s="138">
        <f>F42/F24*365</f>
        <v/>
      </c>
      <c r="G15" s="138">
        <f>G42/G24*365</f>
        <v/>
      </c>
      <c r="H15" s="138">
        <f>H42/H24*365</f>
        <v/>
      </c>
      <c r="I15" s="138">
        <f>I42/I24*365</f>
        <v/>
      </c>
      <c r="J15" s="139" t="n">
        <v>97</v>
      </c>
      <c r="K15" s="139" t="n">
        <v>97</v>
      </c>
      <c r="L15" s="139" t="n">
        <v>97</v>
      </c>
      <c r="M15" s="139" t="n">
        <v>97</v>
      </c>
      <c r="N15" s="139" t="n">
        <v>97</v>
      </c>
    </row>
    <row r="16" hidden="1" outlineLevel="1">
      <c r="B16" s="19" t="inlineStr">
        <is>
          <t>Inventory (Days)</t>
        </is>
      </c>
      <c r="D16" s="32" t="n"/>
      <c r="E16" s="138">
        <f>E43/E25*365</f>
        <v/>
      </c>
      <c r="F16" s="138">
        <f>F43/F25*365</f>
        <v/>
      </c>
      <c r="G16" s="138">
        <f>G43/G25*365</f>
        <v/>
      </c>
      <c r="H16" s="138">
        <f>H43/H25*365</f>
        <v/>
      </c>
      <c r="I16" s="138">
        <f>I43/I25*365</f>
        <v/>
      </c>
      <c r="J16" s="139" t="n">
        <v>0</v>
      </c>
      <c r="K16" s="139" t="n">
        <v>0</v>
      </c>
      <c r="L16" s="139" t="n">
        <v>0</v>
      </c>
      <c r="M16" s="139" t="n">
        <v>0</v>
      </c>
      <c r="N16" s="139" t="n">
        <v>0</v>
      </c>
    </row>
    <row r="17" hidden="1" outlineLevel="1">
      <c r="B17" s="19" t="inlineStr">
        <is>
          <t>Accounts Payable (Days)</t>
        </is>
      </c>
      <c r="D17" s="32" t="n"/>
      <c r="E17" s="138">
        <f>E48/E25*365</f>
        <v/>
      </c>
      <c r="F17" s="138">
        <f>F48/F25*365</f>
        <v/>
      </c>
      <c r="G17" s="138">
        <f>G48/G25*365</f>
        <v/>
      </c>
      <c r="H17" s="138">
        <f>H48/H25*365</f>
        <v/>
      </c>
      <c r="I17" s="138">
        <f>I48/I25*365</f>
        <v/>
      </c>
      <c r="J17" s="139" t="n">
        <v>33</v>
      </c>
      <c r="K17" s="139" t="n">
        <v>33</v>
      </c>
      <c r="L17" s="139" t="n">
        <v>33</v>
      </c>
      <c r="M17" s="139" t="n">
        <v>33</v>
      </c>
      <c r="N17" s="139" t="n">
        <v>33</v>
      </c>
    </row>
    <row r="18" hidden="1" outlineLevel="1">
      <c r="B18" s="19" t="inlineStr">
        <is>
          <t>Capital Expenditures ($000's)</t>
        </is>
      </c>
      <c r="E18" s="138">
        <f>E68</f>
        <v/>
      </c>
      <c r="F18" s="138">
        <f>F68</f>
        <v/>
      </c>
      <c r="G18" s="138">
        <f>G68</f>
        <v/>
      </c>
      <c r="H18" s="138">
        <f>H68</f>
        <v/>
      </c>
      <c r="I18" s="138">
        <f>I68</f>
        <v/>
      </c>
      <c r="J18" s="139" t="n">
        <v>50046.9</v>
      </c>
      <c r="K18" s="139" t="n">
        <v>57553.9</v>
      </c>
      <c r="L18" s="139" t="n">
        <v>64460.4</v>
      </c>
      <c r="M18" s="139" t="n">
        <v>70906.39999999999</v>
      </c>
      <c r="N18" s="139" t="n">
        <v>76578.89999999999</v>
      </c>
    </row>
    <row r="19" hidden="1" outlineLevel="1">
      <c r="B19" s="19" t="inlineStr">
        <is>
          <t>Debt Issuance (Repayment) ($000's)</t>
        </is>
      </c>
      <c r="E19" s="138">
        <f>E99</f>
        <v/>
      </c>
      <c r="F19" s="138">
        <f>F99</f>
        <v/>
      </c>
      <c r="G19" s="138">
        <f>G99</f>
        <v/>
      </c>
      <c r="H19" s="138">
        <f>H99</f>
        <v/>
      </c>
      <c r="I19" s="138">
        <f>I99</f>
        <v/>
      </c>
      <c r="J19" s="140" t="n">
        <v>0</v>
      </c>
      <c r="K19" s="140" t="n">
        <v>0</v>
      </c>
      <c r="L19" s="140" t="n">
        <v>0</v>
      </c>
      <c r="M19" s="140" t="n">
        <v>0</v>
      </c>
      <c r="N19" s="140" t="n">
        <v>0</v>
      </c>
    </row>
    <row r="20" hidden="1" outlineLevel="1">
      <c r="B20" s="19" t="inlineStr">
        <is>
          <t>Equity Issued (Repaid) ($000's)</t>
        </is>
      </c>
      <c r="E20" s="138">
        <f>E73</f>
        <v/>
      </c>
      <c r="F20" s="138">
        <f>F73</f>
        <v/>
      </c>
      <c r="G20" s="138">
        <f>G73</f>
        <v/>
      </c>
      <c r="H20" s="138">
        <f>H73</f>
        <v/>
      </c>
      <c r="I20" s="138">
        <f>I73</f>
        <v/>
      </c>
      <c r="J20" s="140" t="n">
        <v>0</v>
      </c>
      <c r="K20" s="140" t="n">
        <v>0</v>
      </c>
      <c r="L20" s="140" t="n">
        <v>0</v>
      </c>
      <c r="M20" s="140" t="n">
        <v>0</v>
      </c>
      <c r="N20" s="140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139" t="n">
        <v>1316536</v>
      </c>
      <c r="F24" s="139" t="n">
        <v>1377270</v>
      </c>
      <c r="G24" s="139" t="n">
        <v>1513557</v>
      </c>
      <c r="H24" s="139" t="n">
        <v>1717526</v>
      </c>
      <c r="I24" s="139" t="n">
        <v>1990869</v>
      </c>
      <c r="J24" s="141">
        <f>I24*(1+J7)</f>
        <v/>
      </c>
      <c r="K24" s="141">
        <f>J24*(1+K7)</f>
        <v/>
      </c>
      <c r="L24" s="141">
        <f>K24*(1+L7)</f>
        <v/>
      </c>
      <c r="M24" s="141">
        <f>L24*(1+M7)</f>
        <v/>
      </c>
      <c r="N24" s="141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139" t="n">
        <v>332462</v>
      </c>
      <c r="F25" s="139" t="n">
        <v>302174</v>
      </c>
      <c r="G25" s="139" t="n">
        <v>311053</v>
      </c>
      <c r="H25" s="139" t="n">
        <v>348206</v>
      </c>
      <c r="I25" s="139" t="n">
        <v>353722</v>
      </c>
      <c r="J25" s="142">
        <f>J24*J8</f>
        <v/>
      </c>
      <c r="K25" s="142">
        <f>K24*K8</f>
        <v/>
      </c>
      <c r="L25" s="142">
        <f>L24*L8</f>
        <v/>
      </c>
      <c r="M25" s="142">
        <f>M24*M8</f>
        <v/>
      </c>
      <c r="N25" s="142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43">
        <f>E24-E25</f>
        <v/>
      </c>
      <c r="F26" s="143">
        <f>F24-F25</f>
        <v/>
      </c>
      <c r="G26" s="143">
        <f>G24-G25</f>
        <v/>
      </c>
      <c r="H26" s="143">
        <f>H24-H25</f>
        <v/>
      </c>
      <c r="I26" s="143">
        <f>I24-I25</f>
        <v/>
      </c>
      <c r="J26" s="143">
        <f>J24-J25</f>
        <v/>
      </c>
      <c r="K26" s="143">
        <f>K24-K25</f>
        <v/>
      </c>
      <c r="L26" s="143">
        <f>L24-L25</f>
        <v/>
      </c>
      <c r="M26" s="143">
        <f>M24-M25</f>
        <v/>
      </c>
      <c r="N26" s="143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139" t="n">
        <v>396281</v>
      </c>
      <c r="F28" s="139" t="n">
        <v>383863</v>
      </c>
      <c r="G28" s="139" t="n">
        <v>400565</v>
      </c>
      <c r="H28" s="139" t="n">
        <v>462834</v>
      </c>
      <c r="I28" s="139" t="n">
        <v>513028</v>
      </c>
      <c r="J28" s="142">
        <f>J9</f>
        <v/>
      </c>
      <c r="K28" s="142">
        <f>K9</f>
        <v/>
      </c>
      <c r="L28" s="142">
        <f>L9</f>
        <v/>
      </c>
      <c r="M28" s="142">
        <f>M9</f>
        <v/>
      </c>
      <c r="N28" s="142">
        <f>N9</f>
        <v/>
      </c>
    </row>
    <row r="29" hidden="1" outlineLevel="1">
      <c r="B29" s="19" t="inlineStr">
        <is>
          <t>Rent and Overhead</t>
        </is>
      </c>
      <c r="E29" s="139" t="n">
        <v>171231</v>
      </c>
      <c r="F29" s="139" t="n">
        <v>146758</v>
      </c>
      <c r="G29" s="139" t="n">
        <v>159950</v>
      </c>
      <c r="H29" s="139" t="n">
        <v>171940</v>
      </c>
      <c r="I29" s="139" t="n">
        <v>188347</v>
      </c>
      <c r="J29" s="142">
        <f>J10</f>
        <v/>
      </c>
      <c r="K29" s="142">
        <f>K10</f>
        <v/>
      </c>
      <c r="L29" s="142">
        <f>L10</f>
        <v/>
      </c>
      <c r="M29" s="142">
        <f>M10</f>
        <v/>
      </c>
      <c r="N29" s="142">
        <f>N10</f>
        <v/>
      </c>
    </row>
    <row r="30" hidden="1" outlineLevel="1">
      <c r="B30" s="19" t="inlineStr">
        <is>
          <t>Depreciation &amp; Amortization</t>
        </is>
      </c>
      <c r="E30" s="139" t="n">
        <v>25592</v>
      </c>
      <c r="F30" s="139" t="n">
        <v>20465</v>
      </c>
      <c r="G30" s="139" t="n">
        <v>14638</v>
      </c>
      <c r="H30" s="139" t="n">
        <v>13827</v>
      </c>
      <c r="I30" s="139" t="n">
        <v>14952</v>
      </c>
      <c r="J30" s="142">
        <f>J94</f>
        <v/>
      </c>
      <c r="K30" s="142">
        <f>K94</f>
        <v/>
      </c>
      <c r="L30" s="142">
        <f>L94</f>
        <v/>
      </c>
      <c r="M30" s="142">
        <f>M94</f>
        <v/>
      </c>
      <c r="N30" s="142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144" t="n">
        <v>40092</v>
      </c>
      <c r="F31" s="144" t="n">
        <v>68967</v>
      </c>
      <c r="G31" s="144" t="n">
        <v>95546</v>
      </c>
      <c r="H31" s="144" t="n">
        <v>105638</v>
      </c>
      <c r="I31" s="144" t="n">
        <v>133647</v>
      </c>
      <c r="J31" s="145">
        <f>J101</f>
        <v/>
      </c>
      <c r="K31" s="145">
        <f>K101</f>
        <v/>
      </c>
      <c r="L31" s="145">
        <f>L101</f>
        <v/>
      </c>
      <c r="M31" s="145">
        <f>M101</f>
        <v/>
      </c>
      <c r="N31" s="145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146">
        <f>SUM(E28:E31)</f>
        <v/>
      </c>
      <c r="F32" s="146">
        <f>SUM(F28:F31)</f>
        <v/>
      </c>
      <c r="G32" s="146">
        <f>SUM(G28:G31)</f>
        <v/>
      </c>
      <c r="H32" s="146">
        <f>SUM(H28:H31)</f>
        <v/>
      </c>
      <c r="I32" s="146">
        <f>SUM(I28:I31)</f>
        <v/>
      </c>
      <c r="J32" s="146">
        <f>SUM(J28:J31)</f>
        <v/>
      </c>
      <c r="K32" s="146">
        <f>SUM(K28:K31)</f>
        <v/>
      </c>
      <c r="L32" s="146">
        <f>SUM(L28:L31)</f>
        <v/>
      </c>
      <c r="M32" s="146">
        <f>SUM(M28:M31)</f>
        <v/>
      </c>
      <c r="N32" s="146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43">
        <f>E26-E32</f>
        <v/>
      </c>
      <c r="F33" s="143">
        <f>F26-F32</f>
        <v/>
      </c>
      <c r="G33" s="143">
        <f>G26-G32</f>
        <v/>
      </c>
      <c r="H33" s="143">
        <f>H26-H32</f>
        <v/>
      </c>
      <c r="I33" s="143">
        <f>I26-I32</f>
        <v/>
      </c>
      <c r="J33" s="143">
        <f>J26-J32</f>
        <v/>
      </c>
      <c r="K33" s="143">
        <f>K26-K32</f>
        <v/>
      </c>
      <c r="L33" s="143">
        <f>L26-L32</f>
        <v/>
      </c>
      <c r="M33" s="143">
        <f>M26-M32</f>
        <v/>
      </c>
      <c r="N33" s="143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139" t="n">
        <v>81058</v>
      </c>
      <c r="F35" s="139" t="n">
        <v>97768</v>
      </c>
      <c r="G35" s="139" t="n">
        <v>124249</v>
      </c>
      <c r="H35" s="139" t="n">
        <v>129214</v>
      </c>
      <c r="I35" s="139" t="n">
        <v>150649</v>
      </c>
      <c r="J35" s="142">
        <f>J33*J13</f>
        <v/>
      </c>
      <c r="K35" s="142">
        <f>K33*K13</f>
        <v/>
      </c>
      <c r="L35" s="142">
        <f>L33*L13</f>
        <v/>
      </c>
      <c r="M35" s="142">
        <f>M33*M13</f>
        <v/>
      </c>
      <c r="N35" s="142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147">
        <f>E33-E35</f>
        <v/>
      </c>
      <c r="F36" s="147">
        <f>F33-F35</f>
        <v/>
      </c>
      <c r="G36" s="147">
        <f>G33-G35</f>
        <v/>
      </c>
      <c r="H36" s="147">
        <f>H33-H35</f>
        <v/>
      </c>
      <c r="I36" s="147">
        <f>I33-I35</f>
        <v/>
      </c>
      <c r="J36" s="147">
        <f>J33-J35</f>
        <v/>
      </c>
      <c r="K36" s="147">
        <f>K33-K35</f>
        <v/>
      </c>
      <c r="L36" s="147">
        <f>L33-L35</f>
        <v/>
      </c>
      <c r="M36" s="147">
        <f>M33-M35</f>
        <v/>
      </c>
      <c r="N36" s="147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39" t="n">
        <v>195354</v>
      </c>
      <c r="F41" s="139" t="n">
        <v>133202</v>
      </c>
      <c r="G41" s="139" t="n">
        <v>136778</v>
      </c>
      <c r="H41" s="139" t="n">
        <v>150667</v>
      </c>
      <c r="I41" s="139" t="n">
        <v>134136</v>
      </c>
      <c r="J41" s="142">
        <f>J78</f>
        <v/>
      </c>
      <c r="K41" s="142">
        <f>K78</f>
        <v/>
      </c>
      <c r="L41" s="142">
        <f>L78</f>
        <v/>
      </c>
      <c r="M41" s="142">
        <f>M78</f>
        <v/>
      </c>
      <c r="N41" s="142">
        <f>N78</f>
        <v/>
      </c>
    </row>
    <row r="42" hidden="1" outlineLevel="1">
      <c r="B42" s="19" t="inlineStr">
        <is>
          <t>Accounts Receivable</t>
        </is>
      </c>
      <c r="E42" s="139" t="n">
        <v>312107</v>
      </c>
      <c r="F42" s="139" t="n">
        <v>322410</v>
      </c>
      <c r="G42" s="139" t="n">
        <v>387947</v>
      </c>
      <c r="H42" s="139" t="n">
        <v>426642</v>
      </c>
      <c r="I42" s="139" t="n">
        <v>529148</v>
      </c>
      <c r="J42" s="142">
        <f>J24*J15/365</f>
        <v/>
      </c>
      <c r="K42" s="142">
        <f>K24*K15/365</f>
        <v/>
      </c>
      <c r="L42" s="142">
        <f>L24*L15/365</f>
        <v/>
      </c>
      <c r="M42" s="142">
        <f>M24*M15/365</f>
        <v/>
      </c>
      <c r="N42" s="142">
        <f>N24*N15/365</f>
        <v/>
      </c>
    </row>
    <row r="43" hidden="1" outlineLevel="1">
      <c r="B43" s="19" t="inlineStr">
        <is>
          <t>Inventory</t>
        </is>
      </c>
      <c r="E43" s="139" t="n">
        <v>0</v>
      </c>
      <c r="F43" s="139" t="n">
        <v>0</v>
      </c>
      <c r="G43" s="139" t="n">
        <v>0</v>
      </c>
      <c r="H43" s="139" t="n">
        <v>0</v>
      </c>
      <c r="I43" s="139" t="n">
        <v>0</v>
      </c>
      <c r="J43" s="142">
        <f>J25*J16/365</f>
        <v/>
      </c>
      <c r="K43" s="142">
        <f>K25*K16/365</f>
        <v/>
      </c>
      <c r="L43" s="142">
        <f>L25*L16/365</f>
        <v/>
      </c>
      <c r="M43" s="142">
        <f>M25*M16/365</f>
        <v/>
      </c>
      <c r="N43" s="142">
        <f>N25*N16/365</f>
        <v/>
      </c>
    </row>
    <row r="44" hidden="1" outlineLevel="1">
      <c r="B44" s="19" t="inlineStr">
        <is>
          <t>Property &amp; Equipment</t>
        </is>
      </c>
      <c r="E44" s="139" t="n">
        <v>27913</v>
      </c>
      <c r="F44" s="139" t="n">
        <v>17580</v>
      </c>
      <c r="G44" s="139" t="n">
        <v>10966</v>
      </c>
      <c r="H44" s="139" t="n">
        <v>38465</v>
      </c>
      <c r="I44" s="139" t="n">
        <v>67713</v>
      </c>
      <c r="J44" s="142">
        <f>J95</f>
        <v/>
      </c>
      <c r="K44" s="142">
        <f>K95</f>
        <v/>
      </c>
      <c r="L44" s="142">
        <f>L95</f>
        <v/>
      </c>
      <c r="M44" s="142">
        <f>M95</f>
        <v/>
      </c>
      <c r="N44" s="142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47">
        <f>SUM(E41:E44)</f>
        <v/>
      </c>
      <c r="F45" s="147">
        <f>SUM(F41:F44)</f>
        <v/>
      </c>
      <c r="G45" s="147">
        <f>SUM(G41:G44)</f>
        <v/>
      </c>
      <c r="H45" s="147">
        <f>SUM(H41:H44)</f>
        <v/>
      </c>
      <c r="I45" s="147">
        <f>SUM(I41:I44)</f>
        <v/>
      </c>
      <c r="J45" s="147">
        <f>SUM(J41:J44)</f>
        <v/>
      </c>
      <c r="K45" s="147">
        <f>SUM(K41:K44)</f>
        <v/>
      </c>
      <c r="L45" s="147">
        <f>SUM(L41:L44)</f>
        <v/>
      </c>
      <c r="M45" s="147">
        <f>SUM(M41:M44)</f>
        <v/>
      </c>
      <c r="N45" s="147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139" t="n">
        <v>20749</v>
      </c>
      <c r="F48" s="139" t="n">
        <v>17273</v>
      </c>
      <c r="G48" s="139" t="n">
        <v>19009</v>
      </c>
      <c r="H48" s="139" t="n">
        <v>22473</v>
      </c>
      <c r="I48" s="139" t="n">
        <v>32315</v>
      </c>
      <c r="J48" s="142">
        <f>J25*J17/365</f>
        <v/>
      </c>
      <c r="K48" s="142">
        <f>K25*K17/365</f>
        <v/>
      </c>
      <c r="L48" s="142">
        <f>L25*L17/365</f>
        <v/>
      </c>
      <c r="M48" s="142">
        <f>M25*M17/365</f>
        <v/>
      </c>
      <c r="N48" s="142">
        <f>N25*N17/365</f>
        <v/>
      </c>
    </row>
    <row r="49" hidden="1" outlineLevel="1">
      <c r="B49" s="19" t="inlineStr">
        <is>
          <t>Debt</t>
        </is>
      </c>
      <c r="E49" s="139" t="n">
        <v>1259018</v>
      </c>
      <c r="F49" s="139" t="n">
        <v>1853669</v>
      </c>
      <c r="G49" s="139" t="n">
        <v>1861658</v>
      </c>
      <c r="H49" s="139" t="n">
        <v>2209021</v>
      </c>
      <c r="I49" s="139" t="n">
        <v>3055691</v>
      </c>
      <c r="J49" s="142">
        <f>J100</f>
        <v/>
      </c>
      <c r="K49" s="142">
        <f>K100</f>
        <v/>
      </c>
      <c r="L49" s="142">
        <f>L100</f>
        <v/>
      </c>
      <c r="M49" s="142">
        <f>M100</f>
        <v/>
      </c>
      <c r="N49" s="142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43">
        <f>SUM(E48:E49)</f>
        <v/>
      </c>
      <c r="F50" s="143">
        <f>SUM(F48:F49)</f>
        <v/>
      </c>
      <c r="G50" s="143">
        <f>SUM(G48:G49)</f>
        <v/>
      </c>
      <c r="H50" s="143">
        <f>SUM(H48:H49)</f>
        <v/>
      </c>
      <c r="I50" s="143">
        <f>SUM(I48:I49)</f>
        <v/>
      </c>
      <c r="J50" s="143">
        <f>SUM(J48:J49)</f>
        <v/>
      </c>
      <c r="K50" s="143">
        <f>SUM(K48:K49)</f>
        <v/>
      </c>
      <c r="L50" s="143">
        <f>SUM(L48:L49)</f>
        <v/>
      </c>
      <c r="M50" s="143">
        <f>SUM(M48:M49)</f>
        <v/>
      </c>
      <c r="N50" s="143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39" t="n">
        <v>-744393</v>
      </c>
      <c r="F52" s="139" t="n">
        <v>-1397750</v>
      </c>
      <c r="G52" s="139" t="n">
        <v>-1344976</v>
      </c>
      <c r="H52" s="139" t="n">
        <v>-1615720</v>
      </c>
      <c r="I52" s="139" t="n">
        <v>-2357009</v>
      </c>
      <c r="J52" s="142">
        <f>I52+J20</f>
        <v/>
      </c>
      <c r="K52" s="142">
        <f>J52+K20</f>
        <v/>
      </c>
      <c r="L52" s="142">
        <f>K52+L20</f>
        <v/>
      </c>
      <c r="M52" s="142">
        <f>L52+M20</f>
        <v/>
      </c>
      <c r="N52" s="142">
        <f>M52+N20</f>
        <v/>
      </c>
    </row>
    <row r="53" hidden="1" outlineLevel="1">
      <c r="B53" s="19" t="inlineStr">
        <is>
          <t>Retained Earnings</t>
        </is>
      </c>
      <c r="E53" s="139" t="n">
        <v>0</v>
      </c>
      <c r="F53" s="139" t="n">
        <v>0</v>
      </c>
      <c r="G53" s="139" t="n">
        <v>0</v>
      </c>
      <c r="H53" s="139" t="n">
        <v>0</v>
      </c>
      <c r="I53" s="139" t="n">
        <v>0</v>
      </c>
      <c r="J53" s="142">
        <f>I53+J36</f>
        <v/>
      </c>
      <c r="K53" s="142">
        <f>J53+K36</f>
        <v/>
      </c>
      <c r="L53" s="142">
        <f>K53+L36</f>
        <v/>
      </c>
      <c r="M53" s="142">
        <f>L53+M36</f>
        <v/>
      </c>
      <c r="N53" s="142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48">
        <f>SUM(E52:E53)</f>
        <v/>
      </c>
      <c r="F54" s="148">
        <f>SUM(F52:F53)</f>
        <v/>
      </c>
      <c r="G54" s="148">
        <f>SUM(G52:G53)</f>
        <v/>
      </c>
      <c r="H54" s="148">
        <f>SUM(H52:H53)</f>
        <v/>
      </c>
      <c r="I54" s="148">
        <f>SUM(I52:I53)</f>
        <v/>
      </c>
      <c r="J54" s="148">
        <f>SUM(J52:J53)</f>
        <v/>
      </c>
      <c r="K54" s="148">
        <f>SUM(K52:K53)</f>
        <v/>
      </c>
      <c r="L54" s="148">
        <f>SUM(L52:L53)</f>
        <v/>
      </c>
      <c r="M54" s="148">
        <f>SUM(M52:M53)</f>
        <v/>
      </c>
      <c r="N54" s="148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47">
        <f>E50+E54</f>
        <v/>
      </c>
      <c r="F55" s="147">
        <f>F50+F54</f>
        <v/>
      </c>
      <c r="G55" s="147">
        <f>G50+G54</f>
        <v/>
      </c>
      <c r="H55" s="147">
        <f>H50+H54</f>
        <v/>
      </c>
      <c r="I55" s="147">
        <f>I50+I54</f>
        <v/>
      </c>
      <c r="J55" s="147">
        <f>J50+J54</f>
        <v/>
      </c>
      <c r="K55" s="147">
        <f>K50+K54</f>
        <v/>
      </c>
      <c r="L55" s="147">
        <f>L50+L54</f>
        <v/>
      </c>
      <c r="M55" s="147">
        <f>M50+M54</f>
        <v/>
      </c>
      <c r="N55" s="147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49">
        <f>E55-E45</f>
        <v/>
      </c>
      <c r="F57" s="149">
        <f>F55-F45</f>
        <v/>
      </c>
      <c r="G57" s="149">
        <f>G55-G45</f>
        <v/>
      </c>
      <c r="H57" s="149">
        <f>H55-H45</f>
        <v/>
      </c>
      <c r="I57" s="149">
        <f>I55-I45</f>
        <v/>
      </c>
      <c r="J57" s="149">
        <f>J55-J45</f>
        <v/>
      </c>
      <c r="K57" s="149">
        <f>K55-K45</f>
        <v/>
      </c>
      <c r="L57" s="149">
        <f>L55-L45</f>
        <v/>
      </c>
      <c r="M57" s="149">
        <f>M55-M45</f>
        <v/>
      </c>
      <c r="N57" s="149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42">
        <f>E36</f>
        <v/>
      </c>
      <c r="F62" s="142">
        <f>F36</f>
        <v/>
      </c>
      <c r="G62" s="142">
        <f>G36</f>
        <v/>
      </c>
      <c r="H62" s="142">
        <f>H36</f>
        <v/>
      </c>
      <c r="I62" s="142">
        <f>I36</f>
        <v/>
      </c>
      <c r="J62" s="142">
        <f>J36</f>
        <v/>
      </c>
      <c r="K62" s="142">
        <f>K36</f>
        <v/>
      </c>
      <c r="L62" s="142">
        <f>L36</f>
        <v/>
      </c>
      <c r="M62" s="142">
        <f>M36</f>
        <v/>
      </c>
      <c r="N62" s="142">
        <f>N36</f>
        <v/>
      </c>
    </row>
    <row r="63" hidden="1" outlineLevel="1">
      <c r="B63" s="19" t="inlineStr">
        <is>
          <t>Plus: Depreciation &amp; Amortization</t>
        </is>
      </c>
      <c r="E63" s="142">
        <f>+E30</f>
        <v/>
      </c>
      <c r="F63" s="142">
        <f>+F30</f>
        <v/>
      </c>
      <c r="G63" s="142">
        <f>+G30</f>
        <v/>
      </c>
      <c r="H63" s="142">
        <f>+H30</f>
        <v/>
      </c>
      <c r="I63" s="142">
        <f>+I30</f>
        <v/>
      </c>
      <c r="J63" s="142">
        <f>+J30</f>
        <v/>
      </c>
      <c r="K63" s="142">
        <f>+K30</f>
        <v/>
      </c>
      <c r="L63" s="142">
        <f>+L30</f>
        <v/>
      </c>
      <c r="M63" s="142">
        <f>+M30</f>
        <v/>
      </c>
      <c r="N63" s="142">
        <f>+N30</f>
        <v/>
      </c>
    </row>
    <row r="64" hidden="1" outlineLevel="1">
      <c r="B64" s="19" t="inlineStr">
        <is>
          <t>Less: Changes in Working Capital</t>
        </is>
      </c>
      <c r="E64" s="139" t="n">
        <v>0</v>
      </c>
      <c r="F64" s="139" t="n">
        <v>13779</v>
      </c>
      <c r="G64" s="139" t="n">
        <v>63801</v>
      </c>
      <c r="H64" s="139" t="n">
        <v>35231</v>
      </c>
      <c r="I64" s="139" t="n">
        <v>92664</v>
      </c>
      <c r="J64" s="142">
        <f>J89</f>
        <v/>
      </c>
      <c r="K64" s="142">
        <f>K89</f>
        <v/>
      </c>
      <c r="L64" s="142">
        <f>L89</f>
        <v/>
      </c>
      <c r="M64" s="142">
        <f>M89</f>
        <v/>
      </c>
      <c r="N64" s="142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43">
        <f>E62+E63-E64</f>
        <v/>
      </c>
      <c r="F65" s="143">
        <f>F62+F63-F64</f>
        <v/>
      </c>
      <c r="G65" s="143">
        <f>G62+G63-G64</f>
        <v/>
      </c>
      <c r="H65" s="143">
        <f>H62+H63-H64</f>
        <v/>
      </c>
      <c r="I65" s="143">
        <f>I62+I63-I64</f>
        <v/>
      </c>
      <c r="J65" s="143">
        <f>J62+J63-J64</f>
        <v/>
      </c>
      <c r="K65" s="143">
        <f>K62+K63-K64</f>
        <v/>
      </c>
      <c r="L65" s="143">
        <f>L62+L63-L64</f>
        <v/>
      </c>
      <c r="M65" s="143">
        <f>M62+M63-M64</f>
        <v/>
      </c>
      <c r="N65" s="143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139" t="n">
        <v>7569</v>
      </c>
      <c r="F68" s="139" t="n">
        <v>6029</v>
      </c>
      <c r="G68" s="139" t="n">
        <v>4237</v>
      </c>
      <c r="H68" s="139" t="n">
        <v>25551</v>
      </c>
      <c r="I68" s="139" t="n">
        <v>39407</v>
      </c>
      <c r="J68" s="142">
        <f>J18</f>
        <v/>
      </c>
      <c r="K68" s="142">
        <f>K18</f>
        <v/>
      </c>
      <c r="L68" s="142">
        <f>L18</f>
        <v/>
      </c>
      <c r="M68" s="142">
        <f>M18</f>
        <v/>
      </c>
      <c r="N68" s="142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43">
        <f>SUM(E68)</f>
        <v/>
      </c>
      <c r="F69" s="143">
        <f>SUM(F68)</f>
        <v/>
      </c>
      <c r="G69" s="143">
        <f>SUM(G68)</f>
        <v/>
      </c>
      <c r="H69" s="143">
        <f>SUM(H68)</f>
        <v/>
      </c>
      <c r="I69" s="143">
        <f>SUM(I68)</f>
        <v/>
      </c>
      <c r="J69" s="143">
        <f>SUM(J68)</f>
        <v/>
      </c>
      <c r="K69" s="143">
        <f>SUM(K68)</f>
        <v/>
      </c>
      <c r="L69" s="143">
        <f>SUM(L68)</f>
        <v/>
      </c>
      <c r="M69" s="143">
        <f>SUM(M68)</f>
        <v/>
      </c>
      <c r="N69" s="143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39" t="n">
        <v>519583</v>
      </c>
      <c r="F72" s="139" t="n">
        <v>594651</v>
      </c>
      <c r="G72" s="139" t="n">
        <v>7989</v>
      </c>
      <c r="H72" s="139" t="n">
        <v>347363</v>
      </c>
      <c r="I72" s="139" t="n">
        <v>846670</v>
      </c>
      <c r="J72" s="142">
        <f>J19</f>
        <v/>
      </c>
      <c r="K72" s="142">
        <f>K19</f>
        <v/>
      </c>
      <c r="L72" s="142">
        <f>L19</f>
        <v/>
      </c>
      <c r="M72" s="142">
        <f>M19</f>
        <v/>
      </c>
      <c r="N72" s="142">
        <f>N19</f>
        <v/>
      </c>
    </row>
    <row r="73" hidden="1" outlineLevel="1">
      <c r="B73" s="19" t="inlineStr">
        <is>
          <t>Issuance (repayment) of equity</t>
        </is>
      </c>
      <c r="E73" s="139" t="n">
        <v>0</v>
      </c>
      <c r="F73" s="139" t="n">
        <v>0</v>
      </c>
      <c r="G73" s="139" t="n">
        <v>0</v>
      </c>
      <c r="H73" s="139" t="n">
        <v>0</v>
      </c>
      <c r="I73" s="139" t="n">
        <v>0</v>
      </c>
      <c r="J73" s="142">
        <f>J20</f>
        <v/>
      </c>
      <c r="K73" s="142">
        <f>K20</f>
        <v/>
      </c>
      <c r="L73" s="142">
        <f>L20</f>
        <v/>
      </c>
      <c r="M73" s="142">
        <f>M20</f>
        <v/>
      </c>
      <c r="N73" s="142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43">
        <f>SUM(E72:E73)</f>
        <v/>
      </c>
      <c r="F74" s="143">
        <f>SUM(F72:F73)</f>
        <v/>
      </c>
      <c r="G74" s="143">
        <f>SUM(G72:G73)</f>
        <v/>
      </c>
      <c r="H74" s="143">
        <f>SUM(H72:H73)</f>
        <v/>
      </c>
      <c r="I74" s="143">
        <f>SUM(I72:I73)</f>
        <v/>
      </c>
      <c r="J74" s="143">
        <f>SUM(J72:J73)</f>
        <v/>
      </c>
      <c r="K74" s="143">
        <f>SUM(K72:K73)</f>
        <v/>
      </c>
      <c r="L74" s="143">
        <f>SUM(L72:L73)</f>
        <v/>
      </c>
      <c r="M74" s="143">
        <f>SUM(M72:M73)</f>
        <v/>
      </c>
      <c r="N74" s="143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150">
        <f>E41-E77</f>
        <v/>
      </c>
      <c r="F76" s="150">
        <f>F41-F77</f>
        <v/>
      </c>
      <c r="G76" s="150">
        <f>G41-G77</f>
        <v/>
      </c>
      <c r="H76" s="150">
        <f>H41-H77</f>
        <v/>
      </c>
      <c r="I76" s="150">
        <f>I41-I77</f>
        <v/>
      </c>
      <c r="J76" s="138">
        <f>J65-J69+J74</f>
        <v/>
      </c>
      <c r="K76" s="138">
        <f>K65-K69+K74</f>
        <v/>
      </c>
      <c r="L76" s="138">
        <f>L65-L69+L74</f>
        <v/>
      </c>
      <c r="M76" s="138">
        <f>M65-M69+M74</f>
        <v/>
      </c>
      <c r="N76" s="138">
        <f>N65-N69+N74</f>
        <v/>
      </c>
    </row>
    <row r="77" hidden="1" outlineLevel="1">
      <c r="B77" s="19" t="inlineStr">
        <is>
          <t>Opening Cash Balance</t>
        </is>
      </c>
      <c r="E77" s="139" t="n">
        <v>157394</v>
      </c>
      <c r="F77" s="150">
        <f>E41</f>
        <v/>
      </c>
      <c r="G77" s="150">
        <f>F41</f>
        <v/>
      </c>
      <c r="H77" s="150">
        <f>G41</f>
        <v/>
      </c>
      <c r="I77" s="150">
        <f>H41</f>
        <v/>
      </c>
      <c r="J77" s="150">
        <f>I41</f>
        <v/>
      </c>
      <c r="K77" s="150">
        <f>J78</f>
        <v/>
      </c>
      <c r="L77" s="150">
        <f>K78</f>
        <v/>
      </c>
      <c r="M77" s="150">
        <f>L78</f>
        <v/>
      </c>
      <c r="N77" s="150">
        <f>M78</f>
        <v/>
      </c>
    </row>
    <row r="78" hidden="1" outlineLevel="1">
      <c r="B78" s="4" t="inlineStr">
        <is>
          <t>Closing Cash Balance</t>
        </is>
      </c>
      <c r="C78" s="5" t="n"/>
      <c r="D78" s="151" t="n">
        <v>157394</v>
      </c>
      <c r="E78" s="143">
        <f>SUM(E76:E77)</f>
        <v/>
      </c>
      <c r="F78" s="143">
        <f>SUM(F76:F77)</f>
        <v/>
      </c>
      <c r="G78" s="143">
        <f>SUM(G76:G77)</f>
        <v/>
      </c>
      <c r="H78" s="143">
        <f>SUM(H76:H77)</f>
        <v/>
      </c>
      <c r="I78" s="143">
        <f>SUM(I76:I77)</f>
        <v/>
      </c>
      <c r="J78" s="143">
        <f>SUM(J76:J77)</f>
        <v/>
      </c>
      <c r="K78" s="143">
        <f>SUM(K76:K77)</f>
        <v/>
      </c>
      <c r="L78" s="143">
        <f>SUM(L76:L77)</f>
        <v/>
      </c>
      <c r="M78" s="143">
        <f>SUM(M76:M77)</f>
        <v/>
      </c>
      <c r="N78" s="143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49">
        <f>E78-E41</f>
        <v/>
      </c>
      <c r="F80" s="149">
        <f>F78-F41</f>
        <v/>
      </c>
      <c r="G80" s="149">
        <f>G78-G41</f>
        <v/>
      </c>
      <c r="H80" s="149">
        <f>H78-H41</f>
        <v/>
      </c>
      <c r="I80" s="149">
        <f>I78-I41</f>
        <v/>
      </c>
      <c r="J80" s="149">
        <f>J78-J41</f>
        <v/>
      </c>
      <c r="K80" s="149">
        <f>K78-K41</f>
        <v/>
      </c>
      <c r="L80" s="149">
        <f>L78-L41</f>
        <v/>
      </c>
      <c r="M80" s="149">
        <f>M78-M41</f>
        <v/>
      </c>
      <c r="N80" s="149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139" t="n">
        <v>312107</v>
      </c>
      <c r="F85" s="139" t="n">
        <v>322410</v>
      </c>
      <c r="G85" s="139" t="n">
        <v>387947</v>
      </c>
      <c r="H85" s="139" t="n">
        <v>426642</v>
      </c>
      <c r="I85" s="139" t="n">
        <v>529148</v>
      </c>
      <c r="J85" s="142">
        <f>J42</f>
        <v/>
      </c>
      <c r="K85" s="142">
        <f>K42</f>
        <v/>
      </c>
      <c r="L85" s="142">
        <f>L42</f>
        <v/>
      </c>
      <c r="M85" s="142">
        <f>M42</f>
        <v/>
      </c>
      <c r="N85" s="142">
        <f>N42</f>
        <v/>
      </c>
    </row>
    <row r="86" hidden="1" outlineLevel="1">
      <c r="B86" s="19" t="inlineStr">
        <is>
          <t>Inventory</t>
        </is>
      </c>
      <c r="E86" s="139" t="n">
        <v>0</v>
      </c>
      <c r="F86" s="139" t="n">
        <v>0</v>
      </c>
      <c r="G86" s="139" t="n">
        <v>0</v>
      </c>
      <c r="H86" s="139" t="n">
        <v>0</v>
      </c>
      <c r="I86" s="139" t="n">
        <v>0</v>
      </c>
      <c r="J86" s="142">
        <f>J43</f>
        <v/>
      </c>
      <c r="K86" s="142">
        <f>K43</f>
        <v/>
      </c>
      <c r="L86" s="142">
        <f>L43</f>
        <v/>
      </c>
      <c r="M86" s="142">
        <f>M43</f>
        <v/>
      </c>
      <c r="N86" s="142">
        <f>N43</f>
        <v/>
      </c>
    </row>
    <row r="87" hidden="1" outlineLevel="1">
      <c r="B87" s="19" t="inlineStr">
        <is>
          <t>Accounts Payable</t>
        </is>
      </c>
      <c r="E87" s="139" t="n">
        <v>20749</v>
      </c>
      <c r="F87" s="139" t="n">
        <v>17273</v>
      </c>
      <c r="G87" s="139" t="n">
        <v>19009</v>
      </c>
      <c r="H87" s="139" t="n">
        <v>22473</v>
      </c>
      <c r="I87" s="139" t="n">
        <v>32315</v>
      </c>
      <c r="J87" s="142">
        <f>J48</f>
        <v/>
      </c>
      <c r="K87" s="142">
        <f>K48</f>
        <v/>
      </c>
      <c r="L87" s="142">
        <f>L48</f>
        <v/>
      </c>
      <c r="M87" s="142">
        <f>M48</f>
        <v/>
      </c>
      <c r="N87" s="142">
        <f>N48</f>
        <v/>
      </c>
    </row>
    <row r="88" hidden="1" outlineLevel="1">
      <c r="B88" s="5" t="inlineStr">
        <is>
          <t>Net Working Capital (NWC)</t>
        </is>
      </c>
      <c r="C88" s="5" t="n"/>
      <c r="D88" s="151" t="n">
        <v>311147</v>
      </c>
      <c r="E88" s="152">
        <f>E85+E86-E87</f>
        <v/>
      </c>
      <c r="F88" s="152">
        <f>F85+F86-F87</f>
        <v/>
      </c>
      <c r="G88" s="152">
        <f>G85+G86-G87</f>
        <v/>
      </c>
      <c r="H88" s="152">
        <f>H85+H86-H87</f>
        <v/>
      </c>
      <c r="I88" s="152">
        <f>I85+I86-I87</f>
        <v/>
      </c>
      <c r="J88" s="152">
        <f>J85+J86-J87</f>
        <v/>
      </c>
      <c r="K88" s="152">
        <f>K85+K86-K87</f>
        <v/>
      </c>
      <c r="L88" s="152">
        <f>L85+L86-L87</f>
        <v/>
      </c>
      <c r="M88" s="152">
        <f>M85+M86-M87</f>
        <v/>
      </c>
      <c r="N88" s="152">
        <f>N85+N86-N87</f>
        <v/>
      </c>
    </row>
    <row r="89" hidden="1" outlineLevel="1">
      <c r="B89" s="19" t="inlineStr">
        <is>
          <t>Change in NWC</t>
        </is>
      </c>
      <c r="E89" s="138">
        <f>E88-D88</f>
        <v/>
      </c>
      <c r="F89" s="138">
        <f>F88-E88</f>
        <v/>
      </c>
      <c r="G89" s="138">
        <f>G88-F88</f>
        <v/>
      </c>
      <c r="H89" s="138">
        <f>H88-G88</f>
        <v/>
      </c>
      <c r="I89" s="138">
        <f>I88-H88</f>
        <v/>
      </c>
      <c r="J89" s="138">
        <f>J88-I88</f>
        <v/>
      </c>
      <c r="K89" s="138">
        <f>K88-J88</f>
        <v/>
      </c>
      <c r="L89" s="138">
        <f>L88-K88</f>
        <v/>
      </c>
      <c r="M89" s="138">
        <f>M88-L88</f>
        <v/>
      </c>
      <c r="N89" s="138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39" t="n">
        <v>46419</v>
      </c>
      <c r="F92" s="150">
        <f>E95</f>
        <v/>
      </c>
      <c r="G92" s="150">
        <f>F95</f>
        <v/>
      </c>
      <c r="H92" s="150">
        <f>G95</f>
        <v/>
      </c>
      <c r="I92" s="150">
        <f>H95</f>
        <v/>
      </c>
      <c r="J92" s="150">
        <f>I44</f>
        <v/>
      </c>
      <c r="K92" s="150">
        <f>J95</f>
        <v/>
      </c>
      <c r="L92" s="150">
        <f>K95</f>
        <v/>
      </c>
      <c r="M92" s="150">
        <f>L95</f>
        <v/>
      </c>
      <c r="N92" s="150">
        <f>M95</f>
        <v/>
      </c>
    </row>
    <row r="93" hidden="1" outlineLevel="1">
      <c r="B93" s="19" t="inlineStr">
        <is>
          <t>Plus Capex</t>
        </is>
      </c>
      <c r="E93" s="139" t="n">
        <v>7569</v>
      </c>
      <c r="F93" s="139" t="n">
        <v>6029</v>
      </c>
      <c r="G93" s="139" t="n">
        <v>4237</v>
      </c>
      <c r="H93" s="139" t="n">
        <v>25551</v>
      </c>
      <c r="I93" s="139" t="n">
        <v>39407</v>
      </c>
      <c r="J93" s="142">
        <f>+J18</f>
        <v/>
      </c>
      <c r="K93" s="142">
        <f>+K18</f>
        <v/>
      </c>
      <c r="L93" s="142">
        <f>+L18</f>
        <v/>
      </c>
      <c r="M93" s="142">
        <f>+M18</f>
        <v/>
      </c>
      <c r="N93" s="142">
        <f>+N18</f>
        <v/>
      </c>
    </row>
    <row r="94" hidden="1" outlineLevel="1">
      <c r="B94" s="19" t="inlineStr">
        <is>
          <t>Less Depreciation</t>
        </is>
      </c>
      <c r="E94" s="139" t="n">
        <v>25592</v>
      </c>
      <c r="F94" s="139" t="n">
        <v>20465</v>
      </c>
      <c r="G94" s="139" t="n">
        <v>14638</v>
      </c>
      <c r="H94" s="139" t="n">
        <v>13827</v>
      </c>
      <c r="I94" s="139" t="n">
        <v>14952</v>
      </c>
      <c r="J94" s="142">
        <f>J92*J11</f>
        <v/>
      </c>
      <c r="K94" s="142">
        <f>K92*K11</f>
        <v/>
      </c>
      <c r="L94" s="142">
        <f>L92*L11</f>
        <v/>
      </c>
      <c r="M94" s="142">
        <f>M92*M11</f>
        <v/>
      </c>
      <c r="N94" s="142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153" t="n">
        <v>27913</v>
      </c>
      <c r="F95" s="153" t="n">
        <v>17580</v>
      </c>
      <c r="G95" s="153" t="n">
        <v>10966</v>
      </c>
      <c r="H95" s="153" t="n">
        <v>38465</v>
      </c>
      <c r="I95" s="153" t="n">
        <v>67713</v>
      </c>
      <c r="J95" s="152">
        <f>J92+J93-J94</f>
        <v/>
      </c>
      <c r="K95" s="152">
        <f>K92+K93-K94</f>
        <v/>
      </c>
      <c r="L95" s="152">
        <f>L92+L93-L94</f>
        <v/>
      </c>
      <c r="M95" s="152">
        <f>M92+M93-M94</f>
        <v/>
      </c>
      <c r="N95" s="152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39" t="n">
        <v>739435</v>
      </c>
      <c r="F98" s="150">
        <f>E100</f>
        <v/>
      </c>
      <c r="G98" s="150">
        <f>F100</f>
        <v/>
      </c>
      <c r="H98" s="150">
        <f>G100</f>
        <v/>
      </c>
      <c r="I98" s="150">
        <f>H100</f>
        <v/>
      </c>
      <c r="J98" s="150">
        <f>I49</f>
        <v/>
      </c>
      <c r="K98" s="150">
        <f>J100</f>
        <v/>
      </c>
      <c r="L98" s="150">
        <f>K100</f>
        <v/>
      </c>
      <c r="M98" s="150">
        <f>L100</f>
        <v/>
      </c>
      <c r="N98" s="150">
        <f>M100</f>
        <v/>
      </c>
    </row>
    <row r="99" hidden="1" outlineLevel="1">
      <c r="B99" s="19" t="inlineStr">
        <is>
          <t>Issuance (repayment)</t>
        </is>
      </c>
      <c r="E99" s="139" t="n">
        <v>519583</v>
      </c>
      <c r="F99" s="139" t="n">
        <v>594651</v>
      </c>
      <c r="G99" s="139" t="n">
        <v>7989</v>
      </c>
      <c r="H99" s="139" t="n">
        <v>347363</v>
      </c>
      <c r="I99" s="139" t="n">
        <v>846670</v>
      </c>
      <c r="J99" s="138">
        <f>+J19</f>
        <v/>
      </c>
      <c r="K99" s="138">
        <f>+K19</f>
        <v/>
      </c>
      <c r="L99" s="138">
        <f>+L19</f>
        <v/>
      </c>
      <c r="M99" s="138">
        <f>+M19</f>
        <v/>
      </c>
      <c r="N99" s="138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53" t="n">
        <v>1259018</v>
      </c>
      <c r="F100" s="153" t="n">
        <v>1853669</v>
      </c>
      <c r="G100" s="153" t="n">
        <v>1861658</v>
      </c>
      <c r="H100" s="153" t="n">
        <v>2209021</v>
      </c>
      <c r="I100" s="153" t="n">
        <v>3055691</v>
      </c>
      <c r="J100" s="152">
        <f>SUM(J98:J99)</f>
        <v/>
      </c>
      <c r="K100" s="152">
        <f>SUM(K98:K99)</f>
        <v/>
      </c>
      <c r="L100" s="152">
        <f>SUM(L98:L99)</f>
        <v/>
      </c>
      <c r="M100" s="152">
        <f>SUM(M98:M99)</f>
        <v/>
      </c>
      <c r="N100" s="152">
        <f>SUM(N98:N99)</f>
        <v/>
      </c>
    </row>
    <row r="101" hidden="1" outlineLevel="1">
      <c r="B101" s="19" t="inlineStr">
        <is>
          <t>Interest Expense</t>
        </is>
      </c>
      <c r="E101" s="139" t="n">
        <v>40092</v>
      </c>
      <c r="F101" s="139" t="n">
        <v>68967</v>
      </c>
      <c r="G101" s="139" t="n">
        <v>95546</v>
      </c>
      <c r="H101" s="139" t="n">
        <v>105638</v>
      </c>
      <c r="I101" s="139" t="n">
        <v>133647</v>
      </c>
      <c r="J101" s="142">
        <f>J98*J12</f>
        <v/>
      </c>
      <c r="K101" s="142">
        <f>K98*K12</f>
        <v/>
      </c>
      <c r="L101" s="142">
        <f>L98*L12</f>
        <v/>
      </c>
      <c r="M101" s="142">
        <f>M98*M12</f>
        <v/>
      </c>
      <c r="N101" s="142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 (unlevered / on EBIT)</t>
        </is>
      </c>
      <c r="C5" s="100" t="n"/>
      <c r="D5" s="154" t="n">
        <v>0.1877023903712333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54" t="n">
        <v>0.096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5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55" t="n">
        <v>22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56" t="n">
        <v>45930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56" t="n">
        <v>46295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57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58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58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58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 (FY1 forecast, linked)</t>
        </is>
      </c>
      <c r="C15" s="97" t="n"/>
      <c r="D15" s="159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60">
        <f>YEAR(E18)</f>
        <v/>
      </c>
      <c r="F17" s="160">
        <f>YEAR(F18)</f>
        <v/>
      </c>
      <c r="G17" s="160">
        <f>YEAR(G18)</f>
        <v/>
      </c>
      <c r="H17" s="160">
        <f>YEAR(H18)</f>
        <v/>
      </c>
      <c r="I17" s="160">
        <f>YEAR(I18)</f>
        <v/>
      </c>
      <c r="J17" s="112" t="inlineStr">
        <is>
          <t>Exit</t>
        </is>
      </c>
      <c r="K17" s="97" t="n"/>
      <c r="L17" s="114" t="inlineStr">
        <is>
          <t>Terminal value methods</t>
        </is>
      </c>
      <c r="M17" s="111" t="n"/>
      <c r="N17" s="111" t="n"/>
      <c r="O17" s="97" t="n"/>
    </row>
    <row r="18" ht="16" customHeight="1">
      <c r="A18" s="97" t="n"/>
      <c r="B18" s="97" t="inlineStr">
        <is>
          <t>Date (mid-year convention)</t>
        </is>
      </c>
      <c r="C18" s="97" t="n"/>
      <c r="D18" s="161">
        <f>D9</f>
        <v/>
      </c>
      <c r="E18" s="162">
        <f>DATE(YEAR($D$10)+E19,3,31)</f>
        <v/>
      </c>
      <c r="F18" s="162">
        <f>DATE(YEAR($D$10)+F19,3,31)</f>
        <v/>
      </c>
      <c r="G18" s="162">
        <f>DATE(YEAR($D$10)+G19,3,31)</f>
        <v/>
      </c>
      <c r="H18" s="162">
        <f>DATE(YEAR($D$10)+H19,3,31)</f>
        <v/>
      </c>
      <c r="I18" s="162">
        <f>DATE(YEAR($D$10)+I19,3,31)</f>
        <v/>
      </c>
      <c r="J18" s="163">
        <f>I18</f>
        <v/>
      </c>
      <c r="K18" s="97" t="n"/>
      <c r="L18" s="97" t="inlineStr">
        <is>
          <t>Gordon TV (in J27) — primary</t>
        </is>
      </c>
      <c r="M18" s="159">
        <f>J27</f>
        <v/>
      </c>
      <c r="N18" s="97">
        <f>(I26*(1+D7))/(D6-D7)</f>
        <v/>
      </c>
      <c r="O18" s="97" t="n"/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64" t="n">
        <v>0</v>
      </c>
      <c r="F19" s="161">
        <f>E19+1</f>
        <v/>
      </c>
      <c r="G19" s="161">
        <f>F19+1</f>
        <v/>
      </c>
      <c r="H19" s="161">
        <f>G19+1</f>
        <v/>
      </c>
      <c r="I19" s="161">
        <f>H19+1</f>
        <v/>
      </c>
      <c r="J19" s="115" t="n"/>
      <c r="K19" s="97" t="n"/>
      <c r="L19" s="97" t="inlineStr">
        <is>
          <t>Exit EV/EBITDA cross-check</t>
        </is>
      </c>
      <c r="M19" s="159">
        <f>($I$21+$I$23)*$D$8</f>
        <v/>
      </c>
      <c r="N19" s="121">
        <f>D8*(I21+I23)</f>
        <v/>
      </c>
      <c r="O19" s="97" t="n"/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61">
        <f>YEARFRAC(D18,E18)</f>
        <v/>
      </c>
      <c r="F20" s="161">
        <f>YEARFRAC(E18,F18)</f>
        <v/>
      </c>
      <c r="G20" s="161">
        <f>YEARFRAC(F18,G18)</f>
        <v/>
      </c>
      <c r="H20" s="161">
        <f>YEARFRAC(G18,H18)</f>
        <v/>
      </c>
      <c r="I20" s="161">
        <f>YEARFRAC(H18,I18)</f>
        <v/>
      </c>
      <c r="J20" s="97" t="n"/>
      <c r="K20" s="97" t="n"/>
      <c r="L20" s="97" t="inlineStr">
        <is>
          <t>Implied exit multiple vs Gordon</t>
        </is>
      </c>
      <c r="M20" s="159">
        <f>IF(($I$21+$I$23)=0,0,J27/($I$21+$I$23))</f>
        <v/>
      </c>
      <c r="N20" s="123">
        <f>AVERAGE(N18:N19)</f>
        <v/>
      </c>
      <c r="O20" s="97" t="n"/>
    </row>
    <row r="21" ht="16" customHeight="1">
      <c r="A21" s="97" t="n"/>
      <c r="B21" s="97" t="inlineStr">
        <is>
          <t>EBIT (linked to 3-stmt)</t>
        </is>
      </c>
      <c r="C21" s="97" t="n"/>
      <c r="D21" s="97" t="n"/>
      <c r="E21" s="159">
        <f>'3 Statement Model'!J26-'3 Statement Model'!J28-'3 Statement Model'!J29-'3 Statement Model'!J30</f>
        <v/>
      </c>
      <c r="F21" s="159">
        <f>'3 Statement Model'!K26-'3 Statement Model'!K28-'3 Statement Model'!K29-'3 Statement Model'!K30</f>
        <v/>
      </c>
      <c r="G21" s="159">
        <f>'3 Statement Model'!L26-'3 Statement Model'!L28-'3 Statement Model'!L29-'3 Statement Model'!L30</f>
        <v/>
      </c>
      <c r="H21" s="159">
        <f>'3 Statement Model'!M26-'3 Statement Model'!M28-'3 Statement Model'!M29-'3 Statement Model'!M30</f>
        <v/>
      </c>
      <c r="I21" s="159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Unlevered Cash Taxes (EBIT×t)</t>
        </is>
      </c>
      <c r="C22" s="97" t="n"/>
      <c r="D22" s="97" t="n"/>
      <c r="E22" s="159">
        <f>E21*$D$5</f>
        <v/>
      </c>
      <c r="F22" s="159">
        <f>F21*$D$5</f>
        <v/>
      </c>
      <c r="G22" s="159">
        <f>G21*$D$5</f>
        <v/>
      </c>
      <c r="H22" s="159">
        <f>H21*$D$5</f>
        <v/>
      </c>
      <c r="I22" s="159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97" t="n"/>
      <c r="D23" s="97" t="n"/>
      <c r="E23" s="159">
        <f>'3 Statement Model'!J30</f>
        <v/>
      </c>
      <c r="F23" s="159">
        <f>'3 Statement Model'!K30</f>
        <v/>
      </c>
      <c r="G23" s="159">
        <f>'3 Statement Model'!L30</f>
        <v/>
      </c>
      <c r="H23" s="159">
        <f>'3 Statement Model'!M30</f>
        <v/>
      </c>
      <c r="I23" s="159">
        <f>'3 Statement Model'!N30</f>
        <v/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 (linked to 3-stmt CF)</t>
        </is>
      </c>
      <c r="C24" s="97" t="n"/>
      <c r="D24" s="97" t="n"/>
      <c r="E24" s="159">
        <f>'3 Statement Model'!J68</f>
        <v/>
      </c>
      <c r="F24" s="159">
        <f>'3 Statement Model'!K68</f>
        <v/>
      </c>
      <c r="G24" s="159">
        <f>'3 Statement Model'!L68</f>
        <v/>
      </c>
      <c r="H24" s="159">
        <f>'3 Statement Model'!M68</f>
        <v/>
      </c>
      <c r="I24" s="159">
        <f>'3 Statement Model'!N68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ΔNWC (linked to 3-stmt CF)</t>
        </is>
      </c>
      <c r="C25" s="97" t="n"/>
      <c r="D25" s="97" t="n"/>
      <c r="E25" s="159">
        <f>'3 Statement Model'!J64</f>
        <v/>
      </c>
      <c r="F25" s="159">
        <f>'3 Statement Model'!K64</f>
        <v/>
      </c>
      <c r="G25" s="159">
        <f>'3 Statement Model'!L64</f>
        <v/>
      </c>
      <c r="H25" s="159">
        <f>'3 Statement Model'!M64</f>
        <v/>
      </c>
      <c r="I25" s="159">
        <f>'3 Statement Model'!N64</f>
        <v/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65">
        <f>E21-E22+E23-E24-E25</f>
        <v/>
      </c>
      <c r="F26" s="165">
        <f>F21-F22+F23-F24-F25</f>
        <v/>
      </c>
      <c r="G26" s="165">
        <f>G21-G22+G23-G24-G25</f>
        <v/>
      </c>
      <c r="H26" s="165">
        <f>H21-H22+H23-H24-H25</f>
        <v/>
      </c>
      <c r="I26" s="165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 TV — Gordon</t>
        </is>
      </c>
      <c r="C27" s="97" t="n"/>
      <c r="D27" s="166">
        <f>-I35</f>
        <v/>
      </c>
      <c r="E27" s="97" t="n"/>
      <c r="F27" s="97" t="n"/>
      <c r="G27" s="97" t="n"/>
      <c r="H27" s="97" t="n"/>
      <c r="I27" s="97" t="n"/>
      <c r="J27" s="159">
        <f>IF(($D$6-$D$7)&lt;=0,"WACC must exceed g",$I$26*(1+$D$7)/($D$6-$D$7))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65" t="n">
        <v>0</v>
      </c>
      <c r="E28" s="167">
        <f>E27+E26</f>
        <v/>
      </c>
      <c r="F28" s="167">
        <f>F27+F26</f>
        <v/>
      </c>
      <c r="G28" s="167">
        <f>G27+G26</f>
        <v/>
      </c>
      <c r="H28" s="167">
        <f>H27+H26</f>
        <v/>
      </c>
      <c r="I28" s="167">
        <f>I27+I26</f>
        <v/>
      </c>
      <c r="J28" s="167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166">
        <f>D27+D26</f>
        <v/>
      </c>
      <c r="E29" s="159">
        <f>E27+E26</f>
        <v/>
      </c>
      <c r="F29" s="159">
        <f>F27+F26</f>
        <v/>
      </c>
      <c r="G29" s="159">
        <f>G27+G26</f>
        <v/>
      </c>
      <c r="H29" s="159">
        <f>H27+H26</f>
        <v/>
      </c>
      <c r="I29" s="159">
        <f>I27+I26</f>
        <v/>
      </c>
      <c r="J29" s="159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</row>
    <row r="32" ht="16" customHeight="1">
      <c r="A32" s="97" t="n"/>
      <c r="B32" s="97" t="inlineStr">
        <is>
          <t>Enterprise Value (XNPV, mid-year dates)</t>
        </is>
      </c>
      <c r="C32" s="97" t="n"/>
      <c r="D32" s="159">
        <f>XNPV(D6,D28:J28,D18:J18)</f>
        <v/>
      </c>
      <c r="E32" s="97" t="n"/>
      <c r="G32" s="97" t="inlineStr">
        <is>
          <t>Market Cap</t>
        </is>
      </c>
      <c r="H32" s="97" t="n"/>
      <c r="I32" s="166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166">
        <f>+D14</f>
        <v/>
      </c>
      <c r="E33" s="97" t="n"/>
      <c r="G33" s="97" t="inlineStr">
        <is>
          <t>Plus: Debt</t>
        </is>
      </c>
      <c r="H33" s="97" t="n"/>
      <c r="I33" s="166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166">
        <f>+D13</f>
        <v/>
      </c>
      <c r="E34" s="97" t="n"/>
      <c r="G34" s="97" t="inlineStr">
        <is>
          <t>Less: Cash</t>
        </is>
      </c>
      <c r="H34" s="97" t="n"/>
      <c r="I34" s="166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65">
        <f>D32+D33-D34</f>
        <v/>
      </c>
      <c r="E35" s="97" t="n"/>
      <c r="G35" s="97" t="inlineStr">
        <is>
          <t>Enterprise Value</t>
        </is>
      </c>
      <c r="H35" s="97" t="n"/>
      <c r="I35" s="165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68" t="n"/>
      <c r="J36" s="97" t="n"/>
      <c r="L36" s="97" t="inlineStr">
        <is>
          <t>Market Value</t>
        </is>
      </c>
      <c r="M36" s="97" t="n"/>
      <c r="N36" s="168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66">
        <f>D35/D12</f>
        <v/>
      </c>
      <c r="E37" s="97" t="n"/>
      <c r="G37" s="97" t="inlineStr">
        <is>
          <t>Equity Value/Share</t>
        </is>
      </c>
      <c r="H37" s="97" t="n"/>
      <c r="I37" s="166">
        <f>D11</f>
        <v/>
      </c>
      <c r="J37" s="97" t="n"/>
      <c r="L37" s="97" t="inlineStr">
        <is>
          <t>Upside</t>
        </is>
      </c>
      <c r="M37" s="97" t="n"/>
      <c r="N37" s="168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68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2026-08-04T17:47:25Z</dcterms:modified>
  <cp:lastModifiedBy>Katie Au Yeung</cp:lastModifiedBy>
  <cp:lastPrinted>2014-12-13T23:43:21Z</cp:lastPrinted>
</cp:coreProperties>
</file>