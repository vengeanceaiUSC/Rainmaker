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96" windowHeight="8376" tabRatio="685" firstSheet="0" activeTab="0" autoFilterDateGrouping="1"/>
  </bookViews>
  <sheets>
    <sheet name="Cover Page" sheetId="1" state="visible" r:id="rId1"/>
    <sheet name="3 Statement Model" sheetId="2" state="visible" r:id="rId2"/>
    <sheet name="DCF Model" sheetId="3" state="visible" r:id="rId3"/>
  </sheets>
  <definedNames>
    <definedName name="IS_BaseYear">'3 Statement Model'!$E$2</definedName>
    <definedName name="IS_Revenue_Start">'3 Statement Model'!$E$24</definedName>
    <definedName name="IS_COGS_Start">'3 Statement Model'!$E$25</definedName>
    <definedName name="IS_SGA_Start">'3 Statement Model'!$E$28</definedName>
    <definedName name="IS_RD_Start">'3 Statement Model'!$E$29</definedName>
    <definedName name="IS_DA_Start">'3 Statement Model'!$E$30</definedName>
    <definedName name="IS_Interest_Start">'3 Statement Model'!$E$31</definedName>
    <definedName name="IS_Tax_Start">'3 Statement Model'!$E$35</definedName>
    <definedName name="IS_Revenue_FY1">'3 Statement Model'!$E$24</definedName>
    <definedName name="IS_Revenue_FY2">'3 Statement Model'!$F$24</definedName>
    <definedName name="IS_Revenue_FY3">'3 Statement Model'!$G$24</definedName>
    <definedName name="IS_Revenue_FY4">'3 Statement Model'!$H$24</definedName>
    <definedName name="IS_Revenue_FY5">'3 Statement Model'!$I$24</definedName>
    <definedName name="IS_COGS_FY1">'3 Statement Model'!$E$25</definedName>
    <definedName name="IS_COGS_FY2">'3 Statement Model'!$F$25</definedName>
    <definedName name="IS_COGS_FY3">'3 Statement Model'!$G$25</definedName>
    <definedName name="IS_COGS_FY4">'3 Statement Model'!$H$25</definedName>
    <definedName name="IS_COGS_FY5">'3 Statement Model'!$I$25</definedName>
    <definedName name="BS_Cash_Start">'3 Statement Model'!$E$41</definedName>
    <definedName name="BS_AR_Start">'3 Statement Model'!$E$42</definedName>
    <definedName name="BS_Inventory_Start">'3 Statement Model'!$E$43</definedName>
    <definedName name="BS_PPE_Start">'3 Statement Model'!$E$44</definedName>
    <definedName name="BS_AP_Start">'3 Statement Model'!$E$48</definedName>
    <definedName name="BS_Debt_Start">'3 Statement Model'!$E$49</definedName>
    <definedName name="BS_EquityCapital_Start">'3 Statement Model'!$E$52</definedName>
    <definedName name="BS_RE_Start">'3 Statement Model'!$E$53</definedName>
    <definedName name="CF_DeltaNWC_Start">'3 Statement Model'!$E$64</definedName>
    <definedName name="CF_Capex_Start">'3 Statement Model'!$E$68</definedName>
    <definedName name="CF_DebtIssuance_Start">'3 Statement Model'!$E$72</definedName>
    <definedName name="CF_EquityIssuance_Start">'3 Statement Model'!$E$73</definedName>
    <definedName name="CF_OpeningCash_FY1">'3 Statement Model'!$D$78</definedName>
    <definedName name="ASSUM_RevGrowth_Start">'3 Statement Model'!$J$7</definedName>
    <definedName name="ASSUM_COGSPct_Start">'3 Statement Model'!$J$8</definedName>
    <definedName name="ASSUM_SGA_Start">'3 Statement Model'!$J$9</definedName>
    <definedName name="ASSUM_RD_Start">'3 Statement Model'!$J$10</definedName>
    <definedName name="ASSUM_DAPctPPE_Start">'3 Statement Model'!$J$11</definedName>
    <definedName name="ASSUM_IntPct_Start">'3 Statement Model'!$J$12</definedName>
    <definedName name="ASSUM_TaxRate_Start">'3 Statement Model'!$J$13</definedName>
    <definedName name="ASSUM_ARDays_Start">'3 Statement Model'!$J$15</definedName>
    <definedName name="ASSUM_InvDays_Start">'3 Statement Model'!$J$16</definedName>
    <definedName name="ASSUM_APDays_Start">'3 Statement Model'!$J$17</definedName>
    <definedName name="ASSUM_Capex_Start">'3 Statement Model'!$J$18</definedName>
    <definedName name="ASSUM_DebtIssuance_Start">'3 Statement Model'!$J$19</definedName>
    <definedName name="ASSUM_EquityIssuance_Start">'3 Statement Model'!$J$20</definedName>
    <definedName name="DCF_TaxRate">'DCF Model'!$D$5</definedName>
    <definedName name="DCF_WACC">'DCF Model'!$D$6</definedName>
    <definedName name="DCF_PerpetualGrowth">'DCF Model'!$D$7</definedName>
    <definedName name="DCF_ExitMultiple">'DCF Model'!$D$8</definedName>
    <definedName name="DCF_TransactionDate">'DCF Model'!$D$9</definedName>
    <definedName name="DCF_FiscalYearEnd">'DCF Model'!$D$10</definedName>
    <definedName name="DCF_SharePrice">'DCF Model'!$D$11</definedName>
    <definedName name="DCF_Shares">'DCF Model'!$D$12</definedName>
    <definedName name="DCF_Debt">'DCF Model'!$D$13</definedName>
    <definedName name="DCF_Cash">'DCF Model'!$D$14</definedName>
    <definedName name="DCF_Capex">'DCF Model'!$D$15</definedName>
    <definedName name="DCF_EBIT_Start">'DCF Model'!$E$21</definedName>
    <definedName name="DCF_DA_Start">'DCF Model'!$E$23</definedName>
    <definedName name="DCF_DeltaNWC_Start">'DCF Model'!$E$25</definedName>
    <definedName name="_xlnm.Print_Area" localSheetId="0">'Cover Page'!$A$1:$P$27</definedName>
    <definedName name="Forecast" localSheetId="1">#REF!</definedName>
    <definedName name="Step_1" localSheetId="1">#REF!</definedName>
    <definedName name="Step_2" localSheetId="1">#REF!</definedName>
    <definedName name="Step_3" localSheetId="1">#REF!</definedName>
    <definedName name="Step_4" localSheetId="1">#REF!</definedName>
    <definedName name="Step_5" localSheetId="1">#REF!</definedName>
    <definedName name="Step_6" localSheetId="1">#REF!</definedName>
    <definedName name="_xlnm.Print_Titles" localSheetId="1">'3 Statement Model'!$1:$3</definedName>
    <definedName name="_xlnm.Print_Area" localSheetId="1">'3 Statement Model'!$A$1:$N$104</definedName>
  </definedNames>
  <calcPr calcId="181029" fullCalcOnLoad="1"/>
</workbook>
</file>

<file path=xl/styles.xml><?xml version="1.0" encoding="utf-8"?>
<styleSheet xmlns="http://schemas.openxmlformats.org/spreadsheetml/2006/main">
  <numFmts count="14">
    <numFmt numFmtId="164" formatCode="_-* #,##0_-;\(#,##0\)_-;_-* &quot;-&quot;_-;_-@_-"/>
    <numFmt numFmtId="165" formatCode="0.0000_ ;\-0.0000\ "/>
    <numFmt numFmtId="166" formatCode="0.0%"/>
    <numFmt numFmtId="167" formatCode="_-* #,##0_-;\-* #,##0_-;_-* &quot;-&quot;??_-;_-@_-"/>
    <numFmt numFmtId="168" formatCode="_(* #,##0_);_(* \(#,##0\);_(* &quot;-&quot;??_);_(@_)"/>
    <numFmt numFmtId="169" formatCode="0.000"/>
    <numFmt numFmtId="170" formatCode="_ * #,##0_ ;_ * \-#,##0_ ;_ * &quot;-&quot;??_ ;_ @_ "/>
    <numFmt numFmtId="171" formatCode="0.0\x"/>
    <numFmt numFmtId="172" formatCode="_-* #,##0.00_-;\-* #,##0.00_-;_-* &quot;-&quot;??_-;_-@_-"/>
    <numFmt numFmtId="173" formatCode="_-* #,##0.00_-;\(#,##0.00\)_-;_-* &quot;-&quot;_-;_-@_-"/>
    <numFmt numFmtId="174" formatCode="#,##0.0;(#,##0.0);-"/>
    <numFmt numFmtId="175" formatCode="yyyy-mm-dd"/>
    <numFmt numFmtId="176" formatCode="$#,##0.00"/>
    <numFmt numFmtId="177" formatCode="0.0"/>
  </numFmts>
  <fonts count="3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arrow"/>
      <family val="2"/>
      <color theme="1"/>
      <sz val="12"/>
    </font>
    <font>
      <name val="Arial Narrow"/>
      <family val="2"/>
      <b val="1"/>
      <color theme="0"/>
      <sz val="14"/>
    </font>
    <font>
      <name val="Arial Narrow"/>
      <family val="2"/>
      <b val="1"/>
      <color theme="1"/>
      <sz val="12"/>
    </font>
    <font>
      <name val="Arial Narrow"/>
      <family val="2"/>
      <i val="1"/>
      <color theme="1"/>
      <sz val="12"/>
    </font>
    <font>
      <name val="Arial Narrow"/>
      <family val="2"/>
      <b val="1"/>
      <sz val="12"/>
    </font>
    <font>
      <name val="Arial Narrow"/>
      <family val="2"/>
      <b val="1"/>
      <color rgb="FF0000FF"/>
      <sz val="12"/>
    </font>
    <font>
      <name val="Arial Narrow"/>
      <family val="2"/>
      <color rgb="FF0000FF"/>
      <sz val="12"/>
    </font>
    <font>
      <name val="Arial Narrow"/>
      <family val="2"/>
      <sz val="12"/>
    </font>
    <font>
      <name val="Arial Narrow"/>
      <family val="2"/>
      <color theme="0"/>
      <sz val="12"/>
    </font>
    <font>
      <name val="Arial Narrow"/>
      <family val="2"/>
      <color theme="0"/>
      <sz val="8"/>
    </font>
    <font>
      <name val="Arial Narrow"/>
      <family val="2"/>
      <b val="1"/>
      <color theme="0"/>
      <sz val="12"/>
    </font>
    <font>
      <name val="Arial Narrow"/>
      <family val="2"/>
      <b val="1"/>
      <color theme="0"/>
      <sz val="16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rgb="FF0070C0"/>
      <sz val="12"/>
      <u val="single"/>
      <scheme val="minor"/>
    </font>
    <font>
      <name val="Open Sans"/>
      <family val="2"/>
      <color theme="1"/>
      <sz val="11"/>
    </font>
    <font>
      <name val="Arial Narrow"/>
      <family val="2"/>
      <color theme="1"/>
      <sz val="11"/>
    </font>
    <font>
      <name val="Arial Narrow"/>
      <family val="2"/>
      <b val="1"/>
      <color theme="1"/>
      <sz val="22"/>
    </font>
    <font>
      <name val="Arial Narrow"/>
      <family val="2"/>
      <b val="1"/>
      <color theme="1"/>
      <sz val="11"/>
    </font>
    <font>
      <name val="Arial Narrow"/>
      <family val="2"/>
      <color rgb="FF0000FF"/>
      <sz val="11"/>
      <u val="single"/>
    </font>
    <font>
      <name val="Arial"/>
      <family val="2"/>
      <color theme="10"/>
      <sz val="10"/>
      <u val="single"/>
    </font>
    <font>
      <name val="Arial"/>
      <family val="2"/>
      <color rgb="FF132E57"/>
      <sz val="10"/>
      <u val="single"/>
    </font>
    <font>
      <name val="Arial"/>
      <family val="2"/>
      <color theme="1"/>
      <sz val="10"/>
      <u val="single"/>
    </font>
    <font>
      <name val="Arial Narrow"/>
      <family val="2"/>
      <color theme="0"/>
      <sz val="11"/>
    </font>
    <font>
      <name val="Open Sans"/>
      <family val="2"/>
      <color theme="0"/>
      <sz val="8"/>
    </font>
    <font>
      <name val="Open Sans"/>
      <family val="2"/>
      <color theme="1"/>
      <sz val="12"/>
    </font>
    <font>
      <name val="Open Sans"/>
      <family val="2"/>
      <b val="1"/>
      <color theme="0"/>
      <sz val="10"/>
    </font>
    <font>
      <name val="Open Sans"/>
      <family val="2"/>
      <b val="1"/>
      <color theme="0"/>
      <sz val="11"/>
    </font>
    <font>
      <name val="Open Sans"/>
      <family val="2"/>
      <color theme="1"/>
      <sz val="10"/>
    </font>
    <font>
      <name val="Open Sans"/>
      <family val="2"/>
      <b val="1"/>
      <color theme="1"/>
      <sz val="10"/>
    </font>
    <font>
      <name val="Open Sans"/>
      <family val="2"/>
      <color rgb="FF0000FF"/>
      <sz val="10"/>
    </font>
    <font>
      <name val="Open Sans"/>
      <family val="2"/>
      <b val="1"/>
      <sz val="10"/>
    </font>
    <font>
      <name val="Open Sans"/>
      <family val="2"/>
      <sz val="10"/>
    </font>
    <font>
      <name val="Open Sans"/>
      <family val="2"/>
      <i val="1"/>
      <color theme="1"/>
      <sz val="10"/>
    </font>
    <font>
      <name val="Open Sans"/>
      <family val="2"/>
      <i val="1"/>
      <sz val="10"/>
    </font>
    <font>
      <name val="Open Sans"/>
      <family val="2"/>
      <i val="1"/>
      <color rgb="FF0000FF"/>
      <sz val="10"/>
    </font>
    <font>
      <name val="Calibri"/>
      <color rgb="000000FF"/>
    </font>
  </fonts>
  <fills count="8">
    <fill>
      <patternFill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9">
    <xf numFmtId="0" fontId="1" fillId="0" borderId="0"/>
    <xf numFmtId="43" fontId="1" fillId="0" borderId="0"/>
    <xf numFmtId="9" fontId="1" fillId="0" borderId="0"/>
    <xf numFmtId="0" fontId="14" fillId="0" borderId="0"/>
    <xf numFmtId="0" fontId="14" fillId="0" borderId="0"/>
    <xf numFmtId="0" fontId="1" fillId="0" borderId="0"/>
    <xf numFmtId="0" fontId="22" fillId="0" borderId="0"/>
    <xf numFmtId="0" fontId="1" fillId="0" borderId="0"/>
    <xf numFmtId="0" fontId="22" fillId="0" borderId="0"/>
  </cellStyleXfs>
  <cellXfs count="160">
    <xf numFmtId="0" fontId="0" fillId="0" borderId="0" pivotButton="0" quotePrefix="0" xfId="0"/>
    <xf numFmtId="164" fontId="2" fillId="0" borderId="0" pivotButton="0" quotePrefix="0" xfId="1"/>
    <xf numFmtId="164" fontId="2" fillId="0" borderId="1" pivotButton="0" quotePrefix="0" xfId="1"/>
    <xf numFmtId="164" fontId="4" fillId="0" borderId="0" pivotButton="0" quotePrefix="0" xfId="1"/>
    <xf numFmtId="164" fontId="4" fillId="0" borderId="2" pivotButton="0" quotePrefix="0" xfId="1"/>
    <xf numFmtId="164" fontId="2" fillId="0" borderId="2" pivotButton="0" quotePrefix="0" xfId="1"/>
    <xf numFmtId="164" fontId="2" fillId="0" borderId="0" pivotButton="0" quotePrefix="0" xfId="1"/>
    <xf numFmtId="164" fontId="4" fillId="0" borderId="0" pivotButton="0" quotePrefix="0" xfId="1"/>
    <xf numFmtId="164" fontId="4" fillId="0" borderId="3" pivotButton="0" quotePrefix="0" xfId="1"/>
    <xf numFmtId="165" fontId="5" fillId="0" borderId="0" pivotButton="0" quotePrefix="0" xfId="1"/>
    <xf numFmtId="164" fontId="5" fillId="0" borderId="0" pivotButton="0" quotePrefix="0" xfId="1"/>
    <xf numFmtId="164" fontId="5" fillId="0" borderId="0" pivotButton="0" quotePrefix="0" xfId="1"/>
    <xf numFmtId="164" fontId="2" fillId="0" borderId="0" pivotButton="0" quotePrefix="0" xfId="1"/>
    <xf numFmtId="164" fontId="7" fillId="0" borderId="0" pivotButton="0" quotePrefix="0" xfId="1"/>
    <xf numFmtId="164" fontId="8" fillId="0" borderId="0" pivotButton="0" quotePrefix="0" xfId="1"/>
    <xf numFmtId="164" fontId="8" fillId="0" borderId="0" pivotButton="0" quotePrefix="0" xfId="1"/>
    <xf numFmtId="164" fontId="9" fillId="0" borderId="1" pivotButton="0" quotePrefix="0" xfId="1"/>
    <xf numFmtId="164" fontId="6" fillId="0" borderId="2" pivotButton="0" quotePrefix="0" xfId="1"/>
    <xf numFmtId="164" fontId="4" fillId="0" borderId="0" pivotButton="0" quotePrefix="0" xfId="1"/>
    <xf numFmtId="164" fontId="2" fillId="0" borderId="0" pivotButton="0" quotePrefix="0" xfId="1"/>
    <xf numFmtId="164" fontId="4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164" fontId="4" fillId="0" borderId="2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164" fontId="2" fillId="0" borderId="1" applyAlignment="1" pivotButton="0" quotePrefix="0" xfId="1">
      <alignment horizontal="center"/>
    </xf>
    <xf numFmtId="164" fontId="5" fillId="0" borderId="0" applyAlignment="1" pivotButton="0" quotePrefix="0" xfId="1">
      <alignment horizontal="center"/>
    </xf>
    <xf numFmtId="164" fontId="4" fillId="0" borderId="3" applyAlignment="1" pivotButton="0" quotePrefix="0" xfId="1">
      <alignment horizontal="center"/>
    </xf>
    <xf numFmtId="165" fontId="5" fillId="0" borderId="0" applyAlignment="1" pivotButton="0" quotePrefix="0" xfId="1">
      <alignment horizontal="center"/>
    </xf>
    <xf numFmtId="164" fontId="2" fillId="0" borderId="2" applyAlignment="1" pivotButton="0" quotePrefix="0" xfId="1">
      <alignment horizontal="center"/>
    </xf>
    <xf numFmtId="164" fontId="6" fillId="0" borderId="0" pivotButton="0" quotePrefix="0" xfId="1"/>
    <xf numFmtId="164" fontId="8" fillId="0" borderId="0" pivotButton="0" quotePrefix="0" xfId="1"/>
    <xf numFmtId="164" fontId="9" fillId="0" borderId="0" pivotButton="0" quotePrefix="0" xfId="1"/>
    <xf numFmtId="9" fontId="8" fillId="0" borderId="0" applyAlignment="1" pivotButton="0" quotePrefix="0" xfId="2">
      <alignment horizontal="center"/>
    </xf>
    <xf numFmtId="164" fontId="8" fillId="0" borderId="0" pivotButton="0" quotePrefix="0" xfId="1"/>
    <xf numFmtId="164" fontId="9" fillId="0" borderId="0" pivotButton="0" quotePrefix="0" xfId="1"/>
    <xf numFmtId="166" fontId="9" fillId="0" borderId="0" pivotButton="0" quotePrefix="0" xfId="2"/>
    <xf numFmtId="166" fontId="8" fillId="0" borderId="0" pivotButton="0" quotePrefix="0" xfId="2"/>
    <xf numFmtId="166" fontId="9" fillId="0" borderId="0" pivotButton="0" quotePrefix="0" xfId="2"/>
    <xf numFmtId="166" fontId="8" fillId="0" borderId="0" pivotButton="0" quotePrefix="0" xfId="2"/>
    <xf numFmtId="164" fontId="4" fillId="0" borderId="4" pivotButton="0" quotePrefix="0" xfId="1"/>
    <xf numFmtId="164" fontId="4" fillId="0" borderId="4" applyAlignment="1" pivotButton="0" quotePrefix="0" xfId="1">
      <alignment horizontal="center"/>
    </xf>
    <xf numFmtId="164" fontId="6" fillId="0" borderId="4" pivotButton="0" quotePrefix="0" xfId="1"/>
    <xf numFmtId="167" fontId="2" fillId="0" borderId="0" pivotButton="0" quotePrefix="0" xfId="1"/>
    <xf numFmtId="164" fontId="8" fillId="0" borderId="1" pivotButton="0" quotePrefix="0" xfId="1"/>
    <xf numFmtId="164" fontId="7" fillId="0" borderId="0" pivotButton="0" quotePrefix="0" xfId="1"/>
    <xf numFmtId="164" fontId="5" fillId="0" borderId="0" applyAlignment="1" pivotButton="0" quotePrefix="0" xfId="1">
      <alignment horizontal="right"/>
    </xf>
    <xf numFmtId="164" fontId="4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164" fontId="9" fillId="0" borderId="0" pivotButton="0" quotePrefix="0" xfId="1"/>
    <xf numFmtId="164" fontId="6" fillId="0" borderId="0" pivotButton="0" quotePrefix="0" xfId="1"/>
    <xf numFmtId="164" fontId="6" fillId="0" borderId="3" pivotButton="0" quotePrefix="0" xfId="1"/>
    <xf numFmtId="164" fontId="9" fillId="0" borderId="2" pivotButton="0" quotePrefix="0" xfId="1"/>
    <xf numFmtId="164" fontId="9" fillId="0" borderId="0" pivotButton="0" quotePrefix="0" xfId="1"/>
    <xf numFmtId="168" fontId="2" fillId="0" borderId="0" pivotButton="0" quotePrefix="0" xfId="1"/>
    <xf numFmtId="168" fontId="2" fillId="0" borderId="0" pivotButton="0" quotePrefix="0" xfId="1"/>
    <xf numFmtId="168" fontId="2" fillId="0" borderId="0" pivotButton="0" quotePrefix="0" xfId="1"/>
    <xf numFmtId="164" fontId="2" fillId="2" borderId="0" pivotButton="0" quotePrefix="0" xfId="1"/>
    <xf numFmtId="164" fontId="11" fillId="2" borderId="0" pivotButton="0" quotePrefix="0" xfId="1"/>
    <xf numFmtId="164" fontId="2" fillId="2" borderId="0" applyAlignment="1" pivotButton="0" quotePrefix="0" xfId="1">
      <alignment horizontal="center"/>
    </xf>
    <xf numFmtId="164" fontId="12" fillId="2" borderId="0" applyAlignment="1" pivotButton="0" quotePrefix="0" xfId="1">
      <alignment horizontal="centerContinuous"/>
    </xf>
    <xf numFmtId="164" fontId="10" fillId="2" borderId="0" applyAlignment="1" pivotButton="0" quotePrefix="0" xfId="1">
      <alignment horizontal="centerContinuous"/>
    </xf>
    <xf numFmtId="164" fontId="13" fillId="2" borderId="0" pivotButton="0" quotePrefix="0" xfId="1"/>
    <xf numFmtId="164" fontId="3" fillId="2" borderId="0" pivotButton="0" quotePrefix="0" xfId="1"/>
    <xf numFmtId="164" fontId="3" fillId="2" borderId="0" applyAlignment="1" pivotButton="0" quotePrefix="0" xfId="1">
      <alignment horizontal="center"/>
    </xf>
    <xf numFmtId="0" fontId="13" fillId="2" borderId="0" pivotButton="0" quotePrefix="0" xfId="0"/>
    <xf numFmtId="37" fontId="3" fillId="3" borderId="0" applyAlignment="1" pivotButton="0" quotePrefix="0" xfId="0">
      <alignment vertical="center"/>
    </xf>
    <xf numFmtId="169" fontId="5" fillId="0" borderId="0" pivotButton="0" quotePrefix="0" xfId="1"/>
    <xf numFmtId="166" fontId="8" fillId="0" borderId="0" pivotButton="0" quotePrefix="0" xfId="2"/>
    <xf numFmtId="0" fontId="5" fillId="0" borderId="0" pivotButton="0" quotePrefix="0" xfId="0"/>
    <xf numFmtId="0" fontId="15" fillId="0" borderId="0" pivotButton="0" quotePrefix="0" xfId="0"/>
    <xf numFmtId="170" fontId="15" fillId="0" borderId="0" pivotButton="0" quotePrefix="0" xfId="1"/>
    <xf numFmtId="0" fontId="16" fillId="0" borderId="0" pivotButton="0" quotePrefix="0" xfId="3"/>
    <xf numFmtId="0" fontId="17" fillId="0" borderId="0" pivotButton="0" quotePrefix="0" xfId="0"/>
    <xf numFmtId="0" fontId="18" fillId="3" borderId="0" pivotButton="0" quotePrefix="0" xfId="5"/>
    <xf numFmtId="0" fontId="18" fillId="0" borderId="0" pivotButton="0" quotePrefix="0" xfId="5"/>
    <xf numFmtId="0" fontId="19" fillId="0" borderId="0" applyProtection="1" pivotButton="0" quotePrefix="0" xfId="5">
      <protection locked="0" hidden="0"/>
    </xf>
    <xf numFmtId="0" fontId="20" fillId="0" borderId="0" applyAlignment="1" pivotButton="0" quotePrefix="0" xfId="5">
      <alignment horizontal="right"/>
    </xf>
    <xf numFmtId="0" fontId="18" fillId="0" borderId="0" applyProtection="1" pivotButton="0" quotePrefix="0" xfId="5">
      <protection locked="0" hidden="0"/>
    </xf>
    <xf numFmtId="0" fontId="20" fillId="0" borderId="0" applyProtection="1" pivotButton="0" quotePrefix="0" xfId="5">
      <protection locked="0" hidden="0"/>
    </xf>
    <xf numFmtId="0" fontId="23" fillId="0" borderId="0" applyProtection="1" pivotButton="0" quotePrefix="0" xfId="6">
      <protection locked="0" hidden="0"/>
    </xf>
    <xf numFmtId="0" fontId="21" fillId="0" borderId="2" applyProtection="1" pivotButton="0" quotePrefix="1" xfId="4">
      <protection locked="0" hidden="0"/>
    </xf>
    <xf numFmtId="164" fontId="12" fillId="4" borderId="0" applyAlignment="1" pivotButton="0" quotePrefix="0" xfId="1">
      <alignment horizontal="centerContinuous"/>
    </xf>
    <xf numFmtId="164" fontId="10" fillId="4" borderId="0" applyAlignment="1" pivotButton="0" quotePrefix="0" xfId="1">
      <alignment horizontal="centerContinuous"/>
    </xf>
    <xf numFmtId="0" fontId="3" fillId="4" borderId="0" pivotButton="0" quotePrefix="0" xfId="1"/>
    <xf numFmtId="0" fontId="18" fillId="3" borderId="0" pivotButton="0" quotePrefix="0" xfId="7"/>
    <xf numFmtId="0" fontId="18" fillId="0" borderId="0" pivotButton="0" quotePrefix="0" xfId="7"/>
    <xf numFmtId="0" fontId="18" fillId="0" borderId="2" pivotButton="0" quotePrefix="0" xfId="7"/>
    <xf numFmtId="0" fontId="24" fillId="0" borderId="0" pivotButton="0" quotePrefix="0" xfId="8"/>
    <xf numFmtId="0" fontId="25" fillId="2" borderId="0" pivotButton="0" quotePrefix="0" xfId="7"/>
    <xf numFmtId="0" fontId="18" fillId="2" borderId="0" pivotButton="0" quotePrefix="0" xfId="7"/>
    <xf numFmtId="0" fontId="18" fillId="5" borderId="0" pivotButton="0" quotePrefix="0" xfId="7"/>
    <xf numFmtId="0" fontId="25" fillId="2" borderId="0" pivotButton="0" quotePrefix="0" xfId="7"/>
    <xf numFmtId="164" fontId="26" fillId="2" borderId="0" pivotButton="0" quotePrefix="0" xfId="0"/>
    <xf numFmtId="164" fontId="27" fillId="2" borderId="0" pivotButton="0" quotePrefix="0" xfId="0"/>
    <xf numFmtId="164" fontId="27" fillId="2" borderId="0" applyAlignment="1" pivotButton="0" quotePrefix="0" xfId="0">
      <alignment horizontal="center"/>
    </xf>
    <xf numFmtId="0" fontId="28" fillId="2" borderId="0" applyAlignment="1" pivotButton="0" quotePrefix="0" xfId="0">
      <alignment vertical="center"/>
    </xf>
    <xf numFmtId="0" fontId="29" fillId="2" borderId="0" pivotButton="0" quotePrefix="0" xfId="0"/>
    <xf numFmtId="164" fontId="30" fillId="0" borderId="0" pivotButton="0" quotePrefix="0" xfId="0"/>
    <xf numFmtId="164" fontId="31" fillId="0" borderId="0" pivotButton="0" quotePrefix="0" xfId="0"/>
    <xf numFmtId="164" fontId="30" fillId="0" borderId="0" applyAlignment="1" pivotButton="0" quotePrefix="0" xfId="0">
      <alignment horizontal="center"/>
    </xf>
    <xf numFmtId="164" fontId="32" fillId="0" borderId="0" pivotButton="0" quotePrefix="0" xfId="0"/>
    <xf numFmtId="164" fontId="33" fillId="6" borderId="0" pivotButton="0" quotePrefix="0" xfId="0"/>
    <xf numFmtId="164" fontId="32" fillId="6" borderId="0" pivotButton="0" quotePrefix="0" xfId="0"/>
    <xf numFmtId="164" fontId="34" fillId="0" borderId="0" pivotButton="0" quotePrefix="0" xfId="0"/>
    <xf numFmtId="9" fontId="32" fillId="0" borderId="0" applyAlignment="1" pivotButton="0" quotePrefix="0" xfId="0">
      <alignment horizontal="right"/>
    </xf>
    <xf numFmtId="171" fontId="32" fillId="0" borderId="0" applyAlignment="1" pivotButton="0" quotePrefix="0" xfId="0">
      <alignment horizontal="right"/>
    </xf>
    <xf numFmtId="14" fontId="32" fillId="0" borderId="0" pivotButton="0" quotePrefix="0" xfId="0"/>
    <xf numFmtId="172" fontId="32" fillId="0" borderId="0" applyAlignment="1" pivotButton="0" quotePrefix="0" xfId="0">
      <alignment horizontal="right"/>
    </xf>
    <xf numFmtId="167" fontId="32" fillId="0" borderId="0" applyAlignment="1" pivotButton="0" quotePrefix="0" xfId="0">
      <alignment horizontal="right"/>
    </xf>
    <xf numFmtId="164" fontId="31" fillId="6" borderId="0" pivotButton="0" quotePrefix="0" xfId="0"/>
    <xf numFmtId="164" fontId="30" fillId="6" borderId="0" pivotButton="0" quotePrefix="0" xfId="0"/>
    <xf numFmtId="164" fontId="31" fillId="6" borderId="0" applyAlignment="1" pivotButton="0" quotePrefix="0" xfId="0">
      <alignment horizontal="right"/>
    </xf>
    <xf numFmtId="0" fontId="31" fillId="6" borderId="0" pivotButton="0" quotePrefix="0" xfId="0"/>
    <xf numFmtId="14" fontId="35" fillId="0" borderId="0" pivotButton="0" quotePrefix="0" xfId="0"/>
    <xf numFmtId="14" fontId="36" fillId="0" borderId="0" pivotButton="0" quotePrefix="0" xfId="0"/>
    <xf numFmtId="164" fontId="35" fillId="0" borderId="0" pivotButton="0" quotePrefix="0" xfId="0"/>
    <xf numFmtId="1" fontId="37" fillId="0" borderId="0" pivotButton="0" quotePrefix="0" xfId="0"/>
    <xf numFmtId="1" fontId="35" fillId="0" borderId="0" pivotButton="0" quotePrefix="0" xfId="0"/>
    <xf numFmtId="168" fontId="30" fillId="0" borderId="0" pivotButton="0" quotePrefix="0" xfId="0"/>
    <xf numFmtId="172" fontId="35" fillId="0" borderId="0" pivotButton="0" quotePrefix="0" xfId="0"/>
    <xf numFmtId="164" fontId="30" fillId="0" borderId="2" pivotButton="0" quotePrefix="0" xfId="0"/>
    <xf numFmtId="168" fontId="32" fillId="0" borderId="0" pivotButton="0" quotePrefix="0" xfId="0"/>
    <xf numFmtId="9" fontId="30" fillId="0" borderId="0" pivotButton="0" quotePrefix="0" xfId="0"/>
    <xf numFmtId="173" fontId="30" fillId="0" borderId="0" pivotButton="0" quotePrefix="0" xfId="0"/>
    <xf numFmtId="164" fontId="30" fillId="6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164" fontId="30" fillId="0" borderId="0" applyAlignment="1" pivotButton="0" quotePrefix="0" xfId="0">
      <alignment horizontal="left" indent="5"/>
    </xf>
    <xf numFmtId="0" fontId="15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174" fontId="38" fillId="7" borderId="0" pivotButton="0" quotePrefix="0" xfId="1"/>
    <xf numFmtId="174" fontId="5" fillId="0" borderId="0" applyAlignment="1" pivotButton="0" quotePrefix="0" xfId="1">
      <alignment horizontal="right"/>
    </xf>
    <xf numFmtId="166" fontId="38" fillId="7" borderId="0" pivotButton="0" quotePrefix="0" xfId="2"/>
    <xf numFmtId="174" fontId="9" fillId="0" borderId="0" pivotButton="0" quotePrefix="0" xfId="1"/>
    <xf numFmtId="166" fontId="38" fillId="7" borderId="0" pivotButton="0" quotePrefix="0" xfId="1"/>
    <xf numFmtId="174" fontId="4" fillId="0" borderId="0" pivotButton="0" quotePrefix="0" xfId="1"/>
    <xf numFmtId="174" fontId="2" fillId="0" borderId="0" pivotButton="0" quotePrefix="0" xfId="1"/>
    <xf numFmtId="174" fontId="6" fillId="0" borderId="2" pivotButton="0" quotePrefix="0" xfId="1"/>
    <xf numFmtId="174" fontId="38" fillId="7" borderId="1" pivotButton="0" quotePrefix="0" xfId="1"/>
    <xf numFmtId="174" fontId="9" fillId="0" borderId="1" pivotButton="0" quotePrefix="0" xfId="1"/>
    <xf numFmtId="174" fontId="6" fillId="0" borderId="0" pivotButton="0" quotePrefix="0" xfId="1"/>
    <xf numFmtId="174" fontId="6" fillId="0" borderId="4" pivotButton="0" quotePrefix="0" xfId="1"/>
    <xf numFmtId="174" fontId="6" fillId="0" borderId="3" pivotButton="0" quotePrefix="0" xfId="1"/>
    <xf numFmtId="174" fontId="5" fillId="0" borderId="0" pivotButton="0" quotePrefix="0" xfId="1"/>
    <xf numFmtId="174" fontId="8" fillId="0" borderId="0" pivotButton="0" quotePrefix="0" xfId="1"/>
    <xf numFmtId="174" fontId="38" fillId="7" borderId="2" applyAlignment="1" pivotButton="0" quotePrefix="0" xfId="1">
      <alignment horizontal="center"/>
    </xf>
    <xf numFmtId="174" fontId="9" fillId="0" borderId="2" pivotButton="0" quotePrefix="0" xfId="1"/>
    <xf numFmtId="166" fontId="38" fillId="7" borderId="0" applyAlignment="1" pivotButton="0" quotePrefix="0" xfId="0">
      <alignment horizontal="right"/>
    </xf>
    <xf numFmtId="177" fontId="38" fillId="7" borderId="0" applyAlignment="1" pivotButton="0" quotePrefix="0" xfId="0">
      <alignment horizontal="right"/>
    </xf>
    <xf numFmtId="175" fontId="32" fillId="0" borderId="0" pivotButton="0" quotePrefix="0" xfId="0"/>
    <xf numFmtId="176" fontId="38" fillId="7" borderId="0" applyAlignment="1" pivotButton="0" quotePrefix="0" xfId="0">
      <alignment horizontal="right"/>
    </xf>
    <xf numFmtId="174" fontId="38" fillId="7" borderId="0" applyAlignment="1" pivotButton="0" quotePrefix="0" xfId="0">
      <alignment horizontal="right"/>
    </xf>
    <xf numFmtId="174" fontId="38" fillId="7" borderId="0" pivotButton="0" quotePrefix="0" xfId="0"/>
    <xf numFmtId="1" fontId="31" fillId="6" borderId="0" pivotButton="0" quotePrefix="0" xfId="0"/>
    <xf numFmtId="174" fontId="35" fillId="0" borderId="0" pivotButton="0" quotePrefix="0" xfId="0"/>
    <xf numFmtId="174" fontId="36" fillId="0" borderId="0" pivotButton="0" quotePrefix="0" xfId="0"/>
    <xf numFmtId="174" fontId="37" fillId="0" borderId="0" pivotButton="0" quotePrefix="0" xfId="0"/>
    <xf numFmtId="174" fontId="30" fillId="0" borderId="0" pivotButton="0" quotePrefix="0" xfId="0"/>
    <xf numFmtId="174" fontId="34" fillId="0" borderId="0" pivotButton="0" quotePrefix="0" xfId="0"/>
    <xf numFmtId="174" fontId="30" fillId="0" borderId="2" pivotButton="0" quotePrefix="0" xfId="0"/>
    <xf numFmtId="173" fontId="30" fillId="0" borderId="0" pivotButton="0" quotePrefix="0" xfId="0"/>
  </cellXfs>
  <cellStyles count="9">
    <cellStyle name="Normal" xfId="0" builtinId="0"/>
    <cellStyle name="Comma" xfId="1" builtinId="3"/>
    <cellStyle name="Percent" xfId="2" builtinId="5"/>
    <cellStyle name="Hyperlink 3" xfId="3"/>
    <cellStyle name="Hyperlink" xfId="4" builtinId="8"/>
    <cellStyle name="Normal 2" xfId="5"/>
    <cellStyle name="Hyperlink 2" xfId="6"/>
    <cellStyle name="Normal 2 2 2" xfId="7"/>
    <cellStyle name="Hyperlink 2 2" xfId="8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auto="1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Earnings (2012 - 2016)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'3 Statement Model'!$B$121</f>
              <strCache>
                <ptCount val="1"/>
                <pt idx="0">
                  <v xml:space="preserve"> Revenue 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Model'!$E$121:$I$121</f>
            </numRef>
          </val>
        </ser>
        <ser>
          <idx val="1"/>
          <order val="1"/>
          <tx>
            <strRef>
              <f>'3 Statement Model'!$B$122</f>
              <strCache>
                <ptCount val="1"/>
                <pt idx="0">
                  <v xml:space="preserve"> Gross Profit 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Model'!$E$122:$I$122</f>
            </numRef>
          </val>
        </ser>
        <ser>
          <idx val="2"/>
          <order val="2"/>
          <tx>
            <strRef>
              <f>'3 Statement Model'!$B$123</f>
              <strCache>
                <ptCount val="1"/>
                <pt idx="0">
                  <v xml:space="preserve"> Earning Before Tax 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Model'!$E$123:$I$123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axId val="626472968"/>
        <axId val="626472640"/>
      </barChart>
      <catAx>
        <axId val="6264729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>None</a:t>
            </a:r>
            <a:endParaRPr lang="en-US"/>
          </a:p>
        </txPr>
        <crossAx val="626472640"/>
        <crosses val="autoZero"/>
        <auto val="1"/>
        <lblAlgn val="ctr"/>
        <lblOffset val="100"/>
        <noMultiLvlLbl val="0"/>
      </catAx>
      <valAx>
        <axId val="626472640"/>
        <scaling>
          <orientation val="minMax"/>
        </scaling>
        <delete val="0"/>
        <axPos val="l"/>
        <numFmt formatCode="&quot;$&quot;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>None</a:t>
            </a:r>
            <a:endParaRPr lang="en-US"/>
          </a:p>
        </txPr>
        <crossAx val="62647296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Cash Flows (2012</a:t>
            </a:r>
            <a:r>
              <a:rPr lang="en-US" baseline="0"/>
              <a:t xml:space="preserve"> - 2016)</a:t>
            </a:r>
            <a:endParaRPr lang="en-US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stacked"/>
        <varyColors val="0"/>
        <ser>
          <idx val="1"/>
          <order val="0"/>
          <tx>
            <v>Operating</v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Model'!$E$125:$I$125</f>
            </numRef>
          </val>
        </ser>
        <ser>
          <idx val="2"/>
          <order val="1"/>
          <tx>
            <v>Investing</v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Model'!$E$126:$I$126</f>
            </numRef>
          </val>
        </ser>
        <ser>
          <idx val="3"/>
          <order val="2"/>
          <tx>
            <v>FInancing</v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Model'!$E$127:$I$127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26556256"/>
        <axId val="626558224"/>
      </barChart>
      <catAx>
        <axId val="6265562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>None</a:t>
            </a:r>
            <a:endParaRPr lang="en-US"/>
          </a:p>
        </txPr>
        <crossAx val="626558224"/>
        <crosses val="autoZero"/>
        <auto val="1"/>
        <lblAlgn val="ctr"/>
        <lblOffset val="100"/>
        <noMultiLvlLbl val="0"/>
      </catAx>
      <valAx>
        <axId val="626558224"/>
        <scaling>
          <orientation val="minMax"/>
        </scaling>
        <delete val="0"/>
        <axPos val="l"/>
        <numFmt formatCode="&quot;$&quot;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>None</a:t>
            </a:r>
            <a:endParaRPr lang="en-US"/>
          </a:p>
        </txPr>
        <crossAx val="62655625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/>
    <a:ln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2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714374</colOff>
      <row>3</row>
      <rowOff>19050</rowOff>
    </from>
    <to>
      <col>4</col>
      <colOff>661827</colOff>
      <row>9</row>
      <rowOff>114300</rowOff>
    </to>
    <pic>
      <nvPicPr>
        <cNvPr id="2" name="Picture 1">
          <a:hlinkClick r:id="rId1"/>
        </cNvPr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447799" y="762000"/>
          <a:ext cx="3359943" cy="158115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570970</colOff>
      <row>105</row>
      <rowOff>17991</rowOff>
    </from>
    <to>
      <col>6</col>
      <colOff>485245</colOff>
      <row>118</row>
      <rowOff>165101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42333</colOff>
      <row>105</row>
      <rowOff>17991</rowOff>
    </from>
    <to>
      <col>12</col>
      <colOff>413809</colOff>
      <row>118</row>
      <rowOff>165101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1</col>
      <colOff>38101</colOff>
      <row>131</row>
      <rowOff>129314</rowOff>
    </from>
    <to>
      <col>1</col>
      <colOff>783591</colOff>
      <row>135</row>
      <rowOff>144144</rowOff>
    </to>
    <pic>
      <nvPicPr>
        <cNvPr id="4" name="Picture 3">
          <a:hlinkClick r:id="rId1"/>
        </cNvPr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647701" y="5158514"/>
          <a:ext cx="742950" cy="81365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corporatefinanceinstitute.com/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rporatefinanceinstitute.com/" TargetMode="External" Id="rId1" /><Relationship Type="http://schemas.openxmlformats.org/officeDocument/2006/relationships/drawing" Target="/xl/drawings/drawing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O29"/>
  <sheetViews>
    <sheetView showGridLines="0" tabSelected="1" zoomScaleNormal="100" workbookViewId="0">
      <selection activeCell="A1" sqref="A1"/>
    </sheetView>
  </sheetViews>
  <sheetFormatPr baseColWidth="8" defaultColWidth="9.109375" defaultRowHeight="13.8"/>
  <cols>
    <col width="11" customWidth="1" style="73" min="1" max="2"/>
    <col width="29.109375" customWidth="1" style="73" min="3" max="3"/>
    <col width="11" customWidth="1" style="73" min="4" max="22"/>
    <col width="9.109375" customWidth="1" style="73" min="23" max="25"/>
    <col width="9.109375" customWidth="1" style="73" min="26" max="26"/>
    <col width="9.109375" customWidth="1" style="73" min="27" max="16384"/>
  </cols>
  <sheetData>
    <row r="1" ht="19.5" customHeight="1"/>
    <row r="2" ht="19.5" customHeight="1"/>
    <row r="3" ht="19.5" customHeight="1"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</row>
    <row r="4" ht="19.5" customHeight="1">
      <c r="B4" s="74" t="n"/>
      <c r="C4" s="74" t="n"/>
      <c r="D4" s="74" t="n"/>
      <c r="E4" s="74" t="n"/>
      <c r="F4" s="74" t="n"/>
      <c r="G4" s="74" t="n"/>
      <c r="H4" s="74" t="n"/>
      <c r="I4" s="74" t="n"/>
      <c r="J4" s="74" t="n"/>
      <c r="K4" s="74" t="n"/>
      <c r="L4" s="74" t="n"/>
      <c r="M4" s="74" t="n"/>
      <c r="N4" s="74" t="n"/>
      <c r="O4" s="74" t="n"/>
    </row>
    <row r="5" ht="19.5" customHeight="1">
      <c r="B5" s="74" t="n"/>
      <c r="C5" s="74" t="n"/>
      <c r="D5" s="74" t="n"/>
      <c r="E5" s="74" t="n"/>
      <c r="F5" s="74" t="n"/>
      <c r="G5" s="74" t="n"/>
      <c r="H5" s="74" t="n"/>
      <c r="I5" s="74" t="n"/>
      <c r="J5" s="74" t="n"/>
      <c r="K5" s="74" t="n"/>
      <c r="L5" s="74" t="n"/>
      <c r="M5" s="74" t="n"/>
      <c r="N5" s="74" t="n"/>
      <c r="O5" s="74" t="n"/>
    </row>
    <row r="6" ht="19.5" customHeight="1">
      <c r="B6" s="74" t="n"/>
      <c r="C6" s="74" t="n"/>
      <c r="D6" s="74" t="n"/>
      <c r="E6" s="74" t="n"/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</row>
    <row r="7" ht="19.5" customHeight="1">
      <c r="B7" s="74" t="n"/>
      <c r="C7" s="74" t="n"/>
      <c r="D7" s="74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</row>
    <row r="8" ht="19.5" customHeight="1">
      <c r="B8" s="74" t="n"/>
      <c r="C8" s="74" t="n"/>
      <c r="D8" s="74" t="n"/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</row>
    <row r="9" ht="19.5" customHeight="1">
      <c r="B9" s="74" t="n"/>
      <c r="C9" s="74" t="n"/>
      <c r="D9" s="74" t="n"/>
      <c r="E9" s="74" t="n"/>
      <c r="F9" s="74" t="n"/>
      <c r="G9" s="74" t="n"/>
      <c r="H9" s="74" t="n"/>
      <c r="I9" s="74" t="n"/>
      <c r="J9" s="74" t="n"/>
      <c r="K9" s="74" t="n"/>
      <c r="L9" s="74" t="n"/>
      <c r="M9" s="74" t="n"/>
      <c r="N9" s="74" t="n"/>
      <c r="O9" s="74" t="n"/>
    </row>
    <row r="10" ht="19.5" customHeight="1">
      <c r="B10" s="74" t="n"/>
      <c r="C10" s="74" t="n"/>
      <c r="D10" s="74" t="n"/>
      <c r="E10" s="74" t="n"/>
      <c r="F10" s="74" t="n"/>
      <c r="G10" s="74" t="n"/>
      <c r="H10" s="74" t="n"/>
      <c r="I10" s="74" t="n"/>
      <c r="J10" s="74" t="n"/>
      <c r="K10" s="74" t="n"/>
      <c r="L10" s="74" t="n"/>
      <c r="M10" s="74" t="n"/>
      <c r="N10" s="74" t="n"/>
      <c r="O10" s="74" t="n"/>
    </row>
    <row r="11" ht="19.5" customHeight="1">
      <c r="B11" s="74" t="n"/>
      <c r="C11" s="74" t="n"/>
      <c r="D11" s="74" t="n"/>
      <c r="E11" s="74" t="n"/>
      <c r="F11" s="74" t="n"/>
      <c r="G11" s="74" t="n"/>
      <c r="H11" s="74" t="n"/>
      <c r="I11" s="74" t="n"/>
      <c r="J11" s="74" t="n"/>
      <c r="K11" s="74" t="n"/>
      <c r="L11" s="74" t="n"/>
      <c r="M11" s="74" t="n"/>
      <c r="N11" s="74" t="n"/>
      <c r="O11" s="74" t="n"/>
    </row>
    <row r="12" ht="28.2" customHeight="1">
      <c r="B12" s="74" t="n"/>
      <c r="C12" s="75" t="inlineStr">
        <is>
          <t>FICO — CFI Template (Named-Range Inputs)</t>
        </is>
      </c>
      <c r="D12" s="74" t="n"/>
      <c r="E12" s="74" t="n"/>
      <c r="F12" s="74" t="n"/>
      <c r="G12" s="74" t="n"/>
      <c r="H12" s="74" t="n"/>
      <c r="I12" s="74" t="n"/>
      <c r="J12" s="74" t="n"/>
      <c r="K12" s="74" t="n"/>
      <c r="L12" s="74" t="n"/>
      <c r="M12" s="74" t="n"/>
      <c r="N12" s="76" t="inlineStr">
        <is>
          <t>Strictly Confidential</t>
        </is>
      </c>
      <c r="O12" s="74" t="n"/>
    </row>
    <row r="13" ht="19.5" customHeight="1">
      <c r="B13" s="74" t="n"/>
      <c r="C13" s="77" t="n"/>
      <c r="D13" s="74" t="n"/>
      <c r="E13" s="74" t="n"/>
      <c r="F13" s="74" t="n"/>
      <c r="G13" s="74" t="n"/>
      <c r="H13" s="74" t="n"/>
      <c r="I13" s="74" t="n"/>
      <c r="J13" s="74" t="n"/>
      <c r="K13" s="74" t="n"/>
      <c r="L13" s="74" t="n"/>
      <c r="M13" s="74" t="n"/>
      <c r="N13" s="74" t="n"/>
      <c r="O13" s="74" t="n"/>
    </row>
    <row r="14" ht="19.5" customHeight="1">
      <c r="B14" s="74" t="n"/>
      <c r="C14" s="78" t="inlineStr">
        <is>
          <t>Table of Contents</t>
        </is>
      </c>
      <c r="D14" s="74" t="n"/>
      <c r="E14" s="74" t="n"/>
      <c r="F14" s="74" t="n"/>
      <c r="G14" s="74" t="n"/>
      <c r="H14" s="74" t="n"/>
      <c r="I14" s="74" t="n"/>
      <c r="J14" s="74" t="n"/>
      <c r="K14" s="74" t="n"/>
      <c r="L14" s="74" t="n"/>
      <c r="M14" s="74" t="n"/>
      <c r="N14" s="74" t="n"/>
      <c r="O14" s="74" t="n"/>
    </row>
    <row r="15" ht="19.5" customHeight="1">
      <c r="B15" s="74" t="n"/>
      <c r="C15" s="80" t="inlineStr">
        <is>
          <t>3 Statement Model</t>
        </is>
      </c>
      <c r="D15" s="74" t="n"/>
      <c r="E15" s="74" t="n"/>
      <c r="F15" s="74" t="n"/>
      <c r="G15" s="74" t="n"/>
      <c r="H15" s="74" t="n"/>
      <c r="I15" s="74" t="n"/>
      <c r="J15" s="74" t="n"/>
      <c r="K15" s="74" t="n"/>
      <c r="L15" s="74" t="n"/>
      <c r="M15" s="74" t="n"/>
      <c r="N15" s="74" t="n"/>
      <c r="O15" s="74" t="n"/>
    </row>
    <row r="16" ht="19.5" customHeight="1">
      <c r="B16" s="74" t="n"/>
      <c r="C16" s="79" t="n"/>
      <c r="D16" s="74" t="n"/>
      <c r="E16" s="74" t="n"/>
      <c r="F16" s="74" t="n"/>
      <c r="G16" s="74" t="n"/>
      <c r="H16" s="74" t="n"/>
      <c r="I16" s="74" t="n"/>
      <c r="J16" s="74" t="n"/>
      <c r="K16" s="74" t="n"/>
      <c r="L16" s="74" t="n"/>
      <c r="M16" s="74" t="n"/>
      <c r="N16" s="74" t="n"/>
      <c r="O16" s="74" t="n"/>
    </row>
    <row r="17" ht="19.5" customHeight="1">
      <c r="B17" s="74" t="n"/>
      <c r="C17" s="79" t="n"/>
      <c r="D17" s="74" t="n"/>
      <c r="E17" s="74" t="n"/>
      <c r="F17" s="74" t="n"/>
      <c r="G17" s="74" t="n"/>
      <c r="H17" s="74" t="n"/>
      <c r="I17" s="74" t="n"/>
      <c r="J17" s="74" t="n"/>
      <c r="K17" s="74" t="n"/>
      <c r="L17" s="74" t="n"/>
      <c r="M17" s="74" t="n"/>
      <c r="N17" s="74" t="n"/>
      <c r="O17" s="74" t="n"/>
    </row>
    <row r="18" ht="19.5" customHeight="1">
      <c r="B18" s="74" t="n"/>
      <c r="C18" s="79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</row>
    <row r="19" ht="19.5" customFormat="1" customHeight="1" s="84">
      <c r="B19" s="85" t="n"/>
      <c r="C19" s="85" t="inlineStr">
        <is>
          <t>Notes</t>
        </is>
      </c>
      <c r="D19" s="85" t="n"/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85" t="n"/>
      <c r="O19" s="85" t="n"/>
    </row>
    <row r="20" ht="19.5" customFormat="1" customHeight="1" s="84">
      <c r="B20" s="85" t="n"/>
      <c r="C20" s="86" t="inlineStr">
        <is>
          <t>Named Ranges mark INPUT cells only. Formula cells (Gross Profit, NI, UFCF, EV) have NO names and must never be overwritten. Open in Excel to recalculate.</t>
        </is>
      </c>
      <c r="D20" s="86" t="n"/>
      <c r="E20" s="86" t="n"/>
      <c r="F20" s="86" t="n"/>
      <c r="G20" s="86" t="n"/>
      <c r="H20" s="86" t="n"/>
      <c r="I20" s="86" t="n"/>
      <c r="J20" s="86" t="n"/>
      <c r="K20" s="86" t="n"/>
      <c r="L20" s="86" t="n"/>
      <c r="M20" s="86" t="n"/>
      <c r="N20" s="86" t="n"/>
      <c r="O20" s="85" t="n"/>
    </row>
    <row r="21" ht="19.5" customFormat="1" customHeight="1" s="84">
      <c r="B21" s="85" t="n"/>
      <c r="C21" s="85" t="inlineStr">
        <is>
          <t>Open this file in Excel to recalculate formulas from injected SEC inputs. CSV sources live in FICO/output/*.csv — do not edit formula cells.</t>
        </is>
      </c>
      <c r="D21" s="85" t="n"/>
      <c r="E21" s="85" t="n"/>
      <c r="F21" s="85" t="n"/>
      <c r="G21" s="85" t="n"/>
      <c r="H21" s="85" t="n"/>
      <c r="I21" s="85" t="n"/>
      <c r="J21" s="85" t="n"/>
      <c r="K21" s="85" t="n"/>
      <c r="L21" s="85" t="n"/>
      <c r="M21" s="85" t="n"/>
      <c r="N21" s="85" t="n"/>
      <c r="O21" s="85" t="n"/>
    </row>
    <row r="22" ht="19.5" customFormat="1" customHeight="1" s="84">
      <c r="B22" s="85" t="n"/>
      <c r="C22" s="87" t="inlineStr">
        <is>
          <t>https://corporatefinanceinstitute.com/</t>
        </is>
      </c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</row>
    <row r="23" ht="19.5" customFormat="1" customHeight="1" s="84">
      <c r="B23" s="85" t="n"/>
      <c r="C23" s="87" t="n"/>
      <c r="D23" s="85" t="n"/>
      <c r="E23" s="85" t="n"/>
      <c r="F23" s="85" t="n"/>
      <c r="G23" s="85" t="n"/>
      <c r="H23" s="85" t="n"/>
      <c r="I23" s="85" t="n"/>
      <c r="J23" s="85" t="n"/>
      <c r="K23" s="85" t="n"/>
      <c r="L23" s="85" t="n"/>
      <c r="M23" s="85" t="n"/>
      <c r="N23" s="85" t="n"/>
      <c r="O23" s="85" t="n"/>
    </row>
    <row r="24" ht="19.5" customFormat="1" customHeight="1" s="84">
      <c r="B24" s="85" t="n"/>
      <c r="C24" s="91" t="inlineStr">
        <is>
          <t>© 2019 CFI Education Inc.</t>
        </is>
      </c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5" t="n"/>
    </row>
    <row r="25" ht="19.5" customFormat="1" customHeight="1" s="84">
      <c r="B25" s="90" t="n"/>
      <c r="C25" s="91" t="inlineStr">
        <is>
          <t xml:space="preserve">All rights reserved.  The contents of this publication, including but not limited to all written material, content layout, images, formulas, and code, are protected under international copyright and trademark laws.  </t>
        </is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0" t="n"/>
    </row>
    <row r="26" ht="19.5" customFormat="1" customHeight="1" s="84">
      <c r="B26" s="90" t="n"/>
      <c r="C26" s="91" t="inlineStr">
        <is>
          <t xml:space="preserve">No part of this publication may be modified, manipulated, reproduced, distributed, or transmitted in any form by any means, including photocopying, recording, or other electronic or mechanical methods, </t>
        </is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0" t="n"/>
    </row>
    <row r="27" ht="19.5" customFormat="1" customHeight="1" s="84">
      <c r="B27" s="90" t="n"/>
      <c r="C27" s="91" t="inlineStr">
        <is>
          <t>without prior written permission of the publisher, except in the case of certain noncommercial uses permitted by copyright law.</t>
        </is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0" t="n"/>
    </row>
    <row r="28" ht="19.5" customFormat="1" customHeight="1" s="84">
      <c r="B28" s="90" t="n"/>
      <c r="C28" s="91" t="n"/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0" t="n"/>
    </row>
    <row r="29" ht="19.5" customFormat="1" customHeight="1" s="84">
      <c r="B29" s="90" t="n"/>
      <c r="C29" s="90" t="n"/>
      <c r="D29" s="90" t="n"/>
      <c r="E29" s="90" t="n"/>
      <c r="F29" s="90" t="n"/>
      <c r="G29" s="90" t="n"/>
      <c r="H29" s="90" t="n"/>
      <c r="I29" s="90" t="n"/>
      <c r="J29" s="90" t="n"/>
      <c r="K29" s="90" t="n"/>
      <c r="L29" s="90" t="n"/>
      <c r="M29" s="90" t="n"/>
      <c r="N29" s="90" t="n"/>
      <c r="O29" s="90" t="n"/>
    </row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</sheetData>
  <hyperlinks>
    <hyperlink ref="C15" location="'3 Statement Model'!A1" display="3 Statement Model"/>
    <hyperlink xmlns:r="http://schemas.openxmlformats.org/officeDocument/2006/relationships" ref="C22" r:id="rId1"/>
  </hyperlinks>
  <pageMargins left="0.7" right="0.7" top="0.75" bottom="0.75" header="0.3" footer="0.3"/>
  <pageSetup orientation="landscape" scale="64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8"/>
  <sheetViews>
    <sheetView showGridLines="0" zoomScale="90" zoomScaleNormal="90" workbookViewId="0">
      <pane ySplit="3" topLeftCell="A4" activePane="bottomLeft" state="frozen"/>
      <selection pane="bottomLeft" activeCell="A4" sqref="A4"/>
    </sheetView>
  </sheetViews>
  <sheetFormatPr baseColWidth="8" defaultColWidth="9.109375" defaultRowHeight="15.6" outlineLevelRow="1"/>
  <cols>
    <col width="1.88671875" customWidth="1" style="19" min="1" max="1"/>
    <col width="42" customWidth="1" style="19" min="2" max="3"/>
    <col width="16" customWidth="1" style="47" min="4" max="4"/>
    <col width="16" customWidth="1" style="19" min="5" max="9"/>
    <col width="16" customWidth="1" min="6" max="6"/>
    <col width="16" customWidth="1" min="7" max="7"/>
    <col width="16" customWidth="1" min="8" max="8"/>
    <col width="16" customWidth="1" min="9" max="9"/>
    <col width="16" customWidth="1" style="19" min="10" max="14"/>
    <col width="16" customWidth="1" min="11" max="11"/>
    <col width="16" customWidth="1" min="12" max="12"/>
    <col width="16" customWidth="1" min="13" max="13"/>
    <col width="16" customWidth="1" min="14" max="14"/>
    <col width="9.109375" customWidth="1" style="19" min="15" max="16384"/>
  </cols>
  <sheetData>
    <row r="1">
      <c r="A1" s="56" t="n"/>
      <c r="B1" s="57" t="inlineStr">
        <is>
          <t>© Corporate Finance Institute®. All rights reserved.</t>
        </is>
      </c>
      <c r="C1" s="56" t="n"/>
      <c r="D1" s="58" t="n"/>
      <c r="E1" s="81" t="inlineStr">
        <is>
          <t>Historical Results</t>
        </is>
      </c>
      <c r="F1" s="82" t="n"/>
      <c r="G1" s="82" t="n"/>
      <c r="H1" s="82" t="n"/>
      <c r="I1" s="82" t="n"/>
      <c r="J1" s="59" t="inlineStr">
        <is>
          <t xml:space="preserve"> Forecast Period</t>
        </is>
      </c>
      <c r="K1" s="60" t="n"/>
      <c r="L1" s="60" t="n"/>
      <c r="M1" s="60" t="n"/>
      <c r="N1" s="60" t="n"/>
    </row>
    <row r="2" ht="21" customHeight="1">
      <c r="A2" s="56" t="n"/>
      <c r="B2" s="61" t="inlineStr">
        <is>
          <t>FINANCIAL STATEMENTS</t>
        </is>
      </c>
      <c r="C2" s="62" t="n"/>
      <c r="D2" s="63" t="n"/>
      <c r="E2" s="129" t="n">
        <v>2021</v>
      </c>
      <c r="F2" s="83">
        <f>+E2+1</f>
        <v/>
      </c>
      <c r="G2" s="83">
        <f>+F2+1</f>
        <v/>
      </c>
      <c r="H2" s="83">
        <f>+G2+1</f>
        <v/>
      </c>
      <c r="I2" s="83">
        <f>+H2+1</f>
        <v/>
      </c>
      <c r="J2" s="64">
        <f>+I2+1</f>
        <v/>
      </c>
      <c r="K2" s="64">
        <f>+J2+1</f>
        <v/>
      </c>
      <c r="L2" s="64">
        <f>+K2+1</f>
        <v/>
      </c>
      <c r="M2" s="64">
        <f>+L2+1</f>
        <v/>
      </c>
      <c r="N2" s="64">
        <f>+M2+1</f>
        <v/>
      </c>
    </row>
    <row r="3">
      <c r="B3" s="19" t="inlineStr">
        <is>
          <t>Balance Sheet Check</t>
        </is>
      </c>
      <c r="E3" s="130">
        <f>IFERROR(IF(ABS(E57)&gt;1,"ERROR","OK"),"OK")</f>
        <v/>
      </c>
      <c r="F3" s="130">
        <f>IFERROR(IF(ABS(F57)&gt;1,"ERROR","OK"),"OK")</f>
        <v/>
      </c>
      <c r="G3" s="130">
        <f>IFERROR(IF(ABS(G57)&gt;1,"ERROR","OK"),"OK")</f>
        <v/>
      </c>
      <c r="H3" s="130">
        <f>IFERROR(IF(ABS(H57)&gt;1,"ERROR","OK"),"OK")</f>
        <v/>
      </c>
      <c r="I3" s="130">
        <f>IFERROR(IF(ABS(I57)&gt;1,"ERROR","OK"),"OK")</f>
        <v/>
      </c>
      <c r="J3" s="130">
        <f>IFERROR(IF(ABS(J57)&gt;1,"ERROR","OK"),"OK")</f>
        <v/>
      </c>
      <c r="K3" s="130">
        <f>IFERROR(IF(ABS(K57)&gt;1,"ERROR","OK"),"OK")</f>
        <v/>
      </c>
      <c r="L3" s="130">
        <f>IFERROR(IF(ABS(L57)&gt;1,"ERROR","OK"),"OK")</f>
        <v/>
      </c>
      <c r="M3" s="130">
        <f>IFERROR(IF(ABS(M57)&gt;1,"ERROR","OK"),"OK")</f>
        <v/>
      </c>
      <c r="N3" s="130">
        <f>IFERROR(IF(ABS(N57)&gt;1,"ERROR","OK"),"OK")</f>
        <v/>
      </c>
    </row>
    <row r="4"/>
    <row r="5" ht="18" customHeight="1">
      <c r="B5" s="65" t="inlineStr">
        <is>
          <t>Assumptions</t>
        </is>
      </c>
      <c r="C5" s="65" t="n"/>
      <c r="D5" s="65" t="n"/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</row>
    <row r="6" hidden="1" outlineLevel="1" customFormat="1" s="19">
      <c r="B6" s="18" t="inlineStr">
        <is>
          <t>Income statement</t>
        </is>
      </c>
      <c r="D6" s="47" t="n"/>
    </row>
    <row r="7" hidden="1" outlineLevel="1">
      <c r="B7" s="19" t="inlineStr">
        <is>
          <t>Revenue Growth (% Change)</t>
        </is>
      </c>
      <c r="C7" s="18" t="n"/>
      <c r="D7" s="46" t="n"/>
      <c r="E7" s="49" t="n"/>
      <c r="F7" s="37">
        <f>F24/E24-1</f>
        <v/>
      </c>
      <c r="G7" s="37">
        <f>G24/F24-1</f>
        <v/>
      </c>
      <c r="H7" s="37">
        <f>H24/G24-1</f>
        <v/>
      </c>
      <c r="I7" s="37">
        <f>I24/H24-1</f>
        <v/>
      </c>
      <c r="J7" s="131" t="n">
        <v>0.143234</v>
      </c>
      <c r="K7" s="131" t="n">
        <v>0.1</v>
      </c>
      <c r="L7" s="131" t="n">
        <v>0.09</v>
      </c>
      <c r="M7" s="131" t="n">
        <v>0.08</v>
      </c>
      <c r="N7" s="131" t="n">
        <v>0.07000000000000001</v>
      </c>
    </row>
    <row r="8" hidden="1" outlineLevel="1">
      <c r="B8" s="19" t="inlineStr">
        <is>
          <t>Cost of Goods Sold (% of Revenue)</t>
        </is>
      </c>
      <c r="C8" s="19" t="n"/>
      <c r="D8" s="47" t="n"/>
      <c r="E8" s="37">
        <f>E25/E24</f>
        <v/>
      </c>
      <c r="F8" s="37">
        <f>F25/F24</f>
        <v/>
      </c>
      <c r="G8" s="37">
        <f>G25/G24</f>
        <v/>
      </c>
      <c r="H8" s="37">
        <f>H25/H24</f>
        <v/>
      </c>
      <c r="I8" s="37">
        <f>I25/I24</f>
        <v/>
      </c>
      <c r="J8" s="131" t="n">
        <v>0.1776721622567833</v>
      </c>
      <c r="K8" s="131" t="n">
        <v>0.1776721622567833</v>
      </c>
      <c r="L8" s="131" t="n">
        <v>0.1776721622567833</v>
      </c>
      <c r="M8" s="131" t="n">
        <v>0.1776721622567833</v>
      </c>
      <c r="N8" s="131" t="n">
        <v>0.1776721622567833</v>
      </c>
    </row>
    <row r="9" hidden="1" outlineLevel="1">
      <c r="B9" s="19" t="inlineStr">
        <is>
          <t>Salaries and Benefits ($000's)</t>
        </is>
      </c>
      <c r="C9" s="19" t="n"/>
      <c r="D9" s="47" t="n"/>
      <c r="E9" s="132">
        <f>E28</f>
        <v/>
      </c>
      <c r="F9" s="132">
        <f>F28</f>
        <v/>
      </c>
      <c r="G9" s="132">
        <f>G28</f>
        <v/>
      </c>
      <c r="H9" s="132">
        <f>H28</f>
        <v/>
      </c>
      <c r="I9" s="132">
        <f>I28</f>
        <v/>
      </c>
      <c r="J9" s="129" t="n">
        <v>586511.1</v>
      </c>
      <c r="K9" s="129" t="n">
        <v>645162.2</v>
      </c>
      <c r="L9" s="129" t="n">
        <v>703226.8</v>
      </c>
      <c r="M9" s="129" t="n">
        <v>759484.9</v>
      </c>
      <c r="N9" s="129" t="n">
        <v>812648.8</v>
      </c>
    </row>
    <row r="10" hidden="1" outlineLevel="1">
      <c r="B10" s="19" t="inlineStr">
        <is>
          <t>Rent and Overhead ($000's)</t>
        </is>
      </c>
      <c r="C10" s="19" t="n"/>
      <c r="D10" s="47" t="n"/>
      <c r="E10" s="132">
        <f>E29</f>
        <v/>
      </c>
      <c r="F10" s="132">
        <f>F29</f>
        <v/>
      </c>
      <c r="G10" s="132">
        <f>G29</f>
        <v/>
      </c>
      <c r="H10" s="132">
        <f>H29</f>
        <v/>
      </c>
      <c r="I10" s="132">
        <f>I29</f>
        <v/>
      </c>
      <c r="J10" s="129" t="n">
        <v>215324.7</v>
      </c>
      <c r="K10" s="129" t="n">
        <v>236857.2</v>
      </c>
      <c r="L10" s="129" t="n">
        <v>258174.3</v>
      </c>
      <c r="M10" s="129" t="n">
        <v>278828.3</v>
      </c>
      <c r="N10" s="129" t="n">
        <v>298346.2</v>
      </c>
    </row>
    <row r="11" hidden="1" outlineLevel="1">
      <c r="B11" s="19" t="inlineStr">
        <is>
          <t>Depreciation &amp; Amortization (% of PP&amp;E Open Bal)</t>
        </is>
      </c>
      <c r="C11" s="19" t="n"/>
      <c r="D11" s="47" t="n"/>
      <c r="E11" s="37">
        <f>E30/E92</f>
        <v/>
      </c>
      <c r="F11" s="37">
        <f>F30/F92</f>
        <v/>
      </c>
      <c r="G11" s="37">
        <f>G30/G92</f>
        <v/>
      </c>
      <c r="H11" s="37">
        <f>H30/H92</f>
        <v/>
      </c>
      <c r="I11" s="37">
        <f>I30/I92</f>
        <v/>
      </c>
      <c r="J11" s="131" t="n">
        <v>0.2208143192592265</v>
      </c>
      <c r="K11" s="131" t="n">
        <v>0.2208143192592265</v>
      </c>
      <c r="L11" s="131" t="n">
        <v>0.2208143192592265</v>
      </c>
      <c r="M11" s="131" t="n">
        <v>0.2208143192592265</v>
      </c>
      <c r="N11" s="131" t="n">
        <v>0.2208143192592265</v>
      </c>
    </row>
    <row r="12" hidden="1" outlineLevel="1">
      <c r="B12" s="19" t="inlineStr">
        <is>
          <t>Interest (% of Debt Open Bal)</t>
        </is>
      </c>
      <c r="C12" s="19" t="n"/>
      <c r="D12" s="47" t="n"/>
      <c r="E12" s="37">
        <f>E101/E98</f>
        <v/>
      </c>
      <c r="F12" s="37">
        <f>F101/F98</f>
        <v/>
      </c>
      <c r="G12" s="37">
        <f>G101/G98</f>
        <v/>
      </c>
      <c r="H12" s="37">
        <f>H101/H98</f>
        <v/>
      </c>
      <c r="I12" s="37">
        <f>I101/I98</f>
        <v/>
      </c>
      <c r="J12" s="131" t="n">
        <v>0.04373707943636971</v>
      </c>
      <c r="K12" s="131" t="n">
        <v>0.04373707943636971</v>
      </c>
      <c r="L12" s="131" t="n">
        <v>0.04373707943636971</v>
      </c>
      <c r="M12" s="131" t="n">
        <v>0.04373707943636971</v>
      </c>
      <c r="N12" s="131" t="n">
        <v>0.04373707943636971</v>
      </c>
    </row>
    <row r="13" hidden="1" outlineLevel="1">
      <c r="B13" s="19" t="inlineStr">
        <is>
          <t>Tax Rate (% of Earnings Before Tax)</t>
        </is>
      </c>
      <c r="C13" s="11" t="n"/>
      <c r="D13" s="25" t="n"/>
      <c r="E13" s="37">
        <f>E35/E33</f>
        <v/>
      </c>
      <c r="F13" s="37">
        <f>F35/F33</f>
        <v/>
      </c>
      <c r="G13" s="37">
        <f>G35/G33</f>
        <v/>
      </c>
      <c r="H13" s="37">
        <f>H35/H33</f>
        <v/>
      </c>
      <c r="I13" s="37">
        <f>I35/I33</f>
        <v/>
      </c>
      <c r="J13" s="131" t="n">
        <v>0.1877023903712333</v>
      </c>
      <c r="K13" s="131" t="n">
        <v>0.1877023903712333</v>
      </c>
      <c r="L13" s="131" t="n">
        <v>0.1877023903712333</v>
      </c>
      <c r="M13" s="131" t="n">
        <v>0.1877023903712333</v>
      </c>
      <c r="N13" s="131" t="n">
        <v>0.1877023903712333</v>
      </c>
    </row>
    <row r="14" hidden="1" outlineLevel="1">
      <c r="B14" s="18" t="inlineStr">
        <is>
          <t>Balance Sheet</t>
        </is>
      </c>
      <c r="C14" s="19" t="n"/>
      <c r="D14" s="47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</row>
    <row r="15" hidden="1" outlineLevel="1">
      <c r="B15" s="19" t="inlineStr">
        <is>
          <t>Accounts Receivable (Days)</t>
        </is>
      </c>
      <c r="D15" s="32" t="n"/>
      <c r="E15" s="132">
        <f>E42/E24*365</f>
        <v/>
      </c>
      <c r="F15" s="132">
        <f>F42/F24*365</f>
        <v/>
      </c>
      <c r="G15" s="132">
        <f>G42/G24*365</f>
        <v/>
      </c>
      <c r="H15" s="132">
        <f>H42/H24*365</f>
        <v/>
      </c>
      <c r="I15" s="132">
        <f>I42/I24*365</f>
        <v/>
      </c>
      <c r="J15" s="129" t="n">
        <v>97</v>
      </c>
      <c r="K15" s="129" t="n">
        <v>97</v>
      </c>
      <c r="L15" s="129" t="n">
        <v>97</v>
      </c>
      <c r="M15" s="129" t="n">
        <v>97</v>
      </c>
      <c r="N15" s="129" t="n">
        <v>97</v>
      </c>
    </row>
    <row r="16" hidden="1" outlineLevel="1">
      <c r="B16" s="19" t="inlineStr">
        <is>
          <t>Inventory (Days)</t>
        </is>
      </c>
      <c r="D16" s="32" t="n"/>
      <c r="E16" s="132">
        <f>E43/E25*365</f>
        <v/>
      </c>
      <c r="F16" s="132">
        <f>F43/F25*365</f>
        <v/>
      </c>
      <c r="G16" s="132">
        <f>G43/G25*365</f>
        <v/>
      </c>
      <c r="H16" s="132">
        <f>H43/H25*365</f>
        <v/>
      </c>
      <c r="I16" s="132">
        <f>I43/I25*365</f>
        <v/>
      </c>
      <c r="J16" s="129" t="n">
        <v>0</v>
      </c>
      <c r="K16" s="129" t="n">
        <v>0</v>
      </c>
      <c r="L16" s="129" t="n">
        <v>0</v>
      </c>
      <c r="M16" s="129" t="n">
        <v>0</v>
      </c>
      <c r="N16" s="129" t="n">
        <v>0</v>
      </c>
    </row>
    <row r="17" hidden="1" outlineLevel="1">
      <c r="B17" s="19" t="inlineStr">
        <is>
          <t>Accounts Payable (Days)</t>
        </is>
      </c>
      <c r="D17" s="32" t="n"/>
      <c r="E17" s="132">
        <f>E48/E25*365</f>
        <v/>
      </c>
      <c r="F17" s="132">
        <f>F48/F25*365</f>
        <v/>
      </c>
      <c r="G17" s="132">
        <f>G48/G25*365</f>
        <v/>
      </c>
      <c r="H17" s="132">
        <f>H48/H25*365</f>
        <v/>
      </c>
      <c r="I17" s="132">
        <f>I48/I25*365</f>
        <v/>
      </c>
      <c r="J17" s="129" t="n">
        <v>33</v>
      </c>
      <c r="K17" s="129" t="n">
        <v>33</v>
      </c>
      <c r="L17" s="129" t="n">
        <v>33</v>
      </c>
      <c r="M17" s="129" t="n">
        <v>33</v>
      </c>
      <c r="N17" s="129" t="n">
        <v>33</v>
      </c>
    </row>
    <row r="18" hidden="1" outlineLevel="1">
      <c r="B18" s="19" t="inlineStr">
        <is>
          <t>Capital Expenditures ($000's)</t>
        </is>
      </c>
      <c r="E18" s="132">
        <f>E68</f>
        <v/>
      </c>
      <c r="F18" s="132">
        <f>F68</f>
        <v/>
      </c>
      <c r="G18" s="132">
        <f>G68</f>
        <v/>
      </c>
      <c r="H18" s="132">
        <f>H68</f>
        <v/>
      </c>
      <c r="I18" s="132">
        <f>I68</f>
        <v/>
      </c>
      <c r="J18" s="129" t="n">
        <v>45051.4</v>
      </c>
      <c r="K18" s="129" t="n">
        <v>49556.6</v>
      </c>
      <c r="L18" s="129" t="n">
        <v>54016.7</v>
      </c>
      <c r="M18" s="129" t="n">
        <v>58338</v>
      </c>
      <c r="N18" s="129" t="n">
        <v>62421.6</v>
      </c>
    </row>
    <row r="19" hidden="1" outlineLevel="1">
      <c r="B19" s="19" t="inlineStr">
        <is>
          <t>Debt Issuance (Repayment) ($000's)</t>
        </is>
      </c>
      <c r="E19" s="132">
        <f>E99</f>
        <v/>
      </c>
      <c r="F19" s="132">
        <f>F99</f>
        <v/>
      </c>
      <c r="G19" s="132">
        <f>G99</f>
        <v/>
      </c>
      <c r="H19" s="132">
        <f>H99</f>
        <v/>
      </c>
      <c r="I19" s="132">
        <f>I99</f>
        <v/>
      </c>
      <c r="J19" s="133" t="n">
        <v>0</v>
      </c>
      <c r="K19" s="133" t="n">
        <v>0</v>
      </c>
      <c r="L19" s="133" t="n">
        <v>0</v>
      </c>
      <c r="M19" s="133" t="n">
        <v>0</v>
      </c>
      <c r="N19" s="133" t="n">
        <v>0</v>
      </c>
    </row>
    <row r="20" hidden="1" outlineLevel="1">
      <c r="B20" s="19" t="inlineStr">
        <is>
          <t>Equity Issued (Repaid) ($000's)</t>
        </is>
      </c>
      <c r="E20" s="132">
        <f>E73</f>
        <v/>
      </c>
      <c r="F20" s="132">
        <f>F73</f>
        <v/>
      </c>
      <c r="G20" s="132">
        <f>G73</f>
        <v/>
      </c>
      <c r="H20" s="132">
        <f>H73</f>
        <v/>
      </c>
      <c r="I20" s="132">
        <f>I73</f>
        <v/>
      </c>
      <c r="J20" s="133" t="n">
        <v>0</v>
      </c>
      <c r="K20" s="133" t="n">
        <v>0</v>
      </c>
      <c r="L20" s="133" t="n">
        <v>0</v>
      </c>
      <c r="M20" s="133" t="n">
        <v>0</v>
      </c>
      <c r="N20" s="133" t="n">
        <v>0</v>
      </c>
    </row>
    <row r="21" hidden="1" outlineLevel="1">
      <c r="E21" s="52" t="n"/>
      <c r="F21" s="52" t="n"/>
      <c r="G21" s="52" t="n"/>
      <c r="H21" s="52" t="n"/>
      <c r="I21" s="52" t="n"/>
      <c r="J21" s="33" t="n"/>
      <c r="K21" s="33" t="n"/>
      <c r="L21" s="33" t="n"/>
      <c r="M21" s="33" t="n"/>
      <c r="N21" s="33" t="n"/>
    </row>
    <row r="22" collapsed="1">
      <c r="E22" s="52" t="n"/>
      <c r="F22" s="52" t="n"/>
      <c r="G22" s="52" t="n"/>
      <c r="H22" s="52" t="n"/>
      <c r="I22" s="52" t="n"/>
      <c r="J22" s="33" t="n"/>
      <c r="K22" s="33" t="n"/>
      <c r="L22" s="33" t="n"/>
      <c r="M22" s="33" t="n"/>
      <c r="N22" s="33" t="n"/>
    </row>
    <row r="23" ht="18" customHeight="1">
      <c r="B23" s="65" t="inlineStr">
        <is>
          <t>Income Statement</t>
        </is>
      </c>
      <c r="C23" s="65" t="n"/>
      <c r="D23" s="65" t="n"/>
      <c r="E23" s="65" t="n"/>
      <c r="F23" s="65" t="n"/>
      <c r="G23" s="65" t="n"/>
      <c r="H23" s="65" t="n"/>
      <c r="I23" s="65" t="n"/>
      <c r="J23" s="65" t="n"/>
      <c r="K23" s="65" t="n"/>
      <c r="L23" s="65" t="n"/>
      <c r="M23" s="65" t="n"/>
      <c r="N23" s="65" t="n"/>
    </row>
    <row r="24" hidden="1" outlineLevel="1">
      <c r="B24" s="18" t="inlineStr">
        <is>
          <t>Reveneue</t>
        </is>
      </c>
      <c r="C24" s="18" t="n"/>
      <c r="D24" s="46" t="n"/>
      <c r="E24" s="129" t="n">
        <v>1316536</v>
      </c>
      <c r="F24" s="129" t="n">
        <v>1377270</v>
      </c>
      <c r="G24" s="129" t="n">
        <v>1513557</v>
      </c>
      <c r="H24" s="129" t="n">
        <v>1717526</v>
      </c>
      <c r="I24" s="129" t="n">
        <v>1990869</v>
      </c>
      <c r="J24" s="134">
        <f>I24*(1+J7)</f>
        <v/>
      </c>
      <c r="K24" s="134">
        <f>J24*(1+K7)</f>
        <v/>
      </c>
      <c r="L24" s="134">
        <f>K24*(1+L7)</f>
        <v/>
      </c>
      <c r="M24" s="134">
        <f>L24*(1+M7)</f>
        <v/>
      </c>
      <c r="N24" s="134">
        <f>M24*(1+N7)</f>
        <v/>
      </c>
    </row>
    <row r="25" hidden="1" outlineLevel="1">
      <c r="B25" s="19" t="inlineStr">
        <is>
          <t>Cost of Goods Sold (COGS)</t>
        </is>
      </c>
      <c r="C25" s="19" t="n"/>
      <c r="D25" s="47" t="n"/>
      <c r="E25" s="129" t="n">
        <v>332462</v>
      </c>
      <c r="F25" s="129" t="n">
        <v>302174</v>
      </c>
      <c r="G25" s="129" t="n">
        <v>311053</v>
      </c>
      <c r="H25" s="129" t="n">
        <v>348206</v>
      </c>
      <c r="I25" s="129" t="n">
        <v>353722</v>
      </c>
      <c r="J25" s="135">
        <f>J24*J8</f>
        <v/>
      </c>
      <c r="K25" s="135">
        <f>K24*K8</f>
        <v/>
      </c>
      <c r="L25" s="135">
        <f>L24*L8</f>
        <v/>
      </c>
      <c r="M25" s="135">
        <f>M24*M8</f>
        <v/>
      </c>
      <c r="N25" s="135">
        <f>N24*N8</f>
        <v/>
      </c>
    </row>
    <row r="26" hidden="1" outlineLevel="1">
      <c r="B26" s="4" t="inlineStr">
        <is>
          <t>Gross Profit</t>
        </is>
      </c>
      <c r="C26" s="4" t="n"/>
      <c r="D26" s="22" t="n"/>
      <c r="E26" s="136">
        <f>E24-E25</f>
        <v/>
      </c>
      <c r="F26" s="136">
        <f>F24-F25</f>
        <v/>
      </c>
      <c r="G26" s="136">
        <f>G24-G25</f>
        <v/>
      </c>
      <c r="H26" s="136">
        <f>H24-H25</f>
        <v/>
      </c>
      <c r="I26" s="136">
        <f>I24-I25</f>
        <v/>
      </c>
      <c r="J26" s="136">
        <f>J24-J25</f>
        <v/>
      </c>
      <c r="K26" s="136">
        <f>K24-K25</f>
        <v/>
      </c>
      <c r="L26" s="136">
        <f>L24-L25</f>
        <v/>
      </c>
      <c r="M26" s="136">
        <f>M24-M25</f>
        <v/>
      </c>
      <c r="N26" s="136">
        <f>N24-N25</f>
        <v/>
      </c>
    </row>
    <row r="27" hidden="1" outlineLevel="1">
      <c r="B27" s="18" t="inlineStr">
        <is>
          <t>Expenses</t>
        </is>
      </c>
      <c r="C27" s="18" t="n"/>
      <c r="D27" s="46" t="n"/>
      <c r="E27" s="44" t="n"/>
      <c r="F27" s="44" t="n"/>
      <c r="G27" s="44" t="n"/>
      <c r="H27" s="44" t="n"/>
      <c r="I27" s="44" t="n"/>
      <c r="J27" s="49" t="n"/>
      <c r="K27" s="49" t="n"/>
      <c r="L27" s="49" t="n"/>
      <c r="M27" s="49" t="n"/>
      <c r="N27" s="49" t="n"/>
    </row>
    <row r="28" hidden="1" outlineLevel="1">
      <c r="B28" s="19" t="inlineStr">
        <is>
          <t>Salaries and Benefits</t>
        </is>
      </c>
      <c r="E28" s="129" t="n">
        <v>396281</v>
      </c>
      <c r="F28" s="129" t="n">
        <v>383863</v>
      </c>
      <c r="G28" s="129" t="n">
        <v>400565</v>
      </c>
      <c r="H28" s="129" t="n">
        <v>462834</v>
      </c>
      <c r="I28" s="129" t="n">
        <v>513028</v>
      </c>
      <c r="J28" s="135">
        <f>J9</f>
        <v/>
      </c>
      <c r="K28" s="135">
        <f>K9</f>
        <v/>
      </c>
      <c r="L28" s="135">
        <f>L9</f>
        <v/>
      </c>
      <c r="M28" s="135">
        <f>M9</f>
        <v/>
      </c>
      <c r="N28" s="135">
        <f>N9</f>
        <v/>
      </c>
    </row>
    <row r="29" hidden="1" outlineLevel="1">
      <c r="B29" s="19" t="inlineStr">
        <is>
          <t>Rent and Overhead</t>
        </is>
      </c>
      <c r="E29" s="129" t="n">
        <v>171231</v>
      </c>
      <c r="F29" s="129" t="n">
        <v>146758</v>
      </c>
      <c r="G29" s="129" t="n">
        <v>159950</v>
      </c>
      <c r="H29" s="129" t="n">
        <v>171940</v>
      </c>
      <c r="I29" s="129" t="n">
        <v>188347</v>
      </c>
      <c r="J29" s="135">
        <f>J10</f>
        <v/>
      </c>
      <c r="K29" s="135">
        <f>K10</f>
        <v/>
      </c>
      <c r="L29" s="135">
        <f>L10</f>
        <v/>
      </c>
      <c r="M29" s="135">
        <f>M10</f>
        <v/>
      </c>
      <c r="N29" s="135">
        <f>N10</f>
        <v/>
      </c>
    </row>
    <row r="30" hidden="1" outlineLevel="1">
      <c r="B30" s="19" t="inlineStr">
        <is>
          <t>Depreciation &amp; Amortization</t>
        </is>
      </c>
      <c r="E30" s="129" t="n">
        <v>25592</v>
      </c>
      <c r="F30" s="129" t="n">
        <v>20465</v>
      </c>
      <c r="G30" s="129" t="n">
        <v>14638</v>
      </c>
      <c r="H30" s="129" t="n">
        <v>13827</v>
      </c>
      <c r="I30" s="129" t="n">
        <v>14952</v>
      </c>
      <c r="J30" s="135">
        <f>J94</f>
        <v/>
      </c>
      <c r="K30" s="135">
        <f>K94</f>
        <v/>
      </c>
      <c r="L30" s="135">
        <f>L94</f>
        <v/>
      </c>
      <c r="M30" s="135">
        <f>M94</f>
        <v/>
      </c>
      <c r="N30" s="135">
        <f>N94</f>
        <v/>
      </c>
    </row>
    <row r="31" hidden="1" outlineLevel="1">
      <c r="B31" s="2" t="inlineStr">
        <is>
          <t>Interest</t>
        </is>
      </c>
      <c r="C31" s="2" t="n"/>
      <c r="D31" s="24" t="n"/>
      <c r="E31" s="137" t="n">
        <v>40092</v>
      </c>
      <c r="F31" s="137" t="n">
        <v>68967</v>
      </c>
      <c r="G31" s="137" t="n">
        <v>95546</v>
      </c>
      <c r="H31" s="137" t="n">
        <v>105638</v>
      </c>
      <c r="I31" s="137" t="n">
        <v>133647</v>
      </c>
      <c r="J31" s="138">
        <f>J101</f>
        <v/>
      </c>
      <c r="K31" s="138">
        <f>K101</f>
        <v/>
      </c>
      <c r="L31" s="138">
        <f>L101</f>
        <v/>
      </c>
      <c r="M31" s="138">
        <f>M101</f>
        <v/>
      </c>
      <c r="N31" s="138">
        <f>N101</f>
        <v/>
      </c>
    </row>
    <row r="32" hidden="1" outlineLevel="1">
      <c r="B32" s="18" t="inlineStr">
        <is>
          <t>Total Expenses</t>
        </is>
      </c>
      <c r="C32" s="19" t="n"/>
      <c r="D32" s="47" t="n"/>
      <c r="E32" s="139">
        <f>SUM(E28:E31)</f>
        <v/>
      </c>
      <c r="F32" s="139">
        <f>SUM(F28:F31)</f>
        <v/>
      </c>
      <c r="G32" s="139">
        <f>SUM(G28:G31)</f>
        <v/>
      </c>
      <c r="H32" s="139">
        <f>SUM(H28:H31)</f>
        <v/>
      </c>
      <c r="I32" s="139">
        <f>SUM(I28:I31)</f>
        <v/>
      </c>
      <c r="J32" s="139">
        <f>SUM(J28:J31)</f>
        <v/>
      </c>
      <c r="K32" s="139">
        <f>SUM(K28:K31)</f>
        <v/>
      </c>
      <c r="L32" s="139">
        <f>SUM(L28:L31)</f>
        <v/>
      </c>
      <c r="M32" s="139">
        <f>SUM(M28:M31)</f>
        <v/>
      </c>
      <c r="N32" s="139">
        <f>SUM(N28:N31)</f>
        <v/>
      </c>
    </row>
    <row r="33" hidden="1" outlineLevel="1">
      <c r="B33" s="4" t="inlineStr">
        <is>
          <t>Earnings Before Tax</t>
        </is>
      </c>
      <c r="C33" s="4" t="n"/>
      <c r="D33" s="22" t="n"/>
      <c r="E33" s="136">
        <f>E26-E32</f>
        <v/>
      </c>
      <c r="F33" s="136">
        <f>F26-F32</f>
        <v/>
      </c>
      <c r="G33" s="136">
        <f>G26-G32</f>
        <v/>
      </c>
      <c r="H33" s="136">
        <f>H26-H32</f>
        <v/>
      </c>
      <c r="I33" s="136">
        <f>I26-I32</f>
        <v/>
      </c>
      <c r="J33" s="136">
        <f>J26-J32</f>
        <v/>
      </c>
      <c r="K33" s="136">
        <f>K26-K32</f>
        <v/>
      </c>
      <c r="L33" s="136">
        <f>L26-L32</f>
        <v/>
      </c>
      <c r="M33" s="136">
        <f>M26-M32</f>
        <v/>
      </c>
      <c r="N33" s="136">
        <f>N26-N32</f>
        <v/>
      </c>
    </row>
    <row r="34" hidden="1" outlineLevel="1">
      <c r="B34" s="18" t="n"/>
      <c r="C34" s="18" t="n"/>
      <c r="D34" s="46" t="n"/>
      <c r="E34" s="44" t="n"/>
      <c r="F34" s="44" t="n"/>
      <c r="G34" s="44" t="n"/>
      <c r="H34" s="44" t="n"/>
      <c r="I34" s="44" t="n"/>
      <c r="J34" s="49" t="n"/>
      <c r="K34" s="49" t="n"/>
      <c r="L34" s="49" t="n"/>
      <c r="M34" s="49" t="n"/>
      <c r="N34" s="49" t="n"/>
    </row>
    <row r="35" hidden="1" outlineLevel="1">
      <c r="B35" s="19" t="inlineStr">
        <is>
          <t>Taxes</t>
        </is>
      </c>
      <c r="C35" s="19" t="n"/>
      <c r="D35" s="47" t="n"/>
      <c r="E35" s="129" t="n">
        <v>81058</v>
      </c>
      <c r="F35" s="129" t="n">
        <v>97768</v>
      </c>
      <c r="G35" s="129" t="n">
        <v>124249</v>
      </c>
      <c r="H35" s="129" t="n">
        <v>129214</v>
      </c>
      <c r="I35" s="129" t="n">
        <v>150649</v>
      </c>
      <c r="J35" s="135">
        <f>J33*J13</f>
        <v/>
      </c>
      <c r="K35" s="135">
        <f>K33*K13</f>
        <v/>
      </c>
      <c r="L35" s="135">
        <f>L33*L13</f>
        <v/>
      </c>
      <c r="M35" s="135">
        <f>M33*M13</f>
        <v/>
      </c>
      <c r="N35" s="135">
        <f>N33*N13</f>
        <v/>
      </c>
    </row>
    <row r="36" hidden="1" outlineLevel="1" ht="16.2" customHeight="1" thickBot="1">
      <c r="B36" s="39" t="inlineStr">
        <is>
          <t>Net Earnings</t>
        </is>
      </c>
      <c r="C36" s="39" t="n"/>
      <c r="D36" s="40" t="n"/>
      <c r="E36" s="140">
        <f>E33-E35</f>
        <v/>
      </c>
      <c r="F36" s="140">
        <f>F33-F35</f>
        <v/>
      </c>
      <c r="G36" s="140">
        <f>G33-G35</f>
        <v/>
      </c>
      <c r="H36" s="140">
        <f>H33-H35</f>
        <v/>
      </c>
      <c r="I36" s="140">
        <f>I33-I35</f>
        <v/>
      </c>
      <c r="J36" s="140">
        <f>J33-J35</f>
        <v/>
      </c>
      <c r="K36" s="140">
        <f>K33-K35</f>
        <v/>
      </c>
      <c r="L36" s="140">
        <f>L33-L35</f>
        <v/>
      </c>
      <c r="M36" s="140">
        <f>M33-M35</f>
        <v/>
      </c>
      <c r="N36" s="140">
        <f>N33-N35</f>
        <v/>
      </c>
    </row>
    <row r="37" hidden="1" outlineLevel="1" collapsed="1" ht="16.2" customHeight="1" thickTop="1">
      <c r="E37" s="33" t="n"/>
      <c r="F37" s="33" t="n"/>
      <c r="G37" s="33" t="n"/>
      <c r="H37" s="33" t="n"/>
      <c r="I37" s="33" t="n"/>
    </row>
    <row r="38" collapsed="1"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</row>
    <row r="39" ht="18" customHeight="1">
      <c r="B39" s="65" t="inlineStr">
        <is>
          <t>Balance Sheet</t>
        </is>
      </c>
      <c r="C39" s="65" t="n"/>
      <c r="D39" s="65" t="n"/>
      <c r="E39" s="65" t="n"/>
      <c r="F39" s="65" t="n"/>
      <c r="G39" s="65" t="n"/>
      <c r="H39" s="65" t="n"/>
      <c r="I39" s="65" t="n"/>
      <c r="J39" s="65" t="n"/>
      <c r="K39" s="65" t="n"/>
      <c r="L39" s="65" t="n"/>
      <c r="M39" s="65" t="n"/>
      <c r="N39" s="65" t="n"/>
    </row>
    <row r="40" hidden="1" outlineLevel="1">
      <c r="B40" s="18" t="inlineStr">
        <is>
          <t>Assets</t>
        </is>
      </c>
      <c r="E40" s="33" t="n"/>
      <c r="F40" s="33" t="n"/>
      <c r="G40" s="33" t="n"/>
      <c r="H40" s="33" t="n"/>
      <c r="I40" s="33" t="n"/>
    </row>
    <row r="41" hidden="1" outlineLevel="1">
      <c r="B41" s="19" t="inlineStr">
        <is>
          <t>Cash</t>
        </is>
      </c>
      <c r="E41" s="129" t="n">
        <v>195354</v>
      </c>
      <c r="F41" s="129" t="n">
        <v>133202</v>
      </c>
      <c r="G41" s="129" t="n">
        <v>136778</v>
      </c>
      <c r="H41" s="129" t="n">
        <v>150667</v>
      </c>
      <c r="I41" s="129" t="n">
        <v>134136</v>
      </c>
      <c r="J41" s="135">
        <f>J78</f>
        <v/>
      </c>
      <c r="K41" s="135">
        <f>K78</f>
        <v/>
      </c>
      <c r="L41" s="135">
        <f>L78</f>
        <v/>
      </c>
      <c r="M41" s="135">
        <f>M78</f>
        <v/>
      </c>
      <c r="N41" s="135">
        <f>N78</f>
        <v/>
      </c>
    </row>
    <row r="42" hidden="1" outlineLevel="1">
      <c r="B42" s="19" t="inlineStr">
        <is>
          <t>Accounts Receivable</t>
        </is>
      </c>
      <c r="E42" s="129" t="n">
        <v>312107</v>
      </c>
      <c r="F42" s="129" t="n">
        <v>322410</v>
      </c>
      <c r="G42" s="129" t="n">
        <v>387947</v>
      </c>
      <c r="H42" s="129" t="n">
        <v>426642</v>
      </c>
      <c r="I42" s="129" t="n">
        <v>529148</v>
      </c>
      <c r="J42" s="135">
        <f>J24*J15/365</f>
        <v/>
      </c>
      <c r="K42" s="135">
        <f>K24*K15/365</f>
        <v/>
      </c>
      <c r="L42" s="135">
        <f>L24*L15/365</f>
        <v/>
      </c>
      <c r="M42" s="135">
        <f>M24*M15/365</f>
        <v/>
      </c>
      <c r="N42" s="135">
        <f>N24*N15/365</f>
        <v/>
      </c>
    </row>
    <row r="43" hidden="1" outlineLevel="1">
      <c r="B43" s="19" t="inlineStr">
        <is>
          <t>Inventory</t>
        </is>
      </c>
      <c r="E43" s="129" t="n">
        <v>0</v>
      </c>
      <c r="F43" s="129" t="n">
        <v>0</v>
      </c>
      <c r="G43" s="129" t="n">
        <v>0</v>
      </c>
      <c r="H43" s="129" t="n">
        <v>0</v>
      </c>
      <c r="I43" s="129" t="n">
        <v>0</v>
      </c>
      <c r="J43" s="135">
        <f>J25*J16/365</f>
        <v/>
      </c>
      <c r="K43" s="135">
        <f>K25*K16/365</f>
        <v/>
      </c>
      <c r="L43" s="135">
        <f>L25*L16/365</f>
        <v/>
      </c>
      <c r="M43" s="135">
        <f>M25*M16/365</f>
        <v/>
      </c>
      <c r="N43" s="135">
        <f>N25*N16/365</f>
        <v/>
      </c>
    </row>
    <row r="44" hidden="1" outlineLevel="1">
      <c r="B44" s="19" t="inlineStr">
        <is>
          <t>Property &amp; Equipment</t>
        </is>
      </c>
      <c r="E44" s="129" t="n">
        <v>27913</v>
      </c>
      <c r="F44" s="129" t="n">
        <v>17580</v>
      </c>
      <c r="G44" s="129" t="n">
        <v>10966</v>
      </c>
      <c r="H44" s="129" t="n">
        <v>38465</v>
      </c>
      <c r="I44" s="129" t="n">
        <v>67713</v>
      </c>
      <c r="J44" s="135">
        <f>J95</f>
        <v/>
      </c>
      <c r="K44" s="135">
        <f>K95</f>
        <v/>
      </c>
      <c r="L44" s="135">
        <f>L95</f>
        <v/>
      </c>
      <c r="M44" s="135">
        <f>M95</f>
        <v/>
      </c>
      <c r="N44" s="135">
        <f>N95</f>
        <v/>
      </c>
    </row>
    <row r="45" hidden="1" outlineLevel="1" ht="16.2" customHeight="1" thickBot="1">
      <c r="B45" s="39" t="inlineStr">
        <is>
          <t>Total Assets</t>
        </is>
      </c>
      <c r="C45" s="39" t="n"/>
      <c r="D45" s="40" t="n"/>
      <c r="E45" s="140">
        <f>SUM(E41:E44)</f>
        <v/>
      </c>
      <c r="F45" s="140">
        <f>SUM(F41:F44)</f>
        <v/>
      </c>
      <c r="G45" s="140">
        <f>SUM(G41:G44)</f>
        <v/>
      </c>
      <c r="H45" s="140">
        <f>SUM(H41:H44)</f>
        <v/>
      </c>
      <c r="I45" s="140">
        <f>SUM(I41:I44)</f>
        <v/>
      </c>
      <c r="J45" s="140">
        <f>SUM(J41:J44)</f>
        <v/>
      </c>
      <c r="K45" s="140">
        <f>SUM(K41:K44)</f>
        <v/>
      </c>
      <c r="L45" s="140">
        <f>SUM(L41:L44)</f>
        <v/>
      </c>
      <c r="M45" s="140">
        <f>SUM(M41:M44)</f>
        <v/>
      </c>
      <c r="N45" s="140">
        <f>SUM(N41:N44)</f>
        <v/>
      </c>
    </row>
    <row r="46" hidden="1" outlineLevel="1" ht="16.2" customHeight="1" thickTop="1">
      <c r="B46" s="18" t="n"/>
      <c r="C46" s="18" t="n"/>
      <c r="D46" s="46" t="n"/>
      <c r="E46" s="44" t="n"/>
      <c r="F46" s="44" t="n"/>
      <c r="G46" s="44" t="n"/>
      <c r="H46" s="44" t="n"/>
      <c r="I46" s="44" t="n"/>
      <c r="J46" s="18" t="n"/>
      <c r="K46" s="18" t="n"/>
      <c r="L46" s="18" t="n"/>
      <c r="M46" s="18" t="n"/>
      <c r="N46" s="18" t="n"/>
    </row>
    <row r="47" hidden="1" outlineLevel="1">
      <c r="B47" s="18" t="inlineStr">
        <is>
          <t>Liabilities</t>
        </is>
      </c>
      <c r="E47" s="33" t="n"/>
      <c r="F47" s="33" t="n"/>
      <c r="G47" s="33" t="n"/>
      <c r="H47" s="33" t="n"/>
      <c r="I47" s="33" t="n"/>
    </row>
    <row r="48" hidden="1" outlineLevel="1">
      <c r="B48" s="19" t="inlineStr">
        <is>
          <t>Accounts Payable</t>
        </is>
      </c>
      <c r="E48" s="129" t="n">
        <v>20749</v>
      </c>
      <c r="F48" s="129" t="n">
        <v>17273</v>
      </c>
      <c r="G48" s="129" t="n">
        <v>19009</v>
      </c>
      <c r="H48" s="129" t="n">
        <v>22473</v>
      </c>
      <c r="I48" s="129" t="n">
        <v>32315</v>
      </c>
      <c r="J48" s="135">
        <f>J25*J17/365</f>
        <v/>
      </c>
      <c r="K48" s="135">
        <f>K25*K17/365</f>
        <v/>
      </c>
      <c r="L48" s="135">
        <f>L25*L17/365</f>
        <v/>
      </c>
      <c r="M48" s="135">
        <f>M25*M17/365</f>
        <v/>
      </c>
      <c r="N48" s="135">
        <f>N25*N17/365</f>
        <v/>
      </c>
    </row>
    <row r="49" hidden="1" outlineLevel="1">
      <c r="B49" s="19" t="inlineStr">
        <is>
          <t>Debt</t>
        </is>
      </c>
      <c r="E49" s="129" t="n">
        <v>1259018</v>
      </c>
      <c r="F49" s="129" t="n">
        <v>1853669</v>
      </c>
      <c r="G49" s="129" t="n">
        <v>1861658</v>
      </c>
      <c r="H49" s="129" t="n">
        <v>2209021</v>
      </c>
      <c r="I49" s="129" t="n">
        <v>3055691</v>
      </c>
      <c r="J49" s="135">
        <f>J100</f>
        <v/>
      </c>
      <c r="K49" s="135">
        <f>K100</f>
        <v/>
      </c>
      <c r="L49" s="135">
        <f>L100</f>
        <v/>
      </c>
      <c r="M49" s="135">
        <f>M100</f>
        <v/>
      </c>
      <c r="N49" s="135">
        <f>N100</f>
        <v/>
      </c>
    </row>
    <row r="50" hidden="1" outlineLevel="1">
      <c r="B50" s="4" t="inlineStr">
        <is>
          <t>Total Liabilities</t>
        </is>
      </c>
      <c r="C50" s="4" t="n"/>
      <c r="D50" s="22" t="n"/>
      <c r="E50" s="136">
        <f>SUM(E48:E49)</f>
        <v/>
      </c>
      <c r="F50" s="136">
        <f>SUM(F48:F49)</f>
        <v/>
      </c>
      <c r="G50" s="136">
        <f>SUM(G48:G49)</f>
        <v/>
      </c>
      <c r="H50" s="136">
        <f>SUM(H48:H49)</f>
        <v/>
      </c>
      <c r="I50" s="136">
        <f>SUM(I48:I49)</f>
        <v/>
      </c>
      <c r="J50" s="136">
        <f>SUM(J48:J49)</f>
        <v/>
      </c>
      <c r="K50" s="136">
        <f>SUM(K48:K49)</f>
        <v/>
      </c>
      <c r="L50" s="136">
        <f>SUM(L48:L49)</f>
        <v/>
      </c>
      <c r="M50" s="136">
        <f>SUM(M48:M49)</f>
        <v/>
      </c>
      <c r="N50" s="136">
        <f>SUM(N48:N49)</f>
        <v/>
      </c>
    </row>
    <row r="51" hidden="1" outlineLevel="1">
      <c r="B51" s="18" t="inlineStr">
        <is>
          <t>Shareholder's Equity</t>
        </is>
      </c>
      <c r="E51" s="33" t="n"/>
      <c r="F51" s="33" t="n"/>
      <c r="G51" s="33" t="n"/>
      <c r="H51" s="33" t="n"/>
      <c r="I51" s="33" t="n"/>
    </row>
    <row r="52" hidden="1" outlineLevel="1">
      <c r="B52" s="19" t="inlineStr">
        <is>
          <t>Equity Capital</t>
        </is>
      </c>
      <c r="E52" s="129" t="n">
        <v>-744393</v>
      </c>
      <c r="F52" s="129" t="n">
        <v>-1397750</v>
      </c>
      <c r="G52" s="129" t="n">
        <v>-1344976</v>
      </c>
      <c r="H52" s="129" t="n">
        <v>-1615720</v>
      </c>
      <c r="I52" s="129" t="n">
        <v>-2357009</v>
      </c>
      <c r="J52" s="135">
        <f>I52+J20</f>
        <v/>
      </c>
      <c r="K52" s="135">
        <f>J52+K20</f>
        <v/>
      </c>
      <c r="L52" s="135">
        <f>K52+L20</f>
        <v/>
      </c>
      <c r="M52" s="135">
        <f>L52+M20</f>
        <v/>
      </c>
      <c r="N52" s="135">
        <f>M52+N20</f>
        <v/>
      </c>
    </row>
    <row r="53" hidden="1" outlineLevel="1">
      <c r="B53" s="19" t="inlineStr">
        <is>
          <t>Retained Earnings</t>
        </is>
      </c>
      <c r="E53" s="129" t="n">
        <v>0</v>
      </c>
      <c r="F53" s="129" t="n">
        <v>0</v>
      </c>
      <c r="G53" s="129" t="n">
        <v>0</v>
      </c>
      <c r="H53" s="129" t="n">
        <v>0</v>
      </c>
      <c r="I53" s="129" t="n">
        <v>0</v>
      </c>
      <c r="J53" s="135">
        <f>I53+J36</f>
        <v/>
      </c>
      <c r="K53" s="135">
        <f>J53+K36</f>
        <v/>
      </c>
      <c r="L53" s="135">
        <f>K53+L36</f>
        <v/>
      </c>
      <c r="M53" s="135">
        <f>L53+M36</f>
        <v/>
      </c>
      <c r="N53" s="135">
        <f>M53+N36</f>
        <v/>
      </c>
    </row>
    <row r="54" hidden="1" outlineLevel="1">
      <c r="B54" s="8" t="inlineStr">
        <is>
          <t>Shareholder's Equity</t>
        </is>
      </c>
      <c r="C54" s="8" t="n"/>
      <c r="D54" s="26" t="n"/>
      <c r="E54" s="141">
        <f>SUM(E52:E53)</f>
        <v/>
      </c>
      <c r="F54" s="141">
        <f>SUM(F52:F53)</f>
        <v/>
      </c>
      <c r="G54" s="141">
        <f>SUM(G52:G53)</f>
        <v/>
      </c>
      <c r="H54" s="141">
        <f>SUM(H52:H53)</f>
        <v/>
      </c>
      <c r="I54" s="141">
        <f>SUM(I52:I53)</f>
        <v/>
      </c>
      <c r="J54" s="141">
        <f>SUM(J52:J53)</f>
        <v/>
      </c>
      <c r="K54" s="141">
        <f>SUM(K52:K53)</f>
        <v/>
      </c>
      <c r="L54" s="141">
        <f>SUM(L52:L53)</f>
        <v/>
      </c>
      <c r="M54" s="141">
        <f>SUM(M52:M53)</f>
        <v/>
      </c>
      <c r="N54" s="141">
        <f>SUM(N52:N53)</f>
        <v/>
      </c>
    </row>
    <row r="55" hidden="1" outlineLevel="1" ht="16.2" customHeight="1" thickBot="1">
      <c r="B55" s="39" t="inlineStr">
        <is>
          <t>Total Liabilities &amp; Shareholder's Equity</t>
        </is>
      </c>
      <c r="C55" s="39" t="n"/>
      <c r="D55" s="40" t="n"/>
      <c r="E55" s="140">
        <f>E50+E54</f>
        <v/>
      </c>
      <c r="F55" s="140">
        <f>F50+F54</f>
        <v/>
      </c>
      <c r="G55" s="140">
        <f>G50+G54</f>
        <v/>
      </c>
      <c r="H55" s="140">
        <f>H50+H54</f>
        <v/>
      </c>
      <c r="I55" s="140">
        <f>I50+I54</f>
        <v/>
      </c>
      <c r="J55" s="140">
        <f>J50+J54</f>
        <v/>
      </c>
      <c r="K55" s="140">
        <f>K50+K54</f>
        <v/>
      </c>
      <c r="L55" s="140">
        <f>L50+L54</f>
        <v/>
      </c>
      <c r="M55" s="140">
        <f>M50+M54</f>
        <v/>
      </c>
      <c r="N55" s="140">
        <f>N50+N54</f>
        <v/>
      </c>
    </row>
    <row r="56" hidden="1" outlineLevel="1" ht="16.2" customHeight="1" thickTop="1"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</row>
    <row r="57" hidden="1" outlineLevel="1">
      <c r="B57" s="11" t="inlineStr">
        <is>
          <t>Check</t>
        </is>
      </c>
      <c r="C57" s="9" t="n"/>
      <c r="D57" s="27" t="n"/>
      <c r="E57" s="142">
        <f>E55-E45</f>
        <v/>
      </c>
      <c r="F57" s="142">
        <f>F55-F45</f>
        <v/>
      </c>
      <c r="G57" s="142">
        <f>G55-G45</f>
        <v/>
      </c>
      <c r="H57" s="142">
        <f>H55-H45</f>
        <v/>
      </c>
      <c r="I57" s="142">
        <f>I55-I45</f>
        <v/>
      </c>
      <c r="J57" s="142">
        <f>J55-J45</f>
        <v/>
      </c>
      <c r="K57" s="142">
        <f>K55-K45</f>
        <v/>
      </c>
      <c r="L57" s="142">
        <f>L55-L45</f>
        <v/>
      </c>
      <c r="M57" s="142">
        <f>M55-M45</f>
        <v/>
      </c>
      <c r="N57" s="142">
        <f>N55-N45</f>
        <v/>
      </c>
    </row>
    <row r="58" hidden="1" outlineLevel="1">
      <c r="B58" s="9" t="n"/>
      <c r="C58" s="9" t="n"/>
      <c r="D58" s="27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</row>
    <row r="59" collapsed="1">
      <c r="E59" s="33" t="n"/>
      <c r="F59" s="33" t="n"/>
      <c r="G59" s="33" t="n"/>
      <c r="H59" s="33" t="n"/>
      <c r="I59" s="33" t="n"/>
    </row>
    <row r="60" ht="18" customHeight="1">
      <c r="B60" s="65" t="inlineStr">
        <is>
          <t>Cash Flow Statement</t>
        </is>
      </c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</row>
    <row r="61" hidden="1" outlineLevel="1">
      <c r="B61" s="18" t="inlineStr">
        <is>
          <t>Operating Cash Flow</t>
        </is>
      </c>
      <c r="E61" s="33" t="n"/>
      <c r="F61" s="33" t="n"/>
      <c r="G61" s="33" t="n"/>
      <c r="H61" s="33" t="n"/>
      <c r="I61" s="33" t="n"/>
    </row>
    <row r="62" hidden="1" outlineLevel="1">
      <c r="B62" s="19" t="inlineStr">
        <is>
          <t>Net Earnings</t>
        </is>
      </c>
      <c r="E62" s="135">
        <f>E36</f>
        <v/>
      </c>
      <c r="F62" s="135">
        <f>F36</f>
        <v/>
      </c>
      <c r="G62" s="135">
        <f>G36</f>
        <v/>
      </c>
      <c r="H62" s="135">
        <f>H36</f>
        <v/>
      </c>
      <c r="I62" s="135">
        <f>I36</f>
        <v/>
      </c>
      <c r="J62" s="135">
        <f>J36</f>
        <v/>
      </c>
      <c r="K62" s="135">
        <f>K36</f>
        <v/>
      </c>
      <c r="L62" s="135">
        <f>L36</f>
        <v/>
      </c>
      <c r="M62" s="135">
        <f>M36</f>
        <v/>
      </c>
      <c r="N62" s="135">
        <f>N36</f>
        <v/>
      </c>
    </row>
    <row r="63" hidden="1" outlineLevel="1">
      <c r="B63" s="19" t="inlineStr">
        <is>
          <t>Plus: Depreciation &amp; Amortization</t>
        </is>
      </c>
      <c r="E63" s="135">
        <f>+E30</f>
        <v/>
      </c>
      <c r="F63" s="135">
        <f>+F30</f>
        <v/>
      </c>
      <c r="G63" s="135">
        <f>+G30</f>
        <v/>
      </c>
      <c r="H63" s="135">
        <f>+H30</f>
        <v/>
      </c>
      <c r="I63" s="135">
        <f>+I30</f>
        <v/>
      </c>
      <c r="J63" s="135">
        <f>+J30</f>
        <v/>
      </c>
      <c r="K63" s="135">
        <f>+K30</f>
        <v/>
      </c>
      <c r="L63" s="135">
        <f>+L30</f>
        <v/>
      </c>
      <c r="M63" s="135">
        <f>+M30</f>
        <v/>
      </c>
      <c r="N63" s="135">
        <f>+N30</f>
        <v/>
      </c>
    </row>
    <row r="64" hidden="1" outlineLevel="1">
      <c r="B64" s="19" t="inlineStr">
        <is>
          <t>Less: Changes in Working Capital</t>
        </is>
      </c>
      <c r="E64" s="129" t="n">
        <v>0</v>
      </c>
      <c r="F64" s="129" t="n">
        <v>13779</v>
      </c>
      <c r="G64" s="129" t="n">
        <v>63801</v>
      </c>
      <c r="H64" s="129" t="n">
        <v>35231</v>
      </c>
      <c r="I64" s="129" t="n">
        <v>92664</v>
      </c>
      <c r="J64" s="135">
        <f>J89</f>
        <v/>
      </c>
      <c r="K64" s="135">
        <f>K89</f>
        <v/>
      </c>
      <c r="L64" s="135">
        <f>L89</f>
        <v/>
      </c>
      <c r="M64" s="135">
        <f>M89</f>
        <v/>
      </c>
      <c r="N64" s="135">
        <f>N89</f>
        <v/>
      </c>
    </row>
    <row r="65" hidden="1" outlineLevel="1">
      <c r="B65" s="4" t="inlineStr">
        <is>
          <t>Cash from Operations</t>
        </is>
      </c>
      <c r="C65" s="5" t="n"/>
      <c r="D65" s="28" t="n"/>
      <c r="E65" s="136">
        <f>E62+E63-E64</f>
        <v/>
      </c>
      <c r="F65" s="136">
        <f>F62+F63-F64</f>
        <v/>
      </c>
      <c r="G65" s="136">
        <f>G62+G63-G64</f>
        <v/>
      </c>
      <c r="H65" s="136">
        <f>H62+H63-H64</f>
        <v/>
      </c>
      <c r="I65" s="136">
        <f>I62+I63-I64</f>
        <v/>
      </c>
      <c r="J65" s="136">
        <f>J62+J63-J64</f>
        <v/>
      </c>
      <c r="K65" s="136">
        <f>K62+K63-K64</f>
        <v/>
      </c>
      <c r="L65" s="136">
        <f>L62+L63-L64</f>
        <v/>
      </c>
      <c r="M65" s="136">
        <f>M62+M63-M64</f>
        <v/>
      </c>
      <c r="N65" s="136">
        <f>N62+N63-N64</f>
        <v/>
      </c>
    </row>
    <row r="66" hidden="1" outlineLevel="1">
      <c r="B66" s="18" t="n"/>
      <c r="C66" s="19" t="n"/>
      <c r="D66" s="47" t="n"/>
      <c r="E66" s="44" t="n"/>
      <c r="F66" s="44" t="n"/>
      <c r="G66" s="44" t="n"/>
      <c r="H66" s="44" t="n"/>
      <c r="I66" s="44" t="n"/>
      <c r="J66" s="18" t="n"/>
      <c r="K66" s="18" t="n"/>
      <c r="L66" s="18" t="n"/>
      <c r="M66" s="18" t="n"/>
      <c r="N66" s="18" t="n"/>
    </row>
    <row r="67" hidden="1" outlineLevel="1">
      <c r="B67" s="18" t="inlineStr">
        <is>
          <t>Investing Cash Flow</t>
        </is>
      </c>
      <c r="E67" s="33" t="n"/>
      <c r="F67" s="33" t="n"/>
      <c r="G67" s="33" t="n"/>
      <c r="H67" s="33" t="n"/>
      <c r="I67" s="33" t="n"/>
      <c r="J67" s="19" t="n"/>
      <c r="K67" s="19" t="n"/>
      <c r="L67" s="19" t="n"/>
      <c r="M67" s="19" t="n"/>
      <c r="N67" s="19" t="n"/>
    </row>
    <row r="68" hidden="1" outlineLevel="1">
      <c r="B68" s="19" t="inlineStr">
        <is>
          <t>Investments in Property &amp; Equipment</t>
        </is>
      </c>
      <c r="E68" s="129" t="n">
        <v>7569</v>
      </c>
      <c r="F68" s="129" t="n">
        <v>6029</v>
      </c>
      <c r="G68" s="129" t="n">
        <v>4237</v>
      </c>
      <c r="H68" s="129" t="n">
        <v>25551</v>
      </c>
      <c r="I68" s="129" t="n">
        <v>39407</v>
      </c>
      <c r="J68" s="135">
        <f>J18</f>
        <v/>
      </c>
      <c r="K68" s="135">
        <f>K18</f>
        <v/>
      </c>
      <c r="L68" s="135">
        <f>L18</f>
        <v/>
      </c>
      <c r="M68" s="135">
        <f>M18</f>
        <v/>
      </c>
      <c r="N68" s="135">
        <f>N18</f>
        <v/>
      </c>
    </row>
    <row r="69" hidden="1" outlineLevel="1">
      <c r="B69" s="4" t="inlineStr">
        <is>
          <t>Cash from Investing</t>
        </is>
      </c>
      <c r="C69" s="5" t="n"/>
      <c r="D69" s="28" t="n"/>
      <c r="E69" s="136">
        <f>SUM(E68)</f>
        <v/>
      </c>
      <c r="F69" s="136">
        <f>SUM(F68)</f>
        <v/>
      </c>
      <c r="G69" s="136">
        <f>SUM(G68)</f>
        <v/>
      </c>
      <c r="H69" s="136">
        <f>SUM(H68)</f>
        <v/>
      </c>
      <c r="I69" s="136">
        <f>SUM(I68)</f>
        <v/>
      </c>
      <c r="J69" s="136">
        <f>SUM(J68)</f>
        <v/>
      </c>
      <c r="K69" s="136">
        <f>SUM(K68)</f>
        <v/>
      </c>
      <c r="L69" s="136">
        <f>SUM(L68)</f>
        <v/>
      </c>
      <c r="M69" s="136">
        <f>SUM(M68)</f>
        <v/>
      </c>
      <c r="N69" s="136">
        <f>SUM(N68)</f>
        <v/>
      </c>
    </row>
    <row r="70" hidden="1" outlineLevel="1">
      <c r="B70" s="18" t="n"/>
      <c r="C70" s="19" t="n"/>
      <c r="D70" s="47" t="n"/>
      <c r="E70" s="44" t="n"/>
      <c r="F70" s="44" t="n"/>
      <c r="G70" s="44" t="n"/>
      <c r="H70" s="44" t="n"/>
      <c r="I70" s="44" t="n"/>
      <c r="J70" s="18" t="n"/>
      <c r="K70" s="18" t="n"/>
      <c r="L70" s="18" t="n"/>
      <c r="M70" s="18" t="n"/>
      <c r="N70" s="18" t="n"/>
    </row>
    <row r="71" hidden="1" outlineLevel="1">
      <c r="B71" s="18" t="inlineStr">
        <is>
          <t>Financing Cash Flow</t>
        </is>
      </c>
      <c r="E71" s="33" t="n"/>
      <c r="F71" s="33" t="n"/>
      <c r="G71" s="33" t="n"/>
      <c r="H71" s="33" t="n"/>
      <c r="I71" s="33" t="n"/>
      <c r="J71" s="19" t="n"/>
      <c r="K71" s="19" t="n"/>
      <c r="L71" s="19" t="n"/>
      <c r="M71" s="19" t="n"/>
      <c r="N71" s="19" t="n"/>
    </row>
    <row r="72" hidden="1" outlineLevel="1">
      <c r="B72" s="19" t="inlineStr">
        <is>
          <t>Issuance (repayment) of debt</t>
        </is>
      </c>
      <c r="E72" s="129" t="n">
        <v>0</v>
      </c>
      <c r="F72" s="129" t="n">
        <v>594651</v>
      </c>
      <c r="G72" s="129" t="n">
        <v>7989</v>
      </c>
      <c r="H72" s="129" t="n">
        <v>347363</v>
      </c>
      <c r="I72" s="129" t="n">
        <v>846670</v>
      </c>
      <c r="J72" s="135">
        <f>J19</f>
        <v/>
      </c>
      <c r="K72" s="135">
        <f>K19</f>
        <v/>
      </c>
      <c r="L72" s="135">
        <f>L19</f>
        <v/>
      </c>
      <c r="M72" s="135">
        <f>M19</f>
        <v/>
      </c>
      <c r="N72" s="135">
        <f>N19</f>
        <v/>
      </c>
    </row>
    <row r="73" hidden="1" outlineLevel="1">
      <c r="B73" s="19" t="inlineStr">
        <is>
          <t>Issuance (repayment) of equity</t>
        </is>
      </c>
      <c r="E73" s="129" t="n">
        <v>0</v>
      </c>
      <c r="F73" s="129" t="n">
        <v>0</v>
      </c>
      <c r="G73" s="129" t="n">
        <v>0</v>
      </c>
      <c r="H73" s="129" t="n">
        <v>0</v>
      </c>
      <c r="I73" s="129" t="n">
        <v>0</v>
      </c>
      <c r="J73" s="135">
        <f>J20</f>
        <v/>
      </c>
      <c r="K73" s="135">
        <f>K20</f>
        <v/>
      </c>
      <c r="L73" s="135">
        <f>L20</f>
        <v/>
      </c>
      <c r="M73" s="135">
        <f>M20</f>
        <v/>
      </c>
      <c r="N73" s="135">
        <f>N20</f>
        <v/>
      </c>
    </row>
    <row r="74" hidden="1" outlineLevel="1">
      <c r="B74" s="4" t="inlineStr">
        <is>
          <t>Cash from Financing</t>
        </is>
      </c>
      <c r="C74" s="5" t="n"/>
      <c r="D74" s="28" t="n"/>
      <c r="E74" s="136">
        <f>SUM(E72:E73)</f>
        <v/>
      </c>
      <c r="F74" s="136">
        <f>SUM(F72:F73)</f>
        <v/>
      </c>
      <c r="G74" s="136">
        <f>SUM(G72:G73)</f>
        <v/>
      </c>
      <c r="H74" s="136">
        <f>SUM(H72:H73)</f>
        <v/>
      </c>
      <c r="I74" s="136">
        <f>SUM(I72:I73)</f>
        <v/>
      </c>
      <c r="J74" s="136">
        <f>SUM(J72:J73)</f>
        <v/>
      </c>
      <c r="K74" s="136">
        <f>SUM(K72:K73)</f>
        <v/>
      </c>
      <c r="L74" s="136">
        <f>SUM(L72:L73)</f>
        <v/>
      </c>
      <c r="M74" s="136">
        <f>SUM(M72:M73)</f>
        <v/>
      </c>
      <c r="N74" s="136">
        <f>SUM(N72:N73)</f>
        <v/>
      </c>
    </row>
    <row r="75" hidden="1" outlineLevel="1">
      <c r="B75" s="18" t="n"/>
      <c r="C75" s="19" t="n"/>
      <c r="D75" s="47" t="n"/>
      <c r="E75" s="44" t="n"/>
      <c r="F75" s="44" t="n"/>
      <c r="G75" s="44" t="n"/>
      <c r="H75" s="44" t="n"/>
      <c r="I75" s="44" t="n"/>
      <c r="J75" s="18" t="n"/>
      <c r="K75" s="18" t="n"/>
      <c r="L75" s="18" t="n"/>
      <c r="M75" s="18" t="n"/>
      <c r="N75" s="18" t="n"/>
    </row>
    <row r="76" hidden="1" outlineLevel="1">
      <c r="B76" s="19" t="inlineStr">
        <is>
          <t>Net Increase (decrease) in Cash</t>
        </is>
      </c>
      <c r="E76" s="132">
        <f>E65-E69+E74</f>
        <v/>
      </c>
      <c r="F76" s="132">
        <f>F65-F69+F74</f>
        <v/>
      </c>
      <c r="G76" s="132">
        <f>G65-G69+G74</f>
        <v/>
      </c>
      <c r="H76" s="132">
        <f>H65-H69+H74</f>
        <v/>
      </c>
      <c r="I76" s="132">
        <f>I65-I69+I74</f>
        <v/>
      </c>
      <c r="J76" s="132">
        <f>J65-J69+J74</f>
        <v/>
      </c>
      <c r="K76" s="132">
        <f>K65-K69+K74</f>
        <v/>
      </c>
      <c r="L76" s="132">
        <f>L65-L69+L74</f>
        <v/>
      </c>
      <c r="M76" s="132">
        <f>M65-M69+M74</f>
        <v/>
      </c>
      <c r="N76" s="132">
        <f>N65-N69+N74</f>
        <v/>
      </c>
    </row>
    <row r="77" hidden="1" outlineLevel="1">
      <c r="B77" s="19" t="inlineStr">
        <is>
          <t>Opening Cash Balance</t>
        </is>
      </c>
      <c r="E77" s="135">
        <f>D78</f>
        <v/>
      </c>
      <c r="F77" s="143" t="n">
        <v>167971.1792</v>
      </c>
      <c r="G77" s="143" t="n">
        <v>181209.912697878</v>
      </c>
      <c r="H77" s="143" t="n">
        <v>183715.2565830093</v>
      </c>
      <c r="I77" s="143" t="n">
        <v>211069.3356066046</v>
      </c>
      <c r="J77" s="135">
        <f>+I78</f>
        <v/>
      </c>
      <c r="K77" s="135">
        <f>+J78</f>
        <v/>
      </c>
      <c r="L77" s="135">
        <f>+K78</f>
        <v/>
      </c>
      <c r="M77" s="135">
        <f>+L78</f>
        <v/>
      </c>
      <c r="N77" s="135">
        <f>+M78</f>
        <v/>
      </c>
    </row>
    <row r="78" hidden="1" outlineLevel="1">
      <c r="B78" s="4" t="inlineStr">
        <is>
          <t>Closing Cash Balance</t>
        </is>
      </c>
      <c r="C78" s="5" t="n"/>
      <c r="D78" s="144" t="n">
        <v>157394</v>
      </c>
      <c r="E78" s="136">
        <f>SUM(E76:E77)</f>
        <v/>
      </c>
      <c r="F78" s="136">
        <f>SUM(F76:F77)</f>
        <v/>
      </c>
      <c r="G78" s="136">
        <f>SUM(G76:G77)</f>
        <v/>
      </c>
      <c r="H78" s="136">
        <f>SUM(H76:H77)</f>
        <v/>
      </c>
      <c r="I78" s="136">
        <f>SUM(I76:I77)</f>
        <v/>
      </c>
      <c r="J78" s="136">
        <f>SUM(J76:J77)</f>
        <v/>
      </c>
      <c r="K78" s="136">
        <f>SUM(K76:K77)</f>
        <v/>
      </c>
      <c r="L78" s="136">
        <f>SUM(L76:L77)</f>
        <v/>
      </c>
      <c r="M78" s="136">
        <f>SUM(M76:M77)</f>
        <v/>
      </c>
      <c r="N78" s="136">
        <f>SUM(N76:N77)</f>
        <v/>
      </c>
    </row>
    <row r="79" hidden="1" outlineLevel="1">
      <c r="B79" s="18" t="n"/>
      <c r="E79" s="44" t="n"/>
      <c r="F79" s="33" t="n"/>
      <c r="G79" s="33" t="n"/>
      <c r="H79" s="33" t="n"/>
      <c r="I79" s="33" t="n"/>
    </row>
    <row r="80" hidden="1" outlineLevel="1">
      <c r="B80" s="11" t="inlineStr">
        <is>
          <t>Check</t>
        </is>
      </c>
      <c r="C80" s="9" t="n"/>
      <c r="D80" s="27" t="n"/>
      <c r="E80" s="142">
        <f>E78-E41</f>
        <v/>
      </c>
      <c r="F80" s="142">
        <f>F78-F41</f>
        <v/>
      </c>
      <c r="G80" s="142">
        <f>G78-G41</f>
        <v/>
      </c>
      <c r="H80" s="142">
        <f>H78-H41</f>
        <v/>
      </c>
      <c r="I80" s="142">
        <f>I78-I41</f>
        <v/>
      </c>
      <c r="J80" s="142">
        <f>J78-J41</f>
        <v/>
      </c>
      <c r="K80" s="142">
        <f>K78-K41</f>
        <v/>
      </c>
      <c r="L80" s="142">
        <f>L78-L41</f>
        <v/>
      </c>
      <c r="M80" s="142">
        <f>M78-M41</f>
        <v/>
      </c>
      <c r="N80" s="142">
        <f>N78-N41</f>
        <v/>
      </c>
    </row>
    <row r="81" hidden="1" outlineLevel="1">
      <c r="B81" s="18" t="n"/>
      <c r="E81" s="44" t="n"/>
      <c r="F81" s="33" t="n"/>
      <c r="G81" s="33" t="n"/>
      <c r="H81" s="33" t="n"/>
      <c r="I81" s="33" t="n"/>
    </row>
    <row r="82" collapsed="1">
      <c r="E82" s="33" t="n"/>
      <c r="F82" s="33" t="n"/>
      <c r="G82" s="33" t="n"/>
      <c r="H82" s="33" t="n"/>
      <c r="I82" s="33" t="n"/>
    </row>
    <row r="83" ht="18" customHeight="1">
      <c r="B83" s="65" t="inlineStr">
        <is>
          <t>Supporting Schedules</t>
        </is>
      </c>
      <c r="C83" s="65" t="n"/>
      <c r="D83" s="65" t="n"/>
      <c r="E83" s="65" t="n"/>
      <c r="F83" s="65" t="n"/>
      <c r="G83" s="65" t="n"/>
      <c r="H83" s="65" t="n"/>
      <c r="I83" s="65" t="n"/>
      <c r="J83" s="65" t="n"/>
      <c r="K83" s="65" t="n"/>
      <c r="L83" s="65" t="n"/>
      <c r="M83" s="65" t="n"/>
      <c r="N83" s="65" t="n"/>
    </row>
    <row r="84" hidden="1" outlineLevel="1">
      <c r="B84" s="18" t="inlineStr">
        <is>
          <t>Working Capital Schedule</t>
        </is>
      </c>
      <c r="F84" s="33" t="n"/>
      <c r="G84" s="33" t="n"/>
      <c r="H84" s="33" t="n"/>
      <c r="I84" s="33" t="n"/>
    </row>
    <row r="85" hidden="1" outlineLevel="1">
      <c r="B85" s="19" t="inlineStr">
        <is>
          <t>Accounts Receivable</t>
        </is>
      </c>
      <c r="E85" s="143" t="n">
        <v>5100.35</v>
      </c>
      <c r="F85" s="143" t="n">
        <v>5904.3</v>
      </c>
      <c r="G85" s="143" t="n">
        <v>6567.25</v>
      </c>
      <c r="H85" s="143" t="n">
        <v>7117.05</v>
      </c>
      <c r="I85" s="143" t="n">
        <v>7538.6</v>
      </c>
      <c r="J85" s="135">
        <f>J42</f>
        <v/>
      </c>
      <c r="K85" s="135">
        <f>K42</f>
        <v/>
      </c>
      <c r="L85" s="135">
        <f>L42</f>
        <v/>
      </c>
      <c r="M85" s="135">
        <f>M42</f>
        <v/>
      </c>
      <c r="N85" s="135">
        <f>N42</f>
        <v/>
      </c>
    </row>
    <row r="86" hidden="1" outlineLevel="1">
      <c r="B86" s="19" t="inlineStr">
        <is>
          <t>Inventory</t>
        </is>
      </c>
      <c r="E86" s="143" t="n">
        <v>7804.6</v>
      </c>
      <c r="F86" s="143" t="n">
        <v>9600.800000000001</v>
      </c>
      <c r="G86" s="143" t="n">
        <v>9824.6</v>
      </c>
      <c r="H86" s="143" t="n">
        <v>10530.8</v>
      </c>
      <c r="I86" s="143" t="n">
        <v>11342</v>
      </c>
      <c r="J86" s="135">
        <f>J43</f>
        <v/>
      </c>
      <c r="K86" s="135">
        <f>K43</f>
        <v/>
      </c>
      <c r="L86" s="135">
        <f>L43</f>
        <v/>
      </c>
      <c r="M86" s="135">
        <f>M43</f>
        <v/>
      </c>
      <c r="N86" s="135">
        <f>N43</f>
        <v/>
      </c>
    </row>
    <row r="87" hidden="1" outlineLevel="1">
      <c r="B87" s="19" t="inlineStr">
        <is>
          <t>Accounts Payable</t>
        </is>
      </c>
      <c r="E87" s="143" t="n">
        <v>3902.3</v>
      </c>
      <c r="F87" s="143" t="n">
        <v>4800.400000000001</v>
      </c>
      <c r="G87" s="143" t="n">
        <v>4912.3</v>
      </c>
      <c r="H87" s="143" t="n">
        <v>5265.400000000001</v>
      </c>
      <c r="I87" s="143" t="n">
        <v>5671</v>
      </c>
      <c r="J87" s="135">
        <f>J48</f>
        <v/>
      </c>
      <c r="K87" s="135">
        <f>K48</f>
        <v/>
      </c>
      <c r="L87" s="135">
        <f>L48</f>
        <v/>
      </c>
      <c r="M87" s="135">
        <f>M48</f>
        <v/>
      </c>
      <c r="N87" s="135">
        <f>N48</f>
        <v/>
      </c>
    </row>
    <row r="88" hidden="1" outlineLevel="1">
      <c r="B88" s="5" t="inlineStr">
        <is>
          <t>Net Working Capital (NWC)</t>
        </is>
      </c>
      <c r="C88" s="5" t="n"/>
      <c r="D88" s="28" t="n"/>
      <c r="E88" s="145">
        <f>E85+E86-E87</f>
        <v/>
      </c>
      <c r="F88" s="145">
        <f>F85+F86-F87</f>
        <v/>
      </c>
      <c r="G88" s="145">
        <f>G85+G86-G87</f>
        <v/>
      </c>
      <c r="H88" s="145">
        <f>H85+H86-H87</f>
        <v/>
      </c>
      <c r="I88" s="145">
        <f>I85+I86-I87</f>
        <v/>
      </c>
      <c r="J88" s="145">
        <f>J85+J86-J87</f>
        <v/>
      </c>
      <c r="K88" s="145">
        <f>K85+K86-K87</f>
        <v/>
      </c>
      <c r="L88" s="145">
        <f>L85+L86-L87</f>
        <v/>
      </c>
      <c r="M88" s="145">
        <f>M85+M86-M87</f>
        <v/>
      </c>
      <c r="N88" s="145">
        <f>N85+N86-N87</f>
        <v/>
      </c>
    </row>
    <row r="89" hidden="1" outlineLevel="1">
      <c r="B89" s="19" t="inlineStr">
        <is>
          <t>Change in NWC</t>
        </is>
      </c>
      <c r="E89" s="132">
        <f>E88-D88</f>
        <v/>
      </c>
      <c r="F89" s="132">
        <f>F88-E88</f>
        <v/>
      </c>
      <c r="G89" s="132">
        <f>G88-F88</f>
        <v/>
      </c>
      <c r="H89" s="132">
        <f>H88-G88</f>
        <v/>
      </c>
      <c r="I89" s="132">
        <f>I88-H88</f>
        <v/>
      </c>
      <c r="J89" s="132">
        <f>J88-I88</f>
        <v/>
      </c>
      <c r="K89" s="132">
        <f>K88-J88</f>
        <v/>
      </c>
      <c r="L89" s="132">
        <f>L88-K88</f>
        <v/>
      </c>
      <c r="M89" s="132">
        <f>M88-L88</f>
        <v/>
      </c>
      <c r="N89" s="132">
        <f>N88-M88</f>
        <v/>
      </c>
    </row>
    <row r="90" hidden="1" outlineLevel="1">
      <c r="E90" s="33" t="n"/>
      <c r="F90" s="33" t="n"/>
      <c r="G90" s="33" t="n"/>
      <c r="H90" s="33" t="n"/>
      <c r="I90" s="33" t="n"/>
    </row>
    <row r="91" hidden="1" outlineLevel="1">
      <c r="B91" s="18" t="inlineStr">
        <is>
          <t>Depreciation Schedule</t>
        </is>
      </c>
      <c r="E91" s="33" t="n"/>
      <c r="F91" s="33" t="n"/>
      <c r="G91" s="33" t="n"/>
      <c r="H91" s="33" t="n"/>
      <c r="I91" s="33" t="n"/>
    </row>
    <row r="92" hidden="1" outlineLevel="1">
      <c r="B92" s="19" t="inlineStr">
        <is>
          <t>PPE Opening</t>
        </is>
      </c>
      <c r="E92" s="143" t="n">
        <v>50000</v>
      </c>
      <c r="F92" s="143" t="n">
        <v>45500</v>
      </c>
      <c r="G92" s="143" t="n">
        <v>42350</v>
      </c>
      <c r="H92" s="143" t="n">
        <v>40145</v>
      </c>
      <c r="I92" s="143" t="n">
        <v>38601.5</v>
      </c>
      <c r="J92" s="135">
        <f>I95</f>
        <v/>
      </c>
      <c r="K92" s="135">
        <f>J95</f>
        <v/>
      </c>
      <c r="L92" s="135">
        <f>K95</f>
        <v/>
      </c>
      <c r="M92" s="135">
        <f>L95</f>
        <v/>
      </c>
      <c r="N92" s="135">
        <f>M95</f>
        <v/>
      </c>
    </row>
    <row r="93" hidden="1" outlineLevel="1">
      <c r="B93" s="19" t="inlineStr">
        <is>
          <t>Plus Capex</t>
        </is>
      </c>
      <c r="E93" s="143" t="n">
        <v>15000</v>
      </c>
      <c r="F93" s="143" t="n">
        <v>15000</v>
      </c>
      <c r="G93" s="143" t="n">
        <v>15000</v>
      </c>
      <c r="H93" s="143" t="n">
        <v>15000</v>
      </c>
      <c r="I93" s="143" t="n">
        <v>15000</v>
      </c>
      <c r="J93" s="135">
        <f>+J18</f>
        <v/>
      </c>
      <c r="K93" s="135">
        <f>+K18</f>
        <v/>
      </c>
      <c r="L93" s="135">
        <f>+L18</f>
        <v/>
      </c>
      <c r="M93" s="135">
        <f>+M18</f>
        <v/>
      </c>
      <c r="N93" s="135">
        <f>+N18</f>
        <v/>
      </c>
    </row>
    <row r="94" hidden="1" outlineLevel="1">
      <c r="B94" s="19" t="inlineStr">
        <is>
          <t>Less Depreciation</t>
        </is>
      </c>
      <c r="E94" s="143" t="n">
        <v>19500</v>
      </c>
      <c r="F94" s="143" t="n">
        <v>18150</v>
      </c>
      <c r="G94" s="143" t="n">
        <v>17205</v>
      </c>
      <c r="H94" s="143" t="n">
        <v>16543.5</v>
      </c>
      <c r="I94" s="143" t="n">
        <v>16080.45</v>
      </c>
      <c r="J94" s="135">
        <f>J92*J11</f>
        <v/>
      </c>
      <c r="K94" s="135">
        <f>K92*K11</f>
        <v/>
      </c>
      <c r="L94" s="135">
        <f>L92*L11</f>
        <v/>
      </c>
      <c r="M94" s="135">
        <f>M92*M11</f>
        <v/>
      </c>
      <c r="N94" s="135">
        <f>N92*N11</f>
        <v/>
      </c>
    </row>
    <row r="95" hidden="1" outlineLevel="1">
      <c r="B95" s="5" t="inlineStr">
        <is>
          <t>PPE Closing</t>
        </is>
      </c>
      <c r="C95" s="5" t="n"/>
      <c r="D95" s="28" t="n"/>
      <c r="E95" s="145">
        <f>E92+E93-E94</f>
        <v/>
      </c>
      <c r="F95" s="145">
        <f>F92+F93-F94</f>
        <v/>
      </c>
      <c r="G95" s="145">
        <f>G92+G93-G94</f>
        <v/>
      </c>
      <c r="H95" s="145">
        <f>H92+H93-H94</f>
        <v/>
      </c>
      <c r="I95" s="145">
        <f>I92+I93-I94</f>
        <v/>
      </c>
      <c r="J95" s="145">
        <f>J92+J93-J94</f>
        <v/>
      </c>
      <c r="K95" s="145">
        <f>K92+K93-K94</f>
        <v/>
      </c>
      <c r="L95" s="145">
        <f>L92+L93-L94</f>
        <v/>
      </c>
      <c r="M95" s="145">
        <f>M92+M93-M94</f>
        <v/>
      </c>
      <c r="N95" s="145">
        <f>N92+N93-N94</f>
        <v/>
      </c>
    </row>
    <row r="96" hidden="1" outlineLevel="1">
      <c r="E96" s="33" t="n"/>
      <c r="F96" s="33" t="n"/>
      <c r="G96" s="33" t="n"/>
      <c r="H96" s="33" t="n"/>
      <c r="I96" s="33" t="n"/>
      <c r="J96" s="33" t="n"/>
      <c r="K96" s="33" t="n"/>
      <c r="L96" s="33" t="n"/>
      <c r="M96" s="33" t="n"/>
      <c r="N96" s="33" t="n"/>
    </row>
    <row r="97" hidden="1" outlineLevel="1">
      <c r="B97" s="18" t="inlineStr">
        <is>
          <t>Debt &amp; Interest Schedule</t>
        </is>
      </c>
      <c r="E97" s="33" t="n"/>
      <c r="F97" s="33" t="n"/>
      <c r="G97" s="33" t="n"/>
      <c r="H97" s="33" t="n"/>
      <c r="I97" s="33" t="n"/>
    </row>
    <row r="98" hidden="1" outlineLevel="1">
      <c r="B98" s="19" t="inlineStr">
        <is>
          <t>Debt Opening</t>
        </is>
      </c>
      <c r="E98" s="143" t="n">
        <v>50000</v>
      </c>
      <c r="F98" s="143" t="n">
        <v>50000</v>
      </c>
      <c r="G98" s="143" t="n">
        <v>50000</v>
      </c>
      <c r="H98" s="143" t="n">
        <v>30000</v>
      </c>
      <c r="I98" s="143" t="n">
        <v>30000</v>
      </c>
      <c r="J98" s="135">
        <f>I100</f>
        <v/>
      </c>
      <c r="K98" s="135">
        <f>J100</f>
        <v/>
      </c>
      <c r="L98" s="135">
        <f>K100</f>
        <v/>
      </c>
      <c r="M98" s="135">
        <f>L100</f>
        <v/>
      </c>
      <c r="N98" s="135">
        <f>M100</f>
        <v/>
      </c>
    </row>
    <row r="99" hidden="1" outlineLevel="1">
      <c r="B99" s="19" t="inlineStr">
        <is>
          <t>Issuance (repayment)</t>
        </is>
      </c>
      <c r="E99" s="143" t="n">
        <v>0</v>
      </c>
      <c r="F99" s="143" t="n">
        <v>0</v>
      </c>
      <c r="G99" s="143" t="n">
        <v>-20000</v>
      </c>
      <c r="H99" s="143" t="n">
        <v>0</v>
      </c>
      <c r="I99" s="143" t="n">
        <v>0</v>
      </c>
      <c r="J99" s="132">
        <f>+J19</f>
        <v/>
      </c>
      <c r="K99" s="132">
        <f>+K19</f>
        <v/>
      </c>
      <c r="L99" s="132">
        <f>+L19</f>
        <v/>
      </c>
      <c r="M99" s="132">
        <f>+M19</f>
        <v/>
      </c>
      <c r="N99" s="132">
        <f>+N19</f>
        <v/>
      </c>
    </row>
    <row r="100" hidden="1" outlineLevel="1">
      <c r="B100" s="5" t="inlineStr">
        <is>
          <t>Debt Closing</t>
        </is>
      </c>
      <c r="C100" s="5" t="n"/>
      <c r="D100" s="28" t="n"/>
      <c r="E100" s="145">
        <f>SUM(E98:E99)</f>
        <v/>
      </c>
      <c r="F100" s="145">
        <f>SUM(F98:F99)</f>
        <v/>
      </c>
      <c r="G100" s="145">
        <f>SUM(G98:G99)</f>
        <v/>
      </c>
      <c r="H100" s="145">
        <f>SUM(H98:H99)</f>
        <v/>
      </c>
      <c r="I100" s="145">
        <f>SUM(I98:I99)</f>
        <v/>
      </c>
      <c r="J100" s="145">
        <f>SUM(J98:J99)</f>
        <v/>
      </c>
      <c r="K100" s="145">
        <f>SUM(K98:K99)</f>
        <v/>
      </c>
      <c r="L100" s="145">
        <f>SUM(L98:L99)</f>
        <v/>
      </c>
      <c r="M100" s="145">
        <f>SUM(M98:M99)</f>
        <v/>
      </c>
      <c r="N100" s="145">
        <f>SUM(N98:N99)</f>
        <v/>
      </c>
    </row>
    <row r="101" hidden="1" outlineLevel="1">
      <c r="B101" s="19" t="inlineStr">
        <is>
          <t>Interest Expense</t>
        </is>
      </c>
      <c r="E101" s="143" t="n">
        <v>2500</v>
      </c>
      <c r="F101" s="143" t="n">
        <v>2500</v>
      </c>
      <c r="G101" s="143" t="n">
        <v>1500</v>
      </c>
      <c r="H101" s="143" t="n">
        <v>900</v>
      </c>
      <c r="I101" s="143" t="n">
        <v>900</v>
      </c>
      <c r="J101" s="135">
        <f>J98*J12</f>
        <v/>
      </c>
      <c r="K101" s="135">
        <f>K98*K12</f>
        <v/>
      </c>
      <c r="L101" s="135">
        <f>L98*L12</f>
        <v/>
      </c>
      <c r="M101" s="135">
        <f>M98*M12</f>
        <v/>
      </c>
      <c r="N101" s="135">
        <f>N98*N12</f>
        <v/>
      </c>
    </row>
    <row r="102" hidden="1" outlineLevel="1">
      <c r="E102" s="33" t="n"/>
      <c r="F102" s="33" t="n"/>
      <c r="G102" s="67" t="n"/>
      <c r="H102" s="33" t="n"/>
      <c r="I102" s="33" t="n"/>
    </row>
    <row r="103" hidden="1" outlineLevel="1">
      <c r="E103" s="33" t="n"/>
      <c r="F103" s="33" t="n"/>
      <c r="G103" s="33" t="n"/>
      <c r="H103" s="33" t="n"/>
      <c r="I103" s="33" t="n"/>
    </row>
    <row r="104" collapsed="1">
      <c r="E104" s="33" t="n"/>
      <c r="F104" s="33" t="n"/>
      <c r="G104" s="33" t="n"/>
      <c r="H104" s="33" t="n"/>
      <c r="I104" s="33" t="n"/>
    </row>
    <row r="105" ht="18" customHeight="1">
      <c r="B105" s="65" t="inlineStr">
        <is>
          <t>Charts and Graphs</t>
        </is>
      </c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65" t="n"/>
      <c r="L105" s="65" t="n"/>
      <c r="M105" s="65" t="n"/>
      <c r="N105" s="65" t="n"/>
    </row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>
      <c r="C118" s="69" t="n"/>
      <c r="D118" s="69" t="n"/>
    </row>
    <row r="119" hidden="1" outlineLevel="1">
      <c r="B119" s="69" t="n"/>
      <c r="C119" s="69" t="n"/>
      <c r="D119" s="69" t="n"/>
    </row>
    <row r="120" hidden="1" outlineLevel="1"/>
    <row r="121" hidden="1" outlineLevel="1">
      <c r="B121" s="19" t="inlineStr">
        <is>
          <t>Revenue</t>
        </is>
      </c>
      <c r="E121" s="19">
        <f>E24</f>
        <v/>
      </c>
      <c r="F121" s="19">
        <f>F24</f>
        <v/>
      </c>
      <c r="G121" s="19">
        <f>G24</f>
        <v/>
      </c>
      <c r="H121" s="19">
        <f>H24</f>
        <v/>
      </c>
      <c r="I121" s="19">
        <f>I24</f>
        <v/>
      </c>
    </row>
    <row r="122" hidden="1" outlineLevel="1">
      <c r="B122" s="19" t="inlineStr">
        <is>
          <t>Gross Profit</t>
        </is>
      </c>
      <c r="E122" s="19">
        <f>E26</f>
        <v/>
      </c>
      <c r="F122" s="19">
        <f>F26</f>
        <v/>
      </c>
      <c r="G122" s="19">
        <f>G26</f>
        <v/>
      </c>
      <c r="H122" s="19">
        <f>H26</f>
        <v/>
      </c>
      <c r="I122" s="19">
        <f>I26</f>
        <v/>
      </c>
    </row>
    <row r="123" hidden="1" outlineLevel="1">
      <c r="B123" s="19" t="inlineStr">
        <is>
          <t>Earning Before Tax</t>
        </is>
      </c>
      <c r="E123" s="19">
        <f>E33</f>
        <v/>
      </c>
      <c r="F123" s="19">
        <f>F33</f>
        <v/>
      </c>
      <c r="G123" s="19">
        <f>G33</f>
        <v/>
      </c>
      <c r="H123" s="19">
        <f>H33</f>
        <v/>
      </c>
      <c r="I123" s="19">
        <f>I33</f>
        <v/>
      </c>
    </row>
    <row r="124" hidden="1" outlineLevel="1"/>
    <row r="125" hidden="1" outlineLevel="1">
      <c r="B125" s="19" t="inlineStr">
        <is>
          <t>Operating Cash Flow</t>
        </is>
      </c>
      <c r="E125" s="19">
        <f>E65</f>
        <v/>
      </c>
      <c r="F125" s="19">
        <f>F65</f>
        <v/>
      </c>
      <c r="G125" s="19">
        <f>G65</f>
        <v/>
      </c>
      <c r="H125" s="19">
        <f>H65</f>
        <v/>
      </c>
      <c r="I125" s="19">
        <f>I65</f>
        <v/>
      </c>
    </row>
    <row r="126" hidden="1" outlineLevel="1">
      <c r="B126" s="19" t="inlineStr">
        <is>
          <t>Investing Cash Flow</t>
        </is>
      </c>
      <c r="E126" s="19">
        <f>-E69</f>
        <v/>
      </c>
      <c r="F126" s="19">
        <f>-F69</f>
        <v/>
      </c>
      <c r="G126" s="19">
        <f>-G69</f>
        <v/>
      </c>
      <c r="H126" s="19">
        <f>-H69</f>
        <v/>
      </c>
      <c r="I126" s="19">
        <f>-I69</f>
        <v/>
      </c>
    </row>
    <row r="127" hidden="1" outlineLevel="1">
      <c r="B127" s="19" t="inlineStr">
        <is>
          <t>Financing Cash Flow</t>
        </is>
      </c>
      <c r="E127" s="19">
        <f>E74</f>
        <v/>
      </c>
      <c r="F127" s="19">
        <f>F74</f>
        <v/>
      </c>
      <c r="G127" s="19">
        <f>G74</f>
        <v/>
      </c>
      <c r="H127" s="19">
        <f>H74</f>
        <v/>
      </c>
      <c r="I127" s="19">
        <f>I74</f>
        <v/>
      </c>
    </row>
    <row r="128" hidden="1" outlineLevel="1"/>
    <row r="129" collapsed="1"/>
    <row r="131">
      <c r="B131" s="68" t="inlineStr">
        <is>
          <t>This file is for educational purposes only. E&amp;OE</t>
        </is>
      </c>
    </row>
    <row r="132">
      <c r="B132" s="69" t="n"/>
      <c r="C132" s="69" t="n"/>
      <c r="D132" s="69" t="n"/>
    </row>
    <row r="133">
      <c r="B133" s="69" t="n"/>
      <c r="C133" s="69" t="n"/>
      <c r="D133" s="69" t="n"/>
    </row>
    <row r="134">
      <c r="B134" s="69" t="n"/>
      <c r="C134" s="69" t="n"/>
      <c r="D134" s="69" t="n"/>
    </row>
    <row r="135">
      <c r="B135" s="69" t="n"/>
      <c r="C135" s="69" t="n"/>
      <c r="D135" s="69" t="n"/>
    </row>
    <row r="136">
      <c r="B136" s="69" t="n"/>
      <c r="C136" s="69" t="n"/>
      <c r="D136" s="69" t="n"/>
    </row>
    <row r="137">
      <c r="B137" s="69" t="inlineStr">
        <is>
          <t xml:space="preserve">Corporate Finance Institute® </t>
        </is>
      </c>
      <c r="C137" s="70" t="n"/>
      <c r="D137" s="70" t="n"/>
    </row>
    <row r="138" ht="16.2" customHeight="1">
      <c r="B138" s="71" t="inlineStr">
        <is>
          <t>https://corporatefinanceinstitute.com/</t>
        </is>
      </c>
      <c r="C138" s="72" t="n"/>
      <c r="D138" s="72" t="n"/>
    </row>
  </sheetData>
  <conditionalFormatting sqref="E3:N3">
    <cfRule type="containsText" priority="1" operator="containsText" dxfId="1" text="OK">
      <formula>NOT(ISERROR(SEARCH("OK",E3)))</formula>
    </cfRule>
    <cfRule type="containsText" priority="2" operator="containsText" dxfId="0" text="ERROR">
      <formula>NOT(ISERROR(SEARCH("ERROR",E3)))</formula>
    </cfRule>
  </conditionalFormatting>
  <hyperlinks>
    <hyperlink xmlns:r="http://schemas.openxmlformats.org/officeDocument/2006/relationships" ref="B138" r:id="rId1"/>
  </hyperlinks>
  <pageMargins left="0.7086614173228347" right="0.7086614173228347" top="0.7480314960629921" bottom="0.7480314960629921" header="0.3149606299212598" footer="0.3149606299212598"/>
  <pageSetup orientation="landscape" scale="78"/>
  <rowBreaks count="3" manualBreakCount="3">
    <brk id="37" min="0" max="13" man="1"/>
    <brk id="58" min="0" max="13" man="1"/>
    <brk id="81" min="0" max="13" man="1"/>
  </rowBreaks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cols>
    <col width="3.54296875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9.08984375" customWidth="1" min="15" max="15"/>
  </cols>
  <sheetData>
    <row r="1" ht="18" customHeight="1">
      <c r="A1" s="92" t="inlineStr">
        <is>
          <t>© Corporate Finance Institute®. All rights reserved.</t>
        </is>
      </c>
      <c r="B1" s="93" t="n"/>
      <c r="C1" s="93" t="n"/>
      <c r="D1" s="94" t="n"/>
      <c r="E1" s="94" t="n"/>
      <c r="F1" s="94" t="n"/>
      <c r="G1" s="94" t="n"/>
      <c r="H1" s="92" t="n"/>
      <c r="I1" s="93" t="n"/>
      <c r="J1" s="93" t="n"/>
      <c r="K1" s="94" t="n"/>
      <c r="L1" s="94" t="n"/>
      <c r="M1" s="94" t="n"/>
      <c r="N1" s="94" t="n"/>
    </row>
    <row r="2" ht="18" customHeight="1">
      <c r="A2" s="93" t="n"/>
      <c r="B2" s="95" t="inlineStr">
        <is>
          <t>DCF Model</t>
        </is>
      </c>
      <c r="C2" s="96" t="n"/>
      <c r="D2" s="96" t="n"/>
      <c r="E2" s="96" t="n"/>
      <c r="F2" s="94" t="n"/>
      <c r="G2" s="94" t="n"/>
      <c r="H2" s="93" t="n"/>
      <c r="I2" s="95" t="n"/>
      <c r="J2" s="96" t="n"/>
      <c r="K2" s="96" t="n"/>
      <c r="L2" s="96" t="n"/>
      <c r="M2" s="94" t="n"/>
      <c r="N2" s="94" t="n"/>
    </row>
    <row r="3" ht="16" customHeight="1">
      <c r="A3" s="97" t="n"/>
      <c r="B3" s="98" t="n"/>
      <c r="C3" s="97" t="n"/>
      <c r="D3" s="99" t="n"/>
      <c r="E3" s="100" t="n"/>
      <c r="F3" s="100" t="n"/>
      <c r="G3" s="100" t="n"/>
      <c r="H3" s="100" t="n"/>
      <c r="I3" s="100" t="n"/>
      <c r="J3" s="97" t="n"/>
      <c r="K3" s="97" t="n"/>
      <c r="L3" s="97" t="n"/>
      <c r="M3" s="97" t="n"/>
      <c r="N3" s="97" t="n"/>
      <c r="O3" s="97" t="n"/>
    </row>
    <row r="4" ht="16" customHeight="1">
      <c r="A4" s="97" t="n"/>
      <c r="B4" s="101" t="inlineStr">
        <is>
          <t>Assumptions</t>
        </is>
      </c>
      <c r="C4" s="102" t="n"/>
      <c r="D4" s="102" t="n"/>
      <c r="E4" s="100" t="n"/>
      <c r="F4" s="97" t="n"/>
      <c r="G4" s="97" t="n"/>
      <c r="H4" s="97" t="n"/>
      <c r="I4" s="97" t="n"/>
      <c r="J4" s="97" t="n"/>
      <c r="K4" s="97" t="n"/>
      <c r="L4" s="97" t="n"/>
      <c r="M4" s="97" t="n"/>
      <c r="N4" s="97" t="n"/>
      <c r="O4" s="97" t="n"/>
    </row>
    <row r="5" ht="16" customHeight="1">
      <c r="A5" s="97" t="n"/>
      <c r="B5" s="103" t="inlineStr">
        <is>
          <t>Tax Rate</t>
        </is>
      </c>
      <c r="C5" s="100" t="n"/>
      <c r="D5" s="146" t="n">
        <v>0.1877023903712333</v>
      </c>
      <c r="E5" s="100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 ht="16" customHeight="1">
      <c r="A6" s="97" t="n"/>
      <c r="B6" s="103" t="inlineStr">
        <is>
          <t>Discount Rate</t>
        </is>
      </c>
      <c r="C6" s="97" t="n"/>
      <c r="D6" s="146" t="n">
        <v>0.096</v>
      </c>
      <c r="E6" s="97" t="n"/>
      <c r="F6" s="97" t="n"/>
      <c r="G6" s="97" t="n"/>
      <c r="H6" s="97" t="n"/>
      <c r="I6" s="97" t="n"/>
      <c r="J6" s="97" t="n"/>
      <c r="K6" s="97" t="n"/>
      <c r="L6" s="97" t="n"/>
      <c r="M6" s="97" t="n"/>
      <c r="N6" s="97" t="n"/>
      <c r="O6" s="97" t="n"/>
    </row>
    <row r="7" ht="16" customHeight="1">
      <c r="A7" s="97" t="n"/>
      <c r="B7" s="97" t="inlineStr">
        <is>
          <t>Perpetural Growth Rate</t>
        </is>
      </c>
      <c r="C7" s="97" t="n"/>
      <c r="D7" s="146" t="n">
        <v>0.03</v>
      </c>
      <c r="E7" s="97" t="n"/>
      <c r="F7" s="97" t="n"/>
      <c r="G7" s="97" t="n"/>
      <c r="H7" s="97" t="n"/>
      <c r="I7" s="97" t="n"/>
      <c r="J7" s="97" t="n"/>
      <c r="K7" s="97" t="n"/>
      <c r="L7" s="97" t="n"/>
      <c r="M7" s="97" t="n"/>
      <c r="N7" s="97" t="n"/>
      <c r="O7" s="97" t="n"/>
    </row>
    <row r="8" ht="16" customHeight="1">
      <c r="A8" s="97" t="n"/>
      <c r="B8" s="97" t="inlineStr">
        <is>
          <t>EV/EBITDA Mulltiple</t>
        </is>
      </c>
      <c r="C8" s="97" t="n"/>
      <c r="D8" s="147" t="n">
        <v>22</v>
      </c>
      <c r="E8" s="97" t="n"/>
      <c r="F8" s="97" t="n"/>
      <c r="G8" s="97" t="n"/>
      <c r="H8" s="97" t="n"/>
      <c r="I8" s="97" t="n"/>
      <c r="J8" s="97" t="n"/>
      <c r="K8" s="97" t="n"/>
      <c r="L8" s="97" t="n"/>
      <c r="M8" s="97" t="n"/>
      <c r="N8" s="97" t="n"/>
      <c r="O8" s="97" t="n"/>
    </row>
    <row r="9" ht="16" customHeight="1">
      <c r="A9" s="97" t="n"/>
      <c r="B9" s="97" t="inlineStr">
        <is>
          <t>Transaction Date</t>
        </is>
      </c>
      <c r="C9" s="97" t="n"/>
      <c r="D9" s="148" t="n">
        <v>45930</v>
      </c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 ht="16" customHeight="1">
      <c r="A10" s="97" t="n"/>
      <c r="B10" s="97" t="inlineStr">
        <is>
          <t>Fiscal Year End</t>
        </is>
      </c>
      <c r="C10" s="97" t="n"/>
      <c r="D10" s="148" t="n">
        <v>46295</v>
      </c>
      <c r="E10" s="97" t="n"/>
      <c r="F10" s="97" t="n"/>
      <c r="G10" s="97" t="n"/>
      <c r="H10" s="97" t="n"/>
      <c r="I10" s="97" t="n"/>
      <c r="J10" s="97" t="n"/>
      <c r="K10" s="97" t="n"/>
      <c r="L10" s="97" t="n"/>
      <c r="M10" s="97" t="n"/>
      <c r="N10" s="97" t="n"/>
      <c r="O10" s="97" t="n"/>
    </row>
    <row r="11" ht="16" customHeight="1">
      <c r="A11" s="97" t="n"/>
      <c r="B11" s="97" t="inlineStr">
        <is>
          <t>Current Price</t>
        </is>
      </c>
      <c r="C11" s="97" t="n"/>
      <c r="D11" s="149" t="n">
        <v>1046.23</v>
      </c>
      <c r="E11" s="97" t="n"/>
      <c r="F11" s="97" t="n"/>
      <c r="G11" s="97" t="n"/>
      <c r="H11" s="97" t="n"/>
      <c r="I11" s="97" t="n"/>
      <c r="J11" s="97" t="n"/>
      <c r="K11" s="97" t="n"/>
      <c r="L11" s="97" t="n"/>
      <c r="M11" s="97" t="n"/>
      <c r="N11" s="97" t="n"/>
      <c r="O11" s="97" t="n"/>
    </row>
    <row r="12" ht="16" customHeight="1">
      <c r="A12" s="97" t="n"/>
      <c r="B12" s="97" t="inlineStr">
        <is>
          <t>Shares Outstanding</t>
        </is>
      </c>
      <c r="C12" s="97" t="n"/>
      <c r="D12" s="150" t="n">
        <v>21597.635</v>
      </c>
      <c r="E12" s="97" t="n"/>
      <c r="F12" s="97" t="n"/>
      <c r="G12" s="97" t="n"/>
      <c r="H12" s="97" t="n"/>
      <c r="I12" s="97" t="n"/>
      <c r="J12" s="97" t="n"/>
      <c r="K12" s="97" t="n"/>
      <c r="L12" s="97" t="n"/>
      <c r="M12" s="97" t="n"/>
      <c r="N12" s="97" t="n"/>
      <c r="O12" s="97" t="n"/>
    </row>
    <row r="13" ht="16" customHeight="1">
      <c r="A13" s="97" t="n"/>
      <c r="B13" s="97" t="inlineStr">
        <is>
          <t>Debt</t>
        </is>
      </c>
      <c r="C13" s="97" t="n"/>
      <c r="D13" s="150" t="n">
        <v>5582389</v>
      </c>
      <c r="E13" s="97" t="n"/>
      <c r="F13" s="97" t="n"/>
      <c r="G13" s="97" t="n"/>
      <c r="H13" s="97" t="n"/>
      <c r="I13" s="97" t="n"/>
      <c r="J13" s="97" t="n"/>
      <c r="K13" s="97" t="n"/>
      <c r="L13" s="97" t="n"/>
      <c r="M13" s="97" t="n"/>
      <c r="N13" s="97" t="n"/>
      <c r="O13" s="97" t="n"/>
    </row>
    <row r="14" ht="16" customHeight="1">
      <c r="A14" s="97" t="n"/>
      <c r="B14" s="97" t="inlineStr">
        <is>
          <t>Cash</t>
        </is>
      </c>
      <c r="C14" s="97" t="n"/>
      <c r="D14" s="150" t="n">
        <v>304537</v>
      </c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 ht="16" customHeight="1">
      <c r="A15" s="97" t="n"/>
      <c r="B15" s="97" t="inlineStr">
        <is>
          <t>Capex</t>
        </is>
      </c>
      <c r="C15" s="97" t="n"/>
      <c r="D15" s="151" t="n">
        <v>45051.43556656494</v>
      </c>
      <c r="E15" s="97" t="n"/>
      <c r="F15" s="97" t="n"/>
      <c r="G15" s="97" t="n"/>
      <c r="H15" s="97" t="n"/>
      <c r="I15" s="97" t="n"/>
      <c r="J15" s="97" t="n"/>
      <c r="K15" s="97" t="n"/>
      <c r="L15" s="97" t="n"/>
      <c r="M15" s="97" t="n"/>
      <c r="N15" s="97" t="n"/>
      <c r="O15" s="97" t="n"/>
    </row>
    <row r="16" ht="16" customHeight="1">
      <c r="A16" s="97" t="n"/>
      <c r="B16" s="97" t="n"/>
      <c r="C16" s="97" t="n"/>
      <c r="D16" s="106" t="n"/>
      <c r="J16" s="97" t="n"/>
      <c r="K16" s="97" t="n"/>
      <c r="L16" s="97" t="n"/>
      <c r="M16" s="97" t="n"/>
      <c r="N16" s="97" t="n"/>
      <c r="O16" s="97" t="n"/>
    </row>
    <row r="17" ht="16" customHeight="1">
      <c r="A17" s="97" t="n"/>
      <c r="B17" s="109" t="inlineStr">
        <is>
          <t>Discounted Cash Flow</t>
        </is>
      </c>
      <c r="C17" s="110" t="n"/>
      <c r="D17" s="111" t="inlineStr">
        <is>
          <t>Entry</t>
        </is>
      </c>
      <c r="E17" s="152">
        <f>YEAR(E18)</f>
        <v/>
      </c>
      <c r="F17" s="152">
        <f>YEAR(F18)</f>
        <v/>
      </c>
      <c r="G17" s="152">
        <f>YEAR(G18)</f>
        <v/>
      </c>
      <c r="H17" s="152">
        <f>YEAR(H18)</f>
        <v/>
      </c>
      <c r="I17" s="152">
        <f>YEAR(I18)</f>
        <v/>
      </c>
      <c r="J17" s="111" t="inlineStr">
        <is>
          <t>Exit</t>
        </is>
      </c>
      <c r="K17" s="97" t="n"/>
      <c r="L17" s="109" t="inlineStr">
        <is>
          <t>Terminal Value</t>
        </is>
      </c>
      <c r="M17" s="110" t="n"/>
      <c r="N17" s="110" t="n"/>
      <c r="O17" s="97" t="n"/>
    </row>
    <row r="18" ht="16" customHeight="1">
      <c r="A18" s="97" t="n"/>
      <c r="B18" s="97" t="inlineStr">
        <is>
          <t>Date</t>
        </is>
      </c>
      <c r="C18" s="97" t="n"/>
      <c r="D18" s="153">
        <f>D9</f>
        <v/>
      </c>
      <c r="E18" s="117">
        <f>DATE(YEAR($D$10)+E19,6,30)</f>
        <v/>
      </c>
      <c r="F18" s="117">
        <f>DATE(YEAR($D$10)+F19,6,30)</f>
        <v/>
      </c>
      <c r="G18" s="117">
        <f>DATE(YEAR($D$10)+G19,6,30)</f>
        <v/>
      </c>
      <c r="H18" s="117">
        <f>DATE(YEAR($D$10)+H19,6,30)</f>
        <v/>
      </c>
      <c r="I18" s="117">
        <f>DATE(YEAR($D$10)+I19,6,30)</f>
        <v/>
      </c>
      <c r="J18" s="154">
        <f>I18</f>
        <v/>
      </c>
      <c r="K18" s="97" t="n"/>
      <c r="L18" s="97" t="inlineStr">
        <is>
          <t>Perpetural Growth</t>
        </is>
      </c>
      <c r="M18" s="97" t="n"/>
      <c r="N18" s="97">
        <f>(I26*(1+D7))/(D6-D7)</f>
        <v/>
      </c>
      <c r="O18" s="97" t="n"/>
    </row>
    <row r="19" ht="16" customHeight="1">
      <c r="A19" s="97" t="n"/>
      <c r="B19" s="115" t="inlineStr">
        <is>
          <t>Time Periods</t>
        </is>
      </c>
      <c r="C19" s="115" t="n"/>
      <c r="D19" s="113" t="n"/>
      <c r="E19" s="155" t="n">
        <v>0</v>
      </c>
      <c r="F19" s="153">
        <f>E19+1</f>
        <v/>
      </c>
      <c r="G19" s="153">
        <f>F19+1</f>
        <v/>
      </c>
      <c r="H19" s="153">
        <f>G19+1</f>
        <v/>
      </c>
      <c r="I19" s="153">
        <f>H19+1</f>
        <v/>
      </c>
      <c r="J19" s="113" t="n"/>
      <c r="K19" s="97" t="n"/>
      <c r="L19" s="97" t="inlineStr">
        <is>
          <t>EV/EBITDA</t>
        </is>
      </c>
      <c r="M19" s="97" t="n"/>
      <c r="N19" s="118">
        <f>D8*(I21+I23)</f>
        <v/>
      </c>
      <c r="O19" s="97" t="n"/>
    </row>
    <row r="20" ht="16" customHeight="1">
      <c r="A20" s="97" t="n"/>
      <c r="B20" s="115" t="inlineStr">
        <is>
          <t>Year Fraction</t>
        </is>
      </c>
      <c r="C20" s="97" t="n"/>
      <c r="D20" s="97" t="n"/>
      <c r="E20" s="153">
        <f>YEARFRAC(D18,E18)</f>
        <v/>
      </c>
      <c r="F20" s="153">
        <f>YEARFRAC(E18,F18)</f>
        <v/>
      </c>
      <c r="G20" s="153">
        <f>YEARFRAC(F18,G18)</f>
        <v/>
      </c>
      <c r="H20" s="153">
        <f>YEARFRAC(G18,H18)</f>
        <v/>
      </c>
      <c r="I20" s="153">
        <f>YEARFRAC(H18,I18)</f>
        <v/>
      </c>
      <c r="J20" s="97" t="n"/>
      <c r="K20" s="97" t="n"/>
      <c r="L20" s="97" t="inlineStr">
        <is>
          <t>Average</t>
        </is>
      </c>
      <c r="M20" s="97" t="n"/>
      <c r="N20" s="120">
        <f>AVERAGE(N18:N19)</f>
        <v/>
      </c>
      <c r="O20" s="97" t="n"/>
    </row>
    <row r="21" ht="16" customHeight="1">
      <c r="A21" s="97" t="n"/>
      <c r="B21" s="97" t="inlineStr">
        <is>
          <t>EBIT</t>
        </is>
      </c>
      <c r="C21" s="97" t="n"/>
      <c r="D21" s="97" t="n"/>
      <c r="E21" s="151" t="n">
        <v>1052713.043327438</v>
      </c>
      <c r="F21" s="151" t="n">
        <v>1157984.347660181</v>
      </c>
      <c r="G21" s="151" t="n">
        <v>1262202.938949598</v>
      </c>
      <c r="H21" s="151" t="n">
        <v>1363179.174065566</v>
      </c>
      <c r="I21" s="151" t="n">
        <v>1458601.716250155</v>
      </c>
      <c r="J21" s="97" t="n"/>
      <c r="K21" s="97" t="n"/>
      <c r="L21" s="97" t="n"/>
      <c r="M21" s="97" t="n"/>
      <c r="N21" s="97" t="n"/>
      <c r="O21" s="97" t="n"/>
    </row>
    <row r="22" ht="16" customHeight="1">
      <c r="A22" s="97" t="n"/>
      <c r="B22" s="97" t="inlineStr">
        <is>
          <t>Less: Cash Taxes</t>
        </is>
      </c>
      <c r="C22" s="97" t="n"/>
      <c r="D22" s="97" t="n"/>
      <c r="E22" s="156">
        <f>E21*$D$5</f>
        <v/>
      </c>
      <c r="F22" s="156">
        <f>F21*$D$5</f>
        <v/>
      </c>
      <c r="G22" s="156">
        <f>G21*$D$5</f>
        <v/>
      </c>
      <c r="H22" s="156">
        <f>H21*$D$5</f>
        <v/>
      </c>
      <c r="I22" s="156">
        <f>I21*$D$5</f>
        <v/>
      </c>
      <c r="J22" s="97" t="n"/>
      <c r="K22" s="97" t="n"/>
      <c r="L22" s="97" t="n"/>
      <c r="M22" s="97" t="n"/>
      <c r="N22" s="97" t="n"/>
      <c r="O22" s="97" t="n"/>
    </row>
    <row r="23" ht="16" customHeight="1">
      <c r="A23" s="97" t="n"/>
      <c r="B23" s="97" t="inlineStr">
        <is>
          <t>Plus: D&amp;A</t>
        </is>
      </c>
      <c r="C23" s="97" t="n"/>
      <c r="D23" s="97" t="n"/>
      <c r="E23" s="151" t="n">
        <v>17093.63982519042</v>
      </c>
      <c r="F23" s="151" t="n">
        <v>18803.00380770947</v>
      </c>
      <c r="G23" s="151" t="n">
        <v>20495.27415040332</v>
      </c>
      <c r="H23" s="151" t="n">
        <v>22134.89608243559</v>
      </c>
      <c r="I23" s="151" t="n">
        <v>23684.33880820608</v>
      </c>
      <c r="J23" s="97" t="n"/>
      <c r="K23" s="97" t="n"/>
      <c r="L23" s="97" t="n"/>
      <c r="M23" s="97" t="n"/>
      <c r="N23" s="97" t="n"/>
      <c r="O23" s="97" t="n"/>
    </row>
    <row r="24" ht="16" customHeight="1">
      <c r="A24" s="97" t="n"/>
      <c r="B24" s="97" t="inlineStr">
        <is>
          <t>Less: Capex</t>
        </is>
      </c>
      <c r="C24" s="97" t="n"/>
      <c r="D24" s="97" t="n"/>
      <c r="E24" s="157">
        <f>$D$15</f>
        <v/>
      </c>
      <c r="F24" s="157">
        <f>$D$15</f>
        <v/>
      </c>
      <c r="G24" s="157">
        <f>$D$15</f>
        <v/>
      </c>
      <c r="H24" s="157">
        <f>$D$15</f>
        <v/>
      </c>
      <c r="I24" s="157">
        <f>$D$15</f>
        <v/>
      </c>
      <c r="J24" s="97" t="n"/>
      <c r="K24" s="97" t="n"/>
      <c r="L24" s="97" t="n"/>
      <c r="M24" s="97" t="n"/>
      <c r="N24" s="97" t="n"/>
      <c r="O24" s="97" t="n"/>
    </row>
    <row r="25" ht="16" customHeight="1">
      <c r="A25" s="97" t="n"/>
      <c r="B25" s="97" t="inlineStr">
        <is>
          <t>Less: Changes in NWC</t>
        </is>
      </c>
      <c r="C25" s="97" t="n"/>
      <c r="D25" s="97" t="n"/>
      <c r="E25" s="151" t="n">
        <v>71163.54596501018</v>
      </c>
      <c r="F25" s="151" t="n">
        <v>56799.65459650115</v>
      </c>
      <c r="G25" s="151" t="n">
        <v>56231.65805053606</v>
      </c>
      <c r="H25" s="151" t="n">
        <v>54482.22868896381</v>
      </c>
      <c r="I25" s="151" t="n">
        <v>51485.70611107082</v>
      </c>
      <c r="J25" s="97" t="n"/>
      <c r="K25" s="97" t="n"/>
      <c r="L25" s="97" t="n"/>
      <c r="M25" s="97" t="n"/>
      <c r="N25" s="97" t="n"/>
      <c r="O25" s="97" t="n"/>
    </row>
    <row r="26" ht="16" customHeight="1">
      <c r="A26" s="97" t="n"/>
      <c r="B26" s="97" t="inlineStr">
        <is>
          <t>Unlevered FCF</t>
        </is>
      </c>
      <c r="C26" s="97" t="n"/>
      <c r="D26" s="97" t="n"/>
      <c r="E26" s="158">
        <f>E21-E22+E23-E24-E25</f>
        <v/>
      </c>
      <c r="F26" s="158">
        <f>F21-F22+F23-F24-F25</f>
        <v/>
      </c>
      <c r="G26" s="158">
        <f>G21-G22+G23-G24-G25</f>
        <v/>
      </c>
      <c r="H26" s="158">
        <f>H21-H22+H23-H24-H25</f>
        <v/>
      </c>
      <c r="I26" s="158">
        <f>I21-I22+I23-I24-I25</f>
        <v/>
      </c>
      <c r="J26" s="97" t="n"/>
      <c r="K26" s="97" t="n"/>
      <c r="L26" s="97" t="n"/>
      <c r="M26" s="97" t="n"/>
      <c r="N26" s="97" t="n"/>
      <c r="O26" s="97" t="n"/>
    </row>
    <row r="27" ht="16" customHeight="1">
      <c r="A27" s="97" t="n"/>
      <c r="B27" s="97" t="inlineStr">
        <is>
          <t>(Entry)/Exit</t>
        </is>
      </c>
      <c r="C27" s="97" t="n"/>
      <c r="D27" s="156">
        <f>-I35</f>
        <v/>
      </c>
      <c r="E27" s="97" t="n"/>
      <c r="F27" s="97" t="n"/>
      <c r="G27" s="97" t="n"/>
      <c r="H27" s="97" t="n"/>
      <c r="I27" s="97" t="n"/>
      <c r="J27" s="156">
        <f>N20</f>
        <v/>
      </c>
      <c r="K27" s="97" t="n"/>
      <c r="L27" s="97" t="n"/>
      <c r="M27" s="97" t="n"/>
      <c r="N27" s="97" t="n"/>
      <c r="O27" s="97" t="n"/>
    </row>
    <row r="28" ht="16" customHeight="1">
      <c r="A28" s="97" t="n"/>
      <c r="B28" s="97" t="inlineStr">
        <is>
          <t>Transaction CF</t>
        </is>
      </c>
      <c r="C28" s="97" t="n"/>
      <c r="D28" s="158" t="n">
        <v>0</v>
      </c>
      <c r="E28" s="158">
        <f>(E27+E26)*E20</f>
        <v/>
      </c>
      <c r="F28" s="158">
        <f>(F27+F26)*F20</f>
        <v/>
      </c>
      <c r="G28" s="158">
        <f>(G27+G26)*G20</f>
        <v/>
      </c>
      <c r="H28" s="158">
        <f>(H27+H26)*H20</f>
        <v/>
      </c>
      <c r="I28" s="158">
        <f>(I27+I26)*I20</f>
        <v/>
      </c>
      <c r="J28" s="158">
        <f>J27+J26</f>
        <v/>
      </c>
      <c r="K28" s="97" t="n"/>
      <c r="L28" s="97" t="n"/>
      <c r="M28" s="97" t="n"/>
      <c r="N28" s="97" t="n"/>
      <c r="O28" s="97" t="n"/>
    </row>
    <row r="29" ht="16" customHeight="1">
      <c r="A29" s="97" t="n"/>
      <c r="B29" s="97" t="inlineStr">
        <is>
          <t>Transaction CF</t>
        </is>
      </c>
      <c r="C29" s="97" t="n"/>
      <c r="D29" s="156">
        <f>D27+D26</f>
        <v/>
      </c>
      <c r="E29" s="156">
        <f>(E27+E26)*E20</f>
        <v/>
      </c>
      <c r="F29" s="156">
        <f>(F27+F26)*F20</f>
        <v/>
      </c>
      <c r="G29" s="156">
        <f>(G27+G26)*G20</f>
        <v/>
      </c>
      <c r="H29" s="156">
        <f>(H27+H26)*H20</f>
        <v/>
      </c>
      <c r="I29" s="156">
        <f>(I27+I26)*I20</f>
        <v/>
      </c>
      <c r="J29" s="156">
        <f>J27</f>
        <v/>
      </c>
      <c r="K29" s="97" t="n"/>
      <c r="L29" s="97" t="n"/>
      <c r="M29" s="97" t="n"/>
      <c r="N29" s="97" t="n"/>
      <c r="O29" s="97" t="n"/>
    </row>
    <row r="30" ht="16" customHeight="1">
      <c r="A30" s="97" t="n"/>
      <c r="B30" s="97" t="n"/>
      <c r="C30" s="97" t="n"/>
      <c r="D30" s="99" t="n"/>
      <c r="E30" s="97" t="n"/>
      <c r="G30" s="97" t="n"/>
      <c r="H30" s="97" t="n"/>
      <c r="I30" s="97" t="n"/>
      <c r="J30" s="97" t="n"/>
      <c r="L30" s="97" t="n"/>
      <c r="M30" s="97" t="n"/>
      <c r="N30" s="97" t="n"/>
      <c r="O30" s="97" t="n"/>
    </row>
    <row r="31" ht="16" customHeight="1">
      <c r="A31" s="97" t="n"/>
      <c r="B31" s="109" t="inlineStr">
        <is>
          <t>Intrinsic Value</t>
        </is>
      </c>
      <c r="C31" s="110" t="n"/>
      <c r="D31" s="110" t="n"/>
      <c r="E31" s="97" t="n"/>
      <c r="G31" s="109" t="inlineStr">
        <is>
          <t>Market Value</t>
        </is>
      </c>
      <c r="H31" s="110" t="n"/>
      <c r="I31" s="110" t="n"/>
      <c r="J31" s="97" t="n"/>
      <c r="L31" s="109" t="inlineStr">
        <is>
          <t>Rate of Return</t>
        </is>
      </c>
      <c r="M31" s="110" t="n"/>
      <c r="N31" s="110" t="n"/>
      <c r="O31" s="97" t="n"/>
    </row>
    <row r="32" ht="16" customHeight="1">
      <c r="A32" s="97" t="n"/>
      <c r="B32" s="97" t="inlineStr">
        <is>
          <t>Enterprise Value</t>
        </is>
      </c>
      <c r="C32" s="97" t="n"/>
      <c r="D32" s="156">
        <f>XNPV(D6,D28:J28,D18:J18)</f>
        <v/>
      </c>
      <c r="E32" s="97" t="n"/>
      <c r="G32" s="97" t="inlineStr">
        <is>
          <t>Market Cap</t>
        </is>
      </c>
      <c r="H32" s="97" t="n"/>
      <c r="I32" s="156">
        <f>D12*D11</f>
        <v/>
      </c>
      <c r="J32" s="97" t="n"/>
      <c r="L32" s="97" t="inlineStr">
        <is>
          <t>Target Price Upside</t>
        </is>
      </c>
      <c r="M32" s="97" t="n"/>
      <c r="N32" s="122">
        <f>D37/I37-1</f>
        <v/>
      </c>
      <c r="O32" s="97" t="n"/>
    </row>
    <row r="33" ht="16" customHeight="1">
      <c r="A33" s="97" t="n"/>
      <c r="B33" s="97" t="inlineStr">
        <is>
          <t>Plus: Cash</t>
        </is>
      </c>
      <c r="C33" s="97" t="n"/>
      <c r="D33" s="156">
        <f>+D14</f>
        <v/>
      </c>
      <c r="E33" s="97" t="n"/>
      <c r="G33" s="97" t="inlineStr">
        <is>
          <t>Plus: Debt</t>
        </is>
      </c>
      <c r="H33" s="97" t="n"/>
      <c r="I33" s="156">
        <f>D13</f>
        <v/>
      </c>
      <c r="J33" s="97" t="n"/>
      <c r="L33" s="97" t="inlineStr">
        <is>
          <t>Internal Rate of Return (IRR)</t>
        </is>
      </c>
      <c r="M33" s="97" t="n"/>
      <c r="N33" s="122">
        <f>XIRR(D29:J29,D18:J18)</f>
        <v/>
      </c>
      <c r="O33" s="97" t="n"/>
    </row>
    <row r="34" ht="16" customHeight="1">
      <c r="A34" s="97" t="n"/>
      <c r="B34" s="97" t="inlineStr">
        <is>
          <t>Less: Debt</t>
        </is>
      </c>
      <c r="C34" s="97" t="n"/>
      <c r="D34" s="156">
        <f>+D13</f>
        <v/>
      </c>
      <c r="E34" s="97" t="n"/>
      <c r="G34" s="97" t="inlineStr">
        <is>
          <t>Less: Cash</t>
        </is>
      </c>
      <c r="H34" s="97" t="n"/>
      <c r="I34" s="156">
        <f>+D14</f>
        <v/>
      </c>
      <c r="J34" s="97" t="n"/>
      <c r="L34" s="97" t="n"/>
      <c r="M34" s="97" t="n"/>
      <c r="N34" s="97" t="n"/>
      <c r="O34" s="97" t="n"/>
    </row>
    <row r="35" ht="16" customHeight="1">
      <c r="A35" s="97" t="n"/>
      <c r="B35" s="97" t="inlineStr">
        <is>
          <t>Equity Value</t>
        </is>
      </c>
      <c r="C35" s="97" t="n"/>
      <c r="D35" s="158">
        <f>D32+D33-D34</f>
        <v/>
      </c>
      <c r="E35" s="97" t="n"/>
      <c r="G35" s="97" t="inlineStr">
        <is>
          <t>Enterprise Value</t>
        </is>
      </c>
      <c r="H35" s="97" t="n"/>
      <c r="I35" s="158">
        <f>I32+I33-I34</f>
        <v/>
      </c>
      <c r="J35" s="97" t="n"/>
      <c r="L35" s="109" t="inlineStr">
        <is>
          <t>Market Value vs Intrinsic Value</t>
        </is>
      </c>
      <c r="M35" s="110" t="n"/>
      <c r="N35" s="110" t="n"/>
      <c r="O35" s="97" t="n"/>
    </row>
    <row r="36" ht="16" customHeight="1">
      <c r="A36" s="97" t="n"/>
      <c r="B36" s="97" t="n"/>
      <c r="C36" s="97" t="n"/>
      <c r="D36" s="97" t="n"/>
      <c r="E36" s="97" t="n"/>
      <c r="G36" s="97" t="n"/>
      <c r="H36" s="97" t="n"/>
      <c r="I36" s="159" t="n"/>
      <c r="J36" s="97" t="n"/>
      <c r="L36" s="97" t="inlineStr">
        <is>
          <t>Market Value</t>
        </is>
      </c>
      <c r="M36" s="97" t="n"/>
      <c r="N36" s="159">
        <f>I37</f>
        <v/>
      </c>
      <c r="O36" s="97" t="n"/>
    </row>
    <row r="37" ht="16" customHeight="1">
      <c r="A37" s="97" t="n"/>
      <c r="B37" s="97" t="inlineStr">
        <is>
          <t>Equity Value/Share</t>
        </is>
      </c>
      <c r="C37" s="97" t="n"/>
      <c r="D37" s="156">
        <f>D35/D12</f>
        <v/>
      </c>
      <c r="E37" s="97" t="n"/>
      <c r="G37" s="97" t="inlineStr">
        <is>
          <t>Equity Value/Share</t>
        </is>
      </c>
      <c r="H37" s="97" t="n"/>
      <c r="I37" s="156">
        <f>D11</f>
        <v/>
      </c>
      <c r="J37" s="97" t="n"/>
      <c r="L37" s="97" t="inlineStr">
        <is>
          <t>Upside</t>
        </is>
      </c>
      <c r="M37" s="97" t="n"/>
      <c r="N37" s="159">
        <f>D37-I37</f>
        <v/>
      </c>
      <c r="O37" s="97" t="n"/>
    </row>
    <row r="38" ht="16" customHeight="1">
      <c r="A38" s="97" t="n"/>
      <c r="B38" s="97" t="n"/>
      <c r="C38" s="97" t="n"/>
      <c r="D38" s="97" t="n"/>
      <c r="E38" s="97" t="n"/>
      <c r="G38" s="97" t="n"/>
      <c r="H38" s="97" t="n"/>
      <c r="I38" s="97" t="n"/>
      <c r="J38" s="97" t="n"/>
      <c r="L38" s="97" t="inlineStr">
        <is>
          <t>Intrinsic Value</t>
        </is>
      </c>
      <c r="M38" s="97" t="n"/>
      <c r="N38" s="159">
        <f>SUM(N36:N37)</f>
        <v/>
      </c>
      <c r="O38" s="97" t="n"/>
    </row>
    <row r="39" ht="16" customHeight="1">
      <c r="A39" s="97" t="n"/>
      <c r="C39" s="97" t="n"/>
      <c r="D39" s="99" t="n"/>
      <c r="E39" s="97" t="n"/>
      <c r="G39" s="97" t="n"/>
      <c r="H39" s="97" t="n"/>
      <c r="I39" s="98" t="n"/>
      <c r="J39" s="97" t="n"/>
      <c r="L39" s="97" t="n"/>
      <c r="M39" s="97" t="n"/>
      <c r="N39" s="97" t="n"/>
      <c r="O39" s="97" t="n"/>
    </row>
    <row r="40" ht="16" customHeight="1">
      <c r="A40" s="97" t="n"/>
      <c r="C40" s="97" t="n"/>
      <c r="D40" s="99" t="n"/>
      <c r="E40" s="97" t="n"/>
      <c r="F40" s="97" t="n"/>
      <c r="G40" s="97" t="n"/>
      <c r="H40" s="98" t="n"/>
      <c r="I40" s="97" t="n"/>
      <c r="K40" s="97" t="n"/>
      <c r="L40" s="97" t="n"/>
      <c r="M40" s="97" t="n"/>
      <c r="N40" s="97" t="n"/>
      <c r="O40" s="97" t="n"/>
    </row>
    <row r="41" ht="16" customHeight="1">
      <c r="A41" s="97" t="n"/>
      <c r="B41" s="109" t="inlineStr">
        <is>
          <t>Instructions</t>
        </is>
      </c>
      <c r="C41" s="110" t="n"/>
      <c r="D41" s="124" t="n"/>
      <c r="E41" s="110" t="n"/>
      <c r="F41" s="110" t="n"/>
      <c r="G41" s="110" t="n"/>
      <c r="H41" s="110" t="n"/>
      <c r="I41" s="110" t="n"/>
      <c r="J41" s="110" t="n"/>
      <c r="K41" s="110" t="n"/>
      <c r="L41" s="110" t="n"/>
      <c r="M41" s="110" t="n"/>
      <c r="N41" s="110" t="n"/>
      <c r="O41" s="97" t="n"/>
    </row>
    <row r="42" ht="16" customHeight="1">
      <c r="A42" s="97" t="n"/>
      <c r="B42" s="97" t="inlineStr">
        <is>
          <t>Step 1: Get EBIT and D&amp;A from the income statement</t>
        </is>
      </c>
      <c r="C42" s="97" t="n"/>
      <c r="D42" s="99" t="n"/>
      <c r="E42" s="97" t="n"/>
      <c r="F42" s="97" t="n"/>
      <c r="G42" s="97" t="n"/>
      <c r="H42" s="97" t="n"/>
      <c r="N42" s="125" t="inlineStr">
        <is>
          <t>This file is for educational purposes only. E&amp;OE</t>
        </is>
      </c>
      <c r="O42" s="97" t="n"/>
    </row>
    <row r="43" ht="16" customHeight="1">
      <c r="A43" s="97" t="n"/>
      <c r="B43" s="97" t="inlineStr">
        <is>
          <t>Step 2: Calculate the net working capital</t>
        </is>
      </c>
      <c r="C43" s="97" t="n"/>
      <c r="D43" s="99" t="n"/>
      <c r="E43" s="97" t="n"/>
      <c r="F43" s="97" t="n"/>
      <c r="G43" s="97" t="n"/>
      <c r="H43" s="97" t="n"/>
      <c r="N43" s="69" t="n"/>
      <c r="O43" s="97" t="n"/>
    </row>
    <row r="44" ht="16" customHeight="1">
      <c r="A44" s="97" t="n"/>
      <c r="B44" s="126" t="inlineStr">
        <is>
          <t>There are two ways to find NWC:</t>
        </is>
      </c>
      <c r="C44" s="97" t="n"/>
      <c r="D44" s="99" t="n"/>
      <c r="E44" s="97" t="n"/>
      <c r="F44" s="97" t="n"/>
      <c r="G44" s="97" t="n"/>
      <c r="H44" s="97" t="n"/>
      <c r="N44" s="69" t="n"/>
      <c r="O44" s="97" t="n"/>
    </row>
    <row r="45" ht="16" customHeight="1">
      <c r="A45" s="97" t="n"/>
      <c r="B45" s="126" t="inlineStr">
        <is>
          <t>1. NWC = Current Assets (less cash) - Current Liabilities (less debt)</t>
        </is>
      </c>
      <c r="C45" s="97" t="n"/>
      <c r="D45" s="99" t="n"/>
      <c r="E45" s="97" t="n"/>
      <c r="F45" s="97" t="n"/>
      <c r="G45" s="97" t="n"/>
      <c r="H45" s="97" t="n"/>
      <c r="N45" s="69" t="n"/>
      <c r="O45" s="97" t="n"/>
    </row>
    <row r="46" ht="16" customHeight="1">
      <c r="A46" s="97" t="n"/>
      <c r="B46" s="126" t="inlineStr">
        <is>
          <t>2. NWC = Accounts Receivable + Inventory - Accounts Payable</t>
        </is>
      </c>
      <c r="C46" s="97" t="n"/>
      <c r="D46" s="99" t="n"/>
      <c r="E46" s="97" t="n"/>
      <c r="F46" s="97" t="n"/>
      <c r="G46" s="97" t="n"/>
      <c r="H46" s="97" t="n"/>
      <c r="N46" s="69" t="n"/>
      <c r="O46" s="97" t="n"/>
    </row>
    <row r="47" ht="16" customHeight="1">
      <c r="A47" s="97" t="n"/>
      <c r="B47" s="97" t="n"/>
      <c r="C47" s="97" t="n"/>
      <c r="D47" s="99" t="n"/>
      <c r="E47" s="97" t="n"/>
      <c r="F47" s="97" t="n"/>
      <c r="G47" s="97" t="n"/>
      <c r="H47" s="97" t="n"/>
      <c r="N47" s="69" t="n"/>
      <c r="O47" s="97" t="n"/>
    </row>
    <row r="48" ht="16" customHeight="1">
      <c r="A48" s="97" t="n"/>
      <c r="B48" s="97" t="n"/>
      <c r="C48" s="97" t="n"/>
      <c r="D48" s="99" t="n"/>
      <c r="E48" s="97" t="n"/>
      <c r="F48" s="97" t="n"/>
      <c r="G48" s="97" t="n"/>
      <c r="H48" s="97" t="n"/>
      <c r="N48" s="127" t="inlineStr">
        <is>
          <t xml:space="preserve">Corporate Finance Institute® </t>
        </is>
      </c>
      <c r="O48" s="97" t="n"/>
    </row>
    <row r="49" ht="16" customHeight="1">
      <c r="A49" s="97" t="n"/>
      <c r="B49" s="97" t="n"/>
      <c r="C49" s="97" t="n"/>
      <c r="D49" s="99" t="n"/>
      <c r="E49" s="97" t="n"/>
      <c r="F49" s="97" t="n"/>
      <c r="G49" s="97" t="n"/>
      <c r="H49" s="97" t="n"/>
      <c r="N49" s="128" t="inlineStr">
        <is>
          <t>https://corporatefinanceinstitute.com/</t>
        </is>
      </c>
      <c r="O49" s="97" t="n"/>
    </row>
    <row r="50" ht="16" customHeight="1">
      <c r="A50" s="97" t="n"/>
      <c r="B50" s="97" t="n"/>
      <c r="C50" s="97" t="n"/>
      <c r="D50" s="99" t="n"/>
      <c r="E50" s="97" t="n"/>
      <c r="F50" s="97" t="n"/>
      <c r="G50" s="97" t="n"/>
      <c r="H50" s="97" t="n"/>
      <c r="O50" s="97" t="n"/>
    </row>
    <row r="51" ht="16" customHeight="1">
      <c r="A51" s="97" t="n"/>
      <c r="B51" s="97" t="n"/>
      <c r="C51" s="97" t="n"/>
      <c r="D51" s="99" t="n"/>
      <c r="E51" s="97" t="n"/>
      <c r="F51" s="97" t="n"/>
      <c r="G51" s="97" t="n"/>
      <c r="H51" s="97" t="n"/>
      <c r="M51" s="97" t="n"/>
      <c r="O51" s="97" t="n"/>
    </row>
    <row r="52" ht="16" customHeight="1">
      <c r="A52" s="97" t="n"/>
      <c r="B52" s="97" t="n"/>
      <c r="C52" s="97" t="n"/>
      <c r="D52" s="99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  <c r="O52" s="97" t="n"/>
    </row>
    <row r="53" ht="16" customHeight="1">
      <c r="A53" s="97" t="n"/>
      <c r="B53" s="97" t="n"/>
      <c r="C53" s="97" t="n"/>
      <c r="D53" s="99" t="n"/>
      <c r="E53" s="97" t="n"/>
      <c r="F53" s="97" t="n"/>
      <c r="G53" s="97" t="n"/>
      <c r="H53" s="97" t="n"/>
      <c r="I53" s="97" t="n"/>
      <c r="J53" s="97" t="n"/>
      <c r="K53" s="97" t="n"/>
      <c r="L53" s="97" t="n"/>
      <c r="M53" s="97" t="n"/>
      <c r="N53" s="97" t="n"/>
      <c r="O53" s="97" t="n"/>
    </row>
    <row r="54" ht="16" customHeight="1">
      <c r="A54" s="97" t="n"/>
      <c r="B54" s="97" t="n"/>
      <c r="C54" s="97" t="n"/>
      <c r="D54" s="99" t="n"/>
      <c r="E54" s="97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  <c r="O54" s="97" t="n"/>
    </row>
    <row r="55" ht="16" customHeight="1">
      <c r="A55" s="97" t="n"/>
      <c r="B55" s="97" t="n"/>
      <c r="C55" s="97" t="n"/>
      <c r="D55" s="99" t="n"/>
      <c r="E55" s="97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  <c r="O55" s="97" t="n"/>
    </row>
    <row r="56" ht="16" customHeight="1">
      <c r="A56" s="97" t="n"/>
      <c r="B56" s="97" t="n"/>
      <c r="C56" s="97" t="n"/>
      <c r="D56" s="99" t="n"/>
      <c r="E56" s="97" t="n"/>
      <c r="F56" s="97" t="n"/>
      <c r="G56" s="97" t="n"/>
      <c r="H56" s="97" t="n"/>
      <c r="I56" s="97" t="n"/>
      <c r="J56" s="97" t="n"/>
      <c r="K56" s="97" t="n"/>
      <c r="L56" s="97" t="n"/>
      <c r="M56" s="97" t="n"/>
      <c r="N56" s="97" t="n"/>
      <c r="O56" s="97" t="n"/>
    </row>
    <row r="57" ht="16" customHeight="1">
      <c r="A57" s="97" t="n"/>
      <c r="B57" s="97" t="n"/>
      <c r="C57" s="97" t="n"/>
      <c r="D57" s="99" t="n"/>
      <c r="E57" s="97" t="n"/>
      <c r="F57" s="97" t="n"/>
      <c r="G57" s="97" t="n"/>
      <c r="H57" s="97" t="n"/>
      <c r="I57" s="97" t="n"/>
      <c r="J57" s="97" t="n"/>
      <c r="K57" s="97" t="n"/>
      <c r="L57" s="97" t="n"/>
      <c r="M57" s="97" t="n"/>
      <c r="N57" s="97" t="n"/>
      <c r="O57" s="97" t="n"/>
    </row>
    <row r="58" ht="16" customHeight="1">
      <c r="A58" s="97" t="n"/>
      <c r="B58" s="97" t="n"/>
      <c r="C58" s="97" t="n"/>
      <c r="D58" s="99" t="n"/>
      <c r="E58" s="97" t="n"/>
      <c r="F58" s="97" t="n"/>
      <c r="G58" s="97" t="n"/>
      <c r="H58" s="97" t="n"/>
      <c r="I58" s="97" t="n"/>
      <c r="J58" s="97" t="n"/>
      <c r="K58" s="97" t="n"/>
      <c r="L58" s="97" t="n"/>
      <c r="M58" s="97" t="n"/>
      <c r="N58" s="97" t="n"/>
      <c r="O58" s="97" t="n"/>
    </row>
    <row r="59" ht="16" customHeight="1">
      <c r="A59" s="97" t="n"/>
      <c r="B59" s="97" t="n"/>
      <c r="C59" s="97" t="n"/>
      <c r="D59" s="99" t="n"/>
      <c r="E59" s="97" t="n"/>
      <c r="F59" s="97" t="n"/>
      <c r="G59" s="97" t="n"/>
      <c r="H59" s="97" t="n"/>
      <c r="I59" s="97" t="n"/>
      <c r="J59" s="97" t="n"/>
      <c r="K59" s="97" t="n"/>
      <c r="L59" s="97" t="n"/>
      <c r="M59" s="97" t="n"/>
      <c r="N59" s="97" t="n"/>
      <c r="O59" s="97" t="n"/>
    </row>
    <row r="60" ht="16" customHeight="1">
      <c r="A60" s="97" t="n"/>
      <c r="B60" s="97" t="n"/>
      <c r="C60" s="97" t="n"/>
      <c r="D60" s="99" t="n"/>
      <c r="E60" s="97" t="n"/>
      <c r="F60" s="97" t="n"/>
      <c r="G60" s="97" t="n"/>
      <c r="H60" s="97" t="n"/>
      <c r="I60" s="97" t="n"/>
      <c r="J60" s="97" t="n"/>
      <c r="K60" s="97" t="n"/>
      <c r="L60" s="97" t="n"/>
      <c r="M60" s="97" t="n"/>
      <c r="N60" s="97" t="n"/>
      <c r="O60" s="97" t="n"/>
    </row>
    <row r="61" ht="16" customHeight="1">
      <c r="B61" s="97" t="n"/>
      <c r="C61" s="97" t="n"/>
      <c r="D61" s="99" t="n"/>
      <c r="E61" s="97" t="n"/>
      <c r="F61" s="97" t="n"/>
      <c r="G61" s="97" t="n"/>
      <c r="H61" s="97" t="n"/>
      <c r="I61" s="97" t="n"/>
      <c r="J61" s="97" t="n"/>
      <c r="K61" s="97" t="n"/>
      <c r="L61" s="9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 Vipond</dc:creator>
  <dcterms:created xsi:type="dcterms:W3CDTF">2014-11-08T22:00:02Z</dcterms:created>
  <dcterms:modified xsi:type="dcterms:W3CDTF">2026-08-04T16:52:32Z</dcterms:modified>
  <cp:lastModifiedBy>Katie Au Yeung</cp:lastModifiedBy>
  <cp:lastPrinted>2014-12-13T23:43:21Z</cp:lastPrinted>
</cp:coreProperties>
</file>