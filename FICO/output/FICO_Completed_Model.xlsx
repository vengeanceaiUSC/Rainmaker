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$#,##0.00"/>
    <numFmt numFmtId="175" formatCode="#,##0.000"/>
    <numFmt numFmtId="176" formatCode="_-* #,##0.00_-;\-* #,##0.00_-;_-* &quot;-&quot;??_-;_-@_-"/>
    <numFmt numFmtId="177" formatCode="#,##0.0"/>
    <numFmt numFmtId="178" formatCode="_-* #,##0.00_-;\(#,##0.00\)_-;_-* &quot;-&quot;_-;_-@_-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6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7" fontId="40" fillId="8" borderId="5" pivotButton="0" quotePrefix="0" xfId="0"/>
    <xf numFmtId="178" fontId="30" fillId="0" borderId="0" pivotButton="0" quotePrefix="0" xfId="0"/>
    <xf numFmtId="174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7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4" fontId="40" fillId="8" borderId="5" pivotButton="0" quotePrefix="0" xfId="0"/>
    <xf numFmtId="174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38" fillId="7" borderId="5" pivotButton="0" quotePrefix="0" xfId="1"/>
    <xf numFmtId="180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77" fontId="40" fillId="8" borderId="5" pivotButton="0" quotePrefix="0" xfId="1"/>
    <xf numFmtId="180" fontId="40" fillId="8" borderId="5" pivotButton="0" quotePrefix="0" xfId="0"/>
    <xf numFmtId="180" fontId="38" fillId="7" borderId="2" pivotButton="0" quotePrefix="0" xfId="1"/>
    <xf numFmtId="180" fontId="38" fillId="7" borderId="0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7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38" fillId="7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4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4" fontId="40" fillId="8" borderId="5" pivotButton="0" quotePrefix="0" xfId="0"/>
    <xf numFmtId="178" fontId="30" fillId="0" borderId="0" pivotButton="0" quotePrefix="0" xfId="0"/>
    <xf numFmtId="173" fontId="43" fillId="10" borderId="5" applyAlignment="1" pivotButton="0" quotePrefix="0" xfId="0">
      <alignment horizontal="center"/>
    </xf>
    <xf numFmtId="177" fontId="40" fillId="7" borderId="5" pivotButton="0" quotePrefix="0" xfId="0"/>
    <xf numFmtId="173" fontId="43" fillId="10" borderId="5" pivotButton="0" quotePrefix="0" xfId="0"/>
    <xf numFmtId="174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vengeanceaiUSCMODEL15.0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J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K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L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M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N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U7" authorId="0" shapeId="0">
      <text>
        <t>Revenue Growth
HOW: Yellow POLICY: 32.0% / 20.0% / 16.0% / 12.0% / 9.0%.
WHY: 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https://raw.githubusercontent.com/vengeanceaiUSC/Rainmaker/cursor/vengeanceaiusmodel15-d3ac/FICO/output/MODEL15_FICO_ASSUMPTIONS_LIST.pdf</t>
      </text>
    </comment>
    <comment ref="V7" authorId="0" shapeId="0">
      <text>
        <t>Filing source for this row:
https://www.equifax.com/newsroom/all-news/-/story/equifax-statement-on-fico-2x-price-increase-for-2026-and-mortgage-direct-license-program/
Full Assumptions List PDF (click orange title P4):
https://raw.githubusercontent.com/vengeanceaiUSC/Rainmaker/cursor/vengeanceaiusmodel15-d3ac/FICO/output/MODEL15_FICO_ASSUMPTIONS_LIST.pdf</t>
      </text>
    </comment>
    <comment ref="B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J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K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L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M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N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U8" authorId="0" shapeId="0">
      <text>
        <t>COGS % of Revenue
HOW: Excel: MAX(8%, segment blended COGS base≈12.98% − 150bps × year). GM_B2B = 97% (Scores OM ~91%).
WHY: 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
SOURCE: FICO IR deck — Scores OM ~91%; SEC 10-K Scores unit price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V8" authorId="0" shapeId="0">
      <text>
        <t>Filing source for this row:
https://investors.fico.com/static-files/66ef723c-1f2e-4501-a452-ab2f3d02ae85
Full Assumptions List PDF (click orange title P4):
https://raw.githubusercontent.com/vengeanceaiUSC/Rainmaker/cursor/vengeanceaiusmodel15-d3ac/FICO/output/MODEL15_FICO_ASSUMPTIONS_LIST.pdf</t>
      </text>
    </comment>
    <comment ref="B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J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K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L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M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N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U9" authorId="0" shapeId="0">
      <text>
        <t>SG&amp;A % of Revenue
HOW: Equation: MAX(13%, (I28 − 10,922)/I24 − 200bps × year). Strips FY25 restructuring; then −2.00% of sales each year.
WHY: In Model 14, SG&amp;A was −175 bps / 14% floor; in Model 15, −200 bps / 13% floor because B2B mortgage royalty hikes need ~0 incremental SG&amp;A (Scores OM ~91%).
SOURCE: FICO IR deck Scores OM; Equifax/Hawley mortgage royalty 2x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V9" authorId="0" shapeId="0">
      <text>
        <t>Filing source for this row:
https://investors.fico.com/static-files/66ef723c-1f2e-4501-a452-ab2f3d02ae85
Full Assumptions List PDF (click orange title P4):
https://raw.githubusercontent.com/vengeanceaiUSC/Rainmaker/cursor/vengeanceaiusmodel15-d3ac/FICO/output/MODEL15_FICO_ASSUMPTIONS_LIST.pdf</t>
      </text>
    </comment>
    <comment ref="B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0" authorId="0" shapeId="0">
      <text>
        <t>R&amp;D % of Revenue
HOW: Excel: MAX(6%, I29/I24 − 75bps × year).
WHY: In Model 14, R&amp;D faded −50 bps; in Model 15, −75 bps (floor 6%) because mortgage/B2B royalty dollars require ~0 incremental R&amp;D — do not let Software R&amp;D tax the Scores coupon.
SOURCE: SEC 10-K FY2025 — Research and development; Scores royalty economics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MODEL15: TOTAL D&amp;A add-back ≈ 0.84% of Rev (3yr avg). Intangibles amort included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https://raw.githubusercontent.com/vengeanceaiUSC/Rainmaker/cursor/vengeanceaiusmodel15-d3ac/FICO/output/MODEL15_FICO_ASSUMPTIONS_LIST.pdf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
SOURCE: SEC 10-K FY2025 — tax expense; cash taxes from IncomeTaxesPaidNet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https://raw.githubusercontent.com/vengeanceaiUSC/Rainmaker/cursor/vengeanceaiusmodel15-d3ac/FICO/output/MODEL15_FICO_ASSUMPTIONS_LIST.pdf</t>
      </text>
    </comment>
    <comment ref="B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J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K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L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M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N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U15" authorId="0" shapeId="0">
      <text>
        <t>DSO — Accounts Receivable (Days)
HOW: Yellow POLICY path: phases 97d (FY25 hist) → 32d over 5 years (Y1≈84.0d … Y5=32d). Segment blend ref ≈ 27.5d on schedule row 115 (SaaS 40/B2C 2/B2B 25/PS 12/On-prem 40).
WHY: 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https://raw.githubusercontent.com/vengeanceaiUSC/Rainmaker/cursor/vengeanceaiusmodel15-d3ac/FICO/output/MODEL15_FICO_ASSUMPTIONS_LIST.pdf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7" authorId="0" shapeId="0">
      <text>
        <t>DPO — Accounts Payable (Days)
HOW: Excel equation: ROUND(I48/I25×365, 0) from FY25; held flat.
WHY: MODEL15: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J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K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L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M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N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U18" authorId="0" shapeId="0">
      <text>
        <t>CapEx % of Revenue
HOW: Yellow POLICY path: 1.00% / 0.80% / 0.60% / 0.45% / 0.35% (Scores-light fade — royalties need ~0 CapEx).
WHY: 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
SOURCE: SEC 10-K / companyfacts — PPE purchases + capitalized software; IR Scores OM
LINK: https://investors.fico.com/static-files/66ef723c-1f2e-4501-a452-ab2f3d02ae85
ASSUMPTIONS LIST PDF: https://raw.githubusercontent.com/vengeanceaiUSC/Rainmaker/cursor/vengeanceaiusmodel15-d3ac/FICO/output/MODEL15_FICO_ASSUMPTIONS_LIST.pdf</t>
      </text>
    </comment>
    <comment ref="V18" authorId="0" shapeId="0">
      <text>
        <t>Filing source for this row:
https://investors.fico.com/static-files/66ef723c-1f2e-4501-a452-ab2f3d02ae85
Full Assumptions List PDF (click orange title P4):
https://raw.githubusercontent.com/vengeanceaiUSC/Rainmaker/cursor/vengeanceaiusmodel15-d3ac/FICO/output/MODEL15_FICO_ASSUMPTIONS_LIST.pdf</t>
      </text>
    </comment>
    <comment ref="B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J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K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L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M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N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U19" authorId="0" shapeId="0">
      <text>
        <t>Debt Issuance (Repayment)
HOW: Equation: (1.40−1)×(CFO−CapEx) so excess buybacks are debt-financed and ΔCash≈0.
WHY: 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
SOURCE: SEC EX-99.1 Q3 FY2026 — FCF vs buybacks; companyfacts debt CF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V19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https://raw.githubusercontent.com/vengeanceaiUSC/Rainmaker/cursor/vengeanceaiusmodel15-d3ac/FICO/output/MODEL15_FICO_ASSUMPTIONS_LIST.pdf</t>
      </text>
    </comment>
    <comment ref="B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J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K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L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M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N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U20" authorId="0" shapeId="0">
      <text>
        <t>Equity Issued (Repaid)
HOW: Equation: −1.40×(CFO−CapEx). Hist 3yr avg buybacks ≈ $881M/yr; Q3 alone $1.96B.
WHY: 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
SOURCE: SEC EX-99.1 Q3 FY2026 — buybacks $1.96B / 1.705M sh @ $1,149
LINK: https://www.sec.gov/Archives/edgar/data/814547/000081454726000031/exhibit991erq32026.htm
ASSUMPTIONS LIST PDF: https://raw.githubusercontent.com/vengeanceaiUSC/Rainmaker/cursor/vengeanceaiusmodel15-d3ac/FICO/output/MODEL15_FICO_ASSUMPTIONS_LIST.pdf</t>
      </text>
    </comment>
    <comment ref="V20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https://raw.githubusercontent.com/vengeanceaiUSC/Rainmaker/cursor/vengeanceaiusmodel15-d3ac/FICO/output/MODEL15_FICO_ASSUMPTIONS_LIST.pdf</t>
      </text>
    </comment>
    <comment ref="B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J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K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L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M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N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U21" authorId="0" shapeId="0">
      <text>
        <t>SBC % of Revenue
HOW: Yellow POLICY path: 8.25% / 7.70% / 7.20% / 6.80% / 6.40% (FY1 starts at hist 3yr avg 8.25%).
WHY: 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
SOURCE: SEC 10-K cash flow — ShareBasedCompensation (add-back only; no share dilution)
LINK: https://data.sec.gov/api/xbrl/companyfacts/CIK0000814547.json
ASSUMPTIONS LIST PDF: https://raw.githubusercontent.com/vengeanceaiUSC/Rainmaker/cursor/vengeanceaiusmodel15-d3ac/FICO/output/MODEL15_FICO_ASSUMPTIONS_LIST.pdf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https://raw.githubusercontent.com/vengeanceaiUSC/Rainmaker/cursor/vengeanceaiusmodel15-d3ac/FICO/output/MODEL15_FICO_ASSUMPTIONS_LIST.pdf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J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K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L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M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N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U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https://raw.githubusercontent.com/vengeanceaiUSC/Rainmaker/cursor/vengeanceaiusmodel15-d3ac/FICO/output/MODEL15_FICO_ASSUMPTIONS_LIST.pdf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https://raw.githubusercontent.com/vengeanceaiUSC/Rainmaker/cursor/vengeanceaiusmodel15-d3ac/FICO/output/MODEL15_FICO_ASSUMPTIONS_LIST.pdf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https://raw.githubusercontent.com/vengeanceaiUSC/Rainmaker/cursor/vengeanceaiusmodel15-d3ac/FICO/output/MODEL15_FICO_ASSUMPTIONS_LIST.pdf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https://raw.githubusercontent.com/vengeanceaiUSC/Rainmaker/cursor/vengeanceaiusmodel15-d3ac/FICO/output/MODEL15_FICO_ASSUMPTIONS_LIST.pdf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vengeanceaiUSCMODEL15.0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 6.65% policy
WHY: Yacktman AAA-equity WACC (6.5–6.8% band; MODEL14 was 7.1%); CAPM R15 reference only.</t>
      </text>
    </comment>
    <comment ref="D8" authorId="0" shapeId="0">
      <text>
        <t>Exit EV/EBITDA multiple (BASE)
HOW: Yellow POLICY input D8 = 23.5x; TV = Year-5 EBITDA × D8.
WHY: AAA toll-road pricing power premium vs peer median (~18.1x). Branch Process: MODEL14 22.0x → MODEL15 23.5x. Bull 28x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Buyback-adjusted share schedule (Yacktman — no SBC double penalty).
HOW: D16 = starting shares (D12 = 21,597.6k post–Q3 FY2026). Price D11 = $1,149 (Q3 avg repurchase). Each year: Shares += 3S EquityIssuance (row 20) / Price. Row 20 = −1.40×(CFO−CapEx); debt funds the excess so ΔCash≈0.
WHY: SBC is already added back in FCFF — diluting by SBC$/Price would double-penalize. Q3 FY2026 alone: $1.96B / 1.705M shares @ $1,149; FCF $370.3M (EX-99.1) — buybacks ≫ FCF via leverage.
SOURCE: SEC EX-99.1 Q3 FY2026; IR earnings release.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5-d3ac/FICO/output/MODEL15_FICO_ASSUMPTIONS_LIST.pdf" TargetMode="External" Id="rId1" /><Relationship Type="http://schemas.openxmlformats.org/officeDocument/2006/relationships/hyperlink" Target="https://raw.githubusercontent.com/vengeanceaiUSC/Rainmaker/cursor/vengeanceaiusmodel15-d3ac/FICO/output/MODEL15_FICO_ASSUMPTIONS_LIST.pdf" TargetMode="External" Id="rId2" /><Relationship Type="http://schemas.openxmlformats.org/officeDocument/2006/relationships/hyperlink" Target="https://raw.githubusercontent.com/vengeanceaiUSC/Rainmaker/cursor/vengeanceaiusmodel15-d3ac/FICO/output/MODEL15_FICO_ASSUMPTIONS_LIST.pdf" TargetMode="External" Id="rId3" /><Relationship Type="http://schemas.openxmlformats.org/officeDocument/2006/relationships/hyperlink" Target="https://raw.githubusercontent.com/vengeanceaiUSC/Rainmaker/cursor/vengeanceaiusmodel15-d3ac/FICO/output/MODEL15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19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0" /><Relationship Type="http://schemas.openxmlformats.org/officeDocument/2006/relationships/hyperlink" Target="https://www.alphaspread.com/security/nyse/fico/relative-valuation/ratio/enterprise-value-to-ebitda" TargetMode="External" Id="rId21" /><Relationship Type="http://schemas.openxmlformats.org/officeDocument/2006/relationships/hyperlink" Target="https://www.alphaspread.com/security/nyse/fico/relative-valuation/ratio/enterprise-value-to-ebitda" TargetMode="External" Id="rId22" /><Relationship Type="http://schemas.openxmlformats.org/officeDocument/2006/relationships/hyperlink" Target="https://www.fico.com/en/investors" TargetMode="External" Id="rId23" /><Relationship Type="http://schemas.openxmlformats.org/officeDocument/2006/relationships/hyperlink" Target="https://www.fico.com/en/investors" TargetMode="External" Id="rId24" /><Relationship Type="http://schemas.openxmlformats.org/officeDocument/2006/relationships/hyperlink" Target="https://investors.fico.com/static-files/66ef723c-1f2e-4501-a452-ab2f3d02ae85" TargetMode="External" Id="rId25" /><Relationship Type="http://schemas.openxmlformats.org/officeDocument/2006/relationships/hyperlink" Target="https://investors.fico.com/static-files/66ef723c-1f2e-4501-a452-ab2f3d02ae85" TargetMode="External" Id="rId26" /><Relationship Type="http://schemas.openxmlformats.org/officeDocument/2006/relationships/hyperlink" Target="https://investors.fico.com/static-files/663245db-39a2-4db7-8f89-284034bbccbf" TargetMode="External" Id="rId27" /><Relationship Type="http://schemas.openxmlformats.org/officeDocument/2006/relationships/hyperlink" Target="https://investors.fico.com/static-files/663245db-39a2-4db7-8f89-284034bbccbf" TargetMode="External" Id="rId28" /><Relationship Type="http://schemas.openxmlformats.org/officeDocument/2006/relationships/hyperlink" Target="https://investors.fico.com/news-releases/news-release-details/fico-announces-earnings-1045-share-third-quarter-fiscal-2026" TargetMode="External" Id="rId29" /><Relationship Type="http://schemas.openxmlformats.org/officeDocument/2006/relationships/hyperlink" Target="https://investors.fico.com/news-releases/news-release-details/fico-announces-earnings-1045-share-third-quarter-fiscal-2026" TargetMode="External" Id="rId30" /><Relationship Type="http://schemas.openxmlformats.org/officeDocument/2006/relationships/hyperlink" Target="https://investors.fico.com/financial-information/sec-filings" TargetMode="External" Id="rId31" /><Relationship Type="http://schemas.openxmlformats.org/officeDocument/2006/relationships/hyperlink" Target="https://investors.fico.com/financial-information/sec-filings" TargetMode="External" Id="rId32" /><Relationship Type="http://schemas.openxmlformats.org/officeDocument/2006/relationships/hyperlink" Target="https://vcpscanner.com/valuation/fico/relative" TargetMode="External" Id="rId33" /><Relationship Type="http://schemas.openxmlformats.org/officeDocument/2006/relationships/hyperlink" Target="https://vcpscanner.com/valuation/fico/relative" TargetMode="External" Id="rId34" /><Relationship Type="http://schemas.openxmlformats.org/officeDocument/2006/relationships/hyperlink" Target="https://fred.stlouisfed.org/series/DGS10" TargetMode="External" Id="rId35" /><Relationship Type="http://schemas.openxmlformats.org/officeDocument/2006/relationships/hyperlink" Target="https://fred.stlouisfed.org/series/DGS10" TargetMode="External" Id="rId36" /><Relationship Type="http://schemas.openxmlformats.org/officeDocument/2006/relationships/hyperlink" Target="https://www.sec.gov/Archives/edgar/data/814547/000081454726000031/exhibit991erq32026.htm" TargetMode="External" Id="rId37" /><Relationship Type="http://schemas.openxmlformats.org/officeDocument/2006/relationships/hyperlink" Target="https://www.sec.gov/Archives/edgar/data/814547/000081454726000031/exhibit991erq32026.htm" TargetMode="External" Id="rId38" /><Relationship Type="http://schemas.openxmlformats.org/officeDocument/2006/relationships/hyperlink" Target="https://www.housingwire.com/articles/hawley-fico-mortgage-pricing/" TargetMode="External" Id="rId39" /><Relationship Type="http://schemas.openxmlformats.org/officeDocument/2006/relationships/hyperlink" Target="https://www.housingwire.com/articles/hawley-fico-mortgage-pricing/" TargetMode="External" Id="rId40" /><Relationship Type="http://schemas.openxmlformats.org/officeDocument/2006/relationships/hyperlink" Target="https://raw.githubusercontent.com/vengeanceaiUSC/Rainmaker/cursor/vengeanceaiusmodel15-d3ac/FICO/output/MODEL15_FICO_ASSUMPTIONS_LIST.pdf" TargetMode="External" Id="rId41" /><Relationship Type="http://schemas.openxmlformats.org/officeDocument/2006/relationships/hyperlink" Target="https://raw.githubusercontent.com/vengeanceaiUSC/Rainmaker/cursor/vengeanceaiusmodel15-d3ac/FICO/output/MODEL15_FICO_ASSUMPTIONS_LIST.pdf" TargetMode="External" Id="rId42" /><Relationship Type="http://schemas.openxmlformats.org/officeDocument/2006/relationships/hyperlink" Target="https://github.com/vengeanceaiUSC/Rainmaker/blob/cursor/vengeanceaiusmodel15-d3ac/FICO/output/MODEL15_FICO_ASSUMPTIONS_LIST.pdf" TargetMode="External" Id="rId43" /><Relationship Type="http://schemas.openxmlformats.org/officeDocument/2006/relationships/hyperlink" Target="https://github.com/vengeanceaiUSC/Rainmaker/blob/cursor/vengeanceaiusmodel15-d3ac/FICO/output/MODEL15_FICO_ASSUMPTIONS_LIST.pdf" TargetMode="External" Id="rId44" /><Relationship Type="http://schemas.openxmlformats.org/officeDocument/2006/relationships/hyperlink" Target="https://www.sec.gov/Archives/edgar/data/814547/000081454725000030/fico-20250930.htm" TargetMode="External" Id="rId45" /><Relationship Type="http://schemas.openxmlformats.org/officeDocument/2006/relationships/hyperlink" Target="https://www.sec.gov/Archives/edgar/data/814547/000081454725000030/fico-20250930.htm" TargetMode="External" Id="rId46" /><Relationship Type="http://schemas.openxmlformats.org/officeDocument/2006/relationships/hyperlink" Target="https://www.sec.gov/Archives/edgar/data/814547/000081454725000030/0000814547-25-000030-index.htm" TargetMode="External" Id="rId47" /><Relationship Type="http://schemas.openxmlformats.org/officeDocument/2006/relationships/hyperlink" Target="https://www.sec.gov/Archives/edgar/data/814547/000081454725000030/0000814547-25-000030-index.htm" TargetMode="External" Id="rId48" /><Relationship Type="http://schemas.openxmlformats.org/officeDocument/2006/relationships/hyperlink" Target="https://www.sec.gov/Archives/edgar/data/814547/000081454726000011/fico-20251231.htm" TargetMode="External" Id="rId49" /><Relationship Type="http://schemas.openxmlformats.org/officeDocument/2006/relationships/hyperlink" Target="https://www.sec.gov/Archives/edgar/data/814547/000081454726000011/fico-20251231.htm" TargetMode="External" Id="rId50" /><Relationship Type="http://schemas.openxmlformats.org/officeDocument/2006/relationships/hyperlink" Target="https://www.sec.gov/Archives/edgar/data/814547/000081454726000011/R45.htm" TargetMode="External" Id="rId51" /><Relationship Type="http://schemas.openxmlformats.org/officeDocument/2006/relationships/hyperlink" Target="https://www.sec.gov/Archives/edgar/data/814547/000081454726000011/R45.htm" TargetMode="External" Id="rId52" /><Relationship Type="http://schemas.openxmlformats.org/officeDocument/2006/relationships/hyperlink" Target="https://www.sec.gov/Archives/edgar/data/814547/000081454726000031/exhibit991erq32026.htm" TargetMode="External" Id="rId53" /><Relationship Type="http://schemas.openxmlformats.org/officeDocument/2006/relationships/hyperlink" Target="https://www.sec.gov/Archives/edgar/data/814547/000081454726000031/exhibit991erq32026.htm" TargetMode="External" Id="rId54" /><Relationship Type="http://schemas.openxmlformats.org/officeDocument/2006/relationships/hyperlink" Target="https://data.sec.gov/api/xbrl/companyfacts/CIK0000814547.json" TargetMode="External" Id="rId55" /><Relationship Type="http://schemas.openxmlformats.org/officeDocument/2006/relationships/hyperlink" Target="https://data.sec.gov/api/xbrl/companyfacts/CIK0000814547.json" TargetMode="External" Id="rId56" /><Relationship Type="http://schemas.openxmlformats.org/officeDocument/2006/relationships/hyperlink" Target="https://www.hawley.senate.gov/wp-content/uploads/2026/03/2026-03-23-Hawley-Oversight-Letter-to-FICO.pdf" TargetMode="External" Id="rId57" /><Relationship Type="http://schemas.openxmlformats.org/officeDocument/2006/relationships/hyperlink" Target="https://www.hawley.senate.gov/wp-content/uploads/2026/03/2026-03-23-Hawley-Oversight-Letter-to-FICO.pdf" TargetMode="External" Id="rId58" /><Relationship Type="http://schemas.openxmlformats.org/officeDocument/2006/relationships/hyperlink" Target="https://home.treasury.gov/resource-center/data-chart-center/interest-rates/TextView?type=daily_treasury_yield_curve" TargetMode="External" Id="rId59" /><Relationship Type="http://schemas.openxmlformats.org/officeDocument/2006/relationships/hyperlink" Target="https://home.treasury.gov/resource-center/data-chart-center/interest-rates/TextView?type=daily_treasury_yield_curve" TargetMode="External" Id="rId60" /><Relationship Type="http://schemas.openxmlformats.org/officeDocument/2006/relationships/hyperlink" Target="https://finance.yahoo.com/quote/FICO/key-statistics/" TargetMode="External" Id="rId61" /><Relationship Type="http://schemas.openxmlformats.org/officeDocument/2006/relationships/hyperlink" Target="https://finance.yahoo.com/quote/FICO/key-statistics/" TargetMode="External" Id="rId62" /><Relationship Type="http://schemas.openxmlformats.org/officeDocument/2006/relationships/hyperlink" Target="https://finance.yahoo.com/quote/FICO/" TargetMode="External" Id="rId63" /><Relationship Type="http://schemas.openxmlformats.org/officeDocument/2006/relationships/hyperlink" Target="https://finance.yahoo.com/quote/FICO/" TargetMode="External" Id="rId64" /><Relationship Type="http://schemas.openxmlformats.org/officeDocument/2006/relationships/hyperlink" Target="https://data.sec.gov/api/xbrl/companyfacts/CIK0000814547.json" TargetMode="External" Id="rId65" /><Relationship Type="http://schemas.openxmlformats.org/officeDocument/2006/relationships/hyperlink" Target="https://data.sec.gov/api/xbrl/companyfacts/CIK0000814547.json" TargetMode="External" Id="rId66" /><Relationship Type="http://schemas.openxmlformats.org/officeDocument/2006/relationships/drawing" Target="/xl/drawings/drawing1.xml" Id="rId67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5-d3ac/FICO/output/MODEL15_FICO_ASSUMPTIONS_LIST.pdf" TargetMode="External" Id="rId1" /><Relationship Type="http://schemas.openxmlformats.org/officeDocument/2006/relationships/hyperlink" Target="https://raw.githubusercontent.com/vengeanceaiUSC/Rainmaker/cursor/vengeanceaiusmodel15-d3ac/FICO/output/MODEL15_FICO_ASSUMPTIONS_LIST.pdf" TargetMode="External" Id="rId2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3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4" /><Relationship Type="http://schemas.openxmlformats.org/officeDocument/2006/relationships/hyperlink" Target="https://investors.fico.com/static-files/66ef723c-1f2e-4501-a452-ab2f3d02ae85" TargetMode="External" Id="rId5" /><Relationship Type="http://schemas.openxmlformats.org/officeDocument/2006/relationships/hyperlink" Target="https://investors.fico.com/static-files/66ef723c-1f2e-4501-a452-ab2f3d02ae85" TargetMode="External" Id="rId6" /><Relationship Type="http://schemas.openxmlformats.org/officeDocument/2006/relationships/hyperlink" Target="https://investors.fico.com/static-files/66ef723c-1f2e-4501-a452-ab2f3d02ae85" TargetMode="External" Id="rId7" /><Relationship Type="http://schemas.openxmlformats.org/officeDocument/2006/relationships/hyperlink" Target="https://investors.fico.com/static-files/66ef723c-1f2e-4501-a452-ab2f3d02ae85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investors.fico.com/static-files/66ef723c-1f2e-4501-a452-ab2f3d02ae85" TargetMode="External" Id="rId23" /><Relationship Type="http://schemas.openxmlformats.org/officeDocument/2006/relationships/hyperlink" Target="https://investors.fico.com/static-files/66ef723c-1f2e-4501-a452-ab2f3d02ae85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www.sec.gov/Archives/edgar/data/814547/000081454726000031/exhibit991erq32026.htm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5-d3ac/FICO/output/MODEL15_FICO_ASSUMPTIONS_LIST.pdf" TargetMode="External" Id="rId1" /><Relationship Type="http://schemas.openxmlformats.org/officeDocument/2006/relationships/hyperlink" Target="https://github.com/vengeanceaiUSC/Rainmaker/blob/cursor/vengeanceaiusmodel15-d3ac/FICO/output/MODEL15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57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vengeanceaiUSCMODEL15.0 (3-Statement + DCF)</t>
        </is>
      </c>
      <c r="D12" s="74" t="n"/>
      <c r="E12" s="165">
        <f>HYPERLINK("https://raw.githubusercontent.com/vengeanceaiUSC/Rainmaker/cursor/vengeanceaiusmodel15-d3ac/FICO/output/MODEL15_FICO_ASSUMPTIONS_LIST.pdf","⬇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6">
        <f>HYPERLINK("https://raw.githubusercontent.com/vengeanceaiUSC/Rainmaker/cursor/vengeanceaiusmodel15-d3ac/FICO/output/MODEL15_FICO_ASSUMPTIONS_LIST.pdf","⬇ CLICK HERE — DOWNLOAD ASSUMPTIONS LIST PDF (NO CHARTS)")</f>
        <v/>
      </c>
      <c r="D13" s="167" t="n"/>
      <c r="E13" s="167" t="n"/>
      <c r="F13" s="167" t="n"/>
      <c r="G13" s="167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vengeanceaiUSCMODEL15.0 (Scores AAA coupon): MODEL14=7/10; WACC 7.10%→6.65%; g 3.75%; exit 23.5x; Scores OM~91%; COGS floor 8%; CapEx→0.35%; buybacks 1.4×FCF; SBC fade; DSO→32d.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8">
        <f>HYPERLINK("https://raw.githubusercontent.com/vengeanceaiUSC/Rainmaker/cursor/vengeanceaiusmodel15-d3ac/FICO/output/MODEL15_FICO_ASSUMPTIONS_LIST.pdf","⬇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9">
        <f>HYPERLINK("https://raw.githubusercontent.com/vengeanceaiUSC/Rainmaker/cursor/vengeanceaiusmodel15-d3ac/FICO/output/MODEL15_FICO_ASSUMPTIONS_LIST.pdf","https://raw.githubusercontent.com/vengeanceaiUSC/Rainmaker/cursor/vengeanceaiusmodel15-d3ac/FICO/output/MODEL15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0" t="inlineStr">
        <is>
          <t>vengeanceaiUSCMODEL15.0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1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2" t="inlineStr">
        <is>
          <t>Source</t>
        </is>
      </c>
      <c r="F26" s="172" t="inlineStr">
        <is>
          <t>Clickable link</t>
        </is>
      </c>
      <c r="G26" s="172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3" t="inlineStr">
        <is>
          <t>10-K FY2025</t>
        </is>
      </c>
      <c r="F27" s="174" t="inlineStr">
        <is>
          <t>10-K FY2025</t>
        </is>
      </c>
      <c r="G27" s="174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3" t="inlineStr">
        <is>
          <t>10-Q Q3 FY2026</t>
        </is>
      </c>
      <c r="F28" s="174" t="inlineStr">
        <is>
          <t>10-Q Q3 FY2026</t>
        </is>
      </c>
      <c r="G28" s="174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5" t="inlineStr">
        <is>
          <t>8-K 6.250% notes</t>
        </is>
      </c>
      <c r="F29" s="176" t="inlineStr">
        <is>
          <t>8-K 6.250% notes</t>
        </is>
      </c>
      <c r="G29" s="176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7" t="inlineStr">
        <is>
          <t>Damodaran ERP</t>
        </is>
      </c>
      <c r="F30" s="178" t="inlineStr">
        <is>
          <t>Damodaran ERP</t>
        </is>
      </c>
      <c r="G30" s="178" t="inlineStr">
        <is>
          <t>https://pages.stern.nyu.edu/adamodar/New_Home_Page/home.htm</t>
        </is>
      </c>
    </row>
    <row r="31" ht="19.5" customHeight="1">
      <c r="E31" s="177" t="inlineStr">
        <is>
          <t>Damodaran EV/EBITDA by sector</t>
        </is>
      </c>
      <c r="F31" s="178" t="inlineStr">
        <is>
          <t>Damodaran EV/EBITDA by sector</t>
        </is>
      </c>
      <c r="G31" s="178" t="inlineStr">
        <is>
          <t>https://pages.stern.nyu.edu/adamodar/New_Home_Page/datafile/vebitda.htm</t>
        </is>
      </c>
    </row>
    <row r="32" ht="19.5" customHeight="1">
      <c r="E32" s="177" t="inlineStr">
        <is>
          <t>Damodaran FCFF</t>
        </is>
      </c>
      <c r="F32" s="178" t="inlineStr">
        <is>
          <t>Damodaran FCFF</t>
        </is>
      </c>
      <c r="G32" s="178" t="inlineStr">
        <is>
          <t>https://pages.stern.nyu.edu/~adamodar/New_Home_Page/datafile/histfcff.html</t>
        </is>
      </c>
    </row>
    <row r="33" ht="19.5" customHeight="1">
      <c r="E33" s="177" t="inlineStr">
        <is>
          <t>Damodaran implied ERP table</t>
        </is>
      </c>
      <c r="F33" s="178" t="inlineStr">
        <is>
          <t>Damodaran implied ERP table</t>
        </is>
      </c>
      <c r="G33" s="178" t="inlineStr">
        <is>
          <t>https://pages.stern.nyu.edu/~adamodar/New_Home_Page/datafile/histimpl.html</t>
        </is>
      </c>
    </row>
    <row r="34" ht="19.5" customHeight="1">
      <c r="E34" s="177" t="inlineStr">
        <is>
          <t>Equifax statement — FICO 2026 2x mortgage royalty</t>
        </is>
      </c>
      <c r="F34" s="178" t="inlineStr">
        <is>
          <t>Equifax statement — FICO 2026 2x mortgage royalty</t>
        </is>
      </c>
      <c r="G34" s="178" t="inlineStr">
        <is>
          <t>https://www.equifax.com/newsroom/all-news/-/story/equifax-statement-on-fico-2x-price-increase-for-2026-and-mortgage-direct-license-program/</t>
        </is>
      </c>
    </row>
    <row r="35" ht="19.5" customHeight="1">
      <c r="E35" s="177" t="inlineStr">
        <is>
          <t>FICO EV/EBITDA (Alpha Spread)</t>
        </is>
      </c>
      <c r="F35" s="178" t="inlineStr">
        <is>
          <t>FICO EV/EBITDA (Alpha Spread)</t>
        </is>
      </c>
      <c r="G35" s="178" t="inlineStr">
        <is>
          <t>https://www.alphaspread.com/security/nyse/fico/relative-valuation/ratio/enterprise-value-to-ebitda</t>
        </is>
      </c>
    </row>
    <row r="36" ht="19.5" customHeight="1">
      <c r="E36" s="177" t="inlineStr">
        <is>
          <t>FICO IR</t>
        </is>
      </c>
      <c r="F36" s="178" t="inlineStr">
        <is>
          <t>FICO IR</t>
        </is>
      </c>
      <c r="G36" s="178" t="inlineStr">
        <is>
          <t>https://www.fico.com/en/investors</t>
        </is>
      </c>
    </row>
    <row r="37" ht="19.5" customHeight="1">
      <c r="E37" s="177" t="inlineStr">
        <is>
          <t>FICO IR investor presentation — Scores OM ~91%</t>
        </is>
      </c>
      <c r="F37" s="178" t="inlineStr">
        <is>
          <t>FICO IR investor presentation — Scores OM ~91%</t>
        </is>
      </c>
      <c r="G37" s="178" t="inlineStr">
        <is>
          <t>https://investors.fico.com/static-files/66ef723c-1f2e-4501-a452-ab2f3d02ae85</t>
        </is>
      </c>
    </row>
    <row r="38" ht="19.5" customHeight="1">
      <c r="E38" s="177" t="inlineStr">
        <is>
          <t>FICO IR — FY2025 10-K PDF</t>
        </is>
      </c>
      <c r="F38" s="178" t="inlineStr">
        <is>
          <t>FICO IR — FY2025 10-K PDF</t>
        </is>
      </c>
      <c r="G38" s="178" t="inlineStr">
        <is>
          <t>https://investors.fico.com/static-files/663245db-39a2-4db7-8f89-284034bbccbf</t>
        </is>
      </c>
    </row>
    <row r="39" ht="19.5" customHeight="1">
      <c r="E39" s="177" t="inlineStr">
        <is>
          <t>FICO IR — Q3 FY2026 earnings release</t>
        </is>
      </c>
      <c r="F39" s="178" t="inlineStr">
        <is>
          <t>FICO IR — Q3 FY2026 earnings release</t>
        </is>
      </c>
      <c r="G39" s="178" t="inlineStr">
        <is>
          <t>https://investors.fico.com/news-releases/news-release-details/fico-announces-earnings-1045-share-third-quarter-fiscal-2026</t>
        </is>
      </c>
    </row>
    <row r="40" ht="19.5" customHeight="1">
      <c r="E40" s="177" t="inlineStr">
        <is>
          <t>FICO IR — SEC filings hub</t>
        </is>
      </c>
      <c r="F40" s="178" t="inlineStr">
        <is>
          <t>FICO IR — SEC filings hub</t>
        </is>
      </c>
      <c r="G40" s="178" t="inlineStr">
        <is>
          <t>https://investors.fico.com/financial-information/sec-filings</t>
        </is>
      </c>
    </row>
    <row r="41" ht="19.5" customHeight="1">
      <c r="E41" s="177" t="inlineStr">
        <is>
          <t>FICO peer EV/EBITDA comps (VCP Scanner)</t>
        </is>
      </c>
      <c r="F41" s="178" t="inlineStr">
        <is>
          <t>FICO peer EV/EBITDA comps (VCP Scanner)</t>
        </is>
      </c>
      <c r="G41" s="178" t="inlineStr">
        <is>
          <t>https://vcpscanner.com/valuation/fico/relative</t>
        </is>
      </c>
    </row>
    <row r="42" ht="19.5" customHeight="1">
      <c r="E42" s="177" t="inlineStr">
        <is>
          <t>FRED DGS10</t>
        </is>
      </c>
      <c r="F42" s="178" t="inlineStr">
        <is>
          <t>FRED DGS10</t>
        </is>
      </c>
      <c r="G42" s="178" t="inlineStr">
        <is>
          <t>https://fred.stlouisfed.org/series/DGS10</t>
        </is>
      </c>
    </row>
    <row r="43" ht="19.5" customHeight="1">
      <c r="E43" s="177" t="inlineStr">
        <is>
          <t>FY2026 guidance EX-99.1</t>
        </is>
      </c>
      <c r="F43" s="178" t="inlineStr">
        <is>
          <t>FY2026 guidance EX-99.1</t>
        </is>
      </c>
      <c r="G43" s="178" t="inlineStr">
        <is>
          <t>https://www.sec.gov/Archives/edgar/data/814547/000081454726000031/exhibit991erq32026.htm</t>
        </is>
      </c>
    </row>
    <row r="44" ht="19.5" customHeight="1">
      <c r="E44" s="177" t="inlineStr">
        <is>
          <t>HousingWire — Hawley probes FICO mortgage pricing</t>
        </is>
      </c>
      <c r="F44" s="178" t="inlineStr">
        <is>
          <t>HousingWire — Hawley probes FICO mortgage pricing</t>
        </is>
      </c>
      <c r="G44" s="178" t="inlineStr">
        <is>
          <t>https://www.housingwire.com/articles/hawley-fico-mortgage-pricing/</t>
        </is>
      </c>
    </row>
    <row r="45" ht="19.5" customHeight="1">
      <c r="E45" s="177" t="inlineStr">
        <is>
          <t>MODEL15 Assumptions List (PDF download)</t>
        </is>
      </c>
      <c r="F45" s="178" t="inlineStr">
        <is>
          <t>MODEL15 Assumptions List (PDF download)</t>
        </is>
      </c>
      <c r="G45" s="178" t="inlineStr">
        <is>
          <t>https://raw.githubusercontent.com/vengeanceaiUSC/Rainmaker/cursor/vengeanceaiusmodel15-d3ac/FICO/output/MODEL15_FICO_ASSUMPTIONS_LIST.pdf</t>
        </is>
      </c>
    </row>
    <row r="46" ht="19.5" customHeight="1">
      <c r="E46" s="177" t="inlineStr">
        <is>
          <t>MODEL15 Assumptions List (PDF view)</t>
        </is>
      </c>
      <c r="F46" s="178" t="inlineStr">
        <is>
          <t>MODEL15 Assumptions List (PDF view)</t>
        </is>
      </c>
      <c r="G46" s="178" t="inlineStr">
        <is>
          <t>https://github.com/vengeanceaiUSC/Rainmaker/blob/cursor/vengeanceaiusmodel15-d3ac/FICO/output/MODEL15_FICO_ASSUMPTIONS_LIST.pdf</t>
        </is>
      </c>
    </row>
    <row r="47">
      <c r="E47" s="177" t="inlineStr">
        <is>
          <t>SEC 10-K FY2025 (HTML)</t>
        </is>
      </c>
      <c r="F47" s="178" t="inlineStr">
        <is>
          <t>SEC 10-K FY2025 (HTML)</t>
        </is>
      </c>
      <c r="G47" s="178" t="inlineStr">
        <is>
          <t>https://www.sec.gov/Archives/edgar/data/814547/000081454725000030/fico-20250930.htm</t>
        </is>
      </c>
    </row>
    <row r="48">
      <c r="E48" s="177" t="inlineStr">
        <is>
          <t>SEC 10-K FY2025 filing index</t>
        </is>
      </c>
      <c r="F48" s="178" t="inlineStr">
        <is>
          <t>SEC 10-K FY2025 filing index</t>
        </is>
      </c>
      <c r="G48" s="178" t="inlineStr">
        <is>
          <t>https://www.sec.gov/Archives/edgar/data/814547/000081454725000030/0000814547-25-000030-index.htm</t>
        </is>
      </c>
    </row>
    <row r="49">
      <c r="E49" s="177" t="inlineStr">
        <is>
          <t>SEC 10-Q Q1 FY2026 (deferred revenue)</t>
        </is>
      </c>
      <c r="F49" s="178" t="inlineStr">
        <is>
          <t>SEC 10-Q Q1 FY2026 (deferred revenue)</t>
        </is>
      </c>
      <c r="G49" s="178" t="inlineStr">
        <is>
          <t>https://www.sec.gov/Archives/edgar/data/814547/000081454726000011/fico-20251231.htm</t>
        </is>
      </c>
    </row>
    <row r="50">
      <c r="E50" s="177" t="inlineStr">
        <is>
          <t>SEC 10-Q Q1 FY2026 — deferred revenue detail</t>
        </is>
      </c>
      <c r="F50" s="178" t="inlineStr">
        <is>
          <t>SEC 10-Q Q1 FY2026 — deferred revenue detail</t>
        </is>
      </c>
      <c r="G50" s="178" t="inlineStr">
        <is>
          <t>https://www.sec.gov/Archives/edgar/data/814547/000081454726000011/R45.htm</t>
        </is>
      </c>
    </row>
    <row r="51">
      <c r="E51" s="177" t="inlineStr">
        <is>
          <t>SEC EX-99.1 Q3 FY2026 earnings (Scores +41%, FCF $370M)</t>
        </is>
      </c>
      <c r="F51" s="178" t="inlineStr">
        <is>
          <t>SEC EX-99.1 Q3 FY2026 earnings (Scores +41%, FCF $370M)</t>
        </is>
      </c>
      <c r="G51" s="178" t="inlineStr">
        <is>
          <t>https://www.sec.gov/Archives/edgar/data/814547/000081454726000031/exhibit991erq32026.htm</t>
        </is>
      </c>
    </row>
    <row r="52">
      <c r="E52" s="177" t="inlineStr">
        <is>
          <t>SEC companyfacts XBRL (SBC / cash tax / CapEx / buybacks)</t>
        </is>
      </c>
      <c r="F52" s="178" t="inlineStr">
        <is>
          <t>SEC companyfacts XBRL (SBC / cash tax / CapEx / buybacks)</t>
        </is>
      </c>
      <c r="G52" s="178" t="inlineStr">
        <is>
          <t>https://data.sec.gov/api/xbrl/companyfacts/CIK0000814547.json</t>
        </is>
      </c>
    </row>
    <row r="53">
      <c r="E53" s="177" t="inlineStr">
        <is>
          <t>Sen. Hawley oversight letter — FICO mortgage pricing</t>
        </is>
      </c>
      <c r="F53" s="178" t="inlineStr">
        <is>
          <t>Sen. Hawley oversight letter — FICO mortgage pricing</t>
        </is>
      </c>
      <c r="G53" s="178" t="inlineStr">
        <is>
          <t>https://www.hawley.senate.gov/wp-content/uploads/2026/03/2026-03-23-Hawley-Oversight-Letter-to-FICO.pdf</t>
        </is>
      </c>
    </row>
    <row r="54">
      <c r="E54" s="177" t="inlineStr">
        <is>
          <t>US Treasury yield curve</t>
        </is>
      </c>
      <c r="F54" s="178" t="inlineStr">
        <is>
          <t>US Treasury yield curve</t>
        </is>
      </c>
      <c r="G54" s="178" t="inlineStr">
        <is>
          <t>https://home.treasury.gov/resource-center/data-chart-center/interest-rates/TextView?type=daily_treasury_yield_curve</t>
        </is>
      </c>
    </row>
    <row r="55">
      <c r="E55" s="177" t="inlineStr">
        <is>
          <t>Yahoo FICO</t>
        </is>
      </c>
      <c r="F55" s="178" t="inlineStr">
        <is>
          <t>Yahoo FICO</t>
        </is>
      </c>
      <c r="G55" s="178" t="inlineStr">
        <is>
          <t>https://finance.yahoo.com/quote/FICO/key-statistics/</t>
        </is>
      </c>
    </row>
    <row r="56">
      <c r="E56" s="177" t="inlineStr">
        <is>
          <t>Yahoo FICO quote</t>
        </is>
      </c>
      <c r="F56" s="178" t="inlineStr">
        <is>
          <t>Yahoo FICO quote</t>
        </is>
      </c>
      <c r="G56" s="178" t="inlineStr">
        <is>
          <t>https://finance.yahoo.com/quote/FICO/</t>
        </is>
      </c>
    </row>
    <row r="57">
      <c r="E57" s="177" t="inlineStr">
        <is>
          <t>companyfacts</t>
        </is>
      </c>
      <c r="F57" s="178" t="inlineStr">
        <is>
          <t>companyfacts</t>
        </is>
      </c>
      <c r="G57" s="178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</hyperlinks>
  <pageMargins left="0.7" right="0.7" top="0.75" bottom="0.75" header="0.3" footer="0.3"/>
  <pageSetup orientation="landscape" scale="64"/>
  <drawing xmlns:r="http://schemas.openxmlformats.org/officeDocument/2006/relationships" r:id="rId6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9" t="n">
        <v>2021</v>
      </c>
      <c r="F2" s="180">
        <f>+E2+1</f>
        <v/>
      </c>
      <c r="G2" s="180">
        <f>+F2+1</f>
        <v/>
      </c>
      <c r="H2" s="180">
        <f>+G2+1</f>
        <v/>
      </c>
      <c r="I2" s="180">
        <f>+H2+1</f>
        <v/>
      </c>
      <c r="J2" s="181">
        <f>+I2+1</f>
        <v/>
      </c>
      <c r="K2" s="181">
        <f>+J2+1</f>
        <v/>
      </c>
      <c r="L2" s="181">
        <f>+K2+1</f>
        <v/>
      </c>
      <c r="M2" s="181">
        <f>+L2+1</f>
        <v/>
      </c>
      <c r="N2" s="181">
        <f>+M2+1</f>
        <v/>
      </c>
    </row>
    <row r="3">
      <c r="B3" s="19" t="inlineStr">
        <is>
          <t>Balance Sheet Check</t>
        </is>
      </c>
      <c r="E3" s="182">
        <f>IFERROR(IF(ABS(E57)&gt;0.5,"ERROR","OK"),"OK")</f>
        <v/>
      </c>
      <c r="F3" s="182">
        <f>IFERROR(IF(ABS(F57)&gt;0.5,"ERROR","OK"),"OK")</f>
        <v/>
      </c>
      <c r="G3" s="182">
        <f>IFERROR(IF(ABS(G57)&gt;0.5,"ERROR","OK"),"OK")</f>
        <v/>
      </c>
      <c r="H3" s="182">
        <f>IFERROR(IF(ABS(H57)&gt;0.5,"ERROR","OK"),"OK")</f>
        <v/>
      </c>
      <c r="I3" s="182">
        <f>IFERROR(IF(ABS(I57)&gt;0.5,"ERROR","OK"),"OK")</f>
        <v/>
      </c>
      <c r="J3" s="182">
        <f>IFERROR(IF(ABS(J57)&gt;0.5,"ERROR","OK"),"OK")</f>
        <v/>
      </c>
      <c r="K3" s="182">
        <f>IFERROR(IF(ABS(K57)&gt;0.5,"ERROR","OK"),"OK")</f>
        <v/>
      </c>
      <c r="L3" s="182">
        <f>IFERROR(IF(ABS(L57)&gt;0.5,"ERROR","OK"),"OK")</f>
        <v/>
      </c>
      <c r="M3" s="182">
        <f>IFERROR(IF(ABS(M57)&gt;0.5,"ERROR","OK"),"OK")</f>
        <v/>
      </c>
      <c r="N3" s="182">
        <f>IFERROR(IF(ABS(N57)&gt;0.5,"ERROR","OK"),"OK")</f>
        <v/>
      </c>
    </row>
    <row r="4" ht="44" customHeight="1">
      <c r="A4" s="183">
        <f>HYPERLINK("https://raw.githubusercontent.com/vengeanceaiUSC/Rainmaker/cursor/vengeanceaiusmodel15-d3ac/FICO/output/MODEL15_FICO_ASSUMPTIONS_LIST.pdf","⬇ Download Assumptions List PDF")</f>
        <v/>
      </c>
      <c r="B4" s="184" t="inlineStr">
        <is>
          <t>vengeanceaiUSCMODEL15.0: hover J–N for WHY+SOURCE; col U = filing source; col W = download Assumptions List PDF (no charts)</t>
        </is>
      </c>
      <c r="P4" s="185">
        <f>HYPERLINK("https://raw.githubusercontent.com/vengeanceaiUSC/Rainmaker/cursor/vengeanceaiusmodel15-d3ac/FICO/output/MODEL15_FICO_ASSUMPTIONS_LIST.pdf","ASSUMPTIONS EXPLAINED — click blue Source (col U) for the filing/data")</f>
        <v/>
      </c>
      <c r="Q4" s="186" t="n"/>
      <c r="R4" s="186" t="n"/>
      <c r="S4" s="186" t="n"/>
      <c r="T4" s="186" t="n"/>
      <c r="U4" s="186" t="n"/>
      <c r="V4" s="187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8" t="inlineStr">
        <is>
          <t>Yellow = policy. Green = FY25-linked equations. Orange title above = click to download the Assumptions List PDF (no charts). PDF: https://raw.githubusercontent.com/vengeanceaiUSC/Rainmaker/cursor/vengeanceaiusmodel15-d3ac/FICO/output/MODEL15_FICO_ASSUMPTIONS_LIST.pdf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9" t="inlineStr">
        <is>
          <t>Row</t>
        </is>
      </c>
      <c r="Q6" s="189" t="inlineStr">
        <is>
          <t>Assumption</t>
        </is>
      </c>
      <c r="R6" s="189" t="inlineStr">
        <is>
          <t>What it is</t>
        </is>
      </c>
      <c r="S6" s="189" t="inlineStr">
        <is>
          <t>How set in model</t>
        </is>
      </c>
      <c r="T6" s="189" t="inlineStr">
        <is>
          <t>Why this choice</t>
        </is>
      </c>
      <c r="U6" s="189" t="inlineStr">
        <is>
          <t>Source (click)</t>
        </is>
      </c>
      <c r="V6" s="18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Branch Process: MODEL14 revenue path = 30%/18%/14.5%/11%/8.5%. MODEL15 = 32%/20%/16%/12%/9% — extends Q3 Scores +41% … | SOURCE: Equifax / Hawley — FICO 2026 mortgage royalty 2x; EX-99.1 Q3 FY2026 guidance | LINK: https://www.equifax.com/newsroom/all-news/-/story/equifax-statement-on-fico-2x-price-increase-for-2026-and-mortgage-direct-license-program/ | HOW: Yellow POLICY: 32.0% / 20.0% / 16.0% / 12.0% / 9.0%. | ASSUMPTIONS PDF: https://raw.githubusercontent.com/vengeanceaiUSC/Rainmaker/cursor/vengeanceaiusmodel15-d3ac/FICO/output/MODEL15_FICO_ASSUMPTIONS_LIST.pdf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0.32</v>
      </c>
      <c r="K7" s="191" t="n">
        <v>0.2</v>
      </c>
      <c r="L7" s="191" t="n">
        <v>0.16</v>
      </c>
      <c r="M7" s="191" t="n">
        <v>0.12</v>
      </c>
      <c r="N7" s="191" t="n">
        <v>0.09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POLICY: 32.0% / 20.0% / 16.0% / 12.0% / 9.0%.</t>
        </is>
      </c>
      <c r="T7" s="193" t="inlineStr">
        <is>
          <t>Branch Process: MODEL14 revenue path = 30%/18%/14.5%/11%/8.5%. MODEL15 = 32%/20%/16%/12%/9% — extends Q3 Scores +41% / B2B +49% mortgage unit-price momentum (https://www.sec.gov/Archives/edgar/data/814547/000081454726000031/exhibit991erq32026.htm). Terminal g 3.5%→3.75%. In Model 14, growth was 30.0%/18.0%/14.5%/11.0%/8.5%; in Model 15 it is 32.0%/20.0%/16.0%/12.0%/9.0% because Q3 Scores +41% / B2B +49% mortgage unit-price momentum (https://www.sec.gov/Archives/edgar/data/814547/000081454726000031/exhibit991erq32026.htm) and royalty $4.95→$10.00.</t>
        </is>
      </c>
      <c r="U7" s="194">
        <f>HYPERLINK("https://www.equifax.com/newsroom/all-news/-/story/equifax-statement-on-fico-2x-price-increase-for-2026-and-mortgage-direct-license-program/","Equifax / Hawley — FICO 2026 mortgage royalty 2x; EX-99.1 Q3 FY2026 guidance")</f>
        <v/>
      </c>
      <c r="V7" s="194">
        <f>HYPERLINK("https://www.equifax.com/newsroom/all-news/-/story/equifax-statement-on-fico-2x-price-increase-for-2026-and-mortgage-direct-license-program/","https://www.equifax.com/newsroom/all-news/-/story/equifax-statement-on-fico-2x-price-increase-for-2026-and-mortgage-direct-license-program/")</f>
        <v/>
      </c>
    </row>
    <row r="8" hidden="1" outlineLevel="1" ht="40" customHeight="1">
      <c r="B8" s="19" t="inlineStr">
        <is>
          <t>COGS % of Revenue (segment GM base − 150bps×t; floor 8%; GM_B2B 97%)</t>
        </is>
      </c>
      <c r="C8" s="190" t="inlineStr">
        <is>
          <t>WHY: In Model 14, COGS grind was −120 bps with a 10% floor; in Model 15, grind is −150 bps with floor 8% because IR Scores… | SOURCE: FICO IR deck — Scores OM ~91%; SEC 10-K Scores unit price | LINK: https://investors.fico.com/static-files/66ef723c-1f2e-4501-a452-ab2f3d02ae85 | HOW: Excel: MAX(8%, segment blended COGS base≈12.98% − 150bps × year). GM_B2B = 97% (Scores OM ~91%). | ASSUMPTIONS PDF: https://raw.githubusercontent.com/vengeanceaiUSC/Rainmaker/cursor/vengeanceaiusmodel15-d3ac/FICO/output/MODEL15_FICO_ASSUMPTIONS_LIST.pdf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MAX(0.08,J122-0.015)</f>
        <v/>
      </c>
      <c r="K8" s="195">
        <f>MAX(0.08,K122-0.03)</f>
        <v/>
      </c>
      <c r="L8" s="195">
        <f>MAX(0.08,L122-0.045)</f>
        <v/>
      </c>
      <c r="M8" s="195">
        <f>MAX(0.08,M122-0.06)</f>
        <v/>
      </c>
      <c r="N8" s="195">
        <f>MAX(0.08,N122-0.075)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Excel: MAX(8%, segment blended COGS base≈12.98% − 150bps × year). GM_B2B = 97% (Scores OM ~91%).</t>
        </is>
      </c>
      <c r="T8" s="193" t="inlineStr">
        <is>
          <t>In Model 14, COGS grind was −120 bps with a 10% floor; in Model 15, grind is −150 bps with floor 8% because IR Scores OM ~91% means Software/PS must not cap the royalty coupon (https://investors.fico.com/static-files/66ef723c-1f2e-4501-a452-ab2f3d02ae85). Branch Process: MODEL14 COGS −120 / SG&amp;A −175 / R&amp;D −50 bps (COGS floor 10%). MODEL15 COGS −150 / SG&amp;A −200 / R&amp;D −75 bps; COGS floor 8%; GM_B2B 97% (Scores OM ~91%). Mortgage royalty $4.95→$10.00.</t>
        </is>
      </c>
      <c r="U8" s="194">
        <f>HYPERLINK("https://investors.fico.com/static-files/66ef723c-1f2e-4501-a452-ab2f3d02ae85","FICO IR deck — Scores OM ~91%; SEC 10-K Scores unit price")</f>
        <v/>
      </c>
      <c r="V8" s="194">
        <f>HYPERLINK("https://investors.fico.com/static-files/66ef723c-1f2e-4501-a452-ab2f3d02ae85","https://investors.fico.com/static-files/66ef723c-1f2e-4501-a452-ab2f3d02ae85")</f>
        <v/>
      </c>
    </row>
    <row r="9" hidden="1" outlineLevel="1" ht="40" customHeight="1">
      <c r="B9" s="19" t="inlineStr">
        <is>
          <t>SG&amp;A % of Revenue (floor 13%, −200bps×t)</t>
        </is>
      </c>
      <c r="C9" s="190" t="inlineStr">
        <is>
          <t>WHY: In Model 14, SG&amp;A was −175 bps / 14% floor; in Model 15, −200 bps / 13% floor because B2B mortgage royalty hikes need… | SOURCE: FICO IR deck Scores OM; Equifax/Hawley mortgage royalty 2x | LINK: https://investors.fico.com/static-files/66ef723c-1f2e-4501-a452-ab2f3d02ae85 | HOW: Equation: MAX(13%, (I28 − 10,922)/I24 − 200bps × year). Strips FY25 restructuring; then −2.00% of sales each year. | ASSUMPTIONS PDF: https://raw.githubusercontent.com/vengeanceaiUSC/Rainmaker/cursor/vengeanceaiusmodel15-d3ac/FICO/output/MODEL15_FICO_ASSUMPTIONS_LIST.pdf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MAX(0.13,(($I$28-10922.0)/$I$24)-0.02)</f>
        <v/>
      </c>
      <c r="K9" s="197">
        <f>MAX(0.13,(($I$28-10922.0)/$I$24)-0.04)</f>
        <v/>
      </c>
      <c r="L9" s="197">
        <f>MAX(0.13,(($I$28-10922.0)/$I$24)-0.06)</f>
        <v/>
      </c>
      <c r="M9" s="197">
        <f>MAX(0.13,(($I$28-10922.0)/$I$24)-0.08)</f>
        <v/>
      </c>
      <c r="N9" s="197">
        <f>MAX(0.13,(($I$28-10922.0)/$I$24)-0.1)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MAX(13%, (I28 − 10,922)/I24 − 200bps × year). Strips FY25 restructuring; then −2.00% of sales each year.</t>
        </is>
      </c>
      <c r="T9" s="193" t="inlineStr">
        <is>
          <t>In Model 14, SG&amp;A was −175 bps / 14% floor; in Model 15, −200 bps / 13% floor because B2B mortgage royalty hikes need ~0 incremental SG&amp;A (Scores OM ~91%).</t>
        </is>
      </c>
      <c r="U9" s="194">
        <f>HYPERLINK("https://investors.fico.com/static-files/66ef723c-1f2e-4501-a452-ab2f3d02ae85","FICO IR deck Scores OM; Equifax/Hawley mortgage royalty 2x")</f>
        <v/>
      </c>
      <c r="V9" s="194">
        <f>HYPERLINK("https://investors.fico.com/static-files/66ef723c-1f2e-4501-a452-ab2f3d02ae85","https://investors.fico.com/static-files/66ef723c-1f2e-4501-a452-ab2f3d02ae85")</f>
        <v/>
      </c>
    </row>
    <row r="10" hidden="1" outlineLevel="1" ht="40" customHeight="1">
      <c r="B10" s="19" t="inlineStr">
        <is>
          <t>R&amp;D % of Revenue (floor 6%, −75bps×t; Scores royalties need ~0 incremental R&amp;D)</t>
        </is>
      </c>
      <c r="C10" s="190" t="inlineStr">
        <is>
          <t>WHY: In Model 14, R&amp;D faded −50 bps; in Model 15, −75 bps (floor 6%) because mortgage/B2B royalty dollars require ~0 incre… | SOURCE: SEC 10-K FY2025 — Research and development; Scores royalty economics | LINK: https://www.sec.gov/Archives/edgar/data/814547/000081454725000030/fico-20250930.htm | HOW: Excel: MAX(6%, I29/I24 − 75bps × year). | ASSUMPTIONS PDF: https://raw.githubusercontent.com/vengeanceaiUSC/Rainmaker/cursor/vengeanceaiusmodel15-d3ac/FICO/output/MODEL15_FICO_ASSUMPTIONS_LIST.pdf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MAX(0.065,($I$29/$I$24)-0.0075)</f>
        <v/>
      </c>
      <c r="K10" s="197">
        <f>MAX(0.065,($I$29/$I$24)-0.015)</f>
        <v/>
      </c>
      <c r="L10" s="197">
        <f>MAX(0.065,($I$29/$I$24)-0.0225)</f>
        <v/>
      </c>
      <c r="M10" s="197">
        <f>MAX(0.065,($I$29/$I$24)-0.03)</f>
        <v/>
      </c>
      <c r="N10" s="197">
        <f>MAX(0.065,($I$29/$I$24)-0.0375)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Excel: MAX(6%, I29/I24 − 75bps × year).</t>
        </is>
      </c>
      <c r="T10" s="193" t="inlineStr">
        <is>
          <t>In Model 14, R&amp;D faded −50 bps; in Model 15, −75 bps (floor 6%) because mortgage/B2B royalty dollars require ~0 incremental R&amp;D — do not let Software R&amp;D tax the Scores coupon.</t>
        </is>
      </c>
      <c r="U10" s="194">
        <f>HYPERLINK("https://www.sec.gov/Archives/edgar/data/814547/000081454725000030/fico-20250930.htm","SEC 10-K FY2025 — Research and development; Scores royalty economics")</f>
        <v/>
      </c>
      <c r="V10" s="194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0" t="inlineStr">
        <is>
          <t>WHY: MODEL15: TOTAL D&amp;A add-back ≈ 0.84% of Rev (3yr avg). Intangibles amort included once.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https://raw.githubusercontent.com/vengeanceaiUSC/Rainmaker/cursor/vengeanceaiusmodel15-d3ac/FICO/output/MODEL15_FICO_ASSUMPTIONS_LIST.pdf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1" t="n">
        <v>0.008411</v>
      </c>
      <c r="K11" s="191" t="n">
        <v>0.008411</v>
      </c>
      <c r="L11" s="191" t="n">
        <v>0.008411</v>
      </c>
      <c r="M11" s="191" t="n">
        <v>0.008411</v>
      </c>
      <c r="N11" s="191" t="n">
        <v>0.008411</v>
      </c>
      <c r="P11" s="192" t="n">
        <v>11</v>
      </c>
      <c r="Q11" s="192" t="inlineStr">
        <is>
          <t>D&amp;A % of Revenue</t>
        </is>
      </c>
      <c r="R11" s="193" t="inlineStr">
        <is>
          <t>Total depreciation &amp; amortization as % of sales (software-industry driver).</t>
        </is>
      </c>
      <c r="S11" s="193" t="inlineStr">
        <is>
          <t>Yellow POLICY input: flat 0.84% (3yr FY23–25 avg TOTAL D&amp;A). Forecast DA$ = Revenue × DA%; CF row 63 adds it back once.</t>
        </is>
      </c>
      <c r="T11" s="193" t="inlineStr">
        <is>
          <t>MODEL15: TOTAL D&amp;A add-back ≈ 0.84% of Rev (3yr avg). Intangibles amort included once.</t>
        </is>
      </c>
      <c r="U11" s="194">
        <f>HYPERLINK("https://data.sec.gov/api/xbrl/companyfacts/CIK0000814547.json","SEC companyfacts — DepreciationDepletionAndAmortization (+ AmortizationOfIntangibleAssets)")</f>
        <v/>
      </c>
      <c r="V11" s="194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https://raw.githubusercontent.com/vengeanceaiUSC/Rainmaker/cursor/vengeanceaiusmodel15-d3ac/FICO/output/MODEL15_FICO_ASSUMPTIONS_LIST.pdf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stock follows the net debt issuance assumption (row 19).</t>
        </is>
      </c>
      <c r="U12" s="194">
        <f>HYPERLINK("https://www.sec.gov/Archives/edgar/data/814547/000081454725000030/fico-20250930.htm","SEC 10-K FY2025 — Interest expense; see also 8-K 6.250% notes")</f>
        <v/>
      </c>
      <c r="V12" s="194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https://raw.githubusercontent.com/vengeanceaiUSC/Rainmaker/cursor/vengeanceaiusmodel15-d3ac/FICO/output/MODEL15_FICO_ASSUMPTIONS_LIST.pdf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Book Tax Rate (% of EBT)</t>
        </is>
      </c>
      <c r="R13" s="193" t="inlineStr">
        <is>
          <t>Effective book tax rate applied to forecast EBT → Net Income.</t>
        </is>
      </c>
      <c r="S13" s="193" t="inlineStr">
        <is>
          <t>Excel equation: I35/I33 (FY25 tax ÷ simplified FY25 EBT in this template).</t>
        </is>
      </c>
      <c r="T13" s="193" t="inlineStr">
        <is>
          <t>Book rate (~19%) remains on the income statement. DCF unlevered cash taxes use a separate cash tax rate (22.87% = 3yr IncomeTaxesPaidNet/EBT). Keep 3yr cash tax IncomeTaxesPaidNet/EBT ≈ 22.87% (not silently cut). Guided book ETR ~24–26% is not a cash-tax shortcut without XBRL support.</t>
        </is>
      </c>
      <c r="U13" s="194">
        <f>HYPERLINK("https://data.sec.gov/api/xbrl/companyfacts/CIK0000814547.json","SEC 10-K FY2025 — tax expense; cash taxes from IncomeTaxesPaidNet")</f>
        <v/>
      </c>
      <c r="V13" s="194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97→32d over 5yrs (segment blend ref ≈ 27.5d @ row 115; AR=Rev×DSO/365)</t>
        </is>
      </c>
      <c r="C15" s="198" t="inlineStr">
        <is>
          <t>WHY: In Model 14, DSO targeted 35d; in Model 15, target is 32d (MODEL14 rated 7/10) so cash matches Scores settlement / Sa… | SOURCE: SEC 10-K FY2025 — AR; Q1 FY2026 deferred detail | LINK: https://www.sec.gov/Archives/edgar/data/814547/000081454726000011/R45.htm | HOW: Yellow POLICY path: phases 97d (FY25 hist) → 32d over 5 years (Y1≈84.0d … Y5=32d). Segment blend ref ≈ 27.5d on schedule row 115 (SaaS 40/B2C 2/B2B 25/PS 12/On-prem 40). | ASSUMPTIONS PDF: https://raw.githubusercontent.com/vengeanceaiUSC/Rainmaker/cursor/vengeanceaiusmodel15-d3ac/FICO/output/MODEL15_FICO_ASSUMPTIONS_LIST.pdf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 t="n">
        <v>84</v>
      </c>
      <c r="K15" s="199" t="n">
        <v>71</v>
      </c>
      <c r="L15" s="199" t="n">
        <v>58</v>
      </c>
      <c r="M15" s="199" t="n">
        <v>45</v>
      </c>
      <c r="N15" s="199" t="n">
        <v>32</v>
      </c>
      <c r="P15" s="192" t="n">
        <v>15</v>
      </c>
      <c r="Q15" s="192" t="inlineStr">
        <is>
          <t>DSO — Accounts Receivable (Days)</t>
        </is>
      </c>
      <c r="R15" s="193" t="inlineStr">
        <is>
          <t>Days Sales Outstanding. AR = Revenue × DSO / 365.</t>
        </is>
      </c>
      <c r="S15" s="193" t="inlineStr">
        <is>
          <t>Yellow POLICY path: phases 97d (FY25 hist) → 32d over 5 years (Y1≈84.0d … Y5=32d). Segment blend ref ≈ 27.5d on schedule row 115 (SaaS 40/B2C 2/B2B 25/PS 12/On-prem 40).</t>
        </is>
      </c>
      <c r="T15" s="193" t="inlineStr">
        <is>
          <t>In Model 14, DSO targeted 35d; in Model 15, target is 32d (MODEL14 rated 7/10) so cash matches Scores settlement / SaaS upfront reality. Branch Process MODEL14→MODEL15: Op NWC = AR+Inv−AP (excludes Deferred) unchanged. DSO target 32d (MODEL14 was 35d) — faster Scores/SaaS cash. ΔDeferred remains an explicit CFO/FCFF source (row 81). No AR/unearned double-count. Deferred stays in Total Liab; +ΔDeferred is explicit in CFO/FCFF (not in Op NWC). FY25 deferred ≈ $187.4M. Detail: https://www.sec.gov/Archives/edgar/data/814547/000081454726000011/R45.htm.</t>
        </is>
      </c>
      <c r="U15" s="194">
        <f>HYPERLINK("https://www.sec.gov/Archives/edgar/data/814547/000081454726000011/R45.htm","SEC 10-K FY2025 — AR; Q1 FY2026 deferred detail")</f>
        <v/>
      </c>
      <c r="V15" s="194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https://raw.githubusercontent.com/vengeanceaiUSC/Rainmaker/cursor/vengeanceaiusmodel15-d3ac/FICO/output/MODEL15_FICO_ASSUMPTIONS_LIST.pdf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199" t="n">
        <v>0</v>
      </c>
      <c r="K16" s="199" t="n">
        <v>0</v>
      </c>
      <c r="L16" s="199" t="n">
        <v>0</v>
      </c>
      <c r="M16" s="199" t="n">
        <v>0</v>
      </c>
      <c r="N16" s="199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94">
        <f>HYPERLINK("https://www.sec.gov/Archives/edgar/data/814547/000081454725000030/fico-20250930.htm","SEC 10-K FY2025 — Inventory ≈ $0")</f>
        <v/>
      </c>
      <c r="V16" s="194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8" t="inlineStr">
        <is>
          <t>WHY: MODEL15: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https://raw.githubusercontent.com/vengeanceaiUSC/Rainmaker/cursor/vengeanceaiusmodel15-d3ac/FICO/output/MODEL15_FICO_ASSUMPTIONS_LIST.pdf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200">
        <f>IF($I$25=0,0,ROUND($I$48/$I$25*365,0))</f>
        <v/>
      </c>
      <c r="K17" s="200">
        <f>IF($I$25=0,0,ROUND($I$48/$I$25*365,0))</f>
        <v/>
      </c>
      <c r="L17" s="200">
        <f>IF($I$25=0,0,ROUND($I$48/$I$25*365,0))</f>
        <v/>
      </c>
      <c r="M17" s="200">
        <f>IF($I$25=0,0,ROUND($I$48/$I$25*365,0))</f>
        <v/>
      </c>
      <c r="N17" s="200">
        <f>IF($I$25=0,0,ROUND($I$48/$I$25*365,0))</f>
        <v/>
      </c>
      <c r="P17" s="192" t="n">
        <v>17</v>
      </c>
      <c r="Q17" s="192" t="inlineStr">
        <is>
          <t>DPO — Accounts Payable (Days)</t>
        </is>
      </c>
      <c r="R17" s="193" t="inlineStr">
        <is>
          <t>Days Payable Outstanding. AP = COGS × DPO / 365.</t>
        </is>
      </c>
      <c r="S17" s="193" t="inlineStr">
        <is>
          <t>Excel equation: ROUND(I48/I25×365, 0) from FY25; held flat.</t>
        </is>
      </c>
      <c r="T17" s="193" t="inlineStr">
        <is>
          <t>MODEL15: DPO pairs with phased DSO for Op NWC = AR+Inv−AP. Deferred is a SEPARATE CFO cash source (row 81) — never mixed into AR/DPO.</t>
        </is>
      </c>
      <c r="U17" s="194">
        <f>HYPERLINK("https://www.sec.gov/Archives/edgar/data/814547/000081454725000030/fico-20250930.htm","SEC 10-K FY2025 — Accounts payable")</f>
        <v/>
      </c>
      <c r="V17" s="194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(Scores-light fade 1.00%→0.35%)</t>
        </is>
      </c>
      <c r="C18" s="198" t="inlineStr">
        <is>
          <t>WHY: In Model 14, CapEx faded 1.25%→0.60% of TOTAL rev; in Model 15, path is 1.00%→0.80%→0.60%→0.45%→0.35% so Software Cap… | SOURCE: SEC 10-K / companyfacts — PPE purchases + capitalized software; IR Scores OM | LINK: https://investors.fico.com/static-files/66ef723c-1f2e-4501-a452-ab2f3d02ae85 | HOW: Yellow POLICY path: 1.00% / 0.80% / 0.60% / 0.45% / 0.35% (Scores-light fade — royalties need ~0 CapEx). | ASSUMPTIONS PDF: https://raw.githubusercontent.com/vengeanceaiUSC/Rainmaker/cursor/vengeanceaiusmodel15-d3ac/FICO/output/MODEL15_FICO_ASSUMPTIONS_LIST.pdf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201" t="n">
        <v>0.01</v>
      </c>
      <c r="K18" s="201" t="n">
        <v>0.008</v>
      </c>
      <c r="L18" s="201" t="n">
        <v>0.006</v>
      </c>
      <c r="M18" s="201" t="n">
        <v>0.0045</v>
      </c>
      <c r="N18" s="201" t="n">
        <v>0.0035</v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Yellow POLICY path: 1.00% / 0.80% / 0.60% / 0.45% / 0.35% (Scores-light fade — royalties need ~0 CapEx).</t>
        </is>
      </c>
      <c r="T18" s="193" t="inlineStr">
        <is>
          <t>In Model 14, CapEx faded 1.25%→0.60% of TOTAL rev; in Model 15, path is 1.00%→0.80%→0.60%→0.45%→0.35% so Software CapEx does not tax the Scores coupon. Branch Process: MODEL14 CapEx 1.25%→0.60% of TOTAL rev. MODEL15 Scores-light path 1.00% → 0.80% → 0.60% → 0.45% → 0.35% — mortgage/B2B royalty hikes need ~0 CapEx; do not tax the Scores coupon with Software capitalization.</t>
        </is>
      </c>
      <c r="U18" s="194">
        <f>HYPERLINK("https://investors.fico.com/static-files/66ef723c-1f2e-4501-a452-ab2f3d02ae85","SEC 10-K / companyfacts — PPE purchases + capitalized software; IR Scores OM")</f>
        <v/>
      </c>
      <c r="V18" s="194">
        <f>HYPERLINK("https://investors.fico.com/static-files/66ef723c-1f2e-4501-a452-ab2f3d02ae85","https://investors.fico.com/static-files/66ef723c-1f2e-4501-a452-ab2f3d02ae85")</f>
        <v/>
      </c>
    </row>
    <row r="19" hidden="1" outlineLevel="1" ht="40" customHeight="1">
      <c r="B19" s="19" t="inlineStr">
        <is>
          <t>Debt Issuance — funds levered buybacks ((1.40−1)×(CFO−CapEx); ΔCash≈0)</t>
        </is>
      </c>
      <c r="C19" s="198" t="inlineStr">
        <is>
          <t>WHY: In Model 14, debt was a fixed 3yr run-rate and buybacks were residual FCF (≈1.0×); in Model 15, debt = (1.40−1)×FCF b… | SOURCE: SEC EX-99.1 Q3 FY2026 — FCF vs buybacks; companyfacts debt CF | LINK: https://www.sec.gov/Archives/edgar/data/814547/000081454726000031/exhibit991erq32026.htm | HOW: Equation: (1.40−1)×(CFO−CapEx) so excess buybacks are debt-financed and ΔCash≈0. | ASSUMPTIONS PDF: https://raw.githubusercontent.com/vengeanceaiUSC/Rainmaker/cursor/vengeanceaiusmodel15-d3ac/FICO/output/MODEL15_FICO_ASSUMPTIONS_LIST.pdf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200">
        <f>(1.4-1)*(J66-J69)</f>
        <v/>
      </c>
      <c r="K19" s="200">
        <f>(1.4-1)*(K66-K69)</f>
        <v/>
      </c>
      <c r="L19" s="200">
        <f>(1.4-1)*(L66-L69)</f>
        <v/>
      </c>
      <c r="M19" s="200">
        <f>(1.4-1)*(M66-M69)</f>
        <v/>
      </c>
      <c r="N19" s="200">
        <f>(1.4-1)*(N66-N69)</f>
        <v/>
      </c>
      <c r="P19" s="192" t="n">
        <v>19</v>
      </c>
      <c r="Q19" s="192" t="inlineStr">
        <is>
          <t>Debt Issuance (Repayment)</t>
        </is>
      </c>
      <c r="R19" s="193" t="inlineStr">
        <is>
          <t>New borrowing (+) that funds buybacks above annual FCF ($000s).</t>
        </is>
      </c>
      <c r="S19" s="193" t="inlineStr">
        <is>
          <t>Equation: (1.40−1)×(CFO−CapEx) so excess buybacks are debt-financed and ΔCash≈0.</t>
        </is>
      </c>
      <c r="T19" s="193" t="inlineStr">
        <is>
          <t>In Model 14, debt was a fixed 3yr run-rate and buybacks were residual FCF (≈1.0×); in Model 15, debt = (1.40−1)×FCF because Q3 FY2026 buybacks $1.96B vs FCF $370M prove leverage is used (https://www.sec.gov/Archives/edgar/data/814547/000081454726000031/exhibit991erq32026.htm). Branch Process: MODEL14 used residual FCF after fixed debt run-rate (≈1.0×). MODEL15 buybacks = 1.40× (CFO−CapEx); incremental debt funds the (MULT−1) portion so ΔCash≈0. Anchored to Q3 FY2026: buybacks $1960M vs FCF $370.3M (https://www.sec.gov/Archives/edgar/data/814547/000081454726000031/exhibit991erq32026.htm). Excluded from FCFF.</t>
        </is>
      </c>
      <c r="U19" s="194">
        <f>HYPERLINK("https://www.sec.gov/Archives/edgar/data/814547/000081454726000031/exhibit991erq32026.htm","SEC EX-99.1 Q3 FY2026 — FCF vs buybacks; companyfacts debt CF")</f>
        <v/>
      </c>
      <c r="V19" s="194">
        <f>HYPERLINK("https://www.sec.gov/Archives/edgar/data/814547/000081454726000031/exhibit991erq32026.htm","https://www.sec.gov/Archives/edgar/data/814547/000081454726000031/exhibit991erq32026.htm")</f>
        <v/>
      </c>
    </row>
    <row r="20" hidden="1" outlineLevel="1" ht="40" customHeight="1">
      <c r="B20" s="19" t="inlineStr">
        <is>
          <t>Equity Issued (Repaid) — levered buybacks 1.40×(CFO−CapEx) (hist buybacks avg $881M; Q3 aggression)</t>
        </is>
      </c>
      <c r="C20" s="198" t="inlineStr">
        <is>
          <t>WHY: In Model 14, buybacks = residual FCF after fixed debt; in Model 15, buybacks = 1.40×(CFO−CapEx) so share count falls … | SOURCE: SEC EX-99.1 Q3 FY2026 — buybacks $1.96B / 1.705M sh @ $1,149 | LINK: https://www.sec.gov/Archives/edgar/data/814547/000081454726000031/exhibit991erq32026.htm | HOW: Equation: −1.40×(CFO−CapEx). Hist 3yr avg buybacks ≈ $881M/yr; Q3 alone $1.96B. | ASSUMPTIONS PDF: https://raw.githubusercontent.com/vengeanceaiUSC/Rainmaker/cursor/vengeanceaiusmodel15-d3ac/FICO/output/MODEL15_FICO_ASSUMPTIONS_LIST.pdf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200">
        <f>-1.4*(J66-J69)</f>
        <v/>
      </c>
      <c r="K20" s="200">
        <f>-1.4*(K66-K69)</f>
        <v/>
      </c>
      <c r="L20" s="200">
        <f>-1.4*(L66-L69)</f>
        <v/>
      </c>
      <c r="M20" s="200">
        <f>-1.4*(M66-M69)</f>
        <v/>
      </c>
      <c r="N20" s="200">
        <f>-1.4*(N66-N69)</f>
        <v/>
      </c>
      <c r="P20" s="192" t="n">
        <v>20</v>
      </c>
      <c r="Q20" s="192" t="inlineStr">
        <is>
          <t>Equity Issued (Repaid)</t>
        </is>
      </c>
      <c r="R20" s="193" t="inlineStr">
        <is>
          <t>Buybacks (−) in the forecast BS/CF — can exceed annual FCF via leverage.</t>
        </is>
      </c>
      <c r="S20" s="193" t="inlineStr">
        <is>
          <t>Equation: −1.40×(CFO−CapEx). Hist 3yr avg buybacks ≈ $881M/yr; Q3 alone $1.96B.</t>
        </is>
      </c>
      <c r="T20" s="193" t="inlineStr">
        <is>
          <t>In Model 14, buybacks = residual FCF after fixed debt; in Model 15, buybacks = 1.40×(CFO−CapEx) so share count falls faster. Financing excluded from FCFF. Start shares 21,597.635k; price $1,149. Shares fall with EquityCF (buybacks). SBC add-back does NOT dilute. Levered buybacks accelerate share shrink vs MODEL14 residual-only.</t>
        </is>
      </c>
      <c r="U20" s="194">
        <f>HYPERLINK("https://www.sec.gov/Archives/edgar/data/814547/000081454726000031/exhibit991erq32026.htm","SEC EX-99.1 Q3 FY2026 — buybacks $1.96B / 1.705M sh @ $1,149")</f>
        <v/>
      </c>
      <c r="V20" s="194">
        <f>HYPERLINK("https://www.sec.gov/Archives/edgar/data/814547/000081454726000031/exhibit991erq32026.htm","https://www.sec.gov/Archives/edgar/data/814547/000081454726000031/exhibit991erq32026.htm")</f>
        <v/>
      </c>
    </row>
    <row r="21" hidden="1" outlineLevel="1" ht="40" customHeight="1">
      <c r="B21" t="inlineStr">
        <is>
          <t>SBC % of Revenue (fade path; CF/FCFF add-back ONLY — buybacks cut DCF shares)</t>
        </is>
      </c>
      <c r="C21" s="198" t="inlineStr">
        <is>
          <t>WHY: In Model 14, SBC was flat 8.25% of total Rev; in Model 15, SBC% fades because royalty price dollars do not require 1:… | SOURCE: SEC 10-K cash flow — ShareBasedCompensation (add-back only; no share dilution) | LINK: https://data.sec.gov/api/xbrl/companyfacts/CIK0000814547.json | HOW: Yellow POLICY path: 8.25% / 7.70% / 7.20% / 6.80% / 6.40% (FY1 starts at hist 3yr avg 8.25%). | ASSUMPTIONS PDF: https://raw.githubusercontent.com/vengeanceaiUSC/Rainmaker/cursor/vengeanceaiusmodel15-d3ac/FICO/output/MODEL15_FICO_ASSUMPTIONS_LIST.pdf</t>
        </is>
      </c>
      <c r="E21" s="52" t="n"/>
      <c r="F21" s="52" t="n"/>
      <c r="G21" s="52" t="n"/>
      <c r="H21" s="52" t="n"/>
      <c r="I21" s="52" t="n"/>
      <c r="J21" s="199" t="n">
        <v>0.08251</v>
      </c>
      <c r="K21" s="199" t="n">
        <v>0.077</v>
      </c>
      <c r="L21" s="199" t="n">
        <v>0.07199999999999999</v>
      </c>
      <c r="M21" s="199" t="n">
        <v>0.068</v>
      </c>
      <c r="N21" s="199" t="n">
        <v>0.064</v>
      </c>
      <c r="P21" s="192" t="n">
        <v>21</v>
      </c>
      <c r="Q21" s="192" t="inlineStr">
        <is>
          <t>SBC % of Revenue</t>
        </is>
      </c>
      <c r="R21" s="193" t="inlineStr">
        <is>
          <t>Stock-based compensation as % of sales; non-cash add-back in CFO and FCFF.</t>
        </is>
      </c>
      <c r="S21" s="193" t="inlineStr">
        <is>
          <t>Yellow POLICY path: 8.25% / 7.70% / 7.20% / 6.80% / 6.40% (FY1 starts at hist 3yr avg 8.25%).</t>
        </is>
      </c>
      <c r="T21" s="193" t="inlineStr">
        <is>
          <t>In Model 14, SBC was flat 8.25% of total Rev; in Model 15, SBC% fades because royalty price dollars do not require 1:1 SBC. Branch Process: MODEL14 held SBC flat at 8.251% of total Rev. MODEL15 fades SBC% 8.25% / 7.70% / 7.20% / 6.80% / 6.40% because royalty price dollars do not require 1:1 SBC. Add-back once in CFO/FCFF; shares fall only via buybacks (start 21,597.6k post–Q3).</t>
        </is>
      </c>
      <c r="U21" s="194">
        <f>HYPERLINK("https://data.sec.gov/api/xbrl/companyfacts/CIK0000814547.json","SEC 10-K cash flow — ShareBasedCompensation (add-back only; no share dilution)")</f>
        <v/>
      </c>
      <c r="V21" s="194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200">
        <f>I24*(1+J7)</f>
        <v/>
      </c>
      <c r="K24" s="200">
        <f>J24*(1+K7)</f>
        <v/>
      </c>
      <c r="L24" s="200">
        <f>K24*(1+L7)</f>
        <v/>
      </c>
      <c r="M24" s="200">
        <f>L24*(1+M7)</f>
        <v/>
      </c>
      <c r="N24" s="200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200">
        <f>J24*J8</f>
        <v/>
      </c>
      <c r="K25" s="200">
        <f>K24*K8</f>
        <v/>
      </c>
      <c r="L25" s="200">
        <f>L24*L8</f>
        <v/>
      </c>
      <c r="M25" s="200">
        <f>M24*M8</f>
        <v/>
      </c>
      <c r="N25" s="200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200">
        <f>J24-J25</f>
        <v/>
      </c>
      <c r="K26" s="200">
        <f>K24-K25</f>
        <v/>
      </c>
      <c r="L26" s="200">
        <f>L24-L25</f>
        <v/>
      </c>
      <c r="M26" s="200">
        <f>M24-M25</f>
        <v/>
      </c>
      <c r="N26" s="20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200">
        <f>J24*J9</f>
        <v/>
      </c>
      <c r="K28" s="200">
        <f>K24*K9</f>
        <v/>
      </c>
      <c r="L28" s="200">
        <f>L24*L9</f>
        <v/>
      </c>
      <c r="M28" s="200">
        <f>M24*M9</f>
        <v/>
      </c>
      <c r="N28" s="200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200">
        <f>J24*J10</f>
        <v/>
      </c>
      <c r="K29" s="200">
        <f>K24*K10</f>
        <v/>
      </c>
      <c r="L29" s="200">
        <f>L24*L10</f>
        <v/>
      </c>
      <c r="M29" s="200">
        <f>M24*M10</f>
        <v/>
      </c>
      <c r="N29" s="200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Rev × DA% (total D&amp;A / sales)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200">
        <f>J24*J11</f>
        <v/>
      </c>
      <c r="K30" s="200">
        <f>K24*K11</f>
        <v/>
      </c>
      <c r="L30" s="200">
        <f>L24*L11</f>
        <v/>
      </c>
      <c r="M30" s="200">
        <f>M24*M11</f>
        <v/>
      </c>
      <c r="N30" s="200">
        <f>N24*N11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200">
        <f>J98*J12</f>
        <v/>
      </c>
      <c r="K31" s="200">
        <f>K98*K12</f>
        <v/>
      </c>
      <c r="L31" s="200">
        <f>L98*L12</f>
        <v/>
      </c>
      <c r="M31" s="200">
        <f>M98*M12</f>
        <v/>
      </c>
      <c r="N31" s="20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200">
        <f>SUM(J28:J31)</f>
        <v/>
      </c>
      <c r="K32" s="200">
        <f>SUM(K28:K31)</f>
        <v/>
      </c>
      <c r="L32" s="200">
        <f>SUM(L28:L31)</f>
        <v/>
      </c>
      <c r="M32" s="200">
        <f>SUM(M28:M31)</f>
        <v/>
      </c>
      <c r="N32" s="200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200">
        <f>J26-J32</f>
        <v/>
      </c>
      <c r="K33" s="200">
        <f>K26-K32</f>
        <v/>
      </c>
      <c r="L33" s="200">
        <f>L26-L32</f>
        <v/>
      </c>
      <c r="M33" s="200">
        <f>M26-M32</f>
        <v/>
      </c>
      <c r="N33" s="20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book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200">
        <f>J33*J13</f>
        <v/>
      </c>
      <c r="K35" s="200">
        <f>K33*K13</f>
        <v/>
      </c>
      <c r="L35" s="200">
        <f>L33*L13</f>
        <v/>
      </c>
      <c r="M35" s="200">
        <f>M33*M13</f>
        <v/>
      </c>
      <c r="N35" s="200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book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200">
        <f>J33*(1-J13)</f>
        <v/>
      </c>
      <c r="K36" s="200">
        <f>K33*(1-K13)</f>
        <v/>
      </c>
      <c r="L36" s="200">
        <f>L33*(1-L13)</f>
        <v/>
      </c>
      <c r="M36" s="200">
        <f>M33*(1-M13)</f>
        <v/>
      </c>
      <c r="N36" s="20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200">
        <f>J78</f>
        <v/>
      </c>
      <c r="K41" s="200">
        <f>K78</f>
        <v/>
      </c>
      <c r="L41" s="200">
        <f>L78</f>
        <v/>
      </c>
      <c r="M41" s="200">
        <f>M78</f>
        <v/>
      </c>
      <c r="N41" s="200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Rev × phased DSO / 365  (AR ≠ Deferred)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200">
        <f>J24*J15/365</f>
        <v/>
      </c>
      <c r="K42" s="200">
        <f>K24*K15/365</f>
        <v/>
      </c>
      <c r="L42" s="200">
        <f>L24*L15/365</f>
        <v/>
      </c>
      <c r="M42" s="200">
        <f>M24*M15/365</f>
        <v/>
      </c>
      <c r="N42" s="200">
        <f>N24*N15/365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200">
        <f>J25*J16/365</f>
        <v/>
      </c>
      <c r="K43" s="200">
        <f>K25*K16/365</f>
        <v/>
      </c>
      <c r="L43" s="200">
        <f>L25*L16/365</f>
        <v/>
      </c>
      <c r="M43" s="200">
        <f>M25*M16/365</f>
        <v/>
      </c>
      <c r="N43" s="200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200">
        <f>J95</f>
        <v/>
      </c>
      <c r="K44" s="200">
        <f>K95</f>
        <v/>
      </c>
      <c r="L44" s="200">
        <f>L95</f>
        <v/>
      </c>
      <c r="M44" s="200">
        <f>M95</f>
        <v/>
      </c>
      <c r="N44" s="20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200">
        <f>SUM(J41:J44)</f>
        <v/>
      </c>
      <c r="K45" s="200">
        <f>SUM(K41:K44)</f>
        <v/>
      </c>
      <c r="L45" s="200">
        <f>SUM(L41:L44)</f>
        <v/>
      </c>
      <c r="M45" s="200">
        <f>SUM(M41:M44)</f>
        <v/>
      </c>
      <c r="N45" s="20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DPO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200">
        <f>J25*J17/365</f>
        <v/>
      </c>
      <c r="K48" s="200">
        <f>K25*K17/365</f>
        <v/>
      </c>
      <c r="L48" s="200">
        <f>L25*L17/365</f>
        <v/>
      </c>
      <c r="M48" s="200">
        <f>M25*M17/365</f>
        <v/>
      </c>
      <c r="N48" s="200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200">
        <f>J100</f>
        <v/>
      </c>
      <c r="K49" s="200">
        <f>K100</f>
        <v/>
      </c>
      <c r="L49" s="200">
        <f>L100</f>
        <v/>
      </c>
      <c r="M49" s="200">
        <f>M100</f>
        <v/>
      </c>
      <c r="N49" s="200">
        <f>N100</f>
        <v/>
      </c>
    </row>
    <row r="50" hidden="1" outlineLevel="1">
      <c r="B50" s="4" t="inlineStr">
        <is>
          <t>Total Liabilities (AP + Debt + Deferred Revenue)</t>
        </is>
      </c>
      <c r="C50" s="204" t="inlineStr">
        <is>
          <t>eqn: AP + Debt + DeferredRev(88)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200">
        <f>J48+J49+J88</f>
        <v/>
      </c>
      <c r="K50" s="200">
        <f>K48+K49+K88</f>
        <v/>
      </c>
      <c r="L50" s="200">
        <f>L48+L49+L88</f>
        <v/>
      </c>
      <c r="M50" s="200">
        <f>M48+M49+M88</f>
        <v/>
      </c>
      <c r="N50" s="20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6" t="inlineStr">
        <is>
          <t>eqn: Assets − Liabilities − RE  (forces BS balance)</t>
        </is>
      </c>
      <c r="E52" s="200">
        <f>E45-E50-E53</f>
        <v/>
      </c>
      <c r="F52" s="200">
        <f>F45-F50-F53</f>
        <v/>
      </c>
      <c r="G52" s="200">
        <f>G45-G50-G53</f>
        <v/>
      </c>
      <c r="H52" s="200">
        <f>H45-H50-H53</f>
        <v/>
      </c>
      <c r="I52" s="200">
        <f>I45-I50-I53</f>
        <v/>
      </c>
      <c r="J52" s="200">
        <f>J45-J50-J53</f>
        <v/>
      </c>
      <c r="K52" s="200">
        <f>K45-K50-K53</f>
        <v/>
      </c>
      <c r="L52" s="200">
        <f>L45-L50-L53</f>
        <v/>
      </c>
      <c r="M52" s="200">
        <f>M45-M50-M53</f>
        <v/>
      </c>
      <c r="N52" s="200">
        <f>N45-N50-N53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200">
        <f>I53+J33*(1-J13)</f>
        <v/>
      </c>
      <c r="K53" s="200">
        <f>J53+K33*(1-K13)</f>
        <v/>
      </c>
      <c r="L53" s="200">
        <f>K53+L33*(1-L13)</f>
        <v/>
      </c>
      <c r="M53" s="200">
        <f>L53+M33*(1-M13)</f>
        <v/>
      </c>
      <c r="N53" s="20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0">
        <f>SUM(E52:E53)</f>
        <v/>
      </c>
      <c r="F54" s="200">
        <f>SUM(F52:F53)</f>
        <v/>
      </c>
      <c r="G54" s="200">
        <f>SUM(G52:G53)</f>
        <v/>
      </c>
      <c r="H54" s="200">
        <f>SUM(H52:H53)</f>
        <v/>
      </c>
      <c r="I54" s="200">
        <f>SUM(I52:I53)</f>
        <v/>
      </c>
      <c r="J54" s="200">
        <f>SUM(J52:J53)</f>
        <v/>
      </c>
      <c r="K54" s="200">
        <f>SUM(K52:K53)</f>
        <v/>
      </c>
      <c r="L54" s="200">
        <f>SUM(L52:L53)</f>
        <v/>
      </c>
      <c r="M54" s="200">
        <f>SUM(M52:M53)</f>
        <v/>
      </c>
      <c r="N54" s="20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0">
        <f>E50+E54</f>
        <v/>
      </c>
      <c r="F55" s="200">
        <f>F50+F54</f>
        <v/>
      </c>
      <c r="G55" s="200">
        <f>G50+G54</f>
        <v/>
      </c>
      <c r="H55" s="200">
        <f>H50+H54</f>
        <v/>
      </c>
      <c r="I55" s="200">
        <f>I50+I54</f>
        <v/>
      </c>
      <c r="J55" s="200">
        <f>J50+J54</f>
        <v/>
      </c>
      <c r="K55" s="200">
        <f>K50+K54</f>
        <v/>
      </c>
      <c r="L55" s="200">
        <f>L50+L54</f>
        <v/>
      </c>
      <c r="M55" s="200">
        <f>M50+M54</f>
        <v/>
      </c>
      <c r="N55" s="20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3" t="inlineStr">
        <is>
          <t>eqn: (L+E) − Assets   must be 0</t>
        </is>
      </c>
      <c r="D57" s="27" t="n"/>
      <c r="E57" s="200">
        <f>E55-E45</f>
        <v/>
      </c>
      <c r="F57" s="200">
        <f>F55-F45</f>
        <v/>
      </c>
      <c r="G57" s="200">
        <f>G55-G45</f>
        <v/>
      </c>
      <c r="H57" s="200">
        <f>H55-H45</f>
        <v/>
      </c>
      <c r="I57" s="200">
        <f>I55-I45</f>
        <v/>
      </c>
      <c r="J57" s="200">
        <f>J55-J45</f>
        <v/>
      </c>
      <c r="K57" s="200">
        <f>K55-K45</f>
        <v/>
      </c>
      <c r="L57" s="200">
        <f>L55-L45</f>
        <v/>
      </c>
      <c r="M57" s="200">
        <f>M55-M45</f>
        <v/>
      </c>
      <c r="N57" s="20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200">
        <f>J33*(1-J13)</f>
        <v/>
      </c>
      <c r="K62" s="200">
        <f>K33*(1-K13)</f>
        <v/>
      </c>
      <c r="L62" s="200">
        <f>L33*(1-L13)</f>
        <v/>
      </c>
      <c r="M62" s="200">
        <f>M33*(1-M13)</f>
        <v/>
      </c>
      <c r="N62" s="200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6" t="inlineStr">
        <is>
          <t>eqn: TOTAL D&amp;A (depr + amort. of intangibles) — single add-back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200">
        <f>J30</f>
        <v/>
      </c>
      <c r="K63" s="200">
        <f>K30</f>
        <v/>
      </c>
      <c r="L63" s="200">
        <f>L30</f>
        <v/>
      </c>
      <c r="M63" s="200">
        <f>M30</f>
        <v/>
      </c>
      <c r="N63" s="200">
        <f>N30</f>
        <v/>
      </c>
    </row>
    <row r="64" hidden="1" outlineLevel="1">
      <c r="B64" s="19" t="inlineStr">
        <is>
          <t>Plus: Stock-Based Compensation (SBC)</t>
        </is>
      </c>
      <c r="C64" s="206" t="inlineStr">
        <is>
          <t>eqn: Rev × SBC%  (non-cash add-back)</t>
        </is>
      </c>
      <c r="E64" s="199" t="n">
        <v>112457</v>
      </c>
      <c r="F64" s="199" t="n">
        <v>115355</v>
      </c>
      <c r="G64" s="199" t="n">
        <v>123847</v>
      </c>
      <c r="H64" s="199" t="n">
        <v>149439</v>
      </c>
      <c r="I64" s="199" t="n">
        <v>156667</v>
      </c>
      <c r="J64" s="200">
        <f>J24*J21</f>
        <v/>
      </c>
      <c r="K64" s="200">
        <f>K24*K21</f>
        <v/>
      </c>
      <c r="L64" s="200">
        <f>L24*L21</f>
        <v/>
      </c>
      <c r="M64" s="200">
        <f>M24*M21</f>
        <v/>
      </c>
      <c r="N64" s="200">
        <f>N24*N21</f>
        <v/>
      </c>
    </row>
    <row r="65" hidden="1" outlineLevel="1">
      <c r="B65" s="4" t="inlineStr">
        <is>
          <t>Less: Δ Operating NWC (AR+Inv−AP; Deferred NOT here)</t>
        </is>
      </c>
      <c r="C65" s="204" t="inlineStr">
        <is>
          <t>eqn: Δ Op NWC = OpNWCt − OpNWCt−1  (AR+Inv−AP only)</t>
        </is>
      </c>
      <c r="D65" s="28" t="n"/>
      <c r="E65" s="200">
        <f>E90</f>
        <v/>
      </c>
      <c r="F65" s="200">
        <f>F90</f>
        <v/>
      </c>
      <c r="G65" s="200">
        <f>G90</f>
        <v/>
      </c>
      <c r="H65" s="200">
        <f>H90</f>
        <v/>
      </c>
      <c r="I65" s="200">
        <f>I90</f>
        <v/>
      </c>
      <c r="J65" s="200">
        <f>J90</f>
        <v/>
      </c>
      <c r="K65" s="200">
        <f>K90</f>
        <v/>
      </c>
      <c r="L65" s="200">
        <f>L90</f>
        <v/>
      </c>
      <c r="M65" s="200">
        <f>M90</f>
        <v/>
      </c>
      <c r="N65" s="200">
        <f>N90</f>
        <v/>
      </c>
    </row>
    <row r="66" hidden="1" outlineLevel="1">
      <c r="B66" s="18" t="inlineStr">
        <is>
          <t>Cash from Operations (incl. +Increase in Deferred)</t>
        </is>
      </c>
      <c r="C66" s="202" t="inlineStr">
        <is>
          <t>eqn: NI + DA + SBC − ΔOpNWC + ΔDeferred</t>
        </is>
      </c>
      <c r="D66" s="47" t="n"/>
      <c r="E66" s="200">
        <f>E62+E63+E64-E65</f>
        <v/>
      </c>
      <c r="F66" s="200">
        <f>F62+F63+F64-F65+(F88-E88)</f>
        <v/>
      </c>
      <c r="G66" s="200">
        <f>G62+G63+G64-G65+(G88-F88)</f>
        <v/>
      </c>
      <c r="H66" s="200">
        <f>H62+H63+H64-H65+(H88-G88)</f>
        <v/>
      </c>
      <c r="I66" s="200">
        <f>I62+I63+I64-I65+(I88-H88)</f>
        <v/>
      </c>
      <c r="J66" s="200">
        <f>J62+J63+J64-J65+(J88-I88)</f>
        <v/>
      </c>
      <c r="K66" s="200">
        <f>K62+K63+K64-K65+(K88-J88)</f>
        <v/>
      </c>
      <c r="L66" s="200">
        <f>L62+L63+L64-L65+(L88-K88)</f>
        <v/>
      </c>
      <c r="M66" s="200">
        <f>M62+M63+M64-M65+(M88-L88)</f>
        <v/>
      </c>
      <c r="N66" s="200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 (fade path)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200">
        <f>J24*J18</f>
        <v/>
      </c>
      <c r="K68" s="200">
        <f>K24*K18</f>
        <v/>
      </c>
      <c r="L68" s="200">
        <f>L24*L18</f>
        <v/>
      </c>
      <c r="M68" s="200">
        <f>M24*M18</f>
        <v/>
      </c>
      <c r="N68" s="20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0">
        <f>E68</f>
        <v/>
      </c>
      <c r="F69" s="200">
        <f>F68</f>
        <v/>
      </c>
      <c r="G69" s="200">
        <f>G68</f>
        <v/>
      </c>
      <c r="H69" s="200">
        <f>H68</f>
        <v/>
      </c>
      <c r="I69" s="200">
        <f>I68</f>
        <v/>
      </c>
      <c r="J69" s="200">
        <f>J68</f>
        <v/>
      </c>
      <c r="K69" s="200">
        <f>K68</f>
        <v/>
      </c>
      <c r="L69" s="200">
        <f>L68</f>
        <v/>
      </c>
      <c r="M69" s="200">
        <f>M68</f>
        <v/>
      </c>
      <c r="N69" s="20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200">
        <f>J19</f>
        <v/>
      </c>
      <c r="K72" s="200">
        <f>K19</f>
        <v/>
      </c>
      <c r="L72" s="200">
        <f>L19</f>
        <v/>
      </c>
      <c r="M72" s="200">
        <f>M19</f>
        <v/>
      </c>
      <c r="N72" s="200">
        <f>N19</f>
        <v/>
      </c>
    </row>
    <row r="73" hidden="1" outlineLevel="1">
      <c r="B73" s="19" t="inlineStr">
        <is>
          <t>Issuance (repayment) of equity</t>
        </is>
      </c>
      <c r="E73" s="200">
        <f>E41-E77-E66+E69-E72</f>
        <v/>
      </c>
      <c r="F73" s="200">
        <f>F41-F77-F66+F69-F72</f>
        <v/>
      </c>
      <c r="G73" s="200">
        <f>G41-G77-G66+G69-G72</f>
        <v/>
      </c>
      <c r="H73" s="200">
        <f>H41-H77-H66+H69-H72</f>
        <v/>
      </c>
      <c r="I73" s="200">
        <f>I41-I77-I66+I69-I72</f>
        <v/>
      </c>
      <c r="J73" s="200">
        <f>J20</f>
        <v/>
      </c>
      <c r="K73" s="200">
        <f>K20</f>
        <v/>
      </c>
      <c r="L73" s="200">
        <f>L20</f>
        <v/>
      </c>
      <c r="M73" s="200">
        <f>M20</f>
        <v/>
      </c>
      <c r="N73" s="20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0">
        <f>E72+E73</f>
        <v/>
      </c>
      <c r="F74" s="200">
        <f>F72+F73</f>
        <v/>
      </c>
      <c r="G74" s="200">
        <f>G72+G73</f>
        <v/>
      </c>
      <c r="H74" s="200">
        <f>H72+H73</f>
        <v/>
      </c>
      <c r="I74" s="200">
        <f>I72+I73</f>
        <v/>
      </c>
      <c r="J74" s="200">
        <f>J19+J20</f>
        <v/>
      </c>
      <c r="K74" s="200">
        <f>K19+K20</f>
        <v/>
      </c>
      <c r="L74" s="200">
        <f>L19+L20</f>
        <v/>
      </c>
      <c r="M74" s="200">
        <f>M19+M20</f>
        <v/>
      </c>
      <c r="N74" s="20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200">
        <f>E66-E69+E74</f>
        <v/>
      </c>
      <c r="F76" s="200">
        <f>F66-F69+F74</f>
        <v/>
      </c>
      <c r="G76" s="200">
        <f>G66-G69+G74</f>
        <v/>
      </c>
      <c r="H76" s="200">
        <f>H66-H69+H74</f>
        <v/>
      </c>
      <c r="I76" s="200">
        <f>I66-I69+I74</f>
        <v/>
      </c>
      <c r="J76" s="200">
        <f>J66-J69+J74</f>
        <v/>
      </c>
      <c r="K76" s="200">
        <f>K66-K69+K74</f>
        <v/>
      </c>
      <c r="L76" s="200">
        <f>L66-L69+L74</f>
        <v/>
      </c>
      <c r="M76" s="200">
        <f>M66-M69+M74</f>
        <v/>
      </c>
      <c r="N76" s="200">
        <f>N66-N69+N74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200">
        <f>I41</f>
        <v/>
      </c>
      <c r="K77" s="200">
        <f>J41</f>
        <v/>
      </c>
      <c r="L77" s="200">
        <f>K41</f>
        <v/>
      </c>
      <c r="M77" s="200">
        <f>L41</f>
        <v/>
      </c>
      <c r="N77" s="200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200">
        <f>E77+E76</f>
        <v/>
      </c>
      <c r="F78" s="200">
        <f>F77+F76</f>
        <v/>
      </c>
      <c r="G78" s="200">
        <f>G77+G76</f>
        <v/>
      </c>
      <c r="H78" s="200">
        <f>H77+H76</f>
        <v/>
      </c>
      <c r="I78" s="200">
        <f>I77+I76</f>
        <v/>
      </c>
      <c r="J78" s="200">
        <f>J77+J76</f>
        <v/>
      </c>
      <c r="K78" s="200">
        <f>K77+K76</f>
        <v/>
      </c>
      <c r="L78" s="200">
        <f>L77+L76</f>
        <v/>
      </c>
      <c r="M78" s="200">
        <f>M77+M76</f>
        <v/>
      </c>
      <c r="N78" s="20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7">
        <f>E78-E41</f>
        <v/>
      </c>
      <c r="F80" s="217">
        <f>F78-F41</f>
        <v/>
      </c>
      <c r="G80" s="217">
        <f>G78-G41</f>
        <v/>
      </c>
      <c r="H80" s="217">
        <f>H78-H41</f>
        <v/>
      </c>
      <c r="I80" s="217">
        <f>I78-I41</f>
        <v/>
      </c>
      <c r="J80" s="200">
        <f>J78-J41</f>
        <v/>
      </c>
      <c r="K80" s="200">
        <f>K78-K41</f>
        <v/>
      </c>
      <c r="L80" s="200">
        <f>L78-L41</f>
        <v/>
      </c>
      <c r="M80" s="200">
        <f>M78-M41</f>
        <v/>
      </c>
      <c r="N80" s="200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6" t="inlineStr">
        <is>
          <t>eqn: Def_t − Def_t−1  (SaaS/maintenance upfront cash; in CFO)</t>
        </is>
      </c>
      <c r="E81" s="218" t="inlineStr">
        <is>
          <t>0</t>
        </is>
      </c>
      <c r="F81" s="200">
        <f>F88-E88</f>
        <v/>
      </c>
      <c r="G81" s="200">
        <f>G88-F88</f>
        <v/>
      </c>
      <c r="H81" s="200">
        <f>H88-G88</f>
        <v/>
      </c>
      <c r="I81" s="200">
        <f>I88-H88</f>
        <v/>
      </c>
      <c r="J81" s="219">
        <f>J88-I88</f>
        <v/>
      </c>
      <c r="K81" s="219">
        <f>K88-J88</f>
        <v/>
      </c>
      <c r="L81" s="219">
        <f>L88-K88</f>
        <v/>
      </c>
      <c r="M81" s="219">
        <f>M88-L88</f>
        <v/>
      </c>
      <c r="N81" s="219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200">
        <f>J42</f>
        <v/>
      </c>
      <c r="K85" s="200">
        <f>K42</f>
        <v/>
      </c>
      <c r="L85" s="200">
        <f>L42</f>
        <v/>
      </c>
      <c r="M85" s="200">
        <f>M42</f>
        <v/>
      </c>
      <c r="N85" s="200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200">
        <f>J43</f>
        <v/>
      </c>
      <c r="K86" s="200">
        <f>K43</f>
        <v/>
      </c>
      <c r="L86" s="200">
        <f>L43</f>
        <v/>
      </c>
      <c r="M86" s="200">
        <f>M43</f>
        <v/>
      </c>
      <c r="N86" s="200">
        <f>N43</f>
        <v/>
      </c>
    </row>
    <row r="87" hidden="1" outlineLevel="1">
      <c r="B87" s="19" t="inlineStr">
        <is>
          <t>Accounts Payable (from DPO)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200">
        <f>J48</f>
        <v/>
      </c>
      <c r="K87" s="200">
        <f>K48</f>
        <v/>
      </c>
      <c r="L87" s="200">
        <f>L48</f>
        <v/>
      </c>
      <c r="M87" s="200">
        <f>M48</f>
        <v/>
      </c>
      <c r="N87" s="200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4" t="inlineStr">
        <is>
          <t>eqn: Rev × softmix_t × (FY25 Def / FY25 soft Rev) — SaaS shift ↑ Def</t>
        </is>
      </c>
      <c r="D88" s="28" t="n"/>
      <c r="E88" s="220" t="n">
        <v>105417</v>
      </c>
      <c r="F88" s="220" t="n">
        <v>120045</v>
      </c>
      <c r="G88" s="220" t="n">
        <v>136730</v>
      </c>
      <c r="H88" s="220" t="n">
        <v>156897</v>
      </c>
      <c r="I88" s="220" t="n">
        <v>187372</v>
      </c>
      <c r="J88" s="200">
        <f>J24*(J104+J108)*IF($I$24*(0.21082251017018197+0.16094730492061507)=0,0,$I$88/($I$24*(0.21082251017018197+0.16094730492061507)))</f>
        <v/>
      </c>
      <c r="K88" s="200">
        <f>K24*(K104+K108)*IF($I$24*(0.21082251017018197+0.16094730492061507)=0,0,$I$88/($I$24*(0.21082251017018197+0.16094730492061507)))</f>
        <v/>
      </c>
      <c r="L88" s="200">
        <f>L24*(L104+L108)*IF($I$24*(0.21082251017018197+0.16094730492061507)=0,0,$I$88/($I$24*(0.21082251017018197+0.16094730492061507)))</f>
        <v/>
      </c>
      <c r="M88" s="200">
        <f>M24*(M104+M108)*IF($I$24*(0.21082251017018197+0.16094730492061507)=0,0,$I$88/($I$24*(0.21082251017018197+0.16094730492061507)))</f>
        <v/>
      </c>
      <c r="N88" s="200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6" t="inlineStr">
        <is>
          <t>eqn: AR + Inv − AP   (Deferred excluded — see CF row 81)</t>
        </is>
      </c>
      <c r="D89" s="221" t="n">
        <v>311147</v>
      </c>
      <c r="E89" s="200">
        <f>E85+E86-E87</f>
        <v/>
      </c>
      <c r="F89" s="200">
        <f>F85+F86-F87</f>
        <v/>
      </c>
      <c r="G89" s="200">
        <f>G85+G86-G87</f>
        <v/>
      </c>
      <c r="H89" s="200">
        <f>H85+H86-H87</f>
        <v/>
      </c>
      <c r="I89" s="200">
        <f>I85+I86-I87</f>
        <v/>
      </c>
      <c r="J89" s="200">
        <f>J85+J86-J87</f>
        <v/>
      </c>
      <c r="K89" s="200">
        <f>K85+K86-K87</f>
        <v/>
      </c>
      <c r="L89" s="200">
        <f>L85+L86-L87</f>
        <v/>
      </c>
      <c r="M89" s="200">
        <f>M85+M86-M87</f>
        <v/>
      </c>
      <c r="N89" s="200">
        <f>N85+N86-N87</f>
        <v/>
      </c>
    </row>
    <row r="90" hidden="1" outlineLevel="1">
      <c r="B90" t="inlineStr">
        <is>
          <t>Change in Operating NWC</t>
        </is>
      </c>
      <c r="C90" s="206" t="inlineStr">
        <is>
          <t>eqn: OpNWCt − OpNWCt−1  (AR/AP only; Deferred separate)</t>
        </is>
      </c>
      <c r="E90" s="218" t="inlineStr">
        <is>
          <t>0</t>
        </is>
      </c>
      <c r="F90" s="200">
        <f>F89-E89</f>
        <v/>
      </c>
      <c r="G90" s="200">
        <f>G89-F89</f>
        <v/>
      </c>
      <c r="H90" s="200">
        <f>H89-G89</f>
        <v/>
      </c>
      <c r="I90" s="200">
        <f>I89-H89</f>
        <v/>
      </c>
      <c r="J90" s="219">
        <f>J89-I89</f>
        <v/>
      </c>
      <c r="K90" s="219">
        <f>K89-J89</f>
        <v/>
      </c>
      <c r="L90" s="219">
        <f>L89-K89</f>
        <v/>
      </c>
      <c r="M90" s="219">
        <f>M89-L89</f>
        <v/>
      </c>
      <c r="N90" s="21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200">
        <f>I44</f>
        <v/>
      </c>
      <c r="K92" s="200">
        <f>J95</f>
        <v/>
      </c>
      <c r="L92" s="200">
        <f>K95</f>
        <v/>
      </c>
      <c r="M92" s="200">
        <f>L95</f>
        <v/>
      </c>
      <c r="N92" s="200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200">
        <f>J24*J18</f>
        <v/>
      </c>
      <c r="K93" s="200">
        <f>K24*K18</f>
        <v/>
      </c>
      <c r="L93" s="200">
        <f>L24*L18</f>
        <v/>
      </c>
      <c r="M93" s="200">
        <f>M24*M18</f>
        <v/>
      </c>
      <c r="N93" s="200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Rev × DA% (same as IS D&amp;A — includes intangible amort)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200">
        <f>J30</f>
        <v/>
      </c>
      <c r="K94" s="200">
        <f>K30</f>
        <v/>
      </c>
      <c r="L94" s="200">
        <f>L30</f>
        <v/>
      </c>
      <c r="M94" s="200">
        <f>M30</f>
        <v/>
      </c>
      <c r="N94" s="200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0" t="n">
        <v>27913</v>
      </c>
      <c r="F95" s="220" t="n">
        <v>17580</v>
      </c>
      <c r="G95" s="220" t="n">
        <v>10966</v>
      </c>
      <c r="H95" s="220" t="n">
        <v>38465</v>
      </c>
      <c r="I95" s="220" t="n">
        <v>67713</v>
      </c>
      <c r="J95" s="200">
        <f>J92+J93-J94</f>
        <v/>
      </c>
      <c r="K95" s="200">
        <f>K92+K93-K94</f>
        <v/>
      </c>
      <c r="L95" s="200">
        <f>L92+L93-L94</f>
        <v/>
      </c>
      <c r="M95" s="200">
        <f>M92+M93-M94</f>
        <v/>
      </c>
      <c r="N95" s="20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200">
        <f>I49</f>
        <v/>
      </c>
      <c r="K98" s="200">
        <f>J100</f>
        <v/>
      </c>
      <c r="L98" s="200">
        <f>K100</f>
        <v/>
      </c>
      <c r="M98" s="200">
        <f>L100</f>
        <v/>
      </c>
      <c r="N98" s="200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200">
        <f>J19</f>
        <v/>
      </c>
      <c r="K99" s="200">
        <f>K19</f>
        <v/>
      </c>
      <c r="L99" s="200">
        <f>L19</f>
        <v/>
      </c>
      <c r="M99" s="200">
        <f>M19</f>
        <v/>
      </c>
      <c r="N99" s="20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0" t="n">
        <v>1259018</v>
      </c>
      <c r="F100" s="220" t="n">
        <v>1853669</v>
      </c>
      <c r="G100" s="220" t="n">
        <v>1861658</v>
      </c>
      <c r="H100" s="220" t="n">
        <v>2209021</v>
      </c>
      <c r="I100" s="220" t="n">
        <v>3055691</v>
      </c>
      <c r="J100" s="200">
        <f>J98+J99</f>
        <v/>
      </c>
      <c r="K100" s="200">
        <f>K98+K99</f>
        <v/>
      </c>
      <c r="L100" s="200">
        <f>L98+L99</f>
        <v/>
      </c>
      <c r="M100" s="200">
        <f>M98+M99</f>
        <v/>
      </c>
      <c r="N100" s="200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200">
        <f>J98*J12</f>
        <v/>
      </c>
      <c r="K101" s="200">
        <f>K98*K12</f>
        <v/>
      </c>
      <c r="L101" s="200">
        <f>L98*L12</f>
        <v/>
      </c>
      <c r="M101" s="200">
        <f>M98*M12</f>
        <v/>
      </c>
      <c r="N101" s="200">
        <f>N98*N12</f>
        <v/>
      </c>
    </row>
    <row r="102" hidden="1" outlineLevel="1">
      <c r="B102" s="222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+250bps/yr shift)</t>
        </is>
      </c>
      <c r="C104" s="198" t="inlineStr">
        <is>
          <t>WHY: SaaS billed annually in advance → Deferred Revenue growth → explicit CFO cash source (3S row 81). Source: Q1 FY2026 1… | SOURCE: SEC 10-Q Q1 FY2026 — Deferred revenue / contract liabilities detail | LINK: https://www.sec.gov/Archives/edgar/data/814547/000081454726000011/R45.htm | HOW: FY25 base 21.08% (SaaS $419,720k / Total $1,990,869k), then +250 bps/yr taken from on-prem. Platform ARR KPI $263.6M is not additive IS revenue. | ASSUMPTIONS PDF: https://raw.githubusercontent.com/vengeanceaiUSC/Rainmaker/cursor/vengeanceaiusmodel15-d3ac/FICO/output/MODEL15_FICO_ASSUMPTIONS_LIST.pdf</t>
        </is>
      </c>
      <c r="E104" s="33" t="n"/>
      <c r="F104" s="33" t="n"/>
      <c r="G104" s="33" t="n"/>
      <c r="H104" s="33" t="n"/>
      <c r="I104" s="33" t="n"/>
      <c r="J104" s="223" t="n">
        <v>0.2358225101701819</v>
      </c>
      <c r="K104" s="223" t="n">
        <v>0.260822510170182</v>
      </c>
      <c r="L104" s="223" t="n">
        <v>0.2848713971456668</v>
      </c>
      <c r="M104" s="223" t="n">
        <v>0.3035177433852551</v>
      </c>
      <c r="N104" s="223" t="n">
        <v>0.3211554009557312</v>
      </c>
      <c r="P104" s="192" t="n">
        <v>104</v>
      </c>
      <c r="Q104" s="192" t="inlineStr">
        <is>
          <t>Mix % — SaaS / Platform software</t>
        </is>
      </c>
      <c r="R104" s="193" t="inlineStr">
        <is>
          <t>Share of Total Revenue from SaaS / cloud software (incl. FICO Platform cloud).</t>
        </is>
      </c>
      <c r="S104" s="193" t="inlineStr">
        <is>
          <t>FY25 base 21.08% (SaaS $419,720k / Total $1,990,869k), then +250 bps/yr taken from on-prem. Platform ARR KPI $263.6M is not additive IS revenue.</t>
        </is>
      </c>
      <c r="T104" s="193" t="inlineStr">
        <is>
          <t>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</t>
        </is>
      </c>
      <c r="U104" s="194">
        <f>HYPERLINK("https://www.sec.gov/Archives/edgar/data/814547/000081454726000011/R45.htm","SEC 10-Q Q1 FY2026 — Deferred revenue / contract liabilities detail")</f>
        <v/>
      </c>
      <c r="V104" s="194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4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https://raw.githubusercontent.com/vengeanceaiUSC/Rainmaker/cursor/vengeanceaiusmodel15-d3ac/FICO/output/MODEL15_FICO_ASSUMPTIONS_LIST.pdf</t>
        </is>
      </c>
      <c r="D105" s="65" t="n"/>
      <c r="E105" s="65" t="n"/>
      <c r="F105" s="65" t="n"/>
      <c r="G105" s="65" t="n"/>
      <c r="H105" s="65" t="n"/>
      <c r="I105" s="65" t="n"/>
      <c r="J105" s="225" t="n">
        <v>0.1104944624683995</v>
      </c>
      <c r="K105" s="225" t="n">
        <v>0.1104944624683995</v>
      </c>
      <c r="L105" s="225" t="n">
        <v>0.1104944624683995</v>
      </c>
      <c r="M105" s="225" t="n">
        <v>0.1104944624683995</v>
      </c>
      <c r="N105" s="225" t="n">
        <v>0.1104944624683995</v>
      </c>
      <c r="P105" s="192" t="n">
        <v>105</v>
      </c>
      <c r="Q105" s="192" t="inlineStr">
        <is>
          <t>Mix % — B2C Subscriptions (myFICO)</t>
        </is>
      </c>
      <c r="R105" s="193" t="inlineStr">
        <is>
          <t>Share of Total Revenue from B2C scoring / myFICO.com subscriptions.</t>
        </is>
      </c>
      <c r="S105" s="193" t="inlineStr">
        <is>
          <t>Yellow POLICY = 11.05% (FY25 B2C Scores $219,980k / Total $1,990,869k).</t>
        </is>
      </c>
      <c r="T105" s="193" t="inlineStr">
        <is>
          <t>Near-zero DSO (card-settled consumer subscriptions). Minimal Deferred Revenue vs annual SaaS invoices. High incremental margin; WC-light cash conversion.</t>
        </is>
      </c>
      <c r="U105" s="194">
        <f>HYPERLINK("https://www.sec.gov/Archives/edgar/data/814547/000081454725000030/fico-20250930.htm","SEC 10-K FY2025 — Scores segment B2C / myFICO disaggregation")</f>
        <v/>
      </c>
      <c r="V105" s="194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(transactional; + royalty mix drift)</t>
        </is>
      </c>
      <c r="C106" s="198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https://raw.githubusercontent.com/vengeanceaiUSC/Rainmaker/cursor/vengeanceaiusmodel15-d3ac/FICO/output/MODEL15_FICO_ASSUMPTIONS_LIST.pdf</t>
        </is>
      </c>
      <c r="J106" s="223" t="n">
        <v>0.4839728367361187</v>
      </c>
      <c r="K106" s="223" t="n">
        <v>0.4914728367361187</v>
      </c>
      <c r="L106" s="223" t="n">
        <v>0.4989728367361188</v>
      </c>
      <c r="M106" s="223" t="n">
        <v>0.5064728367361188</v>
      </c>
      <c r="N106" s="223" t="n">
        <v>0.5139728367361187</v>
      </c>
      <c r="P106" s="192" t="n">
        <v>106</v>
      </c>
      <c r="Q106" s="192" t="inlineStr">
        <is>
          <t>Mix % — B2B Scores</t>
        </is>
      </c>
      <c r="R106" s="193" t="inlineStr">
        <is>
          <t>Share of Total Revenue from B2B scoring (mortgage, auto, card via CRAs).</t>
        </is>
      </c>
      <c r="S106" s="193" t="inlineStr">
        <is>
          <t>Yellow POLICY = 47.65% (FY25 B2B Scores $948,595k / Total $1,990,869k).</t>
        </is>
      </c>
      <c r="T106" s="193" t="inlineStr">
        <is>
          <t>Transactional volume through Experian/TransUnion/Equifax; ~30-day DSO. Does not create SaaS-style Deferred Revenue (usage-based recognition).</t>
        </is>
      </c>
      <c r="U106" s="194">
        <f>HYPERLINK("https://www.sec.gov/Archives/edgar/data/814547/000081454725000030/fico-20250930.htm","SEC 10-K FY2025 — Scores segment B2B disaggregation")</f>
        <v/>
      </c>
      <c r="V106" s="194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8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https://raw.githubusercontent.com/vengeanceaiUSC/Rainmaker/cursor/vengeanceaiusmodel15-d3ac/FICO/output/MODEL15_FICO_ASSUMPTIONS_LIST.pdf</t>
        </is>
      </c>
      <c r="J107" s="223" t="n">
        <v>0.03376288570468474</v>
      </c>
      <c r="K107" s="223" t="n">
        <v>0.02626288570468474</v>
      </c>
      <c r="L107" s="223" t="n">
        <v>0.02</v>
      </c>
      <c r="M107" s="223" t="n">
        <v>0.02</v>
      </c>
      <c r="N107" s="223" t="n">
        <v>0.02</v>
      </c>
      <c r="P107" s="192" t="n">
        <v>107</v>
      </c>
      <c r="Q107" s="192" t="inlineStr">
        <is>
          <t>Mix % — Professional Services</t>
        </is>
      </c>
      <c r="R107" s="193" t="inlineStr">
        <is>
          <t>Share of Total Revenue from implementation / consulting / training fees.</t>
        </is>
      </c>
      <c r="S107" s="193" t="inlineStr">
        <is>
          <t>Yellow POLICY = 4.13% (FY25 PS $82,149k / Total $1,990,869k).</t>
        </is>
      </c>
      <c r="T107" s="193" t="inlineStr">
        <is>
          <t>Upfront integration fees convert cash quickly (low DSO) but carry significantly lower gross margin than software/scores — pulls blended COGS up vs pure SaaS.</t>
        </is>
      </c>
      <c r="U107" s="194">
        <f>HYPERLINK("https://www.sec.gov/Archives/edgar/data/814547/000081454725000030/fico-20250930.htm","SEC 10-K FY2025 — Software segment Professional services line")</f>
        <v/>
      </c>
      <c r="V107" s="194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(−250bps/yr → SaaS)</t>
        </is>
      </c>
      <c r="C108" s="198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https://raw.githubusercontent.com/vengeanceaiUSC/Rainmaker/cursor/vengeanceaiusmodel15-d3ac/FICO/output/MODEL15_FICO_ASSUMPTIONS_LIST.pdf</t>
        </is>
      </c>
      <c r="J108" s="223" t="n">
        <v>0.1359473049206151</v>
      </c>
      <c r="K108" s="223" t="n">
        <v>0.1109473049206151</v>
      </c>
      <c r="L108" s="223" t="n">
        <v>0.08566130364981489</v>
      </c>
      <c r="M108" s="223" t="n">
        <v>0.05951495741022667</v>
      </c>
      <c r="N108" s="223" t="n">
        <v>0.03437729983975063</v>
      </c>
      <c r="P108" s="192" t="n">
        <v>108</v>
      </c>
      <c r="Q108" s="192" t="inlineStr">
        <is>
          <t>Mix % — On-Premises Software</t>
        </is>
      </c>
      <c r="R108" s="193" t="inlineStr">
        <is>
          <t>Share of Total Revenue from on-premises license + maintenance software.</t>
        </is>
      </c>
      <c r="S108" s="193" t="inlineStr">
        <is>
          <t>Yellow POLICY = 16.09% (FY25 on-prem $320,425k / Total $1,990,869k).</t>
        </is>
      </c>
      <c r="T108" s="193" t="inlineStr">
        <is>
          <t>With SaaS mix, drives Deferred Revenue (maintenance billed in advance). Same 45-day DSO policy as SaaS. Completes mix identity to 100% of Total Rev.</t>
        </is>
      </c>
      <c r="U108" s="194">
        <f>HYPERLINK("https://www.sec.gov/Archives/edgar/data/814547/000081454725000030/fico-20250930.htm","SEC 10-K FY2025 — Software on-premises vs SaaS deployment table")</f>
        <v/>
      </c>
      <c r="V108" s="194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6" t="inlineStr">
        <is>
          <t>eqn: Σ mix = 100%  (flag if ≠ 1)</t>
        </is>
      </c>
      <c r="J109" s="226">
        <f>J104+J105+J106+J107+J108</f>
        <v/>
      </c>
      <c r="K109" s="226">
        <f>K104+K105+K106+K107+K108</f>
        <v/>
      </c>
      <c r="L109" s="226">
        <f>L104+L105+L106+L107+L108</f>
        <v/>
      </c>
      <c r="M109" s="226">
        <f>M104+M105+M106+M107+M108</f>
        <v/>
      </c>
      <c r="N109" s="226">
        <f>N104+N105+N106+N107+N108</f>
        <v/>
      </c>
    </row>
    <row r="110" hidden="1" outlineLevel="1">
      <c r="B110" t="inlineStr">
        <is>
          <t>DSO days — SaaS / Platform (30–60 mid)</t>
        </is>
      </c>
      <c r="J110" s="223" t="n">
        <v>40</v>
      </c>
      <c r="K110" s="219">
        <f>$J$110</f>
        <v/>
      </c>
      <c r="L110" s="219">
        <f>$J$110</f>
        <v/>
      </c>
      <c r="M110" s="219">
        <f>$J$110</f>
        <v/>
      </c>
      <c r="N110" s="219">
        <f>$J$110</f>
        <v/>
      </c>
    </row>
    <row r="111" hidden="1" outlineLevel="1">
      <c r="B111" t="inlineStr">
        <is>
          <t>DSO days — B2C myFICO (≈0, card-settled)</t>
        </is>
      </c>
      <c r="J111" s="227" t="n">
        <v>2</v>
      </c>
      <c r="K111" s="228">
        <f>$J$111</f>
        <v/>
      </c>
      <c r="L111" s="228">
        <f>$J$111</f>
        <v/>
      </c>
      <c r="M111" s="228">
        <f>$J$111</f>
        <v/>
      </c>
      <c r="N111" s="228">
        <f>$J$111</f>
        <v/>
      </c>
    </row>
    <row r="112" hidden="1" outlineLevel="1">
      <c r="B112" t="inlineStr">
        <is>
          <t>DSO days — B2B Scores (≈30)</t>
        </is>
      </c>
      <c r="J112" s="227" t="n">
        <v>25</v>
      </c>
      <c r="K112" s="228">
        <f>$J$112</f>
        <v/>
      </c>
      <c r="L112" s="228">
        <f>$J$112</f>
        <v/>
      </c>
      <c r="M112" s="228">
        <f>$J$112</f>
        <v/>
      </c>
      <c r="N112" s="228">
        <f>$J$112</f>
        <v/>
      </c>
    </row>
    <row r="113" hidden="1" outlineLevel="1">
      <c r="B113" t="inlineStr">
        <is>
          <t>DSO days — Professional Services</t>
        </is>
      </c>
      <c r="J113" s="227" t="n">
        <v>12</v>
      </c>
      <c r="K113" s="228">
        <f>$J$113</f>
        <v/>
      </c>
      <c r="L113" s="228">
        <f>$J$113</f>
        <v/>
      </c>
      <c r="M113" s="228">
        <f>$J$113</f>
        <v/>
      </c>
      <c r="N113" s="228">
        <f>$J$113</f>
        <v/>
      </c>
    </row>
    <row r="114" hidden="1" outlineLevel="1">
      <c r="B114" t="inlineStr">
        <is>
          <t>DSO days — On-Premises Software</t>
        </is>
      </c>
      <c r="J114" s="227" t="n">
        <v>40</v>
      </c>
      <c r="K114" s="228">
        <f>$J$114</f>
        <v/>
      </c>
      <c r="L114" s="228">
        <f>$J$114</f>
        <v/>
      </c>
      <c r="M114" s="228">
        <f>$J$114</f>
        <v/>
      </c>
      <c r="N114" s="228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6" t="inlineStr">
        <is>
          <t>eqn: Σ (mix_i × DSO_i)</t>
        </is>
      </c>
      <c r="J115" s="229">
        <f>J104*J110+J105*J111+J106*J112+J107*J113+J108*J114</f>
        <v/>
      </c>
      <c r="K115" s="229">
        <f>K104*K110+K105*K111+K106*K112+K107*K113+K108*K114</f>
        <v/>
      </c>
      <c r="L115" s="229">
        <f>L104*L110+L105*L111+L106*L112+L107*L113+L108*L114</f>
        <v/>
      </c>
      <c r="M115" s="229">
        <f>M104*M110+M105*M111+M106*M112+M107*M113+M108*M114</f>
        <v/>
      </c>
      <c r="N115" s="229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0" t="n">
        <v>0.84</v>
      </c>
      <c r="K116" s="140">
        <f>$J$116</f>
        <v/>
      </c>
      <c r="L116" s="140">
        <f>$J$116</f>
        <v/>
      </c>
      <c r="M116" s="140">
        <f>$J$116</f>
        <v/>
      </c>
      <c r="N116" s="140">
        <f>$J$116</f>
        <v/>
      </c>
    </row>
    <row r="117" hidden="1" outlineLevel="1">
      <c r="B117" t="inlineStr">
        <is>
          <t>Gross Margin — B2C myFICO</t>
        </is>
      </c>
      <c r="J117" s="230" t="n">
        <v>0.82</v>
      </c>
      <c r="K117" s="140">
        <f>$J$117</f>
        <v/>
      </c>
      <c r="L117" s="140">
        <f>$J$117</f>
        <v/>
      </c>
      <c r="M117" s="140">
        <f>$J$117</f>
        <v/>
      </c>
      <c r="N117" s="140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0" t="n">
        <v>0.97</v>
      </c>
      <c r="K118" s="140">
        <f>$J$118</f>
        <v/>
      </c>
      <c r="L118" s="140">
        <f>$J$118</f>
        <v/>
      </c>
      <c r="M118" s="140">
        <f>$J$118</f>
        <v/>
      </c>
      <c r="N118" s="140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0" t="n">
        <v>0.28</v>
      </c>
      <c r="K119" s="140">
        <f>$J$119</f>
        <v/>
      </c>
      <c r="L119" s="140">
        <f>$J$119</f>
        <v/>
      </c>
      <c r="M119" s="140">
        <f>$J$119</f>
        <v/>
      </c>
      <c r="N119" s="140">
        <f>$J$119</f>
        <v/>
      </c>
    </row>
    <row r="120" hidden="1" outlineLevel="1">
      <c r="B120" t="inlineStr">
        <is>
          <t>Gross Margin — On-Premises Software</t>
        </is>
      </c>
      <c r="J120" s="230" t="n">
        <v>0.8</v>
      </c>
      <c r="K120" s="140">
        <f>$J$120</f>
        <v/>
      </c>
      <c r="L120" s="140">
        <f>$J$120</f>
        <v/>
      </c>
      <c r="M120" s="140">
        <f>$J$120</f>
        <v/>
      </c>
      <c r="N120" s="140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0">
        <f>J104*J116+J105*J117+J106*J118+J107*J119+J108*J120</f>
        <v/>
      </c>
      <c r="K121" s="140">
        <f>K104*K116+K105*K117+K106*K118+K107*K119+K108*K120</f>
        <v/>
      </c>
      <c r="L121" s="140">
        <f>L104*L116+L105*L117+L106*L118+L107*L119+L108*L120</f>
        <v/>
      </c>
      <c r="M121" s="140">
        <f>M104*M116+M105*M117+M106*M118+M107*M119+M108*M120</f>
        <v/>
      </c>
      <c r="N121" s="140">
        <f>N104*N116+N105*N117+N106*N118+N107*N119+N108*N120</f>
        <v/>
      </c>
    </row>
    <row r="122" hidden="1" outlineLevel="1">
      <c r="B122" s="19" t="inlineStr">
        <is>
          <t>Blended COGS % base (row 8 applies −150bps×t grind)</t>
        </is>
      </c>
      <c r="C122" s="206" t="inlineStr">
        <is>
          <t>eqn: 1 − blended GM; row 8 = MAX(8%, base − 150bps×t)</t>
        </is>
      </c>
      <c r="E122" s="19" t="n"/>
      <c r="F122" s="19" t="n"/>
      <c r="G122" s="19" t="n"/>
      <c r="H122" s="19" t="n"/>
      <c r="I122" s="19" t="n"/>
      <c r="J122" s="140">
        <f>1-J121</f>
        <v/>
      </c>
      <c r="K122" s="140">
        <f>1-K121</f>
        <v/>
      </c>
      <c r="L122" s="140">
        <f>1-L121</f>
        <v/>
      </c>
      <c r="M122" s="140">
        <f>1-M121</f>
        <v/>
      </c>
      <c r="N122" s="140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0">
        <f>J104+J108</f>
        <v/>
      </c>
      <c r="K123" s="140">
        <f>K104+K108</f>
        <v/>
      </c>
      <c r="L123" s="140">
        <f>L104+L108</f>
        <v/>
      </c>
      <c r="M123" s="140">
        <f>M104+M108</f>
        <v/>
      </c>
      <c r="N123" s="140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6" t="inlineStr">
        <is>
          <t>eqn: TotalRev × SaaS%  (offset, not additive)</t>
        </is>
      </c>
      <c r="J124" s="231">
        <f>J24*J104</f>
        <v/>
      </c>
      <c r="K124" s="231">
        <f>K24*K104</f>
        <v/>
      </c>
      <c r="L124" s="231">
        <f>L24*L104</f>
        <v/>
      </c>
      <c r="M124" s="231">
        <f>M24*M104</f>
        <v/>
      </c>
      <c r="N124" s="231">
        <f>N24*N104</f>
        <v/>
      </c>
    </row>
    <row r="125" hidden="1" outlineLevel="1">
      <c r="B125" s="19" t="inlineStr">
        <is>
          <t>Segment $ — B2C myFICO (illustrative)</t>
        </is>
      </c>
      <c r="C125" s="206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1">
        <f>J24*J105</f>
        <v/>
      </c>
      <c r="K125" s="231">
        <f>K24*K105</f>
        <v/>
      </c>
      <c r="L125" s="231">
        <f>L24*L105</f>
        <v/>
      </c>
      <c r="M125" s="231">
        <f>M24*M105</f>
        <v/>
      </c>
      <c r="N125" s="231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vengeanceaiUSCMODEL15.0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2" t="inlineStr">
        <is>
          <t>vengeanceaiUSCMODEL15.0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3" t="n">
        <v>13.88</v>
      </c>
      <c r="O3" s="104" t="inlineStr">
        <is>
          <t>VCP Scanner peer set</t>
        </is>
      </c>
      <c r="Q3" s="234" t="inlineStr">
        <is>
          <t>Yellow = inputs (edit). Green = formulas. Blue underlined = clickable sources.</t>
        </is>
      </c>
    </row>
    <row r="4" ht="16" customHeight="1">
      <c r="A4" s="235">
        <f>HYPERLINK("https://raw.githubusercontent.com/vengeanceaiUSC/Rainmaker/cursor/vengeanceaiusmodel15-d3ac/FICO/output/MODEL15_FICO_ASSUMPTIONS_LIST.pdf","⬇ Download Assumptions List PDF")</f>
        <v/>
      </c>
      <c r="B4" s="106" t="inlineStr">
        <is>
          <t>Assumptions — full list PDF (no charts): MODEL15_FICO_ASSUMPTIONS_LIST.pdf</t>
        </is>
      </c>
      <c r="C4" s="236" t="inlineStr">
        <is>
          <t>https://github.com/vengeanceaiUSC/Rainmaker/blob/cursor/vengeanceaiusmodel15-d3ac/FICO/output/MODEL15_FICO_ASSUMPTIONS_LIST.pdf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3" t="n">
        <v>17.42</v>
      </c>
      <c r="O4" s="104" t="inlineStr">
        <is>
          <t>VCP Scanner peer set</t>
        </is>
      </c>
      <c r="Q4" s="237" t="inlineStr">
        <is>
          <t>Input</t>
        </is>
      </c>
      <c r="R4" s="237" t="inlineStr">
        <is>
          <t>Value</t>
        </is>
      </c>
      <c r="S4" s="237" t="inlineStr">
        <is>
          <t>Description</t>
        </is>
      </c>
      <c r="T4" s="237" t="inlineStr">
        <is>
          <t>Role</t>
        </is>
      </c>
      <c r="U4" s="237" t="inlineStr">
        <is>
          <t>Primary source (click)</t>
        </is>
      </c>
      <c r="V4" s="237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MODEL15 — cash taxes ≠ book tax (3S J13 still book for NI)</t>
        </is>
      </c>
      <c r="D5" s="238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3" t="n">
        <v>18.11</v>
      </c>
      <c r="O5" s="104" t="inlineStr">
        <is>
          <t>VCP Scanner peer set</t>
        </is>
      </c>
      <c r="Q5" s="184" t="inlineStr">
        <is>
          <t>1) CAPM → WACC   (D6 = R15)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(Yacktman AAA-equity WACC = 6.65%; CAPM ref R15≈9.24%)</t>
        </is>
      </c>
      <c r="C6" s="109" t="inlineStr">
        <is>
          <t>MODEL15 Yacktman policy 6.65% (6.5%–6.8% band; MODEL14 was 7.10%); CAPM ~9.24% at R15 reference only</t>
        </is>
      </c>
      <c r="D6" s="241" t="n">
        <v>0.0665</v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3" t="n">
        <v>22.2</v>
      </c>
      <c r="O6" s="104" t="inlineStr">
        <is>
          <t>VCP Scanner peer set</t>
        </is>
      </c>
      <c r="Q6" s="242" t="inlineStr">
        <is>
          <t>Risk-free rate (Rf)</t>
        </is>
      </c>
      <c r="R6" s="230" t="n">
        <v>0.0463</v>
      </c>
      <c r="S6" s="242" t="inlineStr">
        <is>
          <t>US 10Y Treasury yield</t>
        </is>
      </c>
      <c r="T6" s="242" t="inlineStr">
        <is>
          <t>CAPM input</t>
        </is>
      </c>
      <c r="U6" s="243" t="inlineStr">
        <is>
          <t>FRED DGS10 (US 10Y)</t>
        </is>
      </c>
      <c r="V6" s="243" t="inlineStr">
        <is>
          <t>US Treasury Daily Par Yield Curve</t>
        </is>
      </c>
    </row>
    <row r="7" ht="16" customHeight="1">
      <c r="A7" s="100" t="n"/>
      <c r="B7" s="100" t="inlineStr">
        <is>
          <t>Perpetual Growth g = 3.75% (MODEL14 was 3.5% — pricing power &gt; inflation)</t>
        </is>
      </c>
      <c r="C7" s="109" t="inlineStr">
        <is>
          <t>Gordon cross-check only; primary TV uses exit multiple D8</t>
        </is>
      </c>
      <c r="D7" s="238" t="n">
        <v>0.0375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3" t="n">
        <v>23.74</v>
      </c>
      <c r="O7" s="104" t="inlineStr">
        <is>
          <t>VCP Scanner peer set</t>
        </is>
      </c>
      <c r="Q7" s="242" t="inlineStr">
        <is>
          <t>Equity risk premium (ERP)</t>
        </is>
      </c>
      <c r="R7" s="230" t="n">
        <v>0.0428</v>
      </c>
      <c r="S7" s="242" t="inlineStr">
        <is>
          <t>Damodaran implied ERP</t>
        </is>
      </c>
      <c r="T7" s="242" t="inlineStr">
        <is>
          <t>CAPM input</t>
        </is>
      </c>
      <c r="U7" s="243" t="inlineStr">
        <is>
          <t>Damodaran Online — Implied ERP</t>
        </is>
      </c>
      <c r="V7" s="243" t="inlineStr">
        <is>
          <t>Damodaran histimpl.xls / table</t>
        </is>
      </c>
    </row>
    <row r="8" ht="16" customHeight="1">
      <c r="A8" s="100" t="n"/>
      <c r="B8" s="100" t="inlineStr">
        <is>
          <t>Exit EV/EBITDA (BASE 23.5x — Yacktman premium)</t>
        </is>
      </c>
      <c r="C8" s="109" t="inlineStr">
        <is>
          <t>BASE 23.5x = Yacktman premium vs peer median 18.1x (MODEL14 was 22.0x). Bull 28x / Bear 17.0x.</t>
        </is>
      </c>
      <c r="D8" s="244" t="n">
        <v>23.5</v>
      </c>
      <c r="E8" s="239" t="inlineStr">
        <is>
          <t>Rd source: SEC 8-K 6.250% notes</t>
        </is>
      </c>
      <c r="F8" s="112" t="inlineStr">
        <is>
          <t>Peer EV/EBITDA comps (click)</t>
        </is>
      </c>
      <c r="G8" s="112" t="inlineStr">
        <is>
          <t>FICO spot EV/EBITDA (click)</t>
        </is>
      </c>
      <c r="H8" s="100" t="n"/>
      <c r="I8" s="100" t="n"/>
      <c r="J8" s="100" t="n"/>
      <c r="K8" s="100" t="n"/>
      <c r="L8" s="113" t="inlineStr">
        <is>
          <t>Median</t>
        </is>
      </c>
      <c r="M8" s="113" t="inlineStr">
        <is>
          <t>Peer set</t>
        </is>
      </c>
      <c r="N8" s="245" t="n">
        <v>18.11</v>
      </c>
      <c r="O8" s="113" t="inlineStr">
        <is>
          <t>Sorted median (SPGI)</t>
        </is>
      </c>
      <c r="Q8" s="242" t="inlineStr">
        <is>
          <t>Beta (β)</t>
        </is>
      </c>
      <c r="R8" s="246" t="n">
        <v>1.32</v>
      </c>
      <c r="S8" s="242" t="inlineStr">
        <is>
          <t>Yahoo 5Y monthly beta</t>
        </is>
      </c>
      <c r="T8" s="242" t="inlineStr">
        <is>
          <t>CAPM input</t>
        </is>
      </c>
      <c r="U8" s="243" t="inlineStr">
        <is>
          <t>Yahoo Finance FICO Key Statistics</t>
        </is>
      </c>
      <c r="V8" s="24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6" t="inlineStr">
        <is>
          <t>Base exit (D8)</t>
        </is>
      </c>
      <c r="M9" s="116" t="n"/>
      <c r="N9" s="248" t="n">
        <v>23.5</v>
      </c>
      <c r="O9" s="116" t="inlineStr">
        <is>
          <t>Yacktman premium vs peer median; audit 23.5x</t>
        </is>
      </c>
      <c r="Q9" s="249" t="inlineStr">
        <is>
          <t>Ke = Rf + β × ERP</t>
        </is>
      </c>
      <c r="R9" s="140">
        <f>R6+R8*R7</f>
        <v/>
      </c>
      <c r="S9" s="242" t="inlineStr">
        <is>
          <t>Cost of equity (CAPM)</t>
        </is>
      </c>
      <c r="T9" s="249" t="inlineStr">
        <is>
          <t>→ WACC</t>
        </is>
      </c>
      <c r="U9" s="242" t="inlineStr">
        <is>
          <t>Derived: R6 + R8 × R7</t>
        </is>
      </c>
      <c r="V9" s="24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2" t="inlineStr">
        <is>
          <t>Peer comps (click)</t>
        </is>
      </c>
      <c r="M10" s="112" t="inlineStr">
        <is>
          <t>FICO spot EV/EBITDA (click)</t>
        </is>
      </c>
      <c r="N10" s="100" t="n"/>
      <c r="O10" s="100" t="n"/>
      <c r="Q10" s="242" t="inlineStr">
        <is>
          <t>Pre-tax cost of debt (Rd)</t>
        </is>
      </c>
      <c r="R10" s="230" t="n">
        <v>0.0625</v>
      </c>
      <c r="S10" s="242" t="inlineStr">
        <is>
          <t>6.250% Senior Notes due 2034</t>
        </is>
      </c>
      <c r="T10" s="242" t="inlineStr">
        <is>
          <t>WACC input</t>
        </is>
      </c>
      <c r="U10" s="243" t="inlineStr">
        <is>
          <t>SEC 8-K — Notes closing (6.250%)</t>
        </is>
      </c>
      <c r="V10" s="243" t="inlineStr">
        <is>
          <t>SEC EX-99.1 — Notes pricing press release</t>
        </is>
      </c>
    </row>
    <row r="11" ht="16" customHeight="1">
      <c r="A11" s="100" t="n"/>
      <c r="B11" s="100" t="inlineStr">
        <is>
          <t>Share Price (Q3 FY2026 avg repurchase $1,149)</t>
        </is>
      </c>
      <c r="C11" s="100" t="n"/>
      <c r="D11" s="250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2" t="inlineStr">
        <is>
          <t>Cash tax rate (t)</t>
        </is>
      </c>
      <c r="R11" s="140">
        <f>$D$5</f>
        <v/>
      </c>
      <c r="S11" s="242" t="inlineStr">
        <is>
          <t>D5 ← 3yr cash tax (IncomeTaxesPaid/EBT)</t>
        </is>
      </c>
      <c r="T11" s="242" t="inlineStr">
        <is>
          <t>Cash tax ≠ book J13</t>
        </is>
      </c>
      <c r="U11" s="243" t="inlineStr">
        <is>
          <t>SEC 10-K FY2025 (tax / EBT)</t>
        </is>
      </c>
      <c r="V11" s="24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FY2026 buybacks)</t>
        </is>
      </c>
      <c r="C12" s="109" t="inlineStr">
        <is>
          <t>MODEL15: 21,597.6k after Q3 $1.96B / 1.705M-sh buyback; levered buybacks 1.4×FCF (MODEL14 was residual ≈1.0×)</t>
        </is>
      </c>
      <c r="D12" s="251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9" t="inlineStr">
        <is>
          <t>Rd_aftertax = Rd × (1 − t)</t>
        </is>
      </c>
      <c r="R12" s="140">
        <f>R10*(1-R11)</f>
        <v/>
      </c>
      <c r="S12" s="242" t="inlineStr">
        <is>
          <t>After-tax cost of debt</t>
        </is>
      </c>
      <c r="T12" s="249" t="inlineStr">
        <is>
          <t>→ WACC</t>
        </is>
      </c>
      <c r="U12" s="242" t="inlineStr">
        <is>
          <t>Derived: R10 × (1 − R11)</t>
        </is>
      </c>
      <c r="V12" s="24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2" t="inlineStr">
        <is>
          <t>Equity weight (We)</t>
        </is>
      </c>
      <c r="R13" s="253" t="n">
        <v>0.8</v>
      </c>
      <c r="S13" s="242" t="inlineStr">
        <is>
          <t>Target ~80% equity at market</t>
        </is>
      </c>
      <c r="T13" s="242" t="inlineStr">
        <is>
          <t>WACC weight</t>
        </is>
      </c>
      <c r="U13" s="243" t="inlineStr">
        <is>
          <t>SEC 10-Q Q3 FY2026 (debt / capital)</t>
        </is>
      </c>
      <c r="V13" s="24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2" t="inlineStr">
        <is>
          <t>Debt weight (Wd)</t>
        </is>
      </c>
      <c r="R14" s="253" t="n">
        <v>0.2</v>
      </c>
      <c r="S14" s="242" t="inlineStr">
        <is>
          <t>Target ~20% debt (We+Wd=100%)</t>
        </is>
      </c>
      <c r="T14" s="242" t="inlineStr">
        <is>
          <t>WACC weight</t>
        </is>
      </c>
      <c r="U14" s="243" t="inlineStr">
        <is>
          <t>SEC 10-Q — total debt $5,582,389k</t>
        </is>
      </c>
      <c r="V14" s="24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9" t="inlineStr">
        <is>
          <t>WACC = We×Ke + Wd×Rd_aftertax</t>
        </is>
      </c>
      <c r="R15" s="140">
        <f>R13*R9+R14*R12</f>
        <v/>
      </c>
      <c r="S15" s="242" t="inlineStr">
        <is>
          <t>PRIMARY discount rate → cell D6</t>
        </is>
      </c>
      <c r="T15" s="249" t="inlineStr">
        <is>
          <t>→ D6</t>
        </is>
      </c>
      <c r="U15" s="243" t="inlineStr">
        <is>
          <t>SEC filings (tax, debt coupons)</t>
        </is>
      </c>
      <c r="V15" s="243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254">
        <f>$D$12</f>
        <v/>
      </c>
      <c r="E16" s="254">
        <f>MAX(1000,D16+'3 Statement Model'!J20/$D$11)</f>
        <v/>
      </c>
      <c r="F16" s="254">
        <f>MAX(1000,E16+'3 Statement Model'!K20/$D$11)</f>
        <v/>
      </c>
      <c r="G16" s="254">
        <f>MAX(1000,F16+'3 Statement Model'!L20/$D$11)</f>
        <v/>
      </c>
      <c r="H16" s="254">
        <f>MAX(1000,G16+'3 Statement Model'!M20/$D$11)</f>
        <v/>
      </c>
      <c r="I16" s="254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(vengeanceaiUSCMODEL15.0)</t>
        </is>
      </c>
      <c r="O17" s="100" t="n"/>
      <c r="Q17" s="184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23.5x)</t>
        </is>
      </c>
      <c r="M18" s="254">
        <f>J27</f>
        <v/>
      </c>
      <c r="N18" s="100" t="inlineStr">
        <is>
          <t>← used in XNPV</t>
        </is>
      </c>
      <c r="O18" s="100" t="n"/>
      <c r="Q18" s="249" t="inlineStr">
        <is>
          <t>FCFF = EBIT − EBIT×t_cash + D&amp;A + SBC − CapEx − ΔOpNWC + ΔDeferred</t>
        </is>
      </c>
      <c r="U18" s="243" t="inlineStr">
        <is>
          <t>Drivers from SEC XBRL → 3-statement</t>
        </is>
      </c>
      <c r="V18" s="243" t="inlineStr">
        <is>
          <t>SEC 10-K historical IS/CF</t>
        </is>
      </c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0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3" t="inlineStr">
        <is>
          <t>← sanity check</t>
        </is>
      </c>
      <c r="O19" s="100" t="n"/>
      <c r="Q19" s="242" t="inlineStr">
        <is>
          <t>Excel (col E example)</t>
        </is>
      </c>
      <c r="R19" s="249">
        <f>E21-E22+E23-E24-E25</f>
        <v/>
      </c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5" t="inlineStr">
        <is>
          <t>← ~bear check</t>
        </is>
      </c>
      <c r="O20" s="100" t="n"/>
      <c r="Q20" s="242" t="inlineStr">
        <is>
          <t>Tax on EBIT (unlevered)</t>
        </is>
      </c>
      <c r="R20" s="249">
        <f>E21*$D$5</f>
        <v/>
      </c>
      <c r="S20" s="242" t="inlineStr">
        <is>
          <t>NOT levered IS tax dollars</t>
        </is>
      </c>
      <c r="U20" s="24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23.5x (primary)</t>
        </is>
      </c>
      <c r="M21" s="254">
        <f>($I$21+$I$23)*23.5</f>
        <v/>
      </c>
      <c r="N21" s="100" t="inlineStr">
        <is>
          <t>← = D8 policy</t>
        </is>
      </c>
      <c r="O21" s="100" t="n"/>
      <c r="Q21" s="242" t="inlineStr">
        <is>
          <t>FCFF check (FY5 / col I)</t>
        </is>
      </c>
      <c r="R21" s="231">
        <f>I26</f>
        <v/>
      </c>
      <c r="S21" s="24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28.0x (spot/policy)</t>
        </is>
      </c>
      <c r="M22" s="254">
        <f>($I$21+$I$23)*28.0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254">
        <f>($I$21+$I$23)*17.0</f>
        <v/>
      </c>
      <c r="N23" s="100" t="inlineStr">
        <is>
          <t>← sensitivity only</t>
        </is>
      </c>
      <c r="O23" s="100" t="n"/>
      <c r="Q23" s="184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28x → Base 23.5x (Yacktman premium vs peer median ~18.1x) → Bear 17.0x</t>
        </is>
      </c>
      <c r="Q24" s="24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59" t="inlineStr">
        <is>
          <t>−ΔOpNWC+ΔDef</t>
        </is>
      </c>
      <c r="D25" s="100" t="n"/>
      <c r="E25" s="254">
        <f>'3 Statement Model'!J90-('3 Statement Model'!J88-'3 Statement Model'!I88)</f>
        <v/>
      </c>
      <c r="F25" s="254">
        <f>'3 Statement Model'!K90-('3 Statement Model'!K88-'3 Statement Model'!J88)</f>
        <v/>
      </c>
      <c r="G25" s="254">
        <f>'3 Statement Model'!L90-('3 Statement Model'!L88-'3 Statement Model'!K88)</f>
        <v/>
      </c>
      <c r="H25" s="254">
        <f>'3 Statement Model'!M90-('3 Statement Model'!M88-'3 Statement Model'!L88)</f>
        <v/>
      </c>
      <c r="I25" s="254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2" t="inlineStr">
        <is>
          <t>Excel</t>
        </is>
      </c>
      <c r="R25" s="249">
        <f>($I$21+$I$23)*$D$8</f>
        <v/>
      </c>
      <c r="T25" s="231">
        <f>J27</f>
        <v/>
      </c>
      <c r="U25" s="24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(SBC add-back + Deferred cash source)</t>
        </is>
      </c>
      <c r="C26" s="259" t="inlineStr">
        <is>
          <t>FCFF=EBIT−cashTax+DA+SBC−CapEx−ΔOpNWC+ΔDeferred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8" t="inlineStr">
        <is>
          <t>vengeanceaiUSCMODEL15.0 — DCF ← 3-Statement linkage audit</t>
        </is>
      </c>
      <c r="Q26" s="24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23.5x)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  <c r="Q27" s="242" t="inlineStr">
        <is>
          <t>Excel</t>
        </is>
      </c>
      <c r="R27" s="249">
        <f>IF(($D$6-$D$7)&lt;=0,"err",$I$26*(1+$D$7)/($D$6-$D$7))</f>
        <v/>
      </c>
      <c r="T27" s="231">
        <f>M19</f>
        <v/>
      </c>
      <c r="U27" s="24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19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  <c r="Q28" s="242" t="inlineStr">
        <is>
          <t>Implied Gordon exit multiple</t>
        </is>
      </c>
      <c r="R28" s="263">
        <f>IF(($I$21+$I$23)=0,0,T27/($I$21+$I$23))</f>
        <v/>
      </c>
      <c r="S28" s="24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19">
        <f>'3 Statement Model'!J15</f>
        <v/>
      </c>
      <c r="N29" s="143">
        <f>'3 Statement Model'!J15</f>
        <v/>
      </c>
      <c r="O29" s="142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19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  <c r="Q30" s="184" t="inlineStr">
        <is>
          <t>4) Enterprise → Equity → $/share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219">
        <f>'3 Statement Model'!J18</f>
        <v/>
      </c>
      <c r="N31" s="143">
        <f>'3 Statement Model'!J18</f>
        <v/>
      </c>
      <c r="O31" s="142" t="inlineStr">
        <is>
          <t>CapEx% fade path → CF CapEx $</t>
        </is>
      </c>
      <c r="Q31" s="24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19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  <c r="Q32" s="242" t="inlineStr">
        <is>
          <t>Excel</t>
        </is>
      </c>
      <c r="R32" s="249">
        <f>XNPV(D6,D28:J28,D18:J18)</f>
        <v/>
      </c>
      <c r="T32" s="231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19">
        <f>$E$21</f>
        <v/>
      </c>
      <c r="N33" s="231">
        <f>'3 Statement Model'!J33+'3 Statement Model'!J31</f>
        <v/>
      </c>
      <c r="O33" s="142" t="inlineStr">
        <is>
          <t>EBT + Interest = GP − SG&amp;A − R&amp;D − D&amp;A</t>
        </is>
      </c>
      <c r="Q33" s="249" t="inlineStr">
        <is>
          <t>Equity = EV + Cash − Debt</t>
        </is>
      </c>
      <c r="R33" s="231">
        <f>D35</f>
        <v/>
      </c>
      <c r="S33" s="242" t="inlineStr">
        <is>
          <t>Net debt from 10-Q bridge</t>
        </is>
      </c>
      <c r="U33" s="243" t="inlineStr">
        <is>
          <t>SEC 10-Q — cash, mkt secs, total debt</t>
        </is>
      </c>
      <c r="V33" s="24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19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  <c r="Q34" s="249" t="inlineStr">
        <is>
          <t>$/share = Equity / Shares</t>
        </is>
      </c>
      <c r="R34" s="264">
        <f>D37</f>
        <v/>
      </c>
      <c r="S34" s="242" t="inlineStr">
        <is>
          <t>Shares outstanding (Yahoo)</t>
        </is>
      </c>
      <c r="U34" s="243" t="inlineStr">
        <is>
          <t>Yahoo Finance — shares outstanding</t>
        </is>
      </c>
      <c r="V34" s="24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4" t="inlineStr">
        <is>
          <t>D&amp;A FY1</t>
        </is>
      </c>
      <c r="M35" s="219">
        <f>$E$23</f>
        <v/>
      </c>
      <c r="N35" s="231">
        <f>'3 Statement Model'!J30</f>
        <v/>
      </c>
      <c r="O35" s="142" t="inlineStr">
        <is>
          <t>Rev × DA% (total D&amp;A / sales) from 3S IS</t>
        </is>
      </c>
      <c r="Q35" s="242" t="inlineStr">
        <is>
          <t>Upside vs market</t>
        </is>
      </c>
      <c r="R35" s="226">
        <f>D37/D11-1</f>
        <v/>
      </c>
      <c r="S35" s="24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19">
        <f>'3 Statement Model'!J64</f>
        <v/>
      </c>
      <c r="N36" s="231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MODEL15: SBC add-back in FCFF; buybacks cut shares (no SBC dilution)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19">
        <f>$E$24</f>
        <v/>
      </c>
      <c r="N37" s="231">
        <f>'3 Statement Model'!J68</f>
        <v/>
      </c>
      <c r="O37" s="142" t="inlineStr">
        <is>
          <t>3S CF CapEx (also D15)</t>
        </is>
      </c>
      <c r="Q37" s="184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19">
        <f>$E$25</f>
        <v/>
      </c>
      <c r="N38" s="231">
        <f>'3 Statement Model'!J90-('3 Statement Model'!J88-'3 Statement Model'!I88)</f>
        <v/>
      </c>
      <c r="O38" s="142" t="inlineStr">
        <is>
          <t>ΔOpNWC − ΔDeferred (AR≠Deferred)</t>
        </is>
      </c>
      <c r="Q38" s="249" t="inlineStr">
        <is>
          <t>OpNWC = AR+Inv−AP; +ΔDeferred separate CFO source</t>
        </is>
      </c>
      <c r="U38" s="243" t="inlineStr">
        <is>
          <t>SEC 10-K — AR / AP / deferred revenue</t>
        </is>
      </c>
      <c r="V38" s="24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19">
        <f>$I$21+$I$23</f>
        <v/>
      </c>
      <c r="N39" s="231">
        <f>'3 Statement Model'!N33+'3 Statement Model'!N31+'3 Statement Model'!N30</f>
        <v/>
      </c>
      <c r="O39" s="142" t="inlineStr">
        <is>
          <t>EBIT+D&amp;A; Exit TV = this × D8</t>
        </is>
      </c>
      <c r="Q39" s="249" t="inlineStr">
        <is>
          <t>Net WC use = ΔOpNWC − ΔDeferred</t>
        </is>
      </c>
      <c r="S39" s="242" t="inlineStr">
        <is>
          <t>3S row 90 − row 81 (Deferred growth = cash source)</t>
        </is>
      </c>
      <c r="T39" s="231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19">
        <f>'3 Statement Model'!I41</f>
        <v/>
      </c>
      <c r="N40" s="231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231">
        <f>'3 Statement Model'!I49</f>
        <v/>
      </c>
      <c r="N41" s="231">
        <f>'3 Statement Model'!I49</f>
        <v/>
      </c>
      <c r="O41" s="142" t="inlineStr">
        <is>
          <t>FYE reference only — bridge uses 10-Q D13</t>
        </is>
      </c>
      <c r="Q41" s="184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  <c r="Q42" s="243" t="inlineStr">
        <is>
          <t>SEC 10-K FY2025</t>
        </is>
      </c>
      <c r="R42" s="186" t="n"/>
      <c r="S42" s="187" t="n"/>
      <c r="T42" s="24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ΔOpNWC + ΔDeferred. D6 = Yacktman WACC 6.65%; g=3.8%. $/share uses I16 (Y5 buyback-adjusted shares). SBC add-back does NOT dilute shares.</t>
        </is>
      </c>
      <c r="Q43" s="243" t="inlineStr">
        <is>
          <t>SEC 10-Q Q3 FY2026</t>
        </is>
      </c>
      <c r="R43" s="186" t="n"/>
      <c r="S43" s="187" t="n"/>
      <c r="T43" s="242" t="inlineStr">
        <is>
          <t>Debt $5,582M, cash+mkt secs net-debt bridge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3" t="inlineStr">
        <is>
          <t>SEC 8-K 6.250% notes</t>
        </is>
      </c>
      <c r="R44" s="186" t="n"/>
      <c r="S44" s="187" t="n"/>
      <c r="T44" s="242" t="inlineStr">
        <is>
          <t>Pre-tax Rd coupon 6.250% due 2034</t>
        </is>
      </c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3" t="inlineStr">
        <is>
          <t>SEC EX-99.1 pricing</t>
        </is>
      </c>
      <c r="R45" s="186" t="n"/>
      <c r="S45" s="187" t="n"/>
      <c r="T45" s="242" t="inlineStr">
        <is>
          <t>Notes priced at par / offering terms</t>
        </is>
      </c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3" t="inlineStr">
        <is>
          <t>SEC companyfacts XBRL</t>
        </is>
      </c>
      <c r="R46" s="186" t="n"/>
      <c r="S46" s="187" t="n"/>
      <c r="T46" s="24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3" t="inlineStr">
        <is>
          <t>FRED DGS10</t>
        </is>
      </c>
      <c r="R47" s="186" t="n"/>
      <c r="S47" s="187" t="n"/>
      <c r="T47" s="24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  <c r="Q48" s="243" t="inlineStr">
        <is>
          <t>US Treasury yield curve</t>
        </is>
      </c>
      <c r="R48" s="186" t="n"/>
      <c r="S48" s="187" t="n"/>
      <c r="T48" s="24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  <c r="Q49" s="243" t="inlineStr">
        <is>
          <t>Damodaran Implied ERP</t>
        </is>
      </c>
      <c r="R49" s="186" t="n"/>
      <c r="S49" s="187" t="n"/>
      <c r="T49" s="24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3" t="inlineStr">
        <is>
          <t>Damodaran histimpl</t>
        </is>
      </c>
      <c r="R50" s="186" t="n"/>
      <c r="S50" s="187" t="n"/>
      <c r="T50" s="24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3" t="inlineStr">
        <is>
          <t>Yahoo FICO stats</t>
        </is>
      </c>
      <c r="R51" s="186" t="n"/>
      <c r="S51" s="187" t="n"/>
      <c r="T51" s="24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3" t="inlineStr">
        <is>
          <t>WACC \ Exit EV/EBITDA</t>
        </is>
      </c>
      <c r="M56" s="266" t="n">
        <v>17</v>
      </c>
      <c r="N56" s="266" t="n">
        <v>20</v>
      </c>
      <c r="O56" s="266" t="n">
        <v>23.5</v>
      </c>
      <c r="P56" s="266" t="n">
        <v>26</v>
      </c>
      <c r="Q56" s="266" t="n">
        <v>28</v>
      </c>
      <c r="R56" s="266" t="n">
        <v>30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0.055</v>
      </c>
      <c r="M57" s="231">
        <f>XNPV($L57,$D$28:$I$28,$D$18:$I$18)+($I$26+($I$21+$I$23)*M$56)/((1+$L57)^(($J$18-$D$18)/365))</f>
        <v/>
      </c>
      <c r="N57" s="231">
        <f>XNPV($L57,$D$28:$I$28,$D$18:$I$18)+($I$26+($I$21+$I$23)*N$56)/((1+$L57)^(($J$18-$D$18)/365))</f>
        <v/>
      </c>
      <c r="O57" s="231">
        <f>XNPV($L57,$D$28:$I$28,$D$18:$I$18)+($I$26+($I$21+$I$23)*O$56)/((1+$L57)^(($J$18-$D$18)/365))</f>
        <v/>
      </c>
      <c r="P57" s="231">
        <f>XNPV($L57,$D$28:$I$28,$D$18:$I$18)+($I$26+($I$21+$I$23)*P$56)/((1+$L57)^(($J$18-$D$18)/365))</f>
        <v/>
      </c>
      <c r="Q57" s="231">
        <f>XNPV($L57,$D$28:$I$28,$D$18:$I$18)+($I$26+($I$21+$I$23)*Q$56)/((1+$L57)^(($J$18-$D$18)/365))</f>
        <v/>
      </c>
      <c r="R57" s="231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0.06</v>
      </c>
      <c r="M58" s="231">
        <f>XNPV($L58,$D$28:$I$28,$D$18:$I$18)+($I$26+($I$21+$I$23)*M$56)/((1+$L58)^(($J$18-$D$18)/365))</f>
        <v/>
      </c>
      <c r="N58" s="231">
        <f>XNPV($L58,$D$28:$I$28,$D$18:$I$18)+($I$26+($I$21+$I$23)*N$56)/((1+$L58)^(($J$18-$D$18)/365))</f>
        <v/>
      </c>
      <c r="O58" s="231">
        <f>XNPV($L58,$D$28:$I$28,$D$18:$I$18)+($I$26+($I$21+$I$23)*O$56)/((1+$L58)^(($J$18-$D$18)/365))</f>
        <v/>
      </c>
      <c r="P58" s="231">
        <f>XNPV($L58,$D$28:$I$28,$D$18:$I$18)+($I$26+($I$21+$I$23)*P$56)/((1+$L58)^(($J$18-$D$18)/365))</f>
        <v/>
      </c>
      <c r="Q58" s="231">
        <f>XNPV($L58,$D$28:$I$28,$D$18:$I$18)+($I$26+($I$21+$I$23)*Q$56)/((1+$L58)^(($J$18-$D$18)/365))</f>
        <v/>
      </c>
      <c r="R58" s="231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0.065</v>
      </c>
      <c r="M59" s="231">
        <f>XNPV($L59,$D$28:$I$28,$D$18:$I$18)+($I$26+($I$21+$I$23)*M$56)/((1+$L59)^(($J$18-$D$18)/365))</f>
        <v/>
      </c>
      <c r="N59" s="231">
        <f>XNPV($L59,$D$28:$I$28,$D$18:$I$18)+($I$26+($I$21+$I$23)*N$56)/((1+$L59)^(($J$18-$D$18)/365))</f>
        <v/>
      </c>
      <c r="O59" s="231">
        <f>XNPV($L59,$D$28:$I$28,$D$18:$I$18)+($I$26+($I$21+$I$23)*O$56)/((1+$L59)^(($J$18-$D$18)/365))</f>
        <v/>
      </c>
      <c r="P59" s="231">
        <f>XNPV($L59,$D$28:$I$28,$D$18:$I$18)+($I$26+($I$21+$I$23)*P$56)/((1+$L59)^(($J$18-$D$18)/365))</f>
        <v/>
      </c>
      <c r="Q59" s="231">
        <f>XNPV($L59,$D$28:$I$28,$D$18:$I$18)+($I$26+($I$21+$I$23)*Q$56)/((1+$L59)^(($J$18-$D$18)/365))</f>
        <v/>
      </c>
      <c r="R59" s="231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0.0665</v>
      </c>
      <c r="M60" s="231">
        <f>XNPV($L60,$D$28:$I$28,$D$18:$I$18)+($I$26+($I$21+$I$23)*M$56)/((1+$L60)^(($J$18-$D$18)/365))</f>
        <v/>
      </c>
      <c r="N60" s="231">
        <f>XNPV($L60,$D$28:$I$28,$D$18:$I$18)+($I$26+($I$21+$I$23)*N$56)/((1+$L60)^(($J$18-$D$18)/365))</f>
        <v/>
      </c>
      <c r="O60" s="267">
        <f>XNPV($L60,$D$28:$I$28,$D$18:$I$18)+($I$26+($I$21+$I$23)*O$56)/((1+$L60)^(($J$18-$D$18)/365))</f>
        <v/>
      </c>
      <c r="P60" s="231">
        <f>XNPV($L60,$D$28:$I$28,$D$18:$I$18)+($I$26+($I$21+$I$23)*P$56)/((1+$L60)^(($J$18-$D$18)/365))</f>
        <v/>
      </c>
      <c r="Q60" s="231">
        <f>XNPV($L60,$D$28:$I$28,$D$18:$I$18)+($I$26+($I$21+$I$23)*Q$56)/((1+$L60)^(($J$18-$D$18)/365))</f>
        <v/>
      </c>
      <c r="R60" s="231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0.07000000000000001</v>
      </c>
      <c r="M61" s="231">
        <f>XNPV($L61,$D$28:$I$28,$D$18:$I$18)+($I$26+($I$21+$I$23)*M$56)/((1+$L61)^(($J$18-$D$18)/365))</f>
        <v/>
      </c>
      <c r="N61" s="231">
        <f>XNPV($L61,$D$28:$I$28,$D$18:$I$18)+($I$26+($I$21+$I$23)*N$56)/((1+$L61)^(($J$18-$D$18)/365))</f>
        <v/>
      </c>
      <c r="O61" s="231">
        <f>XNPV($L61,$D$28:$I$28,$D$18:$I$18)+($I$26+($I$21+$I$23)*O$56)/((1+$L61)^(($J$18-$D$18)/365))</f>
        <v/>
      </c>
      <c r="P61" s="231">
        <f>XNPV($L61,$D$28:$I$28,$D$18:$I$18)+($I$26+($I$21+$I$23)*P$56)/((1+$L61)^(($J$18-$D$18)/365))</f>
        <v/>
      </c>
      <c r="Q61" s="231">
        <f>XNPV($L61,$D$28:$I$28,$D$18:$I$18)+($I$26+($I$21+$I$23)*Q$56)/((1+$L61)^(($J$18-$D$18)/365))</f>
        <v/>
      </c>
      <c r="R61" s="231">
        <f>XNPV($L61,$D$28:$I$28,$D$18:$I$18)+($I$26+($I$21+$I$23)*R$56)/((1+$L61)^(($J$18-$D$18)/365))</f>
        <v/>
      </c>
    </row>
    <row r="62">
      <c r="L62" s="158" t="n">
        <v>0.075</v>
      </c>
      <c r="M62" s="231">
        <f>XNPV($L62,$D$28:$I$28,$D$18:$I$18)+($I$26+($I$21+$I$23)*M$56)/((1+$L62)^(($J$18-$D$18)/365))</f>
        <v/>
      </c>
      <c r="N62" s="231">
        <f>XNPV($L62,$D$28:$I$28,$D$18:$I$18)+($I$26+($I$21+$I$23)*N$56)/((1+$L62)^(($J$18-$D$18)/365))</f>
        <v/>
      </c>
      <c r="O62" s="231">
        <f>XNPV($L62,$D$28:$I$28,$D$18:$I$18)+($I$26+($I$21+$I$23)*O$56)/((1+$L62)^(($J$18-$D$18)/365))</f>
        <v/>
      </c>
      <c r="P62" s="231">
        <f>XNPV($L62,$D$28:$I$28,$D$18:$I$18)+($I$26+($I$21+$I$23)*P$56)/((1+$L62)^(($J$18-$D$18)/365))</f>
        <v/>
      </c>
      <c r="Q62" s="231">
        <f>XNPV($L62,$D$28:$I$28,$D$18:$I$18)+($I$26+($I$21+$I$23)*Q$56)/((1+$L62)^(($J$18-$D$18)/365))</f>
        <v/>
      </c>
      <c r="R62" s="231">
        <f>XNPV($L62,$D$28:$I$28,$D$18:$I$18)+($I$26+($I$21+$I$23)*R$56)/((1+$L62)^(($J$18-$D$18)/365))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268" t="n">
        <v>17</v>
      </c>
      <c r="N65" s="268" t="n">
        <v>20</v>
      </c>
      <c r="O65" s="268" t="n">
        <v>23.5</v>
      </c>
      <c r="P65" s="268" t="n">
        <v>26</v>
      </c>
      <c r="Q65" s="268" t="n">
        <v>28</v>
      </c>
      <c r="R65" s="268" t="n">
        <v>30</v>
      </c>
    </row>
    <row r="66">
      <c r="L66" s="158" t="n">
        <v>0.055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8" t="n">
        <v>0.06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8" t="n">
        <v>0.065</v>
      </c>
      <c r="M68" s="264">
        <f>(M59+$D$33-$D$34)/$I$16</f>
        <v/>
      </c>
      <c r="N68" s="264">
        <f>(N59+$D$33-$D$34)/$I$16</f>
        <v/>
      </c>
      <c r="O68" s="264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8" t="n">
        <v>0.0665</v>
      </c>
      <c r="M69" s="264">
        <f>(M60+$D$33-$D$34)/$I$16</f>
        <v/>
      </c>
      <c r="N69" s="264">
        <f>(N60+$D$33-$D$34)/$I$16</f>
        <v/>
      </c>
      <c r="O69" s="269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8" t="n">
        <v>0.07000000000000001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1">
      <c r="L71" s="158" t="n">
        <v>0.075</v>
      </c>
      <c r="M71" s="264">
        <f>(M62+$D$33-$D$34)/$I$16</f>
        <v/>
      </c>
      <c r="N71" s="264">
        <f>(N62+$D$33-$D$34)/$I$16</f>
        <v/>
      </c>
      <c r="O71" s="264">
        <f>(O62+$D$33-$D$34)/$I$16</f>
        <v/>
      </c>
      <c r="P71" s="264">
        <f>(P62+$D$33-$D$34)/$I$16</f>
        <v/>
      </c>
      <c r="Q71" s="264">
        <f>(Q62+$D$33-$D$34)/$I$16</f>
        <v/>
      </c>
      <c r="R71" s="264">
        <f>(R62+$D$33-$D$34)/$I$16</f>
        <v/>
      </c>
    </row>
    <row r="72">
      <c r="L72" s="153" t="inlineStr">
        <is>
          <t>Yellow = base (Yacktman WACC=6.65%, Exit 23.5x; CAPM ref ≈9.24%). EV formula: XNPV(explicit FCFF) + (Y5 FCFF + Exit×EBITDA) / (1+WACC)^daycount. Peer median ~18.1x → base 23.5x; bull 28x; bear 17.0x.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2026-08-06T17:13:18Z</dcterms:modified>
  <cp:lastModifiedBy>Katie Au Yeung</cp:lastModifiedBy>
  <cp:lastPrinted>2014-12-13T23:43:21Z</cp:lastPrinted>
</cp:coreProperties>
</file>