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Model'!$E$65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8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0&quot;x&quot;"/>
    <numFmt numFmtId="172" formatCode="0.0"/>
    <numFmt numFmtId="173" formatCode="0.0&quot;x&quot;"/>
    <numFmt numFmtId="174" formatCode="_-* #,##0.00_-;\-* #,##0.00_-;_-* &quot;-&quot;??_-;_-@_-"/>
    <numFmt numFmtId="175" formatCode="#,##0.000"/>
    <numFmt numFmtId="176" formatCode="#,##0.0"/>
    <numFmt numFmtId="177" formatCode="_-* #,##0.00_-;\(#,##0.00\)_-;_-* &quot;-&quot;_-;_-@_-"/>
    <numFmt numFmtId="178" formatCode="$#,##0.00"/>
    <numFmt numFmtId="179" formatCode="0.00x"/>
    <numFmt numFmtId="180" formatCode="#,##0.0;(#,##0.0);-"/>
    <numFmt numFmtId="181" formatCode="yyyy-mm-dd"/>
  </numFmts>
  <fonts count="7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FF"/>
    </font>
    <font>
      <name val="Calibri"/>
      <i val="1"/>
      <color rgb="00595959"/>
      <sz val="8"/>
    </font>
    <font>
      <name val="Calibri"/>
      <color rgb="00000000"/>
    </font>
    <font>
      <name val="Calibri"/>
      <color rgb="000563C1"/>
      <sz val="8"/>
      <u val="single"/>
    </font>
    <font>
      <name val="Calibri"/>
      <b val="1"/>
      <color rgb="00FFFFFF"/>
    </font>
    <font>
      <name val="Calibri"/>
      <b val="1"/>
      <color rgb="00FFFFFF"/>
      <sz val="9"/>
    </font>
    <font>
      <name val="Calibri"/>
      <sz val="9"/>
    </font>
    <font>
      <name val="Calibri"/>
      <b val="1"/>
      <sz val="9"/>
    </font>
    <font>
      <name val="Calibri"/>
      <b val="1"/>
      <color rgb="001F4E79"/>
    </font>
    <font>
      <name val="Calibri"/>
      <color rgb="00595959"/>
      <sz val="8"/>
    </font>
    <font>
      <name val="Consolas"/>
      <color rgb="00000000"/>
      <sz val="9"/>
    </font>
    <font>
      <name val="Calibri"/>
      <b val="1"/>
      <color rgb="00833C0C"/>
    </font>
    <font>
      <name val="Calibri"/>
      <color rgb="000563C1"/>
      <sz val="9"/>
      <u val="single"/>
    </font>
    <font>
      <name val="Calibri"/>
      <b val="1"/>
      <color rgb="000563C1"/>
      <sz val="10"/>
      <u val="single"/>
    </font>
    <font>
      <name val="Calibri"/>
      <b val="1"/>
      <color rgb="00FFFFFF"/>
      <sz val="20"/>
      <u val="single"/>
    </font>
    <font>
      <name val="Calibri"/>
      <i val="1"/>
      <color rgb="00595959"/>
      <sz val="9"/>
    </font>
    <font>
      <name val="Calibri"/>
      <b val="1"/>
      <color rgb="00FFFFFF"/>
      <sz val="11"/>
    </font>
    <font>
      <name val="Calibri"/>
      <b val="1"/>
      <color rgb="00833C0C"/>
      <sz val="9"/>
    </font>
    <font>
      <name val="Calibri"/>
      <b val="1"/>
      <color rgb="00FFFFFF"/>
      <sz val="12"/>
    </font>
    <font>
      <name val="Calibri"/>
      <i val="1"/>
      <color rgb="00666666"/>
    </font>
    <font>
      <name val="Calibri"/>
      <color rgb="000563C1"/>
      <u val="single"/>
    </font>
    <font>
      <name val="Consolas"/>
      <color rgb="00000000"/>
      <sz val="10"/>
    </font>
    <font>
      <name val="Calibri"/>
      <i val="1"/>
      <color rgb="00666666"/>
      <sz val="9"/>
    </font>
    <font>
      <name val="Calibri"/>
      <i val="1"/>
      <color rgb="000563C1"/>
      <sz val="9"/>
    </font>
    <font>
      <name val="Consolas"/>
      <color rgb="00666666"/>
      <sz val="8"/>
    </font>
    <font>
      <name val="Calibri"/>
      <b val="1"/>
      <color rgb="00FFFFFF"/>
      <sz val="14"/>
      <u val="single"/>
    </font>
    <font>
      <name val="Calibri"/>
      <b val="1"/>
      <color rgb="00FFFFFF"/>
      <sz val="16"/>
      <u val="single"/>
    </font>
    <font>
      <name val="Calibri"/>
      <b val="1"/>
      <color rgb="00FF6B00"/>
      <sz val="10"/>
      <u val="single"/>
    </font>
    <font>
      <name val="Calibri"/>
      <i val="1"/>
      <sz val="9"/>
    </font>
    <font>
      <name val="Calibri"/>
      <b val="1"/>
      <color rgb="00FFFFFF"/>
      <sz val="10"/>
    </font>
    <font>
      <name val="Calibri"/>
      <b val="1"/>
      <sz val="10"/>
    </font>
    <font>
      <name val="Calibri"/>
      <color rgb="000563C1"/>
      <sz val="10"/>
      <u val="single"/>
    </font>
  </fonts>
  <fills count="15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1F4E79"/>
      </patternFill>
    </fill>
    <fill>
      <patternFill patternType="solid">
        <fgColor rgb="00833C0C"/>
      </patternFill>
    </fill>
    <fill>
      <patternFill patternType="solid">
        <fgColor rgb="00D6EAF8"/>
      </patternFill>
    </fill>
    <fill>
      <patternFill patternType="solid">
        <fgColor rgb="00FF6B00"/>
      </patternFill>
    </fill>
    <fill>
      <patternFill patternType="solid">
        <fgColor rgb="00C65911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270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164" fontId="42" fillId="9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0" fontId="43" fillId="10" borderId="5" pivotButton="0" quotePrefix="0" xfId="0"/>
    <xf numFmtId="164" fontId="43" fillId="10" borderId="5" applyAlignment="1" pivotButton="0" quotePrefix="0" xfId="0">
      <alignment horizontal="center"/>
    </xf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44" fillId="0" borderId="5" pivotButton="0" quotePrefix="0" xfId="0"/>
    <xf numFmtId="171" fontId="44" fillId="0" borderId="5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164" fontId="39" fillId="0" borderId="0" pivotButton="0" quotePrefix="0" xfId="0"/>
    <xf numFmtId="10" fontId="38" fillId="7" borderId="0" applyAlignment="1" pivotButton="0" quotePrefix="0" xfId="0">
      <alignment horizontal="right"/>
    </xf>
    <xf numFmtId="10" fontId="40" fillId="8" borderId="0" applyAlignment="1" pivotButton="0" quotePrefix="0" xfId="0">
      <alignment horizontal="right"/>
    </xf>
    <xf numFmtId="9" fontId="32" fillId="0" borderId="0" applyAlignment="1" pivotButton="0" quotePrefix="0" xfId="0">
      <alignment horizontal="right"/>
    </xf>
    <xf numFmtId="172" fontId="38" fillId="7" borderId="0" applyAlignment="1" pivotButton="0" quotePrefix="0" xfId="0">
      <alignment horizontal="right"/>
    </xf>
    <xf numFmtId="164" fontId="41" fillId="0" borderId="0" pivotButton="0" quotePrefix="0" xfId="0"/>
    <xf numFmtId="164" fontId="45" fillId="11" borderId="5" pivotButton="0" quotePrefix="0" xfId="0"/>
    <xf numFmtId="171" fontId="45" fillId="11" borderId="5" pivotButton="0" quotePrefix="0" xfId="0"/>
    <xf numFmtId="14" fontId="32" fillId="0" borderId="0" pivotButton="0" quotePrefix="0" xfId="0"/>
    <xf numFmtId="164" fontId="30" fillId="7" borderId="5" pivotButton="0" quotePrefix="0" xfId="0"/>
    <xf numFmtId="173" fontId="30" fillId="7" borderId="5" pivotButton="0" quotePrefix="0" xfId="0"/>
    <xf numFmtId="174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40" fillId="8" borderId="0" pivotButton="0" quotePrefix="0" xfId="0"/>
    <xf numFmtId="175" fontId="40" fillId="8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46" fillId="6" borderId="0" pivotButton="0" quotePrefix="0" xfId="0"/>
    <xf numFmtId="14" fontId="40" fillId="8" borderId="0" pivotButton="0" quotePrefix="0" xfId="0"/>
    <xf numFmtId="164" fontId="35" fillId="0" borderId="0" pivotButton="0" quotePrefix="0" xfId="0"/>
    <xf numFmtId="1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4" fontId="35" fillId="0" borderId="0" pivotButton="0" quotePrefix="0" xfId="0"/>
    <xf numFmtId="164" fontId="30" fillId="0" borderId="2" pivotButton="0" quotePrefix="0" xfId="0"/>
    <xf numFmtId="168" fontId="40" fillId="8" borderId="0" pivotButton="0" quotePrefix="0" xfId="0"/>
    <xf numFmtId="164" fontId="40" fillId="8" borderId="2" pivotButton="0" quotePrefix="0" xfId="0"/>
    <xf numFmtId="164" fontId="42" fillId="9" borderId="0" pivotButton="0" quotePrefix="0" xfId="0"/>
    <xf numFmtId="164" fontId="43" fillId="10" borderId="5" pivotButton="0" quotePrefix="0" xfId="0"/>
    <xf numFmtId="10" fontId="40" fillId="8" borderId="5" pivotButton="0" quotePrefix="0" xfId="0"/>
    <xf numFmtId="164" fontId="47" fillId="0" borderId="5" pivotButton="0" quotePrefix="0" xfId="0"/>
    <xf numFmtId="164" fontId="39" fillId="0" borderId="5" pivotButton="0" quotePrefix="0" xfId="0"/>
    <xf numFmtId="164" fontId="40" fillId="8" borderId="5" pivotButton="0" quotePrefix="0" xfId="0"/>
    <xf numFmtId="164" fontId="44" fillId="6" borderId="5" pivotButton="0" quotePrefix="0" xfId="0"/>
    <xf numFmtId="9" fontId="40" fillId="8" borderId="5" pivotButton="0" quotePrefix="0" xfId="0"/>
    <xf numFmtId="176" fontId="40" fillId="8" borderId="5" pivotButton="0" quotePrefix="0" xfId="0"/>
    <xf numFmtId="177" fontId="30" fillId="0" borderId="0" pivotButton="0" quotePrefix="0" xfId="0"/>
    <xf numFmtId="178" fontId="40" fillId="8" borderId="0" pivotButton="0" quotePrefix="0" xfId="0"/>
    <xf numFmtId="164" fontId="30" fillId="6" borderId="0" applyAlignment="1" pivotButton="0" quotePrefix="0" xfId="0">
      <alignment horizontal="center"/>
    </xf>
    <xf numFmtId="0" fontId="44" fillId="0" borderId="5" pivotButton="0" quotePrefix="0" xfId="0"/>
    <xf numFmtId="0" fontId="40" fillId="8" borderId="5" pivotButton="0" quotePrefix="0" xfId="0"/>
    <xf numFmtId="0" fontId="47" fillId="0" borderId="5" applyAlignment="1" pivotButton="0" quotePrefix="0" xfId="0">
      <alignment horizontal="right"/>
    </xf>
    <xf numFmtId="0" fontId="39" fillId="0" borderId="0" pivotButton="0" quotePrefix="0" xfId="0"/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  <xf numFmtId="173" fontId="43" fillId="10" borderId="5" applyAlignment="1" pivotButton="0" quotePrefix="0" xfId="0">
      <alignment horizontal="center"/>
    </xf>
    <xf numFmtId="10" fontId="45" fillId="11" borderId="5" pivotButton="0" quotePrefix="0" xfId="0"/>
    <xf numFmtId="176" fontId="40" fillId="7" borderId="5" pivotButton="0" quotePrefix="0" xfId="0"/>
    <xf numFmtId="0" fontId="42" fillId="9" borderId="0" pivotButton="0" quotePrefix="0" xfId="0"/>
    <xf numFmtId="0" fontId="45" fillId="11" borderId="5" pivotButton="0" quotePrefix="0" xfId="0"/>
    <xf numFmtId="173" fontId="43" fillId="10" borderId="5" pivotButton="0" quotePrefix="0" xfId="0"/>
    <xf numFmtId="178" fontId="40" fillId="8" borderId="5" pivotButton="0" quotePrefix="0" xfId="0"/>
    <xf numFmtId="178" fontId="40" fillId="7" borderId="5" pivotButton="0" quotePrefix="0" xfId="0"/>
    <xf numFmtId="0" fontId="63" fillId="12" borderId="0" pivotButton="0" quotePrefix="0" xfId="5"/>
    <xf numFmtId="0" fontId="52" fillId="12" borderId="0" applyAlignment="1" applyProtection="1" pivotButton="0" quotePrefix="0" xfId="5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64" fillId="12" borderId="0" applyAlignment="1" pivotButton="0" quotePrefix="0" xfId="8">
      <alignment horizontal="left" vertical="center" wrapText="1"/>
    </xf>
    <xf numFmtId="0" fontId="65" fillId="0" borderId="0" pivotButton="0" quotePrefix="0" xfId="8"/>
    <xf numFmtId="0" fontId="56" fillId="13" borderId="0" pivotButton="0" quotePrefix="0" xfId="7"/>
    <xf numFmtId="0" fontId="66" fillId="14" borderId="0" pivotButton="0" quotePrefix="0" xfId="7"/>
    <xf numFmtId="0" fontId="67" fillId="10" borderId="5" pivotButton="0" quotePrefix="0" xfId="7"/>
    <xf numFmtId="0" fontId="68" fillId="2" borderId="5" applyAlignment="1" pivotButton="0" quotePrefix="0" xfId="7">
      <alignment vertical="center" wrapText="1"/>
    </xf>
    <xf numFmtId="0" fontId="69" fillId="2" borderId="5" applyAlignment="1" pivotButton="0" quotePrefix="0" xfId="7">
      <alignment vertical="center" wrapText="1"/>
    </xf>
    <xf numFmtId="0" fontId="68" fillId="5" borderId="5" applyAlignment="1" pivotButton="0" quotePrefix="0" xfId="7">
      <alignment vertical="center" wrapText="1"/>
    </xf>
    <xf numFmtId="0" fontId="69" fillId="5" borderId="5" applyAlignment="1" pivotButton="0" quotePrefix="0" xfId="7">
      <alignment vertical="center" wrapText="1"/>
    </xf>
    <xf numFmtId="0" fontId="68" fillId="0" borderId="5" applyAlignment="1" pivotButton="0" quotePrefix="0" xfId="0">
      <alignment vertical="center" wrapText="1"/>
    </xf>
    <xf numFmtId="0" fontId="69" fillId="0" borderId="5" applyAlignment="1" pivotButton="0" quotePrefix="0" xfId="0">
      <alignment vertical="center" wrapText="1"/>
    </xf>
    <xf numFmtId="1" fontId="38" fillId="7" borderId="0" pivotButton="0" quotePrefix="0" xfId="1"/>
    <xf numFmtId="1" fontId="3" fillId="4" borderId="0" pivotButton="0" quotePrefix="0" xfId="1"/>
    <xf numFmtId="1" fontId="13" fillId="2" borderId="0" pivotButton="0" quotePrefix="0" xfId="0"/>
    <xf numFmtId="180" fontId="40" fillId="8" borderId="5" applyAlignment="1" pivotButton="0" quotePrefix="0" xfId="1">
      <alignment horizontal="right"/>
    </xf>
    <xf numFmtId="0" fontId="51" fillId="0" borderId="5" applyAlignment="1" pivotButton="0" quotePrefix="0" xfId="0">
      <alignment vertical="top" wrapText="1"/>
    </xf>
    <xf numFmtId="0" fontId="46" fillId="11" borderId="0" pivotButton="0" quotePrefix="0" xfId="0"/>
    <xf numFmtId="0" fontId="52" fillId="12" borderId="5" applyAlignment="1" pivotButton="0" quotePrefix="0" xfId="0">
      <alignment horizontal="left" vertical="center" wrapText="1"/>
    </xf>
    <xf numFmtId="0" fontId="0" fillId="0" borderId="8" pivotButton="0" quotePrefix="0" xfId="0"/>
    <xf numFmtId="0" fontId="0" fillId="0" borderId="9" pivotButton="0" quotePrefix="0" xfId="0"/>
    <xf numFmtId="0" fontId="53" fillId="0" borderId="0" pivotButton="0" quotePrefix="0" xfId="0"/>
    <xf numFmtId="0" fontId="54" fillId="13" borderId="5" applyAlignment="1" pivotButton="0" quotePrefix="0" xfId="0">
      <alignment vertical="center"/>
    </xf>
    <xf numFmtId="164" fontId="39" fillId="0" borderId="0" applyAlignment="1" pivotButton="0" quotePrefix="0" xfId="1">
      <alignment vertical="top" wrapText="1"/>
    </xf>
    <xf numFmtId="166" fontId="38" fillId="7" borderId="5" pivotButton="0" quotePrefix="0" xfId="2"/>
    <xf numFmtId="0" fontId="55" fillId="14" borderId="5" applyAlignment="1" pivotButton="0" quotePrefix="0" xfId="0">
      <alignment vertical="top" wrapText="1"/>
    </xf>
    <xf numFmtId="0" fontId="44" fillId="0" borderId="5" applyAlignment="1" pivotButton="0" quotePrefix="0" xfId="0">
      <alignment vertical="top" wrapText="1"/>
    </xf>
    <xf numFmtId="0" fontId="50" fillId="0" borderId="5" applyAlignment="1" pivotButton="0" quotePrefix="0" xfId="0">
      <alignment vertical="top" wrapText="1"/>
    </xf>
    <xf numFmtId="166" fontId="40" fillId="8" borderId="5" pivotButton="0" quotePrefix="0" xfId="2"/>
    <xf numFmtId="180" fontId="9" fillId="0" borderId="0" pivotButton="0" quotePrefix="0" xfId="1"/>
    <xf numFmtId="166" fontId="40" fillId="8" borderId="5" pivotButton="0" quotePrefix="0" xfId="1"/>
    <xf numFmtId="0" fontId="39" fillId="0" borderId="0" applyAlignment="1" pivotButton="0" quotePrefix="0" xfId="0">
      <alignment vertical="top" wrapText="1"/>
    </xf>
    <xf numFmtId="180" fontId="38" fillId="7" borderId="5" pivotButton="0" quotePrefix="0" xfId="1"/>
    <xf numFmtId="180" fontId="40" fillId="8" borderId="5" pivotButton="0" quotePrefix="0" xfId="1"/>
    <xf numFmtId="166" fontId="38" fillId="7" borderId="5" pivotButton="0" quotePrefix="0" xfId="1"/>
    <xf numFmtId="164" fontId="48" fillId="0" borderId="0" pivotButton="0" quotePrefix="0" xfId="1"/>
    <xf numFmtId="180" fontId="38" fillId="7" borderId="0" pivotButton="0" quotePrefix="0" xfId="1"/>
    <xf numFmtId="164" fontId="48" fillId="0" borderId="2" pivotButton="0" quotePrefix="0" xfId="1"/>
    <xf numFmtId="180" fontId="6" fillId="0" borderId="2" pivotButton="0" quotePrefix="0" xfId="1"/>
    <xf numFmtId="0" fontId="48" fillId="0" borderId="0" pivotButton="0" quotePrefix="0" xfId="0"/>
    <xf numFmtId="164" fontId="48" fillId="0" borderId="1" pivotButton="0" quotePrefix="0" xfId="1"/>
    <xf numFmtId="180" fontId="38" fillId="7" borderId="1" pivotButton="0" quotePrefix="0" xfId="1"/>
    <xf numFmtId="180" fontId="6" fillId="0" borderId="0" pivotButton="0" quotePrefix="0" xfId="1"/>
    <xf numFmtId="164" fontId="48" fillId="0" borderId="4" pivotButton="0" quotePrefix="0" xfId="1"/>
    <xf numFmtId="180" fontId="6" fillId="0" borderId="4" pivotButton="0" quotePrefix="0" xfId="1"/>
    <xf numFmtId="180" fontId="40" fillId="8" borderId="2" pivotButton="0" quotePrefix="0" xfId="1"/>
    <xf numFmtId="165" fontId="48" fillId="0" borderId="0" pivotButton="0" quotePrefix="0" xfId="1"/>
    <xf numFmtId="180" fontId="2" fillId="0" borderId="0" pivotButton="0" quotePrefix="0" xfId="1"/>
    <xf numFmtId="180" fontId="40" fillId="8" borderId="0" pivotButton="0" quotePrefix="0" xfId="1"/>
    <xf numFmtId="180" fontId="38" fillId="7" borderId="2" applyAlignment="1" pivotButton="0" quotePrefix="0" xfId="1">
      <alignment horizontal="center"/>
    </xf>
    <xf numFmtId="180" fontId="5" fillId="0" borderId="0" pivotButton="0" quotePrefix="0" xfId="1"/>
    <xf numFmtId="176" fontId="40" fillId="8" borderId="5" pivotButton="0" quotePrefix="0" xfId="1"/>
    <xf numFmtId="180" fontId="40" fillId="8" borderId="5" pivotButton="0" quotePrefix="0" xfId="0"/>
    <xf numFmtId="180" fontId="38" fillId="7" borderId="2" pivotButton="0" quotePrefix="0" xfId="1"/>
    <xf numFmtId="180" fontId="38" fillId="7" borderId="0" pivotButton="0" quotePrefix="0" xfId="0"/>
    <xf numFmtId="0" fontId="49" fillId="0" borderId="0" pivotButton="0" quotePrefix="0" xfId="0"/>
    <xf numFmtId="180" fontId="38" fillId="7" borderId="5" pivotButton="0" quotePrefix="0" xfId="0"/>
    <xf numFmtId="37" fontId="39" fillId="3" borderId="0" applyAlignment="1" pivotButton="0" quotePrefix="0" xfId="0">
      <alignment vertical="top" wrapText="1"/>
    </xf>
    <xf numFmtId="180" fontId="38" fillId="7" borderId="5" applyAlignment="1" pivotButton="0" quotePrefix="0" xfId="0">
      <alignment vertical="center"/>
    </xf>
    <xf numFmtId="166" fontId="40" fillId="8" borderId="5" pivotButton="0" quotePrefix="0" xfId="0"/>
    <xf numFmtId="172" fontId="38" fillId="7" borderId="5" pivotButton="0" quotePrefix="0" xfId="0"/>
    <xf numFmtId="172" fontId="40" fillId="8" borderId="5" pivotButton="0" quotePrefix="0" xfId="0"/>
    <xf numFmtId="2" fontId="40" fillId="8" borderId="5" pivotButton="0" quotePrefix="0" xfId="0"/>
    <xf numFmtId="10" fontId="38" fillId="7" borderId="5" pivotButton="0" quotePrefix="0" xfId="0"/>
    <xf numFmtId="176" fontId="40" fillId="8" borderId="5" pivotButton="0" quotePrefix="0" xfId="0"/>
    <xf numFmtId="0" fontId="56" fillId="9" borderId="0" pivotButton="0" quotePrefix="0" xfId="0"/>
    <xf numFmtId="171" fontId="44" fillId="0" borderId="5" pivotButton="0" quotePrefix="0" xfId="0"/>
    <xf numFmtId="0" fontId="57" fillId="0" borderId="0" pivotButton="0" quotePrefix="0" xfId="0"/>
    <xf numFmtId="164" fontId="51" fillId="0" borderId="5" applyAlignment="1" pivotButton="0" quotePrefix="0" xfId="0">
      <alignment vertical="top" wrapText="1"/>
    </xf>
    <xf numFmtId="164" fontId="50" fillId="6" borderId="0" pivotButton="0" quotePrefix="0" xfId="0"/>
    <xf numFmtId="0" fontId="46" fillId="11" borderId="5" pivotButton="0" quotePrefix="0" xfId="0"/>
    <xf numFmtId="166" fontId="38" fillId="7" borderId="0" applyAlignment="1" pivotButton="0" quotePrefix="0" xfId="0">
      <alignment horizontal="right"/>
    </xf>
    <xf numFmtId="164" fontId="58" fillId="0" borderId="5" applyAlignment="1" pivotButton="0" quotePrefix="0" xfId="0">
      <alignment vertical="center" wrapText="1"/>
    </xf>
    <xf numFmtId="164" fontId="61" fillId="0" borderId="0" pivotButton="0" quotePrefix="0" xfId="0"/>
    <xf numFmtId="166" fontId="40" fillId="8" borderId="5" applyAlignment="1" pivotButton="0" quotePrefix="0" xfId="0">
      <alignment horizontal="right"/>
    </xf>
    <xf numFmtId="0" fontId="40" fillId="0" borderId="0" applyAlignment="1" pivotButton="0" quotePrefix="0" xfId="0">
      <alignment vertical="center" wrapText="1"/>
    </xf>
    <xf numFmtId="0" fontId="58" fillId="0" borderId="5" applyAlignment="1" pivotButton="0" quotePrefix="0" xfId="0">
      <alignment vertical="center" wrapText="1"/>
    </xf>
    <xf numFmtId="172" fontId="38" fillId="7" borderId="0" applyAlignment="1" pivotButton="0" quotePrefix="0" xfId="0">
      <alignment horizontal="right"/>
    </xf>
    <xf numFmtId="171" fontId="45" fillId="11" borderId="5" pivotButton="0" quotePrefix="0" xfId="0"/>
    <xf numFmtId="2" fontId="38" fillId="7" borderId="5" pivotButton="0" quotePrefix="0" xfId="0"/>
    <xf numFmtId="181" fontId="32" fillId="0" borderId="0" pivotButton="0" quotePrefix="0" xfId="0"/>
    <xf numFmtId="173" fontId="30" fillId="7" borderId="5" pivotButton="0" quotePrefix="0" xfId="0"/>
    <xf numFmtId="0" fontId="59" fillId="0" borderId="0" applyAlignment="1" pivotButton="0" quotePrefix="0" xfId="0">
      <alignment vertical="center" wrapText="1"/>
    </xf>
    <xf numFmtId="178" fontId="38" fillId="7" borderId="0" applyAlignment="1" pivotButton="0" quotePrefix="0" xfId="0">
      <alignment horizontal="right"/>
    </xf>
    <xf numFmtId="167" fontId="38" fillId="7" borderId="0" applyAlignment="1" pivotButton="0" quotePrefix="0" xfId="0">
      <alignment horizontal="right"/>
    </xf>
    <xf numFmtId="9" fontId="38" fillId="7" borderId="5" pivotButton="0" quotePrefix="0" xfId="0"/>
    <xf numFmtId="180" fontId="40" fillId="8" borderId="0" pivotButton="0" quotePrefix="0" xfId="0"/>
    <xf numFmtId="1" fontId="31" fillId="6" borderId="0" pivotButton="0" quotePrefix="0" xfId="0"/>
    <xf numFmtId="181" fontId="40" fillId="8" borderId="0" pivotButton="0" quotePrefix="0" xfId="0"/>
    <xf numFmtId="180" fontId="37" fillId="0" borderId="0" pivotButton="0" quotePrefix="0" xfId="0"/>
    <xf numFmtId="180" fontId="35" fillId="0" borderId="0" pivotButton="0" quotePrefix="0" xfId="0"/>
    <xf numFmtId="164" fontId="62" fillId="0" borderId="0" pivotButton="0" quotePrefix="0" xfId="0"/>
    <xf numFmtId="180" fontId="40" fillId="8" borderId="2" pivotButton="0" quotePrefix="0" xfId="0"/>
    <xf numFmtId="180" fontId="30" fillId="0" borderId="0" pivotButton="0" quotePrefix="0" xfId="0"/>
    <xf numFmtId="180" fontId="30" fillId="0" borderId="2" pivotButton="0" quotePrefix="0" xfId="0"/>
    <xf numFmtId="179" fontId="40" fillId="8" borderId="5" pivotButton="0" quotePrefix="0" xfId="0"/>
    <xf numFmtId="178" fontId="40" fillId="8" borderId="5" pivotButton="0" quotePrefix="0" xfId="0"/>
    <xf numFmtId="177" fontId="30" fillId="0" borderId="0" pivotButton="0" quotePrefix="0" xfId="0"/>
    <xf numFmtId="173" fontId="43" fillId="10" borderId="5" applyAlignment="1" pivotButton="0" quotePrefix="0" xfId="0">
      <alignment horizontal="center"/>
    </xf>
    <xf numFmtId="176" fontId="40" fillId="7" borderId="5" pivotButton="0" quotePrefix="0" xfId="0"/>
    <xf numFmtId="173" fontId="43" fillId="10" borderId="5" pivotButton="0" quotePrefix="0" xfId="0"/>
    <xf numFmtId="178" fontId="40" fillId="7" borderId="5" pivotButton="0" quotePrefix="0" xfId="0"/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omments/comment1.xml><?xml version="1.0" encoding="utf-8"?>
<comments xmlns="http://schemas.openxmlformats.org/spreadsheetml/2006/main">
  <authors>
    <author>vengeanceaiUSCMODEL16.0</author>
  </authors>
  <commentList>
    <comment ref="B2" authorId="0" shapeId="0">
      <text>
        <t>Forecast year label
WHY: Adds one year to the prior column’s fiscal-year label so forecast headers stay sequential.
PATTERN: ={p}2+1
LINK: https://www.sec.gov/Archives/edgar/data/814547/000081454725000030/fico-20250930.htm</t>
      </text>
    </comment>
    <comment ref="J2" authorId="0" shapeId="0">
      <text>
        <t>Forecast year label
FORMULA: =I2+1
WHY: Adds one year to the prior column’s fiscal-year label so forecast headers stay sequential.
LINK: https://www.sec.gov/Archives/edgar/data/814547/000081454725000030/fico-20250930.htm</t>
      </text>
    </comment>
    <comment ref="K2" authorId="0" shapeId="0">
      <text>
        <t>Forecast year label
FORMULA: =J2+1
WHY: Adds one year to the prior column’s fiscal-year label so forecast headers stay sequential.
LINK: https://www.sec.gov/Archives/edgar/data/814547/000081454725000030/fico-20250930.htm</t>
      </text>
    </comment>
    <comment ref="L2" authorId="0" shapeId="0">
      <text>
        <t>Forecast year label
FORMULA: =K2+1
WHY: Adds one year to the prior column’s fiscal-year label so forecast headers stay sequential.
LINK: https://www.sec.gov/Archives/edgar/data/814547/000081454725000030/fico-20250930.htm</t>
      </text>
    </comment>
    <comment ref="M2" authorId="0" shapeId="0">
      <text>
        <t>Forecast year label
FORMULA: =L2+1
WHY: Adds one year to the prior column’s fiscal-year label so forecast headers stay sequential.
LINK: https://www.sec.gov/Archives/edgar/data/814547/000081454725000030/fico-20250930.htm</t>
      </text>
    </comment>
    <comment ref="N2" authorId="0" shapeId="0">
      <text>
        <t>Forecast year label
FORMULA: =M2+1
WHY: Adds one year to the prior column’s fiscal-year label so forecast headers stay sequential.
LINK: https://www.sec.gov/Archives/edgar/data/814547/000081454725000030/fico-20250930.htm</t>
      </text>
    </comment>
    <comment ref="B3" authorId="0" shapeId="0">
      <text>
        <t>Balance sheet check
WHY: Flags ERROR if Assets ≠ L+E by more than $1k; otherwise OK. Protects the plug.
PATTERN: =IFERROR(IF(ABS({c}57)&gt;1,"ERROR","OK"),"OK")
LINK: https://www.sec.gov/Archives/edgar/data/814547/000081454725000030/fico-20250930.htm</t>
      </text>
    </comment>
    <comment ref="J3" authorId="0" shapeId="0">
      <text>
        <t>Balance sheet check
FORMULA: =IFERROR(IF(ABS(J57)&gt;1,"ERROR","OK"),"OK")
WHY: Flags ERROR if Assets ≠ L+E by more than $1k; otherwise OK. Protects the plug.
LINK: https://www.sec.gov/Archives/edgar/data/814547/000081454725000030/fico-20250930.htm</t>
      </text>
    </comment>
    <comment ref="K3" authorId="0" shapeId="0">
      <text>
        <t>Balance sheet check
FORMULA: =IFERROR(IF(ABS(K57)&gt;1,"ERROR","OK"),"OK")
WHY: Flags ERROR if Assets ≠ L+E by more than $1k; otherwise OK. Protects the plug.
LINK: https://www.sec.gov/Archives/edgar/data/814547/000081454725000030/fico-20250930.htm</t>
      </text>
    </comment>
    <comment ref="L3" authorId="0" shapeId="0">
      <text>
        <t>Balance sheet check
FORMULA: =IFERROR(IF(ABS(L57)&gt;1,"ERROR","OK"),"OK")
WHY: Flags ERROR if Assets ≠ L+E by more than $1k; otherwise OK. Protects the plug.
LINK: https://www.sec.gov/Archives/edgar/data/814547/000081454725000030/fico-20250930.htm</t>
      </text>
    </comment>
    <comment ref="M3" authorId="0" shapeId="0">
      <text>
        <t>Balance sheet check
FORMULA: =IFERROR(IF(ABS(M57)&gt;1,"ERROR","OK"),"OK")
WHY: Flags ERROR if Assets ≠ L+E by more than $1k; otherwise OK. Protects the plug.
LINK: https://www.sec.gov/Archives/edgar/data/814547/000081454725000030/fico-20250930.htm</t>
      </text>
    </comment>
    <comment ref="N3" authorId="0" shapeId="0">
      <text>
        <t>Balance sheet check
FORMULA: =IFERROR(IF(ABS(N57)&gt;1,"ERROR","OK"),"OK")
WHY: Flags ERROR if Assets ≠ L+E by more than $1k; otherwise OK. Protects the plug.
LINK: https://www.sec.gov/Archives/edgar/data/814547/000081454725000030/fico-20250930.htm</t>
      </text>
    </comment>
    <comment ref="B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https://raw.githubusercontent.com/vengeanceaiUSC/Rainmaker/cursor/vengeanceaiusmodel16-d3ac/FICO/output/MODEL16_FICO_ASSUMPTIONS_LIST.pdf</t>
      </text>
    </comment>
    <comment ref="J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https://raw.githubusercontent.com/vengeanceaiUSC/Rainmaker/cursor/vengeanceaiusmodel16-d3ac/FICO/output/MODEL16_FICO_ASSUMPTIONS_LIST.pdf</t>
      </text>
    </comment>
    <comment ref="K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https://raw.githubusercontent.com/vengeanceaiUSC/Rainmaker/cursor/vengeanceaiusmodel16-d3ac/FICO/output/MODEL16_FICO_ASSUMPTIONS_LIST.pdf</t>
      </text>
    </comment>
    <comment ref="L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https://raw.githubusercontent.com/vengeanceaiUSC/Rainmaker/cursor/vengeanceaiusmodel16-d3ac/FICO/output/MODEL16_FICO_ASSUMPTIONS_LIST.pdf</t>
      </text>
    </comment>
    <comment ref="M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https://raw.githubusercontent.com/vengeanceaiUSC/Rainmaker/cursor/vengeanceaiusmodel16-d3ac/FICO/output/MODEL16_FICO_ASSUMPTIONS_LIST.pdf</t>
      </text>
    </comment>
    <comment ref="N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https://raw.githubusercontent.com/vengeanceaiUSC/Rainmaker/cursor/vengeanceaiusmodel16-d3ac/FICO/output/MODEL16_FICO_ASSUMPTIONS_LIST.pdf</t>
      </text>
    </comment>
    <comment ref="U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https://raw.githubusercontent.com/vengeanceaiUSC/Rainmaker/cursor/vengeanceaiusmodel16-d3ac/FICO/output/MODEL16_FICO_ASSUMPTIONS_LIST.pdf</t>
      </text>
    </comment>
    <comment ref="V7" authorId="0" shapeId="0">
      <text>
        <t>Filing source for this row:
https://www.sec.gov/Archives/edgar/data/814547/000081454726000031/exhibit991erq32026.htm
Full Assumptions List PDF (click orange title P4):
https://raw.githubusercontent.com/vengeanceaiUSC/Rainmaker/cursor/vengeanceaiusmodel16-d3ac/FICO/output/MODEL16_FICO_ASSUMPTIONS_LIST.pdf</t>
      </text>
    </comment>
    <comment ref="B8" authorId="0" shapeId="0">
      <text>
        <t>COGS % of Revenue
HOW: Excel: MAX(10%, segment blended COGS base≈17.60% − 75bps × year).
WHY: MODEL16 Yacktman: COGS −75 bps/yr from segment GM; SG&amp;A −125 bps toward 15% floor (carry Model13 Scores pricing-power grind). Mix % offset within Total Revenue (not a second revenue stack).
SOURCE: SEC 10-K FY2025 — Scores +$249M YoY 'primarily attributable to a higher unit price'
LINK: https://www.sec.gov/Archives/edgar/data/814547/000081454725000030/fico-20250930.htm
ASSUMPTIONS LIST PDF: https://raw.githubusercontent.com/vengeanceaiUSC/Rainmaker/cursor/vengeanceaiusmodel16-d3ac/FICO/output/MODEL16_FICO_ASSUMPTIONS_LIST.pdf</t>
      </text>
    </comment>
    <comment ref="J8" authorId="0" shapeId="0">
      <text>
        <t>COGS % of Revenue
HOW: Excel: MAX(10%, segment blended COGS base≈17.60% − 75bps × year).
WHY: MODEL16 Yacktman: COGS −75 bps/yr from segment GM; SG&amp;A −125 bps toward 15% floor (carry Model13 Scores pricing-power grind). Mix % offset within Total Revenue (not a second revenue stack).
SOURCE: SEC 10-K FY2025 — Scores +$249M YoY 'primarily attributable to a higher unit price'
LINK: https://www.sec.gov/Archives/edgar/data/814547/000081454725000030/fico-20250930.htm
ASSUMPTIONS LIST PDF: https://raw.githubusercontent.com/vengeanceaiUSC/Rainmaker/cursor/vengeanceaiusmodel16-d3ac/FICO/output/MODEL16_FICO_ASSUMPTIONS_LIST.pdf</t>
      </text>
    </comment>
    <comment ref="K8" authorId="0" shapeId="0">
      <text>
        <t>COGS % of Revenue
HOW: Excel: MAX(10%, segment blended COGS base≈17.60% − 75bps × year).
WHY: MODEL16 Yacktman: COGS −75 bps/yr from segment GM; SG&amp;A −125 bps toward 15% floor (carry Model13 Scores pricing-power grind). Mix % offset within Total Revenue (not a second revenue stack).
SOURCE: SEC 10-K FY2025 — Scores +$249M YoY 'primarily attributable to a higher unit price'
LINK: https://www.sec.gov/Archives/edgar/data/814547/000081454725000030/fico-20250930.htm
ASSUMPTIONS LIST PDF: https://raw.githubusercontent.com/vengeanceaiUSC/Rainmaker/cursor/vengeanceaiusmodel16-d3ac/FICO/output/MODEL16_FICO_ASSUMPTIONS_LIST.pdf</t>
      </text>
    </comment>
    <comment ref="L8" authorId="0" shapeId="0">
      <text>
        <t>COGS % of Revenue
HOW: Excel: MAX(10%, segment blended COGS base≈17.60% − 75bps × year).
WHY: MODEL16 Yacktman: COGS −75 bps/yr from segment GM; SG&amp;A −125 bps toward 15% floor (carry Model13 Scores pricing-power grind). Mix % offset within Total Revenue (not a second revenue stack).
SOURCE: SEC 10-K FY2025 — Scores +$249M YoY 'primarily attributable to a higher unit price'
LINK: https://www.sec.gov/Archives/edgar/data/814547/000081454725000030/fico-20250930.htm
ASSUMPTIONS LIST PDF: https://raw.githubusercontent.com/vengeanceaiUSC/Rainmaker/cursor/vengeanceaiusmodel16-d3ac/FICO/output/MODEL16_FICO_ASSUMPTIONS_LIST.pdf</t>
      </text>
    </comment>
    <comment ref="M8" authorId="0" shapeId="0">
      <text>
        <t>COGS % of Revenue
HOW: Excel: MAX(10%, segment blended COGS base≈17.60% − 75bps × year).
WHY: MODEL16 Yacktman: COGS −75 bps/yr from segment GM; SG&amp;A −125 bps toward 15% floor (carry Model13 Scores pricing-power grind). Mix % offset within Total Revenue (not a second revenue stack).
SOURCE: SEC 10-K FY2025 — Scores +$249M YoY 'primarily attributable to a higher unit price'
LINK: https://www.sec.gov/Archives/edgar/data/814547/000081454725000030/fico-20250930.htm
ASSUMPTIONS LIST PDF: https://raw.githubusercontent.com/vengeanceaiUSC/Rainmaker/cursor/vengeanceaiusmodel16-d3ac/FICO/output/MODEL16_FICO_ASSUMPTIONS_LIST.pdf</t>
      </text>
    </comment>
    <comment ref="N8" authorId="0" shapeId="0">
      <text>
        <t>COGS % of Revenue
HOW: Excel: MAX(10%, segment blended COGS base≈17.60% − 75bps × year).
WHY: MODEL16 Yacktman: COGS −75 bps/yr from segment GM; SG&amp;A −125 bps toward 15% floor (carry Model13 Scores pricing-power grind). Mix % offset within Total Revenue (not a second revenue stack).
SOURCE: SEC 10-K FY2025 — Scores +$249M YoY 'primarily attributable to a higher unit price'
LINK: https://www.sec.gov/Archives/edgar/data/814547/000081454725000030/fico-20250930.htm
ASSUMPTIONS LIST PDF: https://raw.githubusercontent.com/vengeanceaiUSC/Rainmaker/cursor/vengeanceaiusmodel16-d3ac/FICO/output/MODEL16_FICO_ASSUMPTIONS_LIST.pdf</t>
      </text>
    </comment>
    <comment ref="U8" authorId="0" shapeId="0">
      <text>
        <t>COGS % of Revenue
HOW: Excel: MAX(10%, segment blended COGS base≈17.60% − 75bps × year).
WHY: MODEL16 Yacktman: COGS −75 bps/yr from segment GM; SG&amp;A −125 bps toward 15% floor (carry Model13 Scores pricing-power grind). Mix % offset within Total Revenue (not a second revenue stack).
SOURCE: SEC 10-K FY2025 — Scores +$249M YoY 'primarily attributable to a higher unit price'
LINK: https://www.sec.gov/Archives/edgar/data/814547/000081454725000030/fico-20250930.htm
ASSUMPTIONS LIST PDF: https://raw.githubusercontent.com/vengeanceaiUSC/Rainmaker/cursor/vengeanceaiusmodel16-d3ac/FICO/output/MODEL16_FICO_ASSUMPTIONS_LIST.pdf</t>
      </text>
    </comment>
    <comment ref="V8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https://raw.githubusercontent.com/vengeanceaiUSC/Rainmaker/cursor/vengeanceaiusmodel16-d3ac/FICO/output/MODEL16_FICO_ASSUMPTIONS_LIST.pdf</t>
      </text>
    </comment>
    <comment ref="B9" authorId="0" shapeId="0">
      <text>
        <t>SG&amp;A % of Revenue
HOW: Equation: MAX(15%, (I28 − 10,922)/I24 − 125bps × year). Strips FY25 restructuring; then −1.25% of sales each year.
WHY: MODEL16 Yacktman: faster opex leverage (−125 bps/yr, floor 15%) as Scores near-100% incremental margins and SaaS scale drop incremental dollars below the line (MODEL12 used −100 bps).
SOURCE: SEC 10-K FY2025 — SG&amp;A + Scores pricing commentary
LINK: https://www.sec.gov/Archives/edgar/data/814547/000081454725000030/fico-20250930.htm
ASSUMPTIONS LIST PDF: https://raw.githubusercontent.com/vengeanceaiUSC/Rainmaker/cursor/vengeanceaiusmodel16-d3ac/FICO/output/MODEL16_FICO_ASSUMPTIONS_LIST.pdf</t>
      </text>
    </comment>
    <comment ref="J9" authorId="0" shapeId="0">
      <text>
        <t>SG&amp;A % of Revenue
HOW: Equation: MAX(15%, (I28 − 10,922)/I24 − 125bps × year). Strips FY25 restructuring; then −1.25% of sales each year.
WHY: MODEL16 Yacktman: faster opex leverage (−125 bps/yr, floor 15%) as Scores near-100% incremental margins and SaaS scale drop incremental dollars below the line (MODEL12 used −100 bps).
SOURCE: SEC 10-K FY2025 — SG&amp;A + Scores pricing commentary
LINK: https://www.sec.gov/Archives/edgar/data/814547/000081454725000030/fico-20250930.htm
ASSUMPTIONS LIST PDF: https://raw.githubusercontent.com/vengeanceaiUSC/Rainmaker/cursor/vengeanceaiusmodel16-d3ac/FICO/output/MODEL16_FICO_ASSUMPTIONS_LIST.pdf</t>
      </text>
    </comment>
    <comment ref="K9" authorId="0" shapeId="0">
      <text>
        <t>SG&amp;A % of Revenue
HOW: Equation: MAX(15%, (I28 − 10,922)/I24 − 125bps × year). Strips FY25 restructuring; then −1.25% of sales each year.
WHY: MODEL16 Yacktman: faster opex leverage (−125 bps/yr, floor 15%) as Scores near-100% incremental margins and SaaS scale drop incremental dollars below the line (MODEL12 used −100 bps).
SOURCE: SEC 10-K FY2025 — SG&amp;A + Scores pricing commentary
LINK: https://www.sec.gov/Archives/edgar/data/814547/000081454725000030/fico-20250930.htm
ASSUMPTIONS LIST PDF: https://raw.githubusercontent.com/vengeanceaiUSC/Rainmaker/cursor/vengeanceaiusmodel16-d3ac/FICO/output/MODEL16_FICO_ASSUMPTIONS_LIST.pdf</t>
      </text>
    </comment>
    <comment ref="L9" authorId="0" shapeId="0">
      <text>
        <t>SG&amp;A % of Revenue
HOW: Equation: MAX(15%, (I28 − 10,922)/I24 − 125bps × year). Strips FY25 restructuring; then −1.25% of sales each year.
WHY: MODEL16 Yacktman: faster opex leverage (−125 bps/yr, floor 15%) as Scores near-100% incremental margins and SaaS scale drop incremental dollars below the line (MODEL12 used −100 bps).
SOURCE: SEC 10-K FY2025 — SG&amp;A + Scores pricing commentary
LINK: https://www.sec.gov/Archives/edgar/data/814547/000081454725000030/fico-20250930.htm
ASSUMPTIONS LIST PDF: https://raw.githubusercontent.com/vengeanceaiUSC/Rainmaker/cursor/vengeanceaiusmodel16-d3ac/FICO/output/MODEL16_FICO_ASSUMPTIONS_LIST.pdf</t>
      </text>
    </comment>
    <comment ref="M9" authorId="0" shapeId="0">
      <text>
        <t>SG&amp;A % of Revenue
HOW: Equation: MAX(15%, (I28 − 10,922)/I24 − 125bps × year). Strips FY25 restructuring; then −1.25% of sales each year.
WHY: MODEL16 Yacktman: faster opex leverage (−125 bps/yr, floor 15%) as Scores near-100% incremental margins and SaaS scale drop incremental dollars below the line (MODEL12 used −100 bps).
SOURCE: SEC 10-K FY2025 — SG&amp;A + Scores pricing commentary
LINK: https://www.sec.gov/Archives/edgar/data/814547/000081454725000030/fico-20250930.htm
ASSUMPTIONS LIST PDF: https://raw.githubusercontent.com/vengeanceaiUSC/Rainmaker/cursor/vengeanceaiusmodel16-d3ac/FICO/output/MODEL16_FICO_ASSUMPTIONS_LIST.pdf</t>
      </text>
    </comment>
    <comment ref="N9" authorId="0" shapeId="0">
      <text>
        <t>SG&amp;A % of Revenue
HOW: Equation: MAX(15%, (I28 − 10,922)/I24 − 125bps × year). Strips FY25 restructuring; then −1.25% of sales each year.
WHY: MODEL16 Yacktman: faster opex leverage (−125 bps/yr, floor 15%) as Scores near-100% incremental margins and SaaS scale drop incremental dollars below the line (MODEL12 used −100 bps).
SOURCE: SEC 10-K FY2025 — SG&amp;A + Scores pricing commentary
LINK: https://www.sec.gov/Archives/edgar/data/814547/000081454725000030/fico-20250930.htm
ASSUMPTIONS LIST PDF: https://raw.githubusercontent.com/vengeanceaiUSC/Rainmaker/cursor/vengeanceaiusmodel16-d3ac/FICO/output/MODEL16_FICO_ASSUMPTIONS_LIST.pdf</t>
      </text>
    </comment>
    <comment ref="U9" authorId="0" shapeId="0">
      <text>
        <t>SG&amp;A % of Revenue
HOW: Equation: MAX(15%, (I28 − 10,922)/I24 − 125bps × year). Strips FY25 restructuring; then −1.25% of sales each year.
WHY: MODEL16 Yacktman: faster opex leverage (−125 bps/yr, floor 15%) as Scores near-100% incremental margins and SaaS scale drop incremental dollars below the line (MODEL12 used −100 bps).
SOURCE: SEC 10-K FY2025 — SG&amp;A + Scores pricing commentary
LINK: https://www.sec.gov/Archives/edgar/data/814547/000081454725000030/fico-20250930.htm
ASSUMPTIONS LIST PDF: https://raw.githubusercontent.com/vengeanceaiUSC/Rainmaker/cursor/vengeanceaiusmodel16-d3ac/FICO/output/MODEL16_FICO_ASSUMPTIONS_LIST.pdf</t>
      </text>
    </comment>
    <comment ref="V9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https://raw.githubusercontent.com/vengeanceaiUSC/Rainmaker/cursor/vengeanceaiusmodel16-d3ac/FICO/output/MODEL16_FICO_ASSUMPTIONS_LIST.pdf</t>
      </text>
    </comment>
    <comment ref="B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https://raw.githubusercontent.com/vengeanceaiUSC/Rainmaker/cursor/vengeanceaiusmodel16-d3ac/FICO/output/MODEL16_FICO_ASSUMPTIONS_LIST.pdf</t>
      </text>
    </comment>
    <comment ref="J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https://raw.githubusercontent.com/vengeanceaiUSC/Rainmaker/cursor/vengeanceaiusmodel16-d3ac/FICO/output/MODEL16_FICO_ASSUMPTIONS_LIST.pdf</t>
      </text>
    </comment>
    <comment ref="K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https://raw.githubusercontent.com/vengeanceaiUSC/Rainmaker/cursor/vengeanceaiusmodel16-d3ac/FICO/output/MODEL16_FICO_ASSUMPTIONS_LIST.pdf</t>
      </text>
    </comment>
    <comment ref="L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https://raw.githubusercontent.com/vengeanceaiUSC/Rainmaker/cursor/vengeanceaiusmodel16-d3ac/FICO/output/MODEL16_FICO_ASSUMPTIONS_LIST.pdf</t>
      </text>
    </comment>
    <comment ref="M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https://raw.githubusercontent.com/vengeanceaiUSC/Rainmaker/cursor/vengeanceaiusmodel16-d3ac/FICO/output/MODEL16_FICO_ASSUMPTIONS_LIST.pdf</t>
      </text>
    </comment>
    <comment ref="N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https://raw.githubusercontent.com/vengeanceaiUSC/Rainmaker/cursor/vengeanceaiusmodel16-d3ac/FICO/output/MODEL16_FICO_ASSUMPTIONS_LIST.pdf</t>
      </text>
    </comment>
    <comment ref="U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https://raw.githubusercontent.com/vengeanceaiUSC/Rainmaker/cursor/vengeanceaiusmodel16-d3ac/FICO/output/MODEL16_FICO_ASSUMPTIONS_LIST.pdf</t>
      </text>
    </comment>
    <comment ref="V10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https://raw.githubusercontent.com/vengeanceaiUSC/Rainmaker/cursor/vengeanceaiusmodel16-d3ac/FICO/output/MODEL16_FICO_ASSUMPTIONS_LIST.pdf</t>
      </text>
    </comment>
    <comment ref="B11" authorId="0" shapeId="0">
      <text>
        <t>D&amp;A % of Revenue
HOW: Yellow POLICY input: flat 0.84% (3yr FY23–25 avg TOTAL D&amp;A). Forecast DA$ = Revenue × DA%; CF row 63 adds it back once.
WHY: MODEL16: TOTAL D&amp;A add-back ≈ 0.84% of Rev (3yr avg). SBC is a SEPARATE add-back — no double-count with D&amp;A / intangibles amort.
SOURCE: SEC companyfacts — DepreciationDepletionAndAmortization (+ AmortizationOfIntangibleAssets)
LINK: https://data.sec.gov/api/xbrl/companyfacts/CIK0000814547.json
ASSUMPTIONS LIST PDF: https://raw.githubusercontent.com/vengeanceaiUSC/Rainmaker/cursor/vengeanceaiusmodel16-d3ac/FICO/output/MODEL16_FICO_ASSUMPTIONS_LIST.pdf</t>
      </text>
    </comment>
    <comment ref="J11" authorId="0" shapeId="0">
      <text>
        <t>D&amp;A % of Revenue
HOW: Yellow POLICY input: flat 0.84% (3yr FY23–25 avg TOTAL D&amp;A). Forecast DA$ = Revenue × DA%; CF row 63 adds it back once.
WHY: MODEL16: TOTAL D&amp;A add-back ≈ 0.84% of Rev (3yr avg). SBC is a SEPARATE add-back — no double-count with D&amp;A / intangibles amort.
SOURCE: SEC companyfacts — DepreciationDepletionAndAmortization (+ AmortizationOfIntangibleAssets)
LINK: https://data.sec.gov/api/xbrl/companyfacts/CIK0000814547.json
ASSUMPTIONS LIST PDF: https://raw.githubusercontent.com/vengeanceaiUSC/Rainmaker/cursor/vengeanceaiusmodel16-d3ac/FICO/output/MODEL16_FICO_ASSUMPTIONS_LIST.pdf</t>
      </text>
    </comment>
    <comment ref="K11" authorId="0" shapeId="0">
      <text>
        <t>D&amp;A % of Revenue
HOW: Yellow POLICY input: flat 0.84% (3yr FY23–25 avg TOTAL D&amp;A). Forecast DA$ = Revenue × DA%; CF row 63 adds it back once.
WHY: MODEL16: TOTAL D&amp;A add-back ≈ 0.84% of Rev (3yr avg). SBC is a SEPARATE add-back — no double-count with D&amp;A / intangibles amort.
SOURCE: SEC companyfacts — DepreciationDepletionAndAmortization (+ AmortizationOfIntangibleAssets)
LINK: https://data.sec.gov/api/xbrl/companyfacts/CIK0000814547.json
ASSUMPTIONS LIST PDF: https://raw.githubusercontent.com/vengeanceaiUSC/Rainmaker/cursor/vengeanceaiusmodel16-d3ac/FICO/output/MODEL16_FICO_ASSUMPTIONS_LIST.pdf</t>
      </text>
    </comment>
    <comment ref="L11" authorId="0" shapeId="0">
      <text>
        <t>D&amp;A % of Revenue
HOW: Yellow POLICY input: flat 0.84% (3yr FY23–25 avg TOTAL D&amp;A). Forecast DA$ = Revenue × DA%; CF row 63 adds it back once.
WHY: MODEL16: TOTAL D&amp;A add-back ≈ 0.84% of Rev (3yr avg). SBC is a SEPARATE add-back — no double-count with D&amp;A / intangibles amort.
SOURCE: SEC companyfacts — DepreciationDepletionAndAmortization (+ AmortizationOfIntangibleAssets)
LINK: https://data.sec.gov/api/xbrl/companyfacts/CIK0000814547.json
ASSUMPTIONS LIST PDF: https://raw.githubusercontent.com/vengeanceaiUSC/Rainmaker/cursor/vengeanceaiusmodel16-d3ac/FICO/output/MODEL16_FICO_ASSUMPTIONS_LIST.pdf</t>
      </text>
    </comment>
    <comment ref="M11" authorId="0" shapeId="0">
      <text>
        <t>D&amp;A % of Revenue
HOW: Yellow POLICY input: flat 0.84% (3yr FY23–25 avg TOTAL D&amp;A). Forecast DA$ = Revenue × DA%; CF row 63 adds it back once.
WHY: MODEL16: TOTAL D&amp;A add-back ≈ 0.84% of Rev (3yr avg). SBC is a SEPARATE add-back — no double-count with D&amp;A / intangibles amort.
SOURCE: SEC companyfacts — DepreciationDepletionAndAmortization (+ AmortizationOfIntangibleAssets)
LINK: https://data.sec.gov/api/xbrl/companyfacts/CIK0000814547.json
ASSUMPTIONS LIST PDF: https://raw.githubusercontent.com/vengeanceaiUSC/Rainmaker/cursor/vengeanceaiusmodel16-d3ac/FICO/output/MODEL16_FICO_ASSUMPTIONS_LIST.pdf</t>
      </text>
    </comment>
    <comment ref="N11" authorId="0" shapeId="0">
      <text>
        <t>D&amp;A % of Revenue
HOW: Yellow POLICY input: flat 0.84% (3yr FY23–25 avg TOTAL D&amp;A). Forecast DA$ = Revenue × DA%; CF row 63 adds it back once.
WHY: MODEL16: TOTAL D&amp;A add-back ≈ 0.84% of Rev (3yr avg). SBC is a SEPARATE add-back — no double-count with D&amp;A / intangibles amort.
SOURCE: SEC companyfacts — DepreciationDepletionAndAmortization (+ AmortizationOfIntangibleAssets)
LINK: https://data.sec.gov/api/xbrl/companyfacts/CIK0000814547.json
ASSUMPTIONS LIST PDF: https://raw.githubusercontent.com/vengeanceaiUSC/Rainmaker/cursor/vengeanceaiusmodel16-d3ac/FICO/output/MODEL16_FICO_ASSUMPTIONS_LIST.pdf</t>
      </text>
    </comment>
    <comment ref="U11" authorId="0" shapeId="0">
      <text>
        <t>D&amp;A % of Revenue
HOW: Yellow POLICY input: flat 0.84% (3yr FY23–25 avg TOTAL D&amp;A). Forecast DA$ = Revenue × DA%; CF row 63 adds it back once.
WHY: MODEL16: TOTAL D&amp;A add-back ≈ 0.84% of Rev (3yr avg). SBC is a SEPARATE add-back — no double-count with D&amp;A / intangibles amort.
SOURCE: SEC companyfacts — DepreciationDepletionAndAmortization (+ AmortizationOfIntangibleAssets)
LINK: https://data.sec.gov/api/xbrl/companyfacts/CIK0000814547.json
ASSUMPTIONS LIST PDF: https://raw.githubusercontent.com/vengeanceaiUSC/Rainmaker/cursor/vengeanceaiusmodel16-d3ac/FICO/output/MODEL16_FICO_ASSUMPTIONS_LIST.pdf</t>
      </text>
    </comment>
    <comment ref="V11" authorId="0" shapeId="0">
      <text>
        <t>Filing source for this row:
https://data.sec.gov/api/xbrl/companyfacts/CIK0000814547.json
Full Assumptions List PDF (click orange title P4):
https://raw.githubusercontent.com/vengeanceaiUSC/Rainmaker/cursor/vengeanceaiusmodel16-d3ac/FICO/output/MODEL16_FICO_ASSUMPTIONS_LIST.pdf</t>
      </text>
    </comment>
    <comment ref="B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https://raw.githubusercontent.com/vengeanceaiUSC/Rainmaker/cursor/vengeanceaiusmodel16-d3ac/FICO/output/MODEL16_FICO_ASSUMPTIONS_LIST.pdf</t>
      </text>
    </comment>
    <comment ref="J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https://raw.githubusercontent.com/vengeanceaiUSC/Rainmaker/cursor/vengeanceaiusmodel16-d3ac/FICO/output/MODEL16_FICO_ASSUMPTIONS_LIST.pdf</t>
      </text>
    </comment>
    <comment ref="K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https://raw.githubusercontent.com/vengeanceaiUSC/Rainmaker/cursor/vengeanceaiusmodel16-d3ac/FICO/output/MODEL16_FICO_ASSUMPTIONS_LIST.pdf</t>
      </text>
    </comment>
    <comment ref="L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https://raw.githubusercontent.com/vengeanceaiUSC/Rainmaker/cursor/vengeanceaiusmodel16-d3ac/FICO/output/MODEL16_FICO_ASSUMPTIONS_LIST.pdf</t>
      </text>
    </comment>
    <comment ref="M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https://raw.githubusercontent.com/vengeanceaiUSC/Rainmaker/cursor/vengeanceaiusmodel16-d3ac/FICO/output/MODEL16_FICO_ASSUMPTIONS_LIST.pdf</t>
      </text>
    </comment>
    <comment ref="N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https://raw.githubusercontent.com/vengeanceaiUSC/Rainmaker/cursor/vengeanceaiusmodel16-d3ac/FICO/output/MODEL16_FICO_ASSUMPTIONS_LIST.pdf</t>
      </text>
    </comment>
    <comment ref="U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https://raw.githubusercontent.com/vengeanceaiUSC/Rainmaker/cursor/vengeanceaiusmodel16-d3ac/FICO/output/MODEL16_FICO_ASSUMPTIONS_LIST.pdf</t>
      </text>
    </comment>
    <comment ref="V12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https://raw.githubusercontent.com/vengeanceaiUSC/Rainmaker/cursor/vengeanceaiusmodel16-d3ac/FICO/output/MODEL16_FICO_ASSUMPTIONS_LIST.pdf</t>
      </text>
    </comment>
    <comment ref="B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DCF cash tax 22.87% (3yr IncomeTaxesPaidNet/EBT). CAPM after-tax Rd uses book ETR ~18.8% in WaccInputs; Excel R11 links to D5 for Rd(1−t) consistency with FCFF cash taxes.
SOURCE: SEC 10-K FY2025 — tax expense; cash taxes from IncomeTaxesPaidNet
LINK: https://data.sec.gov/api/xbrl/companyfacts/CIK0000814547.json
ASSUMPTIONS LIST PDF: https://raw.githubusercontent.com/vengeanceaiUSC/Rainmaker/cursor/vengeanceaiusmodel16-d3ac/FICO/output/MODEL16_FICO_ASSUMPTIONS_LIST.pdf</t>
      </text>
    </comment>
    <comment ref="J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DCF cash tax 22.87% (3yr IncomeTaxesPaidNet/EBT). CAPM after-tax Rd uses book ETR ~18.8% in WaccInputs; Excel R11 links to D5 for Rd(1−t) consistency with FCFF cash taxes.
SOURCE: SEC 10-K FY2025 — tax expense; cash taxes from IncomeTaxesPaidNet
LINK: https://data.sec.gov/api/xbrl/companyfacts/CIK0000814547.json
ASSUMPTIONS LIST PDF: https://raw.githubusercontent.com/vengeanceaiUSC/Rainmaker/cursor/vengeanceaiusmodel16-d3ac/FICO/output/MODEL16_FICO_ASSUMPTIONS_LIST.pdf</t>
      </text>
    </comment>
    <comment ref="K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DCF cash tax 22.87% (3yr IncomeTaxesPaidNet/EBT). CAPM after-tax Rd uses book ETR ~18.8% in WaccInputs; Excel R11 links to D5 for Rd(1−t) consistency with FCFF cash taxes.
SOURCE: SEC 10-K FY2025 — tax expense; cash taxes from IncomeTaxesPaidNet
LINK: https://data.sec.gov/api/xbrl/companyfacts/CIK0000814547.json
ASSUMPTIONS LIST PDF: https://raw.githubusercontent.com/vengeanceaiUSC/Rainmaker/cursor/vengeanceaiusmodel16-d3ac/FICO/output/MODEL16_FICO_ASSUMPTIONS_LIST.pdf</t>
      </text>
    </comment>
    <comment ref="L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DCF cash tax 22.87% (3yr IncomeTaxesPaidNet/EBT). CAPM after-tax Rd uses book ETR ~18.8% in WaccInputs; Excel R11 links to D5 for Rd(1−t) consistency with FCFF cash taxes.
SOURCE: SEC 10-K FY2025 — tax expense; cash taxes from IncomeTaxesPaidNet
LINK: https://data.sec.gov/api/xbrl/companyfacts/CIK0000814547.json
ASSUMPTIONS LIST PDF: https://raw.githubusercontent.com/vengeanceaiUSC/Rainmaker/cursor/vengeanceaiusmodel16-d3ac/FICO/output/MODEL16_FICO_ASSUMPTIONS_LIST.pdf</t>
      </text>
    </comment>
    <comment ref="M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DCF cash tax 22.87% (3yr IncomeTaxesPaidNet/EBT). CAPM after-tax Rd uses book ETR ~18.8% in WaccInputs; Excel R11 links to D5 for Rd(1−t) consistency with FCFF cash taxes.
SOURCE: SEC 10-K FY2025 — tax expense; cash taxes from IncomeTaxesPaidNet
LINK: https://data.sec.gov/api/xbrl/companyfacts/CIK0000814547.json
ASSUMPTIONS LIST PDF: https://raw.githubusercontent.com/vengeanceaiUSC/Rainmaker/cursor/vengeanceaiusmodel16-d3ac/FICO/output/MODEL16_FICO_ASSUMPTIONS_LIST.pdf</t>
      </text>
    </comment>
    <comment ref="N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DCF cash tax 22.87% (3yr IncomeTaxesPaidNet/EBT). CAPM after-tax Rd uses book ETR ~18.8% in WaccInputs; Excel R11 links to D5 for Rd(1−t) consistency with FCFF cash taxes.
SOURCE: SEC 10-K FY2025 — tax expense; cash taxes from IncomeTaxesPaidNet
LINK: https://data.sec.gov/api/xbrl/companyfacts/CIK0000814547.json
ASSUMPTIONS LIST PDF: https://raw.githubusercontent.com/vengeanceaiUSC/Rainmaker/cursor/vengeanceaiusmodel16-d3ac/FICO/output/MODEL16_FICO_ASSUMPTIONS_LIST.pdf</t>
      </text>
    </comment>
    <comment ref="U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DCF cash tax 22.87% (3yr IncomeTaxesPaidNet/EBT). CAPM after-tax Rd uses book ETR ~18.8% in WaccInputs; Excel R11 links to D5 for Rd(1−t) consistency with FCFF cash taxes.
SOURCE: SEC 10-K FY2025 — tax expense; cash taxes from IncomeTaxesPaidNet
LINK: https://data.sec.gov/api/xbrl/companyfacts/CIK0000814547.json
ASSUMPTIONS LIST PDF: https://raw.githubusercontent.com/vengeanceaiUSC/Rainmaker/cursor/vengeanceaiusmodel16-d3ac/FICO/output/MODEL16_FICO_ASSUMPTIONS_LIST.pdf</t>
      </text>
    </comment>
    <comment ref="V13" authorId="0" shapeId="0">
      <text>
        <t>Filing source for this row:
https://data.sec.gov/api/xbrl/companyfacts/CIK0000814547.json
Full Assumptions List PDF (click orange title P4):
https://raw.githubusercontent.com/vengeanceaiUSC/Rainmaker/cursor/vengeanceaiusmodel16-d3ac/FICO/output/MODEL16_FICO_ASSUMPTIONS_LIST.pdf</t>
      </text>
    </comment>
    <comment ref="B15" authorId="0" shapeId="0">
      <text>
        <t>DSO — Accounts Receivable (Days)
HOW: Yellow POLICY path: phases 97d (FY25 hist) → 28d over 5 years (Y1≈83.2d … Y5=28d). Segment blend ref ≈ 27.5d on schedule row 115 (SaaS 40/B2C 2/B2B 25/PS 12/On-prem 40).
WHY: Updated DSO from Model13 (Previous: 97→45d) to Model16 (New: 97→28d) for Scores near-instant cash (MODEL13 rated 6.5/10). Updated DSO from Model13 (Previous: 97→45d) to Model16 (New: 97→28d). Op NWC = AR+Inv−AP ONLY. Increase in Deferred Revenue is a SEPARATE positive CFO/FCFF add-back tied to SaaS/on-prem mix (+250bps/yr). No AR/unearned double-count. Source: https://www.sec.gov/Archives/edgar/data/814547/000081454726000011/R45.htm. Updated Deferred from Model13 (Previous: present but under-weighted vs Scores cash) to Model16 (New: explicit BS liability + CFO row 81). Deferred_t = Rev × (SaaS%+OnPrem%) × (FY25 Def / FY25 soft Rev). FY25 deferred ≈ $187.4M. Detail: https://www.sec.gov/Archives/edgar/data/814547/000081454726000011/R45.htm.
SOURCE: SEC 10-K FY2025 — AR; Q1 FY2026 deferred detail (R45)
LINK: https://www.sec.gov/Archives/edgar/data/814547/000081454726000011/R45.htm
ASSUMPTIONS LIST PDF: https://raw.githubusercontent.com/vengeanceaiUSC/Rainmaker/cursor/vengeanceaiusmodel16-d3ac/FICO/output/MODEL16_FICO_ASSUMPTIONS_LIST.pdf</t>
      </text>
    </comment>
    <comment ref="J15" authorId="0" shapeId="0">
      <text>
        <t>DSO — Accounts Receivable (Days)
HOW: Yellow POLICY path: phases 97d (FY25 hist) → 28d over 5 years (Y1≈83.2d … Y5=28d). Segment blend ref ≈ 27.5d on schedule row 115 (SaaS 40/B2C 2/B2B 25/PS 12/On-prem 40).
WHY: Updated DSO from Model13 (Previous: 97→45d) to Model16 (New: 97→28d) for Scores near-instant cash (MODEL13 rated 6.5/10). Updated DSO from Model13 (Previous: 97→45d) to Model16 (New: 97→28d). Op NWC = AR+Inv−AP ONLY. Increase in Deferred Revenue is a SEPARATE positive CFO/FCFF add-back tied to SaaS/on-prem mix (+250bps/yr). No AR/unearned double-count. Source: https://www.sec.gov/Archives/edgar/data/814547/000081454726000011/R45.htm. Updated Deferred from Model13 (Previous: present but under-weighted vs Scores cash) to Model16 (New: explicit BS liability + CFO row 81). Deferred_t = Rev × (SaaS%+OnPrem%) × (FY25 Def / FY25 soft Rev). FY25 deferred ≈ $187.4M. Detail: https://www.sec.gov/Archives/edgar/data/814547/000081454726000011/R45.htm.
SOURCE: SEC 10-K FY2025 — AR; Q1 FY2026 deferred detail (R45)
LINK: https://www.sec.gov/Archives/edgar/data/814547/000081454726000011/R45.htm
ASSUMPTIONS LIST PDF: https://raw.githubusercontent.com/vengeanceaiUSC/Rainmaker/cursor/vengeanceaiusmodel16-d3ac/FICO/output/MODEL16_FICO_ASSUMPTIONS_LIST.pdf</t>
      </text>
    </comment>
    <comment ref="K15" authorId="0" shapeId="0">
      <text>
        <t>DSO — Accounts Receivable (Days)
HOW: Yellow POLICY path: phases 97d (FY25 hist) → 28d over 5 years (Y1≈83.2d … Y5=28d). Segment blend ref ≈ 27.5d on schedule row 115 (SaaS 40/B2C 2/B2B 25/PS 12/On-prem 40).
WHY: Updated DSO from Model13 (Previous: 97→45d) to Model16 (New: 97→28d) for Scores near-instant cash (MODEL13 rated 6.5/10). Updated DSO from Model13 (Previous: 97→45d) to Model16 (New: 97→28d). Op NWC = AR+Inv−AP ONLY. Increase in Deferred Revenue is a SEPARATE positive CFO/FCFF add-back tied to SaaS/on-prem mix (+250bps/yr). No AR/unearned double-count. Source: https://www.sec.gov/Archives/edgar/data/814547/000081454726000011/R45.htm. Updated Deferred from Model13 (Previous: present but under-weighted vs Scores cash) to Model16 (New: explicit BS liability + CFO row 81). Deferred_t = Rev × (SaaS%+OnPrem%) × (FY25 Def / FY25 soft Rev). FY25 deferred ≈ $187.4M. Detail: https://www.sec.gov/Archives/edgar/data/814547/000081454726000011/R45.htm.
SOURCE: SEC 10-K FY2025 — AR; Q1 FY2026 deferred detail (R45)
LINK: https://www.sec.gov/Archives/edgar/data/814547/000081454726000011/R45.htm
ASSUMPTIONS LIST PDF: https://raw.githubusercontent.com/vengeanceaiUSC/Rainmaker/cursor/vengeanceaiusmodel16-d3ac/FICO/output/MODEL16_FICO_ASSUMPTIONS_LIST.pdf</t>
      </text>
    </comment>
    <comment ref="L15" authorId="0" shapeId="0">
      <text>
        <t>DSO — Accounts Receivable (Days)
HOW: Yellow POLICY path: phases 97d (FY25 hist) → 28d over 5 years (Y1≈83.2d … Y5=28d). Segment blend ref ≈ 27.5d on schedule row 115 (SaaS 40/B2C 2/B2B 25/PS 12/On-prem 40).
WHY: Updated DSO from Model13 (Previous: 97→45d) to Model16 (New: 97→28d) for Scores near-instant cash (MODEL13 rated 6.5/10). Updated DSO from Model13 (Previous: 97→45d) to Model16 (New: 97→28d). Op NWC = AR+Inv−AP ONLY. Increase in Deferred Revenue is a SEPARATE positive CFO/FCFF add-back tied to SaaS/on-prem mix (+250bps/yr). No AR/unearned double-count. Source: https://www.sec.gov/Archives/edgar/data/814547/000081454726000011/R45.htm. Updated Deferred from Model13 (Previous: present but under-weighted vs Scores cash) to Model16 (New: explicit BS liability + CFO row 81). Deferred_t = Rev × (SaaS%+OnPrem%) × (FY25 Def / FY25 soft Rev). FY25 deferred ≈ $187.4M. Detail: https://www.sec.gov/Archives/edgar/data/814547/000081454726000011/R45.htm.
SOURCE: SEC 10-K FY2025 — AR; Q1 FY2026 deferred detail (R45)
LINK: https://www.sec.gov/Archives/edgar/data/814547/000081454726000011/R45.htm
ASSUMPTIONS LIST PDF: https://raw.githubusercontent.com/vengeanceaiUSC/Rainmaker/cursor/vengeanceaiusmodel16-d3ac/FICO/output/MODEL16_FICO_ASSUMPTIONS_LIST.pdf</t>
      </text>
    </comment>
    <comment ref="M15" authorId="0" shapeId="0">
      <text>
        <t>DSO — Accounts Receivable (Days)
HOW: Yellow POLICY path: phases 97d (FY25 hist) → 28d over 5 years (Y1≈83.2d … Y5=28d). Segment blend ref ≈ 27.5d on schedule row 115 (SaaS 40/B2C 2/B2B 25/PS 12/On-prem 40).
WHY: Updated DSO from Model13 (Previous: 97→45d) to Model16 (New: 97→28d) for Scores near-instant cash (MODEL13 rated 6.5/10). Updated DSO from Model13 (Previous: 97→45d) to Model16 (New: 97→28d). Op NWC = AR+Inv−AP ONLY. Increase in Deferred Revenue is a SEPARATE positive CFO/FCFF add-back tied to SaaS/on-prem mix (+250bps/yr). No AR/unearned double-count. Source: https://www.sec.gov/Archives/edgar/data/814547/000081454726000011/R45.htm. Updated Deferred from Model13 (Previous: present but under-weighted vs Scores cash) to Model16 (New: explicit BS liability + CFO row 81). Deferred_t = Rev × (SaaS%+OnPrem%) × (FY25 Def / FY25 soft Rev). FY25 deferred ≈ $187.4M. Detail: https://www.sec.gov/Archives/edgar/data/814547/000081454726000011/R45.htm.
SOURCE: SEC 10-K FY2025 — AR; Q1 FY2026 deferred detail (R45)
LINK: https://www.sec.gov/Archives/edgar/data/814547/000081454726000011/R45.htm
ASSUMPTIONS LIST PDF: https://raw.githubusercontent.com/vengeanceaiUSC/Rainmaker/cursor/vengeanceaiusmodel16-d3ac/FICO/output/MODEL16_FICO_ASSUMPTIONS_LIST.pdf</t>
      </text>
    </comment>
    <comment ref="N15" authorId="0" shapeId="0">
      <text>
        <t>DSO — Accounts Receivable (Days)
HOW: Yellow POLICY path: phases 97d (FY25 hist) → 28d over 5 years (Y1≈83.2d … Y5=28d). Segment blend ref ≈ 27.5d on schedule row 115 (SaaS 40/B2C 2/B2B 25/PS 12/On-prem 40).
WHY: Updated DSO from Model13 (Previous: 97→45d) to Model16 (New: 97→28d) for Scores near-instant cash (MODEL13 rated 6.5/10). Updated DSO from Model13 (Previous: 97→45d) to Model16 (New: 97→28d). Op NWC = AR+Inv−AP ONLY. Increase in Deferred Revenue is a SEPARATE positive CFO/FCFF add-back tied to SaaS/on-prem mix (+250bps/yr). No AR/unearned double-count. Source: https://www.sec.gov/Archives/edgar/data/814547/000081454726000011/R45.htm. Updated Deferred from Model13 (Previous: present but under-weighted vs Scores cash) to Model16 (New: explicit BS liability + CFO row 81). Deferred_t = Rev × (SaaS%+OnPrem%) × (FY25 Def / FY25 soft Rev). FY25 deferred ≈ $187.4M. Detail: https://www.sec.gov/Archives/edgar/data/814547/000081454726000011/R45.htm.
SOURCE: SEC 10-K FY2025 — AR; Q1 FY2026 deferred detail (R45)
LINK: https://www.sec.gov/Archives/edgar/data/814547/000081454726000011/R45.htm
ASSUMPTIONS LIST PDF: https://raw.githubusercontent.com/vengeanceaiUSC/Rainmaker/cursor/vengeanceaiusmodel16-d3ac/FICO/output/MODEL16_FICO_ASSUMPTIONS_LIST.pdf</t>
      </text>
    </comment>
    <comment ref="U15" authorId="0" shapeId="0">
      <text>
        <t>DSO — Accounts Receivable (Days)
HOW: Yellow POLICY path: phases 97d (FY25 hist) → 28d over 5 years (Y1≈83.2d … Y5=28d). Segment blend ref ≈ 27.5d on schedule row 115 (SaaS 40/B2C 2/B2B 25/PS 12/On-prem 40).
WHY: Updated DSO from Model13 (Previous: 97→45d) to Model16 (New: 97→28d) for Scores near-instant cash (MODEL13 rated 6.5/10). Updated DSO from Model13 (Previous: 97→45d) to Model16 (New: 97→28d). Op NWC = AR+Inv−AP ONLY. Increase in Deferred Revenue is a SEPARATE positive CFO/FCFF add-back tied to SaaS/on-prem mix (+250bps/yr). No AR/unearned double-count. Source: https://www.sec.gov/Archives/edgar/data/814547/000081454726000011/R45.htm. Updated Deferred from Model13 (Previous: present but under-weighted vs Scores cash) to Model16 (New: explicit BS liability + CFO row 81). Deferred_t = Rev × (SaaS%+OnPrem%) × (FY25 Def / FY25 soft Rev). FY25 deferred ≈ $187.4M. Detail: https://www.sec.gov/Archives/edgar/data/814547/000081454726000011/R45.htm.
SOURCE: SEC 10-K FY2025 — AR; Q1 FY2026 deferred detail (R45)
LINK: https://www.sec.gov/Archives/edgar/data/814547/000081454726000011/R45.htm
ASSUMPTIONS LIST PDF: https://raw.githubusercontent.com/vengeanceaiUSC/Rainmaker/cursor/vengeanceaiusmodel16-d3ac/FICO/output/MODEL16_FICO_ASSUMPTIONS_LIST.pdf</t>
      </text>
    </comment>
    <comment ref="V15" authorId="0" shapeId="0">
      <text>
        <t>Filing source for this row:
https://www.sec.gov/Archives/edgar/data/814547/000081454726000011/R45.htm
Full Assumptions List PDF (click orange title P4):
https://raw.githubusercontent.com/vengeanceaiUSC/Rainmaker/cursor/vengeanceaiusmodel16-d3ac/FICO/output/MODEL16_FICO_ASSUMPTIONS_LIST.pdf</t>
      </text>
    </comment>
    <comment ref="B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https://raw.githubusercontent.com/vengeanceaiUSC/Rainmaker/cursor/vengeanceaiusmodel16-d3ac/FICO/output/MODEL16_FICO_ASSUMPTIONS_LIST.pdf</t>
      </text>
    </comment>
    <comment ref="J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https://raw.githubusercontent.com/vengeanceaiUSC/Rainmaker/cursor/vengeanceaiusmodel16-d3ac/FICO/output/MODEL16_FICO_ASSUMPTIONS_LIST.pdf</t>
      </text>
    </comment>
    <comment ref="K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https://raw.githubusercontent.com/vengeanceaiUSC/Rainmaker/cursor/vengeanceaiusmodel16-d3ac/FICO/output/MODEL16_FICO_ASSUMPTIONS_LIST.pdf</t>
      </text>
    </comment>
    <comment ref="L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https://raw.githubusercontent.com/vengeanceaiUSC/Rainmaker/cursor/vengeanceaiusmodel16-d3ac/FICO/output/MODEL16_FICO_ASSUMPTIONS_LIST.pdf</t>
      </text>
    </comment>
    <comment ref="M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https://raw.githubusercontent.com/vengeanceaiUSC/Rainmaker/cursor/vengeanceaiusmodel16-d3ac/FICO/output/MODEL16_FICO_ASSUMPTIONS_LIST.pdf</t>
      </text>
    </comment>
    <comment ref="N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https://raw.githubusercontent.com/vengeanceaiUSC/Rainmaker/cursor/vengeanceaiusmodel16-d3ac/FICO/output/MODEL16_FICO_ASSUMPTIONS_LIST.pdf</t>
      </text>
    </comment>
    <comment ref="U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https://raw.githubusercontent.com/vengeanceaiUSC/Rainmaker/cursor/vengeanceaiusmodel16-d3ac/FICO/output/MODEL16_FICO_ASSUMPTIONS_LIST.pdf</t>
      </text>
    </comment>
    <comment ref="V16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https://raw.githubusercontent.com/vengeanceaiUSC/Rainmaker/cursor/vengeanceaiusmodel16-d3ac/FICO/output/MODEL16_FICO_ASSUMPTIONS_LIST.pdf</t>
      </text>
    </comment>
    <comment ref="B17" authorId="0" shapeId="0">
      <text>
        <t>DPO — Accounts Payable (Days)
HOW: Excel equation: ROUND(I48/I25×365, 0) from FY25; held flat.
WHY: MODEL16: DPO pairs with phased DSO for Op NWC = AR+Inv−AP. Deferred is a SEPARATE CFO cash source (row 81) — never mixed into AR/DPO.
SOURCE: SEC 10-K FY2025 — Accounts payable
LINK: https://www.sec.gov/Archives/edgar/data/814547/000081454725000030/fico-20250930.htm
ASSUMPTIONS LIST PDF: https://raw.githubusercontent.com/vengeanceaiUSC/Rainmaker/cursor/vengeanceaiusmodel16-d3ac/FICO/output/MODEL16_FICO_ASSUMPTIONS_LIST.pdf</t>
      </text>
    </comment>
    <comment ref="J17" authorId="0" shapeId="0">
      <text>
        <t>DPO — Accounts Payable (Days)
HOW: Excel equation: ROUND(I48/I25×365, 0) from FY25; held flat.
WHY: MODEL16: DPO pairs with phased DSO for Op NWC = AR+Inv−AP. Deferred is a SEPARATE CFO cash source (row 81) — never mixed into AR/DPO.
SOURCE: SEC 10-K FY2025 — Accounts payable
LINK: https://www.sec.gov/Archives/edgar/data/814547/000081454725000030/fico-20250930.htm
ASSUMPTIONS LIST PDF: https://raw.githubusercontent.com/vengeanceaiUSC/Rainmaker/cursor/vengeanceaiusmodel16-d3ac/FICO/output/MODEL16_FICO_ASSUMPTIONS_LIST.pdf</t>
      </text>
    </comment>
    <comment ref="K17" authorId="0" shapeId="0">
      <text>
        <t>DPO — Accounts Payable (Days)
HOW: Excel equation: ROUND(I48/I25×365, 0) from FY25; held flat.
WHY: MODEL16: DPO pairs with phased DSO for Op NWC = AR+Inv−AP. Deferred is a SEPARATE CFO cash source (row 81) — never mixed into AR/DPO.
SOURCE: SEC 10-K FY2025 — Accounts payable
LINK: https://www.sec.gov/Archives/edgar/data/814547/000081454725000030/fico-20250930.htm
ASSUMPTIONS LIST PDF: https://raw.githubusercontent.com/vengeanceaiUSC/Rainmaker/cursor/vengeanceaiusmodel16-d3ac/FICO/output/MODEL16_FICO_ASSUMPTIONS_LIST.pdf</t>
      </text>
    </comment>
    <comment ref="L17" authorId="0" shapeId="0">
      <text>
        <t>DPO — Accounts Payable (Days)
HOW: Excel equation: ROUND(I48/I25×365, 0) from FY25; held flat.
WHY: MODEL16: DPO pairs with phased DSO for Op NWC = AR+Inv−AP. Deferred is a SEPARATE CFO cash source (row 81) — never mixed into AR/DPO.
SOURCE: SEC 10-K FY2025 — Accounts payable
LINK: https://www.sec.gov/Archives/edgar/data/814547/000081454725000030/fico-20250930.htm
ASSUMPTIONS LIST PDF: https://raw.githubusercontent.com/vengeanceaiUSC/Rainmaker/cursor/vengeanceaiusmodel16-d3ac/FICO/output/MODEL16_FICO_ASSUMPTIONS_LIST.pdf</t>
      </text>
    </comment>
    <comment ref="M17" authorId="0" shapeId="0">
      <text>
        <t>DPO — Accounts Payable (Days)
HOW: Excel equation: ROUND(I48/I25×365, 0) from FY25; held flat.
WHY: MODEL16: DPO pairs with phased DSO for Op NWC = AR+Inv−AP. Deferred is a SEPARATE CFO cash source (row 81) — never mixed into AR/DPO.
SOURCE: SEC 10-K FY2025 — Accounts payable
LINK: https://www.sec.gov/Archives/edgar/data/814547/000081454725000030/fico-20250930.htm
ASSUMPTIONS LIST PDF: https://raw.githubusercontent.com/vengeanceaiUSC/Rainmaker/cursor/vengeanceaiusmodel16-d3ac/FICO/output/MODEL16_FICO_ASSUMPTIONS_LIST.pdf</t>
      </text>
    </comment>
    <comment ref="N17" authorId="0" shapeId="0">
      <text>
        <t>DPO — Accounts Payable (Days)
HOW: Excel equation: ROUND(I48/I25×365, 0) from FY25; held flat.
WHY: MODEL16: DPO pairs with phased DSO for Op NWC = AR+Inv−AP. Deferred is a SEPARATE CFO cash source (row 81) — never mixed into AR/DPO.
SOURCE: SEC 10-K FY2025 — Accounts payable
LINK: https://www.sec.gov/Archives/edgar/data/814547/000081454725000030/fico-20250930.htm
ASSUMPTIONS LIST PDF: https://raw.githubusercontent.com/vengeanceaiUSC/Rainmaker/cursor/vengeanceaiusmodel16-d3ac/FICO/output/MODEL16_FICO_ASSUMPTIONS_LIST.pdf</t>
      </text>
    </comment>
    <comment ref="U17" authorId="0" shapeId="0">
      <text>
        <t>DPO — Accounts Payable (Days)
HOW: Excel equation: ROUND(I48/I25×365, 0) from FY25; held flat.
WHY: MODEL16: DPO pairs with phased DSO for Op NWC = AR+Inv−AP. Deferred is a SEPARATE CFO cash source (row 81) — never mixed into AR/DPO.
SOURCE: SEC 10-K FY2025 — Accounts payable
LINK: https://www.sec.gov/Archives/edgar/data/814547/000081454725000030/fico-20250930.htm
ASSUMPTIONS LIST PDF: https://raw.githubusercontent.com/vengeanceaiUSC/Rainmaker/cursor/vengeanceaiusmodel16-d3ac/FICO/output/MODEL16_FICO_ASSUMPTIONS_LIST.pdf</t>
      </text>
    </comment>
    <comment ref="V17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https://raw.githubusercontent.com/vengeanceaiUSC/Rainmaker/cursor/vengeanceaiusmodel16-d3ac/FICO/output/MODEL16_FICO_ASSUMPTIONS_LIST.pdf</t>
      </text>
    </comment>
    <comment ref="B18" authorId="0" shapeId="0">
      <text>
        <t>CapEx % of Revenue
HOW: Yellow POLICY path: 1.25% / 1.05% / 0.90% / 0.75% / 0.60% (fade with operating leverage).
WHY: MODEL16 Yacktman: Updated CapEx path documentation (unchanged levels vs Model13): 1.25% → 1.05% → 0.90% → 0.75% → 0.60%.
SOURCE: SEC 10-K / companyfacts — PPE purchases + capitalized software; fade to maintenance
LINK: https://data.sec.gov/api/xbrl/companyfacts/CIK0000814547.json
ASSUMPTIONS LIST PDF: https://raw.githubusercontent.com/vengeanceaiUSC/Rainmaker/cursor/vengeanceaiusmodel16-d3ac/FICO/output/MODEL16_FICO_ASSUMPTIONS_LIST.pdf</t>
      </text>
    </comment>
    <comment ref="J18" authorId="0" shapeId="0">
      <text>
        <t>CapEx % of Revenue
HOW: Yellow POLICY path: 1.25% / 1.05% / 0.90% / 0.75% / 0.60% (fade with operating leverage).
WHY: MODEL16 Yacktman: Updated CapEx path documentation (unchanged levels vs Model13): 1.25% → 1.05% → 0.90% → 0.75% → 0.60%.
SOURCE: SEC 10-K / companyfacts — PPE purchases + capitalized software; fade to maintenance
LINK: https://data.sec.gov/api/xbrl/companyfacts/CIK0000814547.json
ASSUMPTIONS LIST PDF: https://raw.githubusercontent.com/vengeanceaiUSC/Rainmaker/cursor/vengeanceaiusmodel16-d3ac/FICO/output/MODEL16_FICO_ASSUMPTIONS_LIST.pdf</t>
      </text>
    </comment>
    <comment ref="K18" authorId="0" shapeId="0">
      <text>
        <t>CapEx % of Revenue
HOW: Yellow POLICY path: 1.25% / 1.05% / 0.90% / 0.75% / 0.60% (fade with operating leverage).
WHY: MODEL16 Yacktman: Updated CapEx path documentation (unchanged levels vs Model13): 1.25% → 1.05% → 0.90% → 0.75% → 0.60%.
SOURCE: SEC 10-K / companyfacts — PPE purchases + capitalized software; fade to maintenance
LINK: https://data.sec.gov/api/xbrl/companyfacts/CIK0000814547.json
ASSUMPTIONS LIST PDF: https://raw.githubusercontent.com/vengeanceaiUSC/Rainmaker/cursor/vengeanceaiusmodel16-d3ac/FICO/output/MODEL16_FICO_ASSUMPTIONS_LIST.pdf</t>
      </text>
    </comment>
    <comment ref="L18" authorId="0" shapeId="0">
      <text>
        <t>CapEx % of Revenue
HOW: Yellow POLICY path: 1.25% / 1.05% / 0.90% / 0.75% / 0.60% (fade with operating leverage).
WHY: MODEL16 Yacktman: Updated CapEx path documentation (unchanged levels vs Model13): 1.25% → 1.05% → 0.90% → 0.75% → 0.60%.
SOURCE: SEC 10-K / companyfacts — PPE purchases + capitalized software; fade to maintenance
LINK: https://data.sec.gov/api/xbrl/companyfacts/CIK0000814547.json
ASSUMPTIONS LIST PDF: https://raw.githubusercontent.com/vengeanceaiUSC/Rainmaker/cursor/vengeanceaiusmodel16-d3ac/FICO/output/MODEL16_FICO_ASSUMPTIONS_LIST.pdf</t>
      </text>
    </comment>
    <comment ref="M18" authorId="0" shapeId="0">
      <text>
        <t>CapEx % of Revenue
HOW: Yellow POLICY path: 1.25% / 1.05% / 0.90% / 0.75% / 0.60% (fade with operating leverage).
WHY: MODEL16 Yacktman: Updated CapEx path documentation (unchanged levels vs Model13): 1.25% → 1.05% → 0.90% → 0.75% → 0.60%.
SOURCE: SEC 10-K / companyfacts — PPE purchases + capitalized software; fade to maintenance
LINK: https://data.sec.gov/api/xbrl/companyfacts/CIK0000814547.json
ASSUMPTIONS LIST PDF: https://raw.githubusercontent.com/vengeanceaiUSC/Rainmaker/cursor/vengeanceaiusmodel16-d3ac/FICO/output/MODEL16_FICO_ASSUMPTIONS_LIST.pdf</t>
      </text>
    </comment>
    <comment ref="N18" authorId="0" shapeId="0">
      <text>
        <t>CapEx % of Revenue
HOW: Yellow POLICY path: 1.25% / 1.05% / 0.90% / 0.75% / 0.60% (fade with operating leverage).
WHY: MODEL16 Yacktman: Updated CapEx path documentation (unchanged levels vs Model13): 1.25% → 1.05% → 0.90% → 0.75% → 0.60%.
SOURCE: SEC 10-K / companyfacts — PPE purchases + capitalized software; fade to maintenance
LINK: https://data.sec.gov/api/xbrl/companyfacts/CIK0000814547.json
ASSUMPTIONS LIST PDF: https://raw.githubusercontent.com/vengeanceaiUSC/Rainmaker/cursor/vengeanceaiusmodel16-d3ac/FICO/output/MODEL16_FICO_ASSUMPTIONS_LIST.pdf</t>
      </text>
    </comment>
    <comment ref="U18" authorId="0" shapeId="0">
      <text>
        <t>CapEx % of Revenue
HOW: Yellow POLICY path: 1.25% / 1.05% / 0.90% / 0.75% / 0.60% (fade with operating leverage).
WHY: MODEL16 Yacktman: Updated CapEx path documentation (unchanged levels vs Model13): 1.25% → 1.05% → 0.90% → 0.75% → 0.60%.
SOURCE: SEC 10-K / companyfacts — PPE purchases + capitalized software; fade to maintenance
LINK: https://data.sec.gov/api/xbrl/companyfacts/CIK0000814547.json
ASSUMPTIONS LIST PDF: https://raw.githubusercontent.com/vengeanceaiUSC/Rainmaker/cursor/vengeanceaiusmodel16-d3ac/FICO/output/MODEL16_FICO_ASSUMPTIONS_LIST.pdf</t>
      </text>
    </comment>
    <comment ref="V18" authorId="0" shapeId="0">
      <text>
        <t>Filing source for this row:
https://data.sec.gov/api/xbrl/companyfacts/CIK0000814547.json
Full Assumptions List PDF (click orange title P4):
https://raw.githubusercontent.com/vengeanceaiUSC/Rainmaker/cursor/vengeanceaiusmodel16-d3ac/FICO/output/MODEL16_FICO_ASSUMPTIONS_LIST.pdf</t>
      </text>
    </comment>
    <comment ref="B19" authorId="0" shapeId="0">
      <text>
        <t>Debt Issuance (Repayment)
HOW: Yellow POLICY input: -290,917 each year (3yr avg senior-note proceeds − line-of-credit repayments).
WHY: MODEL16: Debt = 3yr avg net debt CF; equity buybacks = residual (CFO−CapEx−Debt) so ΔCash≈0. Hist buybacks avg ≈ $881M/yr. Financing is excluded from FCFF.
SOURCE: SEC companyfacts — ProceedsFromIssuanceOfSeniorLongTermDebt / RepaymentsOfLinesOfCredit
LINK: https://data.sec.gov/api/xbrl/companyfacts/CIK0000814547.json
ASSUMPTIONS LIST PDF: https://raw.githubusercontent.com/vengeanceaiUSC/Rainmaker/cursor/vengeanceaiusmodel16-d3ac/FICO/output/MODEL16_FICO_ASSUMPTIONS_LIST.pdf</t>
      </text>
    </comment>
    <comment ref="J19" authorId="0" shapeId="0">
      <text>
        <t>Debt Issuance (Repayment)
HOW: Yellow POLICY input: -290,917 each year (3yr avg senior-note proceeds − line-of-credit repayments).
WHY: MODEL16: Debt = 3yr avg net debt CF; equity buybacks = residual (CFO−CapEx−Debt) so ΔCash≈0. Hist buybacks avg ≈ $881M/yr. Financing is excluded from FCFF.
SOURCE: SEC companyfacts — ProceedsFromIssuanceOfSeniorLongTermDebt / RepaymentsOfLinesOfCredit
LINK: https://data.sec.gov/api/xbrl/companyfacts/CIK0000814547.json
ASSUMPTIONS LIST PDF: https://raw.githubusercontent.com/vengeanceaiUSC/Rainmaker/cursor/vengeanceaiusmodel16-d3ac/FICO/output/MODEL16_FICO_ASSUMPTIONS_LIST.pdf</t>
      </text>
    </comment>
    <comment ref="K19" authorId="0" shapeId="0">
      <text>
        <t>Debt Issuance (Repayment)
HOW: Yellow POLICY input: -290,917 each year (3yr avg senior-note proceeds − line-of-credit repayments).
WHY: MODEL16: Debt = 3yr avg net debt CF; equity buybacks = residual (CFO−CapEx−Debt) so ΔCash≈0. Hist buybacks avg ≈ $881M/yr. Financing is excluded from FCFF.
SOURCE: SEC companyfacts — ProceedsFromIssuanceOfSeniorLongTermDebt / RepaymentsOfLinesOfCredit
LINK: https://data.sec.gov/api/xbrl/companyfacts/CIK0000814547.json
ASSUMPTIONS LIST PDF: https://raw.githubusercontent.com/vengeanceaiUSC/Rainmaker/cursor/vengeanceaiusmodel16-d3ac/FICO/output/MODEL16_FICO_ASSUMPTIONS_LIST.pdf</t>
      </text>
    </comment>
    <comment ref="L19" authorId="0" shapeId="0">
      <text>
        <t>Debt Issuance (Repayment)
HOW: Yellow POLICY input: -290,917 each year (3yr avg senior-note proceeds − line-of-credit repayments).
WHY: MODEL16: Debt = 3yr avg net debt CF; equity buybacks = residual (CFO−CapEx−Debt) so ΔCash≈0. Hist buybacks avg ≈ $881M/yr. Financing is excluded from FCFF.
SOURCE: SEC companyfacts — ProceedsFromIssuanceOfSeniorLongTermDebt / RepaymentsOfLinesOfCredit
LINK: https://data.sec.gov/api/xbrl/companyfacts/CIK0000814547.json
ASSUMPTIONS LIST PDF: https://raw.githubusercontent.com/vengeanceaiUSC/Rainmaker/cursor/vengeanceaiusmodel16-d3ac/FICO/output/MODEL16_FICO_ASSUMPTIONS_LIST.pdf</t>
      </text>
    </comment>
    <comment ref="M19" authorId="0" shapeId="0">
      <text>
        <t>Debt Issuance (Repayment)
HOW: Yellow POLICY input: -290,917 each year (3yr avg senior-note proceeds − line-of-credit repayments).
WHY: MODEL16: Debt = 3yr avg net debt CF; equity buybacks = residual (CFO−CapEx−Debt) so ΔCash≈0. Hist buybacks avg ≈ $881M/yr. Financing is excluded from FCFF.
SOURCE: SEC companyfacts — ProceedsFromIssuanceOfSeniorLongTermDebt / RepaymentsOfLinesOfCredit
LINK: https://data.sec.gov/api/xbrl/companyfacts/CIK0000814547.json
ASSUMPTIONS LIST PDF: https://raw.githubusercontent.com/vengeanceaiUSC/Rainmaker/cursor/vengeanceaiusmodel16-d3ac/FICO/output/MODEL16_FICO_ASSUMPTIONS_LIST.pdf</t>
      </text>
    </comment>
    <comment ref="N19" authorId="0" shapeId="0">
      <text>
        <t>Debt Issuance (Repayment)
HOW: Yellow POLICY input: -290,917 each year (3yr avg senior-note proceeds − line-of-credit repayments).
WHY: MODEL16: Debt = 3yr avg net debt CF; equity buybacks = residual (CFO−CapEx−Debt) so ΔCash≈0. Hist buybacks avg ≈ $881M/yr. Financing is excluded from FCFF.
SOURCE: SEC companyfacts — ProceedsFromIssuanceOfSeniorLongTermDebt / RepaymentsOfLinesOfCredit
LINK: https://data.sec.gov/api/xbrl/companyfacts/CIK0000814547.json
ASSUMPTIONS LIST PDF: https://raw.githubusercontent.com/vengeanceaiUSC/Rainmaker/cursor/vengeanceaiusmodel16-d3ac/FICO/output/MODEL16_FICO_ASSUMPTIONS_LIST.pdf</t>
      </text>
    </comment>
    <comment ref="U19" authorId="0" shapeId="0">
      <text>
        <t>Debt Issuance (Repayment)
HOW: Yellow POLICY input: -290,917 each year (3yr avg senior-note proceeds − line-of-credit repayments).
WHY: MODEL16: Debt = 3yr avg net debt CF; equity buybacks = residual (CFO−CapEx−Debt) so ΔCash≈0. Hist buybacks avg ≈ $881M/yr. Financing is excluded from FCFF.
SOURCE: SEC companyfacts — ProceedsFromIssuanceOfSeniorLongTermDebt / RepaymentsOfLinesOfCredit
LINK: https://data.sec.gov/api/xbrl/companyfacts/CIK0000814547.json
ASSUMPTIONS LIST PDF: https://raw.githubusercontent.com/vengeanceaiUSC/Rainmaker/cursor/vengeanceaiusmodel16-d3ac/FICO/output/MODEL16_FICO_ASSUMPTIONS_LIST.pdf</t>
      </text>
    </comment>
    <comment ref="V19" authorId="0" shapeId="0">
      <text>
        <t>Filing source for this row:
https://data.sec.gov/api/xbrl/companyfacts/CIK0000814547.json
Full Assumptions List PDF (click orange title P4):
https://raw.githubusercontent.com/vengeanceaiUSC/Rainmaker/cursor/vengeanceaiusmodel16-d3ac/FICO/output/MODEL16_FICO_ASSUMPTIONS_LIST.pdf</t>
      </text>
    </comment>
    <comment ref="B20" authorId="0" shapeId="0">
      <text>
        <t>Equity Issued (Repaid)
HOW: Equation: −(CFO − CapEx) − DebtIssuance so residual levered FCF funds buybacks (hist 3yr avg buybacks ≈ $881M/yr).
WHY: Restores financing realism so cash does not artificially stockpile. Buybacks are financing — excluded from FCFF. DCF share count FALLS with this buyback outflow. Start shares 23,764k (FYE25). Shares_t += EquityCF_t/Price; EquityCF is buybacks (&lt;0). SBC add-back does NOT dilute.
SOURCE: SEC 10-K FY2025 — Repurchases of common stock ($1.415B); June 2025 $1B authorization
LINK: https://www.sec.gov/Archives/edgar/data/814547/000081454725000030/fico-20250930.htm
ASSUMPTIONS LIST PDF: https://raw.githubusercontent.com/vengeanceaiUSC/Rainmaker/cursor/vengeanceaiusmodel16-d3ac/FICO/output/MODEL16_FICO_ASSUMPTIONS_LIST.pdf</t>
      </text>
    </comment>
    <comment ref="J20" authorId="0" shapeId="0">
      <text>
        <t>Equity Issued (Repaid)
HOW: Equation: −(CFO − CapEx) − DebtIssuance so residual levered FCF funds buybacks (hist 3yr avg buybacks ≈ $881M/yr).
WHY: Restores financing realism so cash does not artificially stockpile. Buybacks are financing — excluded from FCFF. DCF share count FALLS with this buyback outflow. Start shares 23,764k (FYE25). Shares_t += EquityCF_t/Price; EquityCF is buybacks (&lt;0). SBC add-back does NOT dilute.
SOURCE: SEC 10-K FY2025 — Repurchases of common stock ($1.415B); June 2025 $1B authorization
LINK: https://www.sec.gov/Archives/edgar/data/814547/000081454725000030/fico-20250930.htm
ASSUMPTIONS LIST PDF: https://raw.githubusercontent.com/vengeanceaiUSC/Rainmaker/cursor/vengeanceaiusmodel16-d3ac/FICO/output/MODEL16_FICO_ASSUMPTIONS_LIST.pdf</t>
      </text>
    </comment>
    <comment ref="K20" authorId="0" shapeId="0">
      <text>
        <t>Equity Issued (Repaid)
HOW: Equation: −(CFO − CapEx) − DebtIssuance so residual levered FCF funds buybacks (hist 3yr avg buybacks ≈ $881M/yr).
WHY: Restores financing realism so cash does not artificially stockpile. Buybacks are financing — excluded from FCFF. DCF share count FALLS with this buyback outflow. Start shares 23,764k (FYE25). Shares_t += EquityCF_t/Price; EquityCF is buybacks (&lt;0). SBC add-back does NOT dilute.
SOURCE: SEC 10-K FY2025 — Repurchases of common stock ($1.415B); June 2025 $1B authorization
LINK: https://www.sec.gov/Archives/edgar/data/814547/000081454725000030/fico-20250930.htm
ASSUMPTIONS LIST PDF: https://raw.githubusercontent.com/vengeanceaiUSC/Rainmaker/cursor/vengeanceaiusmodel16-d3ac/FICO/output/MODEL16_FICO_ASSUMPTIONS_LIST.pdf</t>
      </text>
    </comment>
    <comment ref="L20" authorId="0" shapeId="0">
      <text>
        <t>Equity Issued (Repaid)
HOW: Equation: −(CFO − CapEx) − DebtIssuance so residual levered FCF funds buybacks (hist 3yr avg buybacks ≈ $881M/yr).
WHY: Restores financing realism so cash does not artificially stockpile. Buybacks are financing — excluded from FCFF. DCF share count FALLS with this buyback outflow. Start shares 23,764k (FYE25). Shares_t += EquityCF_t/Price; EquityCF is buybacks (&lt;0). SBC add-back does NOT dilute.
SOURCE: SEC 10-K FY2025 — Repurchases of common stock ($1.415B); June 2025 $1B authorization
LINK: https://www.sec.gov/Archives/edgar/data/814547/000081454725000030/fico-20250930.htm
ASSUMPTIONS LIST PDF: https://raw.githubusercontent.com/vengeanceaiUSC/Rainmaker/cursor/vengeanceaiusmodel16-d3ac/FICO/output/MODEL16_FICO_ASSUMPTIONS_LIST.pdf</t>
      </text>
    </comment>
    <comment ref="M20" authorId="0" shapeId="0">
      <text>
        <t>Equity Issued (Repaid)
HOW: Equation: −(CFO − CapEx) − DebtIssuance so residual levered FCF funds buybacks (hist 3yr avg buybacks ≈ $881M/yr).
WHY: Restores financing realism so cash does not artificially stockpile. Buybacks are financing — excluded from FCFF. DCF share count FALLS with this buyback outflow. Start shares 23,764k (FYE25). Shares_t += EquityCF_t/Price; EquityCF is buybacks (&lt;0). SBC add-back does NOT dilute.
SOURCE: SEC 10-K FY2025 — Repurchases of common stock ($1.415B); June 2025 $1B authorization
LINK: https://www.sec.gov/Archives/edgar/data/814547/000081454725000030/fico-20250930.htm
ASSUMPTIONS LIST PDF: https://raw.githubusercontent.com/vengeanceaiUSC/Rainmaker/cursor/vengeanceaiusmodel16-d3ac/FICO/output/MODEL16_FICO_ASSUMPTIONS_LIST.pdf</t>
      </text>
    </comment>
    <comment ref="N20" authorId="0" shapeId="0">
      <text>
        <t>Equity Issued (Repaid)
HOW: Equation: −(CFO − CapEx) − DebtIssuance so residual levered FCF funds buybacks (hist 3yr avg buybacks ≈ $881M/yr).
WHY: Restores financing realism so cash does not artificially stockpile. Buybacks are financing — excluded from FCFF. DCF share count FALLS with this buyback outflow. Start shares 23,764k (FYE25). Shares_t += EquityCF_t/Price; EquityCF is buybacks (&lt;0). SBC add-back does NOT dilute.
SOURCE: SEC 10-K FY2025 — Repurchases of common stock ($1.415B); June 2025 $1B authorization
LINK: https://www.sec.gov/Archives/edgar/data/814547/000081454725000030/fico-20250930.htm
ASSUMPTIONS LIST PDF: https://raw.githubusercontent.com/vengeanceaiUSC/Rainmaker/cursor/vengeanceaiusmodel16-d3ac/FICO/output/MODEL16_FICO_ASSUMPTIONS_LIST.pdf</t>
      </text>
    </comment>
    <comment ref="U20" authorId="0" shapeId="0">
      <text>
        <t>Equity Issued (Repaid)
HOW: Equation: −(CFO − CapEx) − DebtIssuance so residual levered FCF funds buybacks (hist 3yr avg buybacks ≈ $881M/yr).
WHY: Restores financing realism so cash does not artificially stockpile. Buybacks are financing — excluded from FCFF. DCF share count FALLS with this buyback outflow. Start shares 23,764k (FYE25). Shares_t += EquityCF_t/Price; EquityCF is buybacks (&lt;0). SBC add-back does NOT dilute.
SOURCE: SEC 10-K FY2025 — Repurchases of common stock ($1.415B); June 2025 $1B authorization
LINK: https://www.sec.gov/Archives/edgar/data/814547/000081454725000030/fico-20250930.htm
ASSUMPTIONS LIST PDF: https://raw.githubusercontent.com/vengeanceaiUSC/Rainmaker/cursor/vengeanceaiusmodel16-d3ac/FICO/output/MODEL16_FICO_ASSUMPTIONS_LIST.pdf</t>
      </text>
    </comment>
    <comment ref="V20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https://raw.githubusercontent.com/vengeanceaiUSC/Rainmaker/cursor/vengeanceaiusmodel16-d3ac/FICO/output/MODEL16_FICO_ASSUMPTIONS_LIST.pdf</t>
      </text>
    </comment>
    <comment ref="B21" authorId="0" shapeId="0">
      <text>
        <t>SBC % of Revenue
HOW: Yellow POLICY input: flat 8.25% (3yr FY23–25 avg ShareBasedCompensation / Revenue).
WHY: MODEL16 Yacktman: Updated SBC from Model13 (Previous: 8.251% present but user CSV inspection showed weak CFO integration clarity) to Model16 (New: yellow POLICY row 21 = 8.25% from SEC companyfacts ShareBasedCompensation/Rev; CFO row 64 = Rev×SBC%; FCFF add-back once). Source: https://data.sec.gov/api/xbrl/companyfacts/CIK0000814547.json. Shares fall only via buybacks — no SBC$/Price dilution.
SOURCE: SEC 10-K cash flow — ShareBasedCompensation (add-back only; no share dilution)
LINK: https://data.sec.gov/api/xbrl/companyfacts/CIK0000814547.json
ASSUMPTIONS LIST PDF: https://raw.githubusercontent.com/vengeanceaiUSC/Rainmaker/cursor/vengeanceaiusmodel16-d3ac/FICO/output/MODEL16_FICO_ASSUMPTIONS_LIST.pdf</t>
      </text>
    </comment>
    <comment ref="J21" authorId="0" shapeId="0">
      <text>
        <t>SBC % of Revenue
HOW: Yellow POLICY input: flat 8.25% (3yr FY23–25 avg ShareBasedCompensation / Revenue).
WHY: MODEL16 Yacktman: Updated SBC from Model13 (Previous: 8.251% present but user CSV inspection showed weak CFO integration clarity) to Model16 (New: yellow POLICY row 21 = 8.25% from SEC companyfacts ShareBasedCompensation/Rev; CFO row 64 = Rev×SBC%; FCFF add-back once). Source: https://data.sec.gov/api/xbrl/companyfacts/CIK0000814547.json. Shares fall only via buybacks — no SBC$/Price dilution.
SOURCE: SEC 10-K cash flow — ShareBasedCompensation (add-back only; no share dilution)
LINK: https://data.sec.gov/api/xbrl/companyfacts/CIK0000814547.json
ASSUMPTIONS LIST PDF: https://raw.githubusercontent.com/vengeanceaiUSC/Rainmaker/cursor/vengeanceaiusmodel16-d3ac/FICO/output/MODEL16_FICO_ASSUMPTIONS_LIST.pdf</t>
      </text>
    </comment>
    <comment ref="K21" authorId="0" shapeId="0">
      <text>
        <t>SBC % of Revenue
HOW: Yellow POLICY input: flat 8.25% (3yr FY23–25 avg ShareBasedCompensation / Revenue).
WHY: MODEL16 Yacktman: Updated SBC from Model13 (Previous: 8.251% present but user CSV inspection showed weak CFO integration clarity) to Model16 (New: yellow POLICY row 21 = 8.25% from SEC companyfacts ShareBasedCompensation/Rev; CFO row 64 = Rev×SBC%; FCFF add-back once). Source: https://data.sec.gov/api/xbrl/companyfacts/CIK0000814547.json. Shares fall only via buybacks — no SBC$/Price dilution.
SOURCE: SEC 10-K cash flow — ShareBasedCompensation (add-back only; no share dilution)
LINK: https://data.sec.gov/api/xbrl/companyfacts/CIK0000814547.json
ASSUMPTIONS LIST PDF: https://raw.githubusercontent.com/vengeanceaiUSC/Rainmaker/cursor/vengeanceaiusmodel16-d3ac/FICO/output/MODEL16_FICO_ASSUMPTIONS_LIST.pdf</t>
      </text>
    </comment>
    <comment ref="L21" authorId="0" shapeId="0">
      <text>
        <t>SBC % of Revenue
HOW: Yellow POLICY input: flat 8.25% (3yr FY23–25 avg ShareBasedCompensation / Revenue).
WHY: MODEL16 Yacktman: Updated SBC from Model13 (Previous: 8.251% present but user CSV inspection showed weak CFO integration clarity) to Model16 (New: yellow POLICY row 21 = 8.25% from SEC companyfacts ShareBasedCompensation/Rev; CFO row 64 = Rev×SBC%; FCFF add-back once). Source: https://data.sec.gov/api/xbrl/companyfacts/CIK0000814547.json. Shares fall only via buybacks — no SBC$/Price dilution.
SOURCE: SEC 10-K cash flow — ShareBasedCompensation (add-back only; no share dilution)
LINK: https://data.sec.gov/api/xbrl/companyfacts/CIK0000814547.json
ASSUMPTIONS LIST PDF: https://raw.githubusercontent.com/vengeanceaiUSC/Rainmaker/cursor/vengeanceaiusmodel16-d3ac/FICO/output/MODEL16_FICO_ASSUMPTIONS_LIST.pdf</t>
      </text>
    </comment>
    <comment ref="M21" authorId="0" shapeId="0">
      <text>
        <t>SBC % of Revenue
HOW: Yellow POLICY input: flat 8.25% (3yr FY23–25 avg ShareBasedCompensation / Revenue).
WHY: MODEL16 Yacktman: Updated SBC from Model13 (Previous: 8.251% present but user CSV inspection showed weak CFO integration clarity) to Model16 (New: yellow POLICY row 21 = 8.25% from SEC companyfacts ShareBasedCompensation/Rev; CFO row 64 = Rev×SBC%; FCFF add-back once). Source: https://data.sec.gov/api/xbrl/companyfacts/CIK0000814547.json. Shares fall only via buybacks — no SBC$/Price dilution.
SOURCE: SEC 10-K cash flow — ShareBasedCompensation (add-back only; no share dilution)
LINK: https://data.sec.gov/api/xbrl/companyfacts/CIK0000814547.json
ASSUMPTIONS LIST PDF: https://raw.githubusercontent.com/vengeanceaiUSC/Rainmaker/cursor/vengeanceaiusmodel16-d3ac/FICO/output/MODEL16_FICO_ASSUMPTIONS_LIST.pdf</t>
      </text>
    </comment>
    <comment ref="N21" authorId="0" shapeId="0">
      <text>
        <t>SBC % of Revenue
HOW: Yellow POLICY input: flat 8.25% (3yr FY23–25 avg ShareBasedCompensation / Revenue).
WHY: MODEL16 Yacktman: Updated SBC from Model13 (Previous: 8.251% present but user CSV inspection showed weak CFO integration clarity) to Model16 (New: yellow POLICY row 21 = 8.25% from SEC companyfacts ShareBasedCompensation/Rev; CFO row 64 = Rev×SBC%; FCFF add-back once). Source: https://data.sec.gov/api/xbrl/companyfacts/CIK0000814547.json. Shares fall only via buybacks — no SBC$/Price dilution.
SOURCE: SEC 10-K cash flow — ShareBasedCompensation (add-back only; no share dilution)
LINK: https://data.sec.gov/api/xbrl/companyfacts/CIK0000814547.json
ASSUMPTIONS LIST PDF: https://raw.githubusercontent.com/vengeanceaiUSC/Rainmaker/cursor/vengeanceaiusmodel16-d3ac/FICO/output/MODEL16_FICO_ASSUMPTIONS_LIST.pdf</t>
      </text>
    </comment>
    <comment ref="U21" authorId="0" shapeId="0">
      <text>
        <t>SBC % of Revenue
HOW: Yellow POLICY input: flat 8.25% (3yr FY23–25 avg ShareBasedCompensation / Revenue).
WHY: MODEL16 Yacktman: Updated SBC from Model13 (Previous: 8.251% present but user CSV inspection showed weak CFO integration clarity) to Model16 (New: yellow POLICY row 21 = 8.25% from SEC companyfacts ShareBasedCompensation/Rev; CFO row 64 = Rev×SBC%; FCFF add-back once). Source: https://data.sec.gov/api/xbrl/companyfacts/CIK0000814547.json. Shares fall only via buybacks — no SBC$/Price dilution.
SOURCE: SEC 10-K cash flow — ShareBasedCompensation (add-back only; no share dilution)
LINK: https://data.sec.gov/api/xbrl/companyfacts/CIK0000814547.json
ASSUMPTIONS LIST PDF: https://raw.githubusercontent.com/vengeanceaiUSC/Rainmaker/cursor/vengeanceaiusmodel16-d3ac/FICO/output/MODEL16_FICO_ASSUMPTIONS_LIST.pdf</t>
      </text>
    </comment>
    <comment ref="V21" authorId="0" shapeId="0">
      <text>
        <t>Filing source for this row:
https://data.sec.gov/api/xbrl/companyfacts/CIK0000814547.json
Full Assumptions List PDF (click orange title P4):
https://raw.githubusercontent.com/vengeanceaiUSC/Rainmaker/cursor/vengeanceaiusmodel16-d3ac/FICO/output/MODEL16_FICO_ASSUMPTIONS_LIST.pdf</t>
      </text>
    </comment>
    <comment ref="B24" authorId="0" shapeId="0">
      <text>
        <t>Revenue
WHY: Prior-year revenue grown by this year’s policy growth rate; top-line driver of the model.
PATTERN: ={p}24*(1+{c}7)
LINK: https://www.sec.gov/Archives/edgar/data/814547/000081454726000031/exhibit991erq32026.htm</t>
      </text>
    </comment>
    <comment ref="J24" authorId="0" shapeId="0">
      <text>
        <t>Revenue
FORMULA: =I24*(1+J7)
WHY: Prior-year revenue grown by this year’s policy growth rate; top-line driver of the model.
LINK: https://www.sec.gov/Archives/edgar/data/814547/000081454726000031/exhibit991erq32026.htm</t>
      </text>
    </comment>
    <comment ref="K24" authorId="0" shapeId="0">
      <text>
        <t>Revenue
FORMULA: =J24*(1+K7)
WHY: Prior-year revenue grown by this year’s policy growth rate; top-line driver of the model.
LINK: https://www.sec.gov/Archives/edgar/data/814547/000081454726000031/exhibit991erq32026.htm</t>
      </text>
    </comment>
    <comment ref="L24" authorId="0" shapeId="0">
      <text>
        <t>Revenue
FORMULA: =K24*(1+L7)
WHY: Prior-year revenue grown by this year’s policy growth rate; top-line driver of the model.
LINK: https://www.sec.gov/Archives/edgar/data/814547/000081454726000031/exhibit991erq32026.htm</t>
      </text>
    </comment>
    <comment ref="M24" authorId="0" shapeId="0">
      <text>
        <t>Revenue
FORMULA: =L24*(1+M7)
WHY: Prior-year revenue grown by this year’s policy growth rate; top-line driver of the model.
LINK: https://www.sec.gov/Archives/edgar/data/814547/000081454726000031/exhibit991erq32026.htm</t>
      </text>
    </comment>
    <comment ref="N24" authorId="0" shapeId="0">
      <text>
        <t>Revenue
FORMULA: =M24*(1+N7)
WHY: Prior-year revenue grown by this year’s policy growth rate; top-line driver of the model.
LINK: https://www.sec.gov/Archives/edgar/data/814547/000081454726000031/exhibit991erq32026.htm</t>
      </text>
    </comment>
    <comment ref="B25" authorId="0" shapeId="0">
      <text>
        <t>COGS $
WHY: Revenue times COGS%; converts the held margin assumption into dollar cost of sales.
PATTERN: ={c}24*{c}8
LINK: https://www.sec.gov/Archives/edgar/data/814547/000081454725000030/fico-20250930.htm</t>
      </text>
    </comment>
    <comment ref="J25" authorId="0" shapeId="0">
      <text>
        <t>COGS $
FORMULA: =J24*J8
WHY: Revenue times COGS%; converts the held margin assumption into dollar cost of sales.
LINK: https://www.sec.gov/Archives/edgar/data/814547/000081454725000030/fico-20250930.htm</t>
      </text>
    </comment>
    <comment ref="K25" authorId="0" shapeId="0">
      <text>
        <t>COGS $
FORMULA: =K24*K8
WHY: Revenue times COGS%; converts the held margin assumption into dollar cost of sales.
LINK: https://www.sec.gov/Archives/edgar/data/814547/000081454725000030/fico-20250930.htm</t>
      </text>
    </comment>
    <comment ref="L25" authorId="0" shapeId="0">
      <text>
        <t>COGS $
FORMULA: =L24*L8
WHY: Revenue times COGS%; converts the held margin assumption into dollar cost of sales.
LINK: https://www.sec.gov/Archives/edgar/data/814547/000081454725000030/fico-20250930.htm</t>
      </text>
    </comment>
    <comment ref="M25" authorId="0" shapeId="0">
      <text>
        <t>COGS $
FORMULA: =M24*M8
WHY: Revenue times COGS%; converts the held margin assumption into dollar cost of sales.
LINK: https://www.sec.gov/Archives/edgar/data/814547/000081454725000030/fico-20250930.htm</t>
      </text>
    </comment>
    <comment ref="N25" authorId="0" shapeId="0">
      <text>
        <t>COGS $
FORMULA: =N24*N8
WHY: Revenue times COGS%; converts the held margin assumption into dollar cost of sales.
LINK: https://www.sec.gov/Archives/edgar/data/814547/000081454725000030/fico-20250930.htm</t>
      </text>
    </comment>
    <comment ref="B26" authorId="0" shapeId="0">
      <text>
        <t>Gross profit
WHY: Revenue minus COGS; contribution after direct cost of revenues before operating expenses.
PATTERN: ={c}24-{c}25
LINK: https://www.sec.gov/Archives/edgar/data/814547/000081454725000030/fico-20250930.htm</t>
      </text>
    </comment>
    <comment ref="J26" authorId="0" shapeId="0">
      <text>
        <t>Gross profit
FORMULA: =J24-J25
WHY: Revenue minus COGS; contribution after direct cost of revenues before operating expenses.
LINK: https://www.sec.gov/Archives/edgar/data/814547/000081454725000030/fico-20250930.htm</t>
      </text>
    </comment>
    <comment ref="K26" authorId="0" shapeId="0">
      <text>
        <t>Gross profit
FORMULA: =K24-K25
WHY: Revenue minus COGS; contribution after direct cost of revenues before operating expenses.
LINK: https://www.sec.gov/Archives/edgar/data/814547/000081454725000030/fico-20250930.htm</t>
      </text>
    </comment>
    <comment ref="L26" authorId="0" shapeId="0">
      <text>
        <t>Gross profit
FORMULA: =L24-L25
WHY: Revenue minus COGS; contribution after direct cost of revenues before operating expenses.
LINK: https://www.sec.gov/Archives/edgar/data/814547/000081454725000030/fico-20250930.htm</t>
      </text>
    </comment>
    <comment ref="M26" authorId="0" shapeId="0">
      <text>
        <t>Gross profit
FORMULA: =M24-M25
WHY: Revenue minus COGS; contribution after direct cost of revenues before operating expenses.
LINK: https://www.sec.gov/Archives/edgar/data/814547/000081454725000030/fico-20250930.htm</t>
      </text>
    </comment>
    <comment ref="N26" authorId="0" shapeId="0">
      <text>
        <t>Gross profit
FORMULA: =N24-N25
WHY: Revenue minus COGS; contribution after direct cost of revenues before operating expenses.
LINK: https://www.sec.gov/Archives/edgar/data/814547/000081454725000030/fico-20250930.htm</t>
      </text>
    </comment>
    <comment ref="B28" authorId="0" shapeId="0">
      <text>
        <t>SG&amp;A $
WHY: Revenue times SG&amp;A%; operating opex after the −75bps efficiency grind on the rate.
PATTERN: ={c}24*{c}9
LINK: https://www.sec.gov/Archives/edgar/data/814547/000081454725000030/fico-20250930.htm</t>
      </text>
    </comment>
    <comment ref="J28" authorId="0" shapeId="0">
      <text>
        <t>SG&amp;A $
FORMULA: =J24*J9
WHY: Revenue times SG&amp;A%; operating opex after the −75bps efficiency grind on the rate.
LINK: https://www.sec.gov/Archives/edgar/data/814547/000081454725000030/fico-20250930.htm</t>
      </text>
    </comment>
    <comment ref="K28" authorId="0" shapeId="0">
      <text>
        <t>SG&amp;A $
FORMULA: =K24*K9
WHY: Revenue times SG&amp;A%; operating opex after the −75bps efficiency grind on the rate.
LINK: https://www.sec.gov/Archives/edgar/data/814547/000081454725000030/fico-20250930.htm</t>
      </text>
    </comment>
    <comment ref="L28" authorId="0" shapeId="0">
      <text>
        <t>SG&amp;A $
FORMULA: =L24*L9
WHY: Revenue times SG&amp;A%; operating opex after the −75bps efficiency grind on the rate.
LINK: https://www.sec.gov/Archives/edgar/data/814547/000081454725000030/fico-20250930.htm</t>
      </text>
    </comment>
    <comment ref="M28" authorId="0" shapeId="0">
      <text>
        <t>SG&amp;A $
FORMULA: =M24*M9
WHY: Revenue times SG&amp;A%; operating opex after the −75bps efficiency grind on the rate.
LINK: https://www.sec.gov/Archives/edgar/data/814547/000081454725000030/fico-20250930.htm</t>
      </text>
    </comment>
    <comment ref="N28" authorId="0" shapeId="0">
      <text>
        <t>SG&amp;A $
FORMULA: =N24*N9
WHY: Revenue times SG&amp;A%; operating opex after the −75bps efficiency grind on the rate.
LINK: https://www.sec.gov/Archives/edgar/data/814547/000081454725000030/fico-20250930.htm</t>
      </text>
    </comment>
    <comment ref="B29" authorId="0" shapeId="0">
      <text>
        <t>R&amp;D $
WHY: Revenue times R&amp;D%; research spend scales with sales at the FY25 reinvestment rate.
PATTERN: ={c}24*{c}10
LINK: https://www.sec.gov/Archives/edgar/data/814547/000081454725000030/fico-20250930.htm</t>
      </text>
    </comment>
    <comment ref="J29" authorId="0" shapeId="0">
      <text>
        <t>R&amp;D $
FORMULA: =J24*J10
WHY: Revenue times R&amp;D%; research spend scales with sales at the FY25 reinvestment rate.
LINK: https://www.sec.gov/Archives/edgar/data/814547/000081454725000030/fico-20250930.htm</t>
      </text>
    </comment>
    <comment ref="K29" authorId="0" shapeId="0">
      <text>
        <t>R&amp;D $
FORMULA: =K24*K10
WHY: Revenue times R&amp;D%; research spend scales with sales at the FY25 reinvestment rate.
LINK: https://www.sec.gov/Archives/edgar/data/814547/000081454725000030/fico-20250930.htm</t>
      </text>
    </comment>
    <comment ref="L29" authorId="0" shapeId="0">
      <text>
        <t>R&amp;D $
FORMULA: =L24*L10
WHY: Revenue times R&amp;D%; research spend scales with sales at the FY25 reinvestment rate.
LINK: https://www.sec.gov/Archives/edgar/data/814547/000081454725000030/fico-20250930.htm</t>
      </text>
    </comment>
    <comment ref="M29" authorId="0" shapeId="0">
      <text>
        <t>R&amp;D $
FORMULA: =M24*M10
WHY: Revenue times R&amp;D%; research spend scales with sales at the FY25 reinvestment rate.
LINK: https://www.sec.gov/Archives/edgar/data/814547/000081454725000030/fico-20250930.htm</t>
      </text>
    </comment>
    <comment ref="N29" authorId="0" shapeId="0">
      <text>
        <t>R&amp;D $
FORMULA: =N24*N10
WHY: Revenue times R&amp;D%; research spend scales with sales at the FY25 reinvestment rate.
LINK: https://www.sec.gov/Archives/edgar/data/814547/000081454725000030/fico-20250930.htm</t>
      </text>
    </comment>
    <comment ref="B30" authorId="0" shapeId="0">
      <text>
        <t>D&amp;A $
WHY: Revenue times DA%; total D&amp;A including software amortization as % of sales.
PATTERN: ={c}24*{c}11
LINK: https://www.sec.gov/Archives/edgar/data/814547/000081454725000030/fico-20250930.htm</t>
      </text>
    </comment>
    <comment ref="J30" authorId="0" shapeId="0">
      <text>
        <t>D&amp;A $
FORMULA: =J24*J11
WHY: Revenue times DA%; total D&amp;A including software amortization as % of sales.
LINK: https://www.sec.gov/Archives/edgar/data/814547/000081454725000030/fico-20250930.htm</t>
      </text>
    </comment>
    <comment ref="K30" authorId="0" shapeId="0">
      <text>
        <t>D&amp;A $
FORMULA: =K24*K11
WHY: Revenue times DA%; total D&amp;A including software amortization as % of sales.
LINK: https://www.sec.gov/Archives/edgar/data/814547/000081454725000030/fico-20250930.htm</t>
      </text>
    </comment>
    <comment ref="L30" authorId="0" shapeId="0">
      <text>
        <t>D&amp;A $
FORMULA: =L24*L11
WHY: Revenue times DA%; total D&amp;A including software amortization as % of sales.
LINK: https://www.sec.gov/Archives/edgar/data/814547/000081454725000030/fico-20250930.htm</t>
      </text>
    </comment>
    <comment ref="M30" authorId="0" shapeId="0">
      <text>
        <t>D&amp;A $
FORMULA: =M24*M11
WHY: Revenue times DA%; total D&amp;A including software amortization as % of sales.
LINK: https://www.sec.gov/Archives/edgar/data/814547/000081454725000030/fico-20250930.htm</t>
      </text>
    </comment>
    <comment ref="N30" authorId="0" shapeId="0">
      <text>
        <t>D&amp;A $
FORMULA: =N24*N11
WHY: Revenue times DA%; total D&amp;A including software amortization as % of sales.
LINK: https://www.sec.gov/Archives/edgar/data/814547/000081454725000030/fico-20250930.htm</t>
      </text>
    </comment>
    <comment ref="B31" authorId="0" shapeId="0">
      <text>
        <t>Interest $
WHY: Opening debt times interest%; coupon on the debt stock while issuance policy is zero.
PATTERN: ={c}98*{c}12
LINK: https://www.sec.gov/Archives/edgar/data/814547/000081454725000030/fico-20250930.htm</t>
      </text>
    </comment>
    <comment ref="J31" authorId="0" shapeId="0">
      <text>
        <t>Interest $
FORMULA: =J98*J12
WHY: Opening debt times interest%; coupon on the debt stock while issuance policy is zero.
LINK: https://www.sec.gov/Archives/edgar/data/814547/000081454725000030/fico-20250930.htm</t>
      </text>
    </comment>
    <comment ref="K31" authorId="0" shapeId="0">
      <text>
        <t>Interest $
FORMULA: =K98*K12
WHY: Opening debt times interest%; coupon on the debt stock while issuance policy is zero.
LINK: https://www.sec.gov/Archives/edgar/data/814547/000081454725000030/fico-20250930.htm</t>
      </text>
    </comment>
    <comment ref="L31" authorId="0" shapeId="0">
      <text>
        <t>Interest $
FORMULA: =L98*L12
WHY: Opening debt times interest%; coupon on the debt stock while issuance policy is zero.
LINK: https://www.sec.gov/Archives/edgar/data/814547/000081454725000030/fico-20250930.htm</t>
      </text>
    </comment>
    <comment ref="M31" authorId="0" shapeId="0">
      <text>
        <t>Interest $
FORMULA: =M98*M12
WHY: Opening debt times interest%; coupon on the debt stock while issuance policy is zero.
LINK: https://www.sec.gov/Archives/edgar/data/814547/000081454725000030/fico-20250930.htm</t>
      </text>
    </comment>
    <comment ref="N31" authorId="0" shapeId="0">
      <text>
        <t>Interest $
FORMULA: =N98*N12
WHY: Opening debt times interest%; coupon on the debt stock while issuance policy is zero.
LINK: https://www.sec.gov/Archives/edgar/data/814547/000081454725000030/fico-20250930.htm</t>
      </text>
    </comment>
    <comment ref="B32" authorId="0" shapeId="0">
      <text>
        <t>Total expenses
WHY: Sum of SGA, R&amp;D, D&amp;A, and interest; all operating and financing costs above EBT.
PATTERN: =SUM({c}28:{c}31)
LINK: https://www.sec.gov/Archives/edgar/data/814547/000081454725000030/fico-20250930.htm</t>
      </text>
    </comment>
    <comment ref="J32" authorId="0" shapeId="0">
      <text>
        <t>Total expenses
FORMULA: =SUM(J28:J31)
WHY: Sum of SGA, R&amp;D, D&amp;A, and interest; all operating and financing costs above EBT.
LINK: https://www.sec.gov/Archives/edgar/data/814547/000081454725000030/fico-20250930.htm</t>
      </text>
    </comment>
    <comment ref="K32" authorId="0" shapeId="0">
      <text>
        <t>Total expenses
FORMULA: =SUM(K28:K31)
WHY: Sum of SGA, R&amp;D, D&amp;A, and interest; all operating and financing costs above EBT.
LINK: https://www.sec.gov/Archives/edgar/data/814547/000081454725000030/fico-20250930.htm</t>
      </text>
    </comment>
    <comment ref="L32" authorId="0" shapeId="0">
      <text>
        <t>Total expenses
FORMULA: =SUM(L28:L31)
WHY: Sum of SGA, R&amp;D, D&amp;A, and interest; all operating and financing costs above EBT.
LINK: https://www.sec.gov/Archives/edgar/data/814547/000081454725000030/fico-20250930.htm</t>
      </text>
    </comment>
    <comment ref="M32" authorId="0" shapeId="0">
      <text>
        <t>Total expenses
FORMULA: =SUM(M28:M31)
WHY: Sum of SGA, R&amp;D, D&amp;A, and interest; all operating and financing costs above EBT.
LINK: https://www.sec.gov/Archives/edgar/data/814547/000081454725000030/fico-20250930.htm</t>
      </text>
    </comment>
    <comment ref="N32" authorId="0" shapeId="0">
      <text>
        <t>Total expenses
FORMULA: =SUM(N28:N31)
WHY: Sum of SGA, R&amp;D, D&amp;A, and interest; all operating and financing costs above EBT.
LINK: https://www.sec.gov/Archives/edgar/data/814547/000081454725000030/fico-20250930.htm</t>
      </text>
    </comment>
    <comment ref="B33" authorId="0" shapeId="0">
      <text>
        <t>EBT
WHY: Gross profit minus total expenses; earnings before tax in this simplified template.
PATTERN: ={c}26-{c}32
LINK: https://www.sec.gov/Archives/edgar/data/814547/000081454725000030/fico-20250930.htm</t>
      </text>
    </comment>
    <comment ref="J33" authorId="0" shapeId="0">
      <text>
        <t>EBT
FORMULA: =J26-J32
WHY: Gross profit minus total expenses; earnings before tax in this simplified template.
LINK: https://www.sec.gov/Archives/edgar/data/814547/000081454725000030/fico-20250930.htm</t>
      </text>
    </comment>
    <comment ref="K33" authorId="0" shapeId="0">
      <text>
        <t>EBT
FORMULA: =K26-K32
WHY: Gross profit minus total expenses; earnings before tax in this simplified template.
LINK: https://www.sec.gov/Archives/edgar/data/814547/000081454725000030/fico-20250930.htm</t>
      </text>
    </comment>
    <comment ref="L33" authorId="0" shapeId="0">
      <text>
        <t>EBT
FORMULA: =L26-L32
WHY: Gross profit minus total expenses; earnings before tax in this simplified template.
LINK: https://www.sec.gov/Archives/edgar/data/814547/000081454725000030/fico-20250930.htm</t>
      </text>
    </comment>
    <comment ref="M33" authorId="0" shapeId="0">
      <text>
        <t>EBT
FORMULA: =M26-M32
WHY: Gross profit minus total expenses; earnings before tax in this simplified template.
LINK: https://www.sec.gov/Archives/edgar/data/814547/000081454725000030/fico-20250930.htm</t>
      </text>
    </comment>
    <comment ref="N33" authorId="0" shapeId="0">
      <text>
        <t>EBT
FORMULA: =N26-N32
WHY: Gross profit minus total expenses; earnings before tax in this simplified template.
LINK: https://www.sec.gov/Archives/edgar/data/814547/000081454725000030/fico-20250930.htm</t>
      </text>
    </comment>
    <comment ref="B35" authorId="0" shapeId="0">
      <text>
        <t>Taxes $
WHY: EBT times effective tax rate; book tax expense for the income statement.
PATTERN: ={c}33*{c}13
LINK: https://www.sec.gov/Archives/edgar/data/814547/000081454725000030/fico-20250930.htm</t>
      </text>
    </comment>
    <comment ref="J35" authorId="0" shapeId="0">
      <text>
        <t>Taxes $
FORMULA: =J33*J13
WHY: EBT times effective tax rate; book tax expense for the income statement.
LINK: https://www.sec.gov/Archives/edgar/data/814547/000081454725000030/fico-20250930.htm</t>
      </text>
    </comment>
    <comment ref="K35" authorId="0" shapeId="0">
      <text>
        <t>Taxes $
FORMULA: =K33*K13
WHY: EBT times effective tax rate; book tax expense for the income statement.
LINK: https://www.sec.gov/Archives/edgar/data/814547/000081454725000030/fico-20250930.htm</t>
      </text>
    </comment>
    <comment ref="L35" authorId="0" shapeId="0">
      <text>
        <t>Taxes $
FORMULA: =L33*L13
WHY: EBT times effective tax rate; book tax expense for the income statement.
LINK: https://www.sec.gov/Archives/edgar/data/814547/000081454725000030/fico-20250930.htm</t>
      </text>
    </comment>
    <comment ref="M35" authorId="0" shapeId="0">
      <text>
        <t>Taxes $
FORMULA: =M33*M13
WHY: EBT times effective tax rate; book tax expense for the income statement.
LINK: https://www.sec.gov/Archives/edgar/data/814547/000081454725000030/fico-20250930.htm</t>
      </text>
    </comment>
    <comment ref="N35" authorId="0" shapeId="0">
      <text>
        <t>Taxes $
FORMULA: =N33*N13
WHY: EBT times effective tax rate; book tax expense for the income statement.
LINK: https://www.sec.gov/Archives/edgar/data/814547/000081454725000030/fico-20250930.htm</t>
      </text>
    </comment>
    <comment ref="B36" authorId="0" shapeId="0">
      <text>
        <t>Net earnings
WHY: EBT kept after tax; full equation, not a pointer, so NI tracks the tax rate driver.
PATTERN: ={c}33*(1-{c}13)
LINK: https://www.sec.gov/Archives/edgar/data/814547/000081454725000030/fico-20250930.htm</t>
      </text>
    </comment>
    <comment ref="J36" authorId="0" shapeId="0">
      <text>
        <t>Net earnings
FORMULA: =J33*(1-J13)
WHY: EBT kept after tax; full equation, not a pointer, so NI tracks the tax rate driver.
LINK: https://www.sec.gov/Archives/edgar/data/814547/000081454725000030/fico-20250930.htm</t>
      </text>
    </comment>
    <comment ref="K36" authorId="0" shapeId="0">
      <text>
        <t>Net earnings
FORMULA: =K33*(1-K13)
WHY: EBT kept after tax; full equation, not a pointer, so NI tracks the tax rate driver.
LINK: https://www.sec.gov/Archives/edgar/data/814547/000081454725000030/fico-20250930.htm</t>
      </text>
    </comment>
    <comment ref="L36" authorId="0" shapeId="0">
      <text>
        <t>Net earnings
FORMULA: =L33*(1-L13)
WHY: EBT kept after tax; full equation, not a pointer, so NI tracks the tax rate driver.
LINK: https://www.sec.gov/Archives/edgar/data/814547/000081454725000030/fico-20250930.htm</t>
      </text>
    </comment>
    <comment ref="M36" authorId="0" shapeId="0">
      <text>
        <t>Net earnings
FORMULA: =M33*(1-M13)
WHY: EBT kept after tax; full equation, not a pointer, so NI tracks the tax rate driver.
LINK: https://www.sec.gov/Archives/edgar/data/814547/000081454725000030/fico-20250930.htm</t>
      </text>
    </comment>
    <comment ref="N36" authorId="0" shapeId="0">
      <text>
        <t>Net earnings
FORMULA: =N33*(1-N13)
WHY: EBT kept after tax; full equation, not a pointer, so NI tracks the tax rate driver.
LINK: https://www.sec.gov/Archives/edgar/data/814547/000081454725000030/fico-20250930.htm</t>
      </text>
    </comment>
    <comment ref="B41" authorId="0" shapeId="0">
      <text>
        <t>Cash (BS)
WHY: Balance-sheet cash equals cash-flow closing cash so the three statements stay linked.
PATTERN: ={c}78
LINK: https://www.sec.gov/Archives/edgar/data/814547/000081454725000030/fico-20250930.htm</t>
      </text>
    </comment>
    <comment ref="J41" authorId="0" shapeId="0">
      <text>
        <t>Cash (BS)
FORMULA: =J78
WHY: Balance-sheet cash equals cash-flow closing cash so the three statements stay linked.
LINK: https://www.sec.gov/Archives/edgar/data/814547/000081454725000030/fico-20250930.htm</t>
      </text>
    </comment>
    <comment ref="K41" authorId="0" shapeId="0">
      <text>
        <t>Cash (BS)
FORMULA: =K78
WHY: Balance-sheet cash equals cash-flow closing cash so the three statements stay linked.
LINK: https://www.sec.gov/Archives/edgar/data/814547/000081454725000030/fico-20250930.htm</t>
      </text>
    </comment>
    <comment ref="L41" authorId="0" shapeId="0">
      <text>
        <t>Cash (BS)
FORMULA: =L78
WHY: Balance-sheet cash equals cash-flow closing cash so the three statements stay linked.
LINK: https://www.sec.gov/Archives/edgar/data/814547/000081454725000030/fico-20250930.htm</t>
      </text>
    </comment>
    <comment ref="M41" authorId="0" shapeId="0">
      <text>
        <t>Cash (BS)
FORMULA: =M78
WHY: Balance-sheet cash equals cash-flow closing cash so the three statements stay linked.
LINK: https://www.sec.gov/Archives/edgar/data/814547/000081454725000030/fico-20250930.htm</t>
      </text>
    </comment>
    <comment ref="N41" authorId="0" shapeId="0">
      <text>
        <t>Cash (BS)
FORMULA: =N78
WHY: Balance-sheet cash equals cash-flow closing cash so the three statements stay linked.
LINK: https://www.sec.gov/Archives/edgar/data/814547/000081454725000030/fico-20250930.htm</t>
      </text>
    </comment>
    <comment ref="B42" authorId="0" shapeId="0">
      <text>
        <t>AR $
WHY: Revenue × DSO / 365; receivables from the days-sales-outstanding assumption (no AR plug).
PATTERN: ={c}24*{c}15/365
LINK: https://data.sec.gov/api/xbrl/companyfacts/CIK0000814547.json</t>
      </text>
    </comment>
    <comment ref="J42" authorId="0" shapeId="0">
      <text>
        <t>AR $
FORMULA: =J24*J15/365
WHY: Revenue × DSO / 365; receivables from the days-sales-outstanding assumption (no AR plug).
LINK: https://data.sec.gov/api/xbrl/companyfacts/CIK0000814547.json</t>
      </text>
    </comment>
    <comment ref="K42" authorId="0" shapeId="0">
      <text>
        <t>AR $
FORMULA: =K24*K15/365
WHY: Revenue × DSO / 365; receivables from the days-sales-outstanding assumption (no AR plug).
LINK: https://data.sec.gov/api/xbrl/companyfacts/CIK0000814547.json</t>
      </text>
    </comment>
    <comment ref="L42" authorId="0" shapeId="0">
      <text>
        <t>AR $
FORMULA: =L24*L15/365
WHY: Revenue × DSO / 365; receivables from the days-sales-outstanding assumption (no AR plug).
LINK: https://data.sec.gov/api/xbrl/companyfacts/CIK0000814547.json</t>
      </text>
    </comment>
    <comment ref="M42" authorId="0" shapeId="0">
      <text>
        <t>AR $
FORMULA: =M24*M15/365
WHY: Revenue × DSO / 365; receivables from the days-sales-outstanding assumption (no AR plug).
LINK: https://data.sec.gov/api/xbrl/companyfacts/CIK0000814547.json</t>
      </text>
    </comment>
    <comment ref="N42" authorId="0" shapeId="0">
      <text>
        <t>AR $
FORMULA: =N24*N15/365
WHY: Revenue × DSO / 365; receivables from the days-sales-outstanding assumption (no AR plug).
LINK: https://data.sec.gov/api/xbrl/companyfacts/CIK0000814547.json</t>
      </text>
    </comment>
    <comment ref="B43" authorId="0" shapeId="0">
      <text>
        <t>Inventory $
WHY: COGS × inventory days / 365; stays zero because inventory days are policy zero.
PATTERN: ={c}25*{c}16/365
LINK: https://www.sec.gov/Archives/edgar/data/814547/000081454725000030/fico-20250930.htm</t>
      </text>
    </comment>
    <comment ref="J43" authorId="0" shapeId="0">
      <text>
        <t>Inventory $
FORMULA: =J25*J16/365
WHY: COGS × inventory days / 365; stays zero because inventory days are policy zero.
LINK: https://www.sec.gov/Archives/edgar/data/814547/000081454725000030/fico-20250930.htm</t>
      </text>
    </comment>
    <comment ref="K43" authorId="0" shapeId="0">
      <text>
        <t>Inventory $
FORMULA: =K25*K16/365
WHY: COGS × inventory days / 365; stays zero because inventory days are policy zero.
LINK: https://www.sec.gov/Archives/edgar/data/814547/000081454725000030/fico-20250930.htm</t>
      </text>
    </comment>
    <comment ref="L43" authorId="0" shapeId="0">
      <text>
        <t>Inventory $
FORMULA: =L25*L16/365
WHY: COGS × inventory days / 365; stays zero because inventory days are policy zero.
LINK: https://www.sec.gov/Archives/edgar/data/814547/000081454725000030/fico-20250930.htm</t>
      </text>
    </comment>
    <comment ref="M43" authorId="0" shapeId="0">
      <text>
        <t>Inventory $
FORMULA: =M25*M16/365
WHY: COGS × inventory days / 365; stays zero because inventory days are policy zero.
LINK: https://www.sec.gov/Archives/edgar/data/814547/000081454725000030/fico-20250930.htm</t>
      </text>
    </comment>
    <comment ref="N43" authorId="0" shapeId="0">
      <text>
        <t>Inventory $
FORMULA: =N25*N16/365
WHY: COGS × inventory days / 365; stays zero because inventory days are policy zero.
LINK: https://www.sec.gov/Archives/edgar/data/814547/000081454725000030/fico-20250930.htm</t>
      </text>
    </comment>
    <comment ref="B44" authorId="0" shapeId="0">
      <text>
        <t>PP&amp;E (BS)
WHY: Net PP&amp;E equals the PPE schedule closing balance after CapEx and depreciation.
PATTERN: ={c}95
LINK: https://www.sec.gov/Archives/edgar/data/814547/000081454725000030/fico-20250930.htm</t>
      </text>
    </comment>
    <comment ref="J44" authorId="0" shapeId="0">
      <text>
        <t>PP&amp;E (BS)
FORMULA: =J95
WHY: Net PP&amp;E equals the PPE schedule closing balance after CapEx and depreciation.
LINK: https://www.sec.gov/Archives/edgar/data/814547/000081454725000030/fico-20250930.htm</t>
      </text>
    </comment>
    <comment ref="K44" authorId="0" shapeId="0">
      <text>
        <t>PP&amp;E (BS)
FORMULA: =K95
WHY: Net PP&amp;E equals the PPE schedule closing balance after CapEx and depreciation.
LINK: https://www.sec.gov/Archives/edgar/data/814547/000081454725000030/fico-20250930.htm</t>
      </text>
    </comment>
    <comment ref="L44" authorId="0" shapeId="0">
      <text>
        <t>PP&amp;E (BS)
FORMULA: =L95
WHY: Net PP&amp;E equals the PPE schedule closing balance after CapEx and depreciation.
LINK: https://www.sec.gov/Archives/edgar/data/814547/000081454725000030/fico-20250930.htm</t>
      </text>
    </comment>
    <comment ref="M44" authorId="0" shapeId="0">
      <text>
        <t>PP&amp;E (BS)
FORMULA: =M95
WHY: Net PP&amp;E equals the PPE schedule closing balance after CapEx and depreciation.
LINK: https://www.sec.gov/Archives/edgar/data/814547/000081454725000030/fico-20250930.htm</t>
      </text>
    </comment>
    <comment ref="N44" authorId="0" shapeId="0">
      <text>
        <t>PP&amp;E (BS)
FORMULA: =N95
WHY: Net PP&amp;E equals the PPE schedule closing balance after CapEx and depreciation.
LINK: https://www.sec.gov/Archives/edgar/data/814547/000081454725000030/fico-20250930.htm</t>
      </text>
    </comment>
    <comment ref="B45" authorId="0" shapeId="0">
      <text>
        <t>Total assets
WHY: Cash + AR + inventory + PP&amp;E; simplified asset base used for the balance-sheet check.
PATTERN: =SUM({c}41:{c}44)
LINK: https://www.sec.gov/Archives/edgar/data/814547/000081454725000030/fico-20250930.htm</t>
      </text>
    </comment>
    <comment ref="J45" authorId="0" shapeId="0">
      <text>
        <t>Total assets
FORMULA: =SUM(J41:J44)
WHY: Cash + AR + inventory + PP&amp;E; simplified asset base used for the balance-sheet check.
LINK: https://www.sec.gov/Archives/edgar/data/814547/000081454725000030/fico-20250930.htm</t>
      </text>
    </comment>
    <comment ref="K45" authorId="0" shapeId="0">
      <text>
        <t>Total assets
FORMULA: =SUM(K41:K44)
WHY: Cash + AR + inventory + PP&amp;E; simplified asset base used for the balance-sheet check.
LINK: https://www.sec.gov/Archives/edgar/data/814547/000081454725000030/fico-20250930.htm</t>
      </text>
    </comment>
    <comment ref="L45" authorId="0" shapeId="0">
      <text>
        <t>Total assets
FORMULA: =SUM(L41:L44)
WHY: Cash + AR + inventory + PP&amp;E; simplified asset base used for the balance-sheet check.
LINK: https://www.sec.gov/Archives/edgar/data/814547/000081454725000030/fico-20250930.htm</t>
      </text>
    </comment>
    <comment ref="M45" authorId="0" shapeId="0">
      <text>
        <t>Total assets
FORMULA: =SUM(M41:M44)
WHY: Cash + AR + inventory + PP&amp;E; simplified asset base used for the balance-sheet check.
LINK: https://www.sec.gov/Archives/edgar/data/814547/000081454725000030/fico-20250930.htm</t>
      </text>
    </comment>
    <comment ref="N45" authorId="0" shapeId="0">
      <text>
        <t>Total assets
FORMULA: =SUM(N41:N44)
WHY: Cash + AR + inventory + PP&amp;E; simplified asset base used for the balance-sheet check.
LINK: https://www.sec.gov/Archives/edgar/data/814547/000081454725000030/fico-20250930.htm</t>
      </text>
    </comment>
    <comment ref="B48" authorId="0" shapeId="0">
      <text>
        <t>AP $
WHY: COGS × DPO / 365; payables from the days-payable-outstanding assumption.
PATTERN: ={c}25*{c}17/365
LINK: https://www.sec.gov/Archives/edgar/data/814547/000081454725000030/fico-20250930.htm</t>
      </text>
    </comment>
    <comment ref="J48" authorId="0" shapeId="0">
      <text>
        <t>AP $
FORMULA: =J25*J17/365
WHY: COGS × DPO / 365; payables from the days-payable-outstanding assumption.
LINK: https://www.sec.gov/Archives/edgar/data/814547/000081454725000030/fico-20250930.htm</t>
      </text>
    </comment>
    <comment ref="K48" authorId="0" shapeId="0">
      <text>
        <t>AP $
FORMULA: =K25*K17/365
WHY: COGS × DPO / 365; payables from the days-payable-outstanding assumption.
LINK: https://www.sec.gov/Archives/edgar/data/814547/000081454725000030/fico-20250930.htm</t>
      </text>
    </comment>
    <comment ref="L48" authorId="0" shapeId="0">
      <text>
        <t>AP $
FORMULA: =L25*L17/365
WHY: COGS × DPO / 365; payables from the days-payable-outstanding assumption.
LINK: https://www.sec.gov/Archives/edgar/data/814547/000081454725000030/fico-20250930.htm</t>
      </text>
    </comment>
    <comment ref="M48" authorId="0" shapeId="0">
      <text>
        <t>AP $
FORMULA: =M25*M17/365
WHY: COGS × DPO / 365; payables from the days-payable-outstanding assumption.
LINK: https://www.sec.gov/Archives/edgar/data/814547/000081454725000030/fico-20250930.htm</t>
      </text>
    </comment>
    <comment ref="N48" authorId="0" shapeId="0">
      <text>
        <t>AP $
FORMULA: =N25*N17/365
WHY: COGS × DPO / 365; payables from the days-payable-outstanding assumption.
LINK: https://www.sec.gov/Archives/edgar/data/814547/000081454725000030/fico-20250930.htm</t>
      </text>
    </comment>
    <comment ref="B49" authorId="0" shapeId="0">
      <text>
        <t>Debt (BS)
WHY: Debt equals the debt-schedule closing balance (open + issuance, issuance usually 0).
PATTERN: ={c}100
LINK: https://www.sec.gov/Archives/edgar/data/814547/000081454725000030/fico-20250930.htm</t>
      </text>
    </comment>
    <comment ref="J49" authorId="0" shapeId="0">
      <text>
        <t>Debt (BS)
FORMULA: =J100
WHY: Debt equals the debt-schedule closing balance (open + issuance, issuance usually 0).
LINK: https://www.sec.gov/Archives/edgar/data/814547/000081454725000030/fico-20250930.htm</t>
      </text>
    </comment>
    <comment ref="K49" authorId="0" shapeId="0">
      <text>
        <t>Debt (BS)
FORMULA: =K100
WHY: Debt equals the debt-schedule closing balance (open + issuance, issuance usually 0).
LINK: https://www.sec.gov/Archives/edgar/data/814547/000081454725000030/fico-20250930.htm</t>
      </text>
    </comment>
    <comment ref="L49" authorId="0" shapeId="0">
      <text>
        <t>Debt (BS)
FORMULA: =L100
WHY: Debt equals the debt-schedule closing balance (open + issuance, issuance usually 0).
LINK: https://www.sec.gov/Archives/edgar/data/814547/000081454725000030/fico-20250930.htm</t>
      </text>
    </comment>
    <comment ref="M49" authorId="0" shapeId="0">
      <text>
        <t>Debt (BS)
FORMULA: =M100
WHY: Debt equals the debt-schedule closing balance (open + issuance, issuance usually 0).
LINK: https://www.sec.gov/Archives/edgar/data/814547/000081454725000030/fico-20250930.htm</t>
      </text>
    </comment>
    <comment ref="N49" authorId="0" shapeId="0">
      <text>
        <t>Debt (BS)
FORMULA: =N100
WHY: Debt equals the debt-schedule closing balance (open + issuance, issuance usually 0).
LINK: https://www.sec.gov/Archives/edgar/data/814547/000081454725000030/fico-20250930.htm</t>
      </text>
    </comment>
    <comment ref="B50" authorId="0" shapeId="0">
      <text>
        <t>Total liabilities
WHY: AP + Debt + Deferred Revenue (row 88); Deferred is a real BS contract liability.
PATTERN: ={c}48+{c}49+{c}88
LINK: https://www.sec.gov/Archives/edgar/data/814547/000081454725000030/fico-20250930.htm</t>
      </text>
    </comment>
    <comment ref="J50" authorId="0" shapeId="0">
      <text>
        <t>Total liabilities
FORMULA: =J48+J49+J88
WHY: AP + Debt + Deferred Revenue (row 88); Deferred is a real BS contract liability.
LINK: https://www.sec.gov/Archives/edgar/data/814547/000081454725000030/fico-20250930.htm</t>
      </text>
    </comment>
    <comment ref="K50" authorId="0" shapeId="0">
      <text>
        <t>Total liabilities
FORMULA: =K48+K49+K88
WHY: AP + Debt + Deferred Revenue (row 88); Deferred is a real BS contract liability.
LINK: https://www.sec.gov/Archives/edgar/data/814547/000081454725000030/fico-20250930.htm</t>
      </text>
    </comment>
    <comment ref="L50" authorId="0" shapeId="0">
      <text>
        <t>Total liabilities
FORMULA: =L48+L49+L88
WHY: AP + Debt + Deferred Revenue (row 88); Deferred is a real BS contract liability.
LINK: https://www.sec.gov/Archives/edgar/data/814547/000081454725000030/fico-20250930.htm</t>
      </text>
    </comment>
    <comment ref="M50" authorId="0" shapeId="0">
      <text>
        <t>Total liabilities
FORMULA: =M48+M49+M88
WHY: AP + Debt + Deferred Revenue (row 88); Deferred is a real BS contract liability.
LINK: https://www.sec.gov/Archives/edgar/data/814547/000081454725000030/fico-20250930.htm</t>
      </text>
    </comment>
    <comment ref="N50" authorId="0" shapeId="0">
      <text>
        <t>Total liabilities
FORMULA: =N48+N49+N88
WHY: AP + Debt + Deferred Revenue (row 88); Deferred is a real BS contract liability.
LINK: https://www.sec.gov/Archives/edgar/data/814547/000081454725000030/fico-20250930.htm</t>
      </text>
    </comment>
    <comment ref="B52" authorId="0" shapeId="0">
      <text>
        <t>Equity capital
WHY: BS identity plug: Assets − Liabilities − RE. Forces the balance sheet to balance.
PATTERN: ={c}45-{c}50-{c}53
LINK: https://www.sec.gov/Archives/edgar/data/814547/000081454725000030/fico-20250930.htm</t>
      </text>
    </comment>
    <comment ref="J52" authorId="0" shapeId="0">
      <text>
        <t>Equity capital
FORMULA: =J45-J50-J53
WHY: BS identity plug: Assets − Liabilities − RE. Forces the balance sheet to balance.
LINK: https://www.sec.gov/Archives/edgar/data/814547/000081454725000030/fico-20250930.htm</t>
      </text>
    </comment>
    <comment ref="K52" authorId="0" shapeId="0">
      <text>
        <t>Equity capital
FORMULA: =K45-K50-K53
WHY: BS identity plug: Assets − Liabilities − RE. Forces the balance sheet to balance.
LINK: https://www.sec.gov/Archives/edgar/data/814547/000081454725000030/fico-20250930.htm</t>
      </text>
    </comment>
    <comment ref="L52" authorId="0" shapeId="0">
      <text>
        <t>Equity capital
FORMULA: =L45-L50-L53
WHY: BS identity plug: Assets − Liabilities − RE. Forces the balance sheet to balance.
LINK: https://www.sec.gov/Archives/edgar/data/814547/000081454725000030/fico-20250930.htm</t>
      </text>
    </comment>
    <comment ref="M52" authorId="0" shapeId="0">
      <text>
        <t>Equity capital
FORMULA: =M45-M50-M53
WHY: BS identity plug: Assets − Liabilities − RE. Forces the balance sheet to balance.
LINK: https://www.sec.gov/Archives/edgar/data/814547/000081454725000030/fico-20250930.htm</t>
      </text>
    </comment>
    <comment ref="N52" authorId="0" shapeId="0">
      <text>
        <t>Equity capital
FORMULA: =N45-N50-N53
WHY: BS identity plug: Assets − Liabilities − RE. Forces the balance sheet to balance.
LINK: https://www.sec.gov/Archives/edgar/data/814547/000081454725000030/fico-20250930.htm</t>
      </text>
    </comment>
    <comment ref="B53" authorId="0" shapeId="0">
      <text>
        <t>Retained earnings
WHY: Prior RE plus this year’s net earnings; accumulates NI into equity without dividends.
PATTERN: ={p}53+{c}33*(1-{c}13)
LINK: https://www.sec.gov/Archives/edgar/data/814547/000081454725000030/fico-20250930.htm</t>
      </text>
    </comment>
    <comment ref="J53" authorId="0" shapeId="0">
      <text>
        <t>Retained earnings
FORMULA: =I53+J33*(1-J13)
WHY: Prior RE plus this year’s net earnings; accumulates NI into equity without dividends.
LINK: https://www.sec.gov/Archives/edgar/data/814547/000081454725000030/fico-20250930.htm</t>
      </text>
    </comment>
    <comment ref="K53" authorId="0" shapeId="0">
      <text>
        <t>Retained earnings
FORMULA: =J53+K33*(1-K13)
WHY: Prior RE plus this year’s net earnings; accumulates NI into equity without dividends.
LINK: https://www.sec.gov/Archives/edgar/data/814547/000081454725000030/fico-20250930.htm</t>
      </text>
    </comment>
    <comment ref="L53" authorId="0" shapeId="0">
      <text>
        <t>Retained earnings
FORMULA: =K53+L33*(1-L13)
WHY: Prior RE plus this year’s net earnings; accumulates NI into equity without dividends.
LINK: https://www.sec.gov/Archives/edgar/data/814547/000081454725000030/fico-20250930.htm</t>
      </text>
    </comment>
    <comment ref="M53" authorId="0" shapeId="0">
      <text>
        <t>Retained earnings
FORMULA: =L53+M33*(1-M13)
WHY: Prior RE plus this year’s net earnings; accumulates NI into equity without dividends.
LINK: https://www.sec.gov/Archives/edgar/data/814547/000081454725000030/fico-20250930.htm</t>
      </text>
    </comment>
    <comment ref="N53" authorId="0" shapeId="0">
      <text>
        <t>Retained earnings
FORMULA: =M53+N33*(1-N13)
WHY: Prior RE plus this year’s net earnings; accumulates NI into equity without dividends.
LINK: https://www.sec.gov/Archives/edgar/data/814547/000081454725000030/fico-20250930.htm</t>
      </text>
    </comment>
    <comment ref="B54" authorId="0" shapeId="0">
      <text>
        <t>Shareholders’ equity
WHY: Equity capital plus retained earnings; book equity for the L+E side of the check.
PATTERN: =SUM({c}52:{c}53)
LINK: https://www.sec.gov/Archives/edgar/data/814547/000081454725000030/fico-20250930.htm</t>
      </text>
    </comment>
    <comment ref="J54" authorId="0" shapeId="0">
      <text>
        <t>Shareholders’ equity
FORMULA: =SUM(J52:J53)
WHY: Equity capital plus retained earnings; book equity for the L+E side of the check.
LINK: https://www.sec.gov/Archives/edgar/data/814547/000081454725000030/fico-20250930.htm</t>
      </text>
    </comment>
    <comment ref="K54" authorId="0" shapeId="0">
      <text>
        <t>Shareholders’ equity
FORMULA: =SUM(K52:K53)
WHY: Equity capital plus retained earnings; book equity for the L+E side of the check.
LINK: https://www.sec.gov/Archives/edgar/data/814547/000081454725000030/fico-20250930.htm</t>
      </text>
    </comment>
    <comment ref="L54" authorId="0" shapeId="0">
      <text>
        <t>Shareholders’ equity
FORMULA: =SUM(L52:L53)
WHY: Equity capital plus retained earnings; book equity for the L+E side of the check.
LINK: https://www.sec.gov/Archives/edgar/data/814547/000081454725000030/fico-20250930.htm</t>
      </text>
    </comment>
    <comment ref="M54" authorId="0" shapeId="0">
      <text>
        <t>Shareholders’ equity
FORMULA: =SUM(M52:M53)
WHY: Equity capital plus retained earnings; book equity for the L+E side of the check.
LINK: https://www.sec.gov/Archives/edgar/data/814547/000081454725000030/fico-20250930.htm</t>
      </text>
    </comment>
    <comment ref="N54" authorId="0" shapeId="0">
      <text>
        <t>Shareholders’ equity
FORMULA: =SUM(N52:N53)
WHY: Equity capital plus retained earnings; book equity for the L+E side of the check.
LINK: https://www.sec.gov/Archives/edgar/data/814547/000081454725000030/fico-20250930.htm</t>
      </text>
    </comment>
    <comment ref="B55" authorId="0" shapeId="0">
      <text>
        <t>Total L+E
WHY: Liabilities plus equity; must equal total assets when the model is in balance.
PATTERN: ={c}50+{c}54
LINK: https://www.sec.gov/Archives/edgar/data/814547/000081454725000030/fico-20250930.htm</t>
      </text>
    </comment>
    <comment ref="J55" authorId="0" shapeId="0">
      <text>
        <t>Total L+E
FORMULA: =J50+J54
WHY: Liabilities plus equity; must equal total assets when the model is in balance.
LINK: https://www.sec.gov/Archives/edgar/data/814547/000081454725000030/fico-20250930.htm</t>
      </text>
    </comment>
    <comment ref="K55" authorId="0" shapeId="0">
      <text>
        <t>Total L+E
FORMULA: =K50+K54
WHY: Liabilities plus equity; must equal total assets when the model is in balance.
LINK: https://www.sec.gov/Archives/edgar/data/814547/000081454725000030/fico-20250930.htm</t>
      </text>
    </comment>
    <comment ref="L55" authorId="0" shapeId="0">
      <text>
        <t>Total L+E
FORMULA: =L50+L54
WHY: Liabilities plus equity; must equal total assets when the model is in balance.
LINK: https://www.sec.gov/Archives/edgar/data/814547/000081454725000030/fico-20250930.htm</t>
      </text>
    </comment>
    <comment ref="M55" authorId="0" shapeId="0">
      <text>
        <t>Total L+E
FORMULA: =M50+M54
WHY: Liabilities plus equity; must equal total assets when the model is in balance.
LINK: https://www.sec.gov/Archives/edgar/data/814547/000081454725000030/fico-20250930.htm</t>
      </text>
    </comment>
    <comment ref="N55" authorId="0" shapeId="0">
      <text>
        <t>Total L+E
FORMULA: =N50+N54
WHY: Liabilities plus equity; must equal total assets when the model is in balance.
LINK: https://www.sec.gov/Archives/edgar/data/814547/000081454725000030/fico-20250930.htm</t>
      </text>
    </comment>
    <comment ref="B57" authorId="0" shapeId="0">
      <text>
        <t>BS imbalance
WHY: L+E minus assets; should be ~0. Nonzero means a link or plug is broken.
PATTERN: ={c}55-{c}45
LINK: https://www.sec.gov/Archives/edgar/data/814547/000081454725000030/fico-20250930.htm</t>
      </text>
    </comment>
    <comment ref="J57" authorId="0" shapeId="0">
      <text>
        <t>BS imbalance
FORMULA: =J55-J45
WHY: L+E minus assets; should be ~0. Nonzero means a link or plug is broken.
LINK: https://www.sec.gov/Archives/edgar/data/814547/000081454725000030/fico-20250930.htm</t>
      </text>
    </comment>
    <comment ref="K57" authorId="0" shapeId="0">
      <text>
        <t>BS imbalance
FORMULA: =K55-K45
WHY: L+E minus assets; should be ~0. Nonzero means a link or plug is broken.
LINK: https://www.sec.gov/Archives/edgar/data/814547/000081454725000030/fico-20250930.htm</t>
      </text>
    </comment>
    <comment ref="L57" authorId="0" shapeId="0">
      <text>
        <t>BS imbalance
FORMULA: =L55-L45
WHY: L+E minus assets; should be ~0. Nonzero means a link or plug is broken.
LINK: https://www.sec.gov/Archives/edgar/data/814547/000081454725000030/fico-20250930.htm</t>
      </text>
    </comment>
    <comment ref="M57" authorId="0" shapeId="0">
      <text>
        <t>BS imbalance
FORMULA: =M55-M45
WHY: L+E minus assets; should be ~0. Nonzero means a link or plug is broken.
LINK: https://www.sec.gov/Archives/edgar/data/814547/000081454725000030/fico-20250930.htm</t>
      </text>
    </comment>
    <comment ref="N57" authorId="0" shapeId="0">
      <text>
        <t>BS imbalance
FORMULA: =N55-N45
WHY: L+E minus assets; should be ~0. Nonzero means a link or plug is broken.
LINK: https://www.sec.gov/Archives/edgar/data/814547/000081454725000030/fico-20250930.htm</t>
      </text>
    </comment>
    <comment ref="B62" authorId="0" shapeId="0">
      <text>
        <t>CF net earnings
WHY: Same NI equation as the IS, written out so CFO does not hide behind a bare pointer.
PATTERN: ={c}33*(1-{c}13)
LINK: https://www.sec.gov/Archives/edgar/data/814547/000081454725000030/fico-20250930.htm</t>
      </text>
    </comment>
    <comment ref="J62" authorId="0" shapeId="0">
      <text>
        <t>CF net earnings
FORMULA: =J33*(1-J13)
WHY: Same NI equation as the IS, written out so CFO does not hide behind a bare pointer.
LINK: https://www.sec.gov/Archives/edgar/data/814547/000081454725000030/fico-20250930.htm</t>
      </text>
    </comment>
    <comment ref="K62" authorId="0" shapeId="0">
      <text>
        <t>CF net earnings
FORMULA: =K33*(1-K13)
WHY: Same NI equation as the IS, written out so CFO does not hide behind a bare pointer.
LINK: https://www.sec.gov/Archives/edgar/data/814547/000081454725000030/fico-20250930.htm</t>
      </text>
    </comment>
    <comment ref="L62" authorId="0" shapeId="0">
      <text>
        <t>CF net earnings
FORMULA: =L33*(1-L13)
WHY: Same NI equation as the IS, written out so CFO does not hide behind a bare pointer.
LINK: https://www.sec.gov/Archives/edgar/data/814547/000081454725000030/fico-20250930.htm</t>
      </text>
    </comment>
    <comment ref="M62" authorId="0" shapeId="0">
      <text>
        <t>CF net earnings
FORMULA: =M33*(1-M13)
WHY: Same NI equation as the IS, written out so CFO does not hide behind a bare pointer.
LINK: https://www.sec.gov/Archives/edgar/data/814547/000081454725000030/fico-20250930.htm</t>
      </text>
    </comment>
    <comment ref="N62" authorId="0" shapeId="0">
      <text>
        <t>CF net earnings
FORMULA: =N33*(1-N13)
WHY: Same NI equation as the IS, written out so CFO does not hide behind a bare pointer.
LINK: https://www.sec.gov/Archives/edgar/data/814547/000081454725000030/fico-20250930.htm</t>
      </text>
    </comment>
    <comment ref="B63" authorId="0" shapeId="0">
      <text>
        <t>CF + D&amp;A
WHY: Adds back non-cash D&amp;A (Rev × DA%) in the cash-from-operations bridge.
PATTERN: ={c}30
LINK: https://www.sec.gov/Archives/edgar/data/814547/000081454725000030/fico-20250930.htm</t>
      </text>
    </comment>
    <comment ref="J63" authorId="0" shapeId="0">
      <text>
        <t>CF + D&amp;A
FORMULA: =J30
WHY: Adds back non-cash D&amp;A (Rev × DA%) in the cash-from-operations bridge.
LINK: https://www.sec.gov/Archives/edgar/data/814547/000081454725000030/fico-20250930.htm</t>
      </text>
    </comment>
    <comment ref="K63" authorId="0" shapeId="0">
      <text>
        <t>CF + D&amp;A
FORMULA: =K30
WHY: Adds back non-cash D&amp;A (Rev × DA%) in the cash-from-operations bridge.
LINK: https://www.sec.gov/Archives/edgar/data/814547/000081454725000030/fico-20250930.htm</t>
      </text>
    </comment>
    <comment ref="L63" authorId="0" shapeId="0">
      <text>
        <t>CF + D&amp;A
FORMULA: =L30
WHY: Adds back non-cash D&amp;A (Rev × DA%) in the cash-from-operations bridge.
LINK: https://www.sec.gov/Archives/edgar/data/814547/000081454725000030/fico-20250930.htm</t>
      </text>
    </comment>
    <comment ref="M63" authorId="0" shapeId="0">
      <text>
        <t>CF + D&amp;A
FORMULA: =M30
WHY: Adds back non-cash D&amp;A (Rev × DA%) in the cash-from-operations bridge.
LINK: https://www.sec.gov/Archives/edgar/data/814547/000081454725000030/fico-20250930.htm</t>
      </text>
    </comment>
    <comment ref="N63" authorId="0" shapeId="0">
      <text>
        <t>CF + D&amp;A
FORMULA: =N30
WHY: Adds back non-cash D&amp;A (Rev × DA%) in the cash-from-operations bridge.
LINK: https://www.sec.gov/Archives/edgar/data/814547/000081454725000030/fico-20250930.htm</t>
      </text>
    </comment>
    <comment ref="B64" authorId="0" shapeId="0">
      <text>
        <t>CF + SBC
WHY: Adds back stock-based compensation (Rev × SBC%) — non-cash opex already in NI.
PATTERN: ={c}24*{c}21
LINK: https://www.sec.gov/Archives/edgar/data/814547/000081454725000030/fico-20250930.htm</t>
      </text>
    </comment>
    <comment ref="J64" authorId="0" shapeId="0">
      <text>
        <t>CF + SBC
FORMULA: =J24*J21
WHY: Adds back stock-based compensation (Rev × SBC%) — non-cash opex already in NI.
LINK: https://www.sec.gov/Archives/edgar/data/814547/000081454725000030/fico-20250930.htm</t>
      </text>
    </comment>
    <comment ref="K64" authorId="0" shapeId="0">
      <text>
        <t>CF + SBC
FORMULA: =K24*K21
WHY: Adds back stock-based compensation (Rev × SBC%) — non-cash opex already in NI.
LINK: https://www.sec.gov/Archives/edgar/data/814547/000081454725000030/fico-20250930.htm</t>
      </text>
    </comment>
    <comment ref="L64" authorId="0" shapeId="0">
      <text>
        <t>CF + SBC
FORMULA: =L24*L21
WHY: Adds back stock-based compensation (Rev × SBC%) — non-cash opex already in NI.
LINK: https://www.sec.gov/Archives/edgar/data/814547/000081454725000030/fico-20250930.htm</t>
      </text>
    </comment>
    <comment ref="M64" authorId="0" shapeId="0">
      <text>
        <t>CF + SBC
FORMULA: =M24*M21
WHY: Adds back stock-based compensation (Rev × SBC%) — non-cash opex already in NI.
LINK: https://www.sec.gov/Archives/edgar/data/814547/000081454725000030/fico-20250930.htm</t>
      </text>
    </comment>
    <comment ref="N64" authorId="0" shapeId="0">
      <text>
        <t>CF + SBC
FORMULA: =N24*N21
WHY: Adds back stock-based compensation (Rev × SBC%) — non-cash opex already in NI.
LINK: https://www.sec.gov/Archives/edgar/data/814547/000081454725000030/fico-20250930.htm</t>
      </text>
    </comment>
    <comment ref="B65" authorId="0" shapeId="0">
      <text>
        <t>CF − Δ Op NWC
WHY: Δ Operating NWC = OpNWCt − OpNWCt−1 from AR+Inv−AP only (Deferred excluded).
PATTERN: ={c}90
LINK: https://www.sec.gov/Archives/edgar/data/814547/000081454725000030/fico-20250930.htm</t>
      </text>
    </comment>
    <comment ref="J65" authorId="0" shapeId="0">
      <text>
        <t>CF − Δ Op NWC
FORMULA: =J90
WHY: Δ Operating NWC = OpNWCt − OpNWCt−1 from AR+Inv−AP only (Deferred excluded).
LINK: https://www.sec.gov/Archives/edgar/data/814547/000081454725000030/fico-20250930.htm</t>
      </text>
    </comment>
    <comment ref="K65" authorId="0" shapeId="0">
      <text>
        <t>CF − Δ Op NWC
FORMULA: =K90
WHY: Δ Operating NWC = OpNWCt − OpNWCt−1 from AR+Inv−AP only (Deferred excluded).
LINK: https://www.sec.gov/Archives/edgar/data/814547/000081454725000030/fico-20250930.htm</t>
      </text>
    </comment>
    <comment ref="L65" authorId="0" shapeId="0">
      <text>
        <t>CF − Δ Op NWC
FORMULA: =L90
WHY: Δ Operating NWC = OpNWCt − OpNWCt−1 from AR+Inv−AP only (Deferred excluded).
LINK: https://www.sec.gov/Archives/edgar/data/814547/000081454725000030/fico-20250930.htm</t>
      </text>
    </comment>
    <comment ref="M65" authorId="0" shapeId="0">
      <text>
        <t>CF − Δ Op NWC
FORMULA: =M90
WHY: Δ Operating NWC = OpNWCt − OpNWCt−1 from AR+Inv−AP only (Deferred excluded).
LINK: https://www.sec.gov/Archives/edgar/data/814547/000081454725000030/fico-20250930.htm</t>
      </text>
    </comment>
    <comment ref="N65" authorId="0" shapeId="0">
      <text>
        <t>CF − Δ Op NWC
FORMULA: =N90
WHY: Δ Operating NWC = OpNWCt − OpNWCt−1 from AR+Inv−AP only (Deferred excluded).
LINK: https://www.sec.gov/Archives/edgar/data/814547/000081454725000030/fico-20250930.htm</t>
      </text>
    </comment>
    <comment ref="B66" authorId="0" shapeId="0">
      <text>
        <t>Cash from operations
WHY: Full CFO: NI + D&amp;A + SBC − Δ Op NWC + Increase in Deferred Revenue.
PATTERN: =NI+DA+SBC−ΔOpNWC+ΔDeferred
LINK: https://www.sec.gov/Archives/edgar/data/814547/000081454725000030/fico-20250930.htm</t>
      </text>
    </comment>
    <comment ref="J66" authorId="0" shapeId="0">
      <text>
        <t>Cash from operations
FORMULA: =NI+DA+SBC−ΔOpNWC+ΔDeferred
WHY: Full CFO: NI + D&amp;A + SBC − Δ Op NWC + Increase in Deferred Revenue.
LINK: https://www.sec.gov/Archives/edgar/data/814547/000081454725000030/fico-20250930.htm</t>
      </text>
    </comment>
    <comment ref="K66" authorId="0" shapeId="0">
      <text>
        <t>Cash from operations
FORMULA: =NI+DA+SBC−ΔOpNWC+ΔDeferred
WHY: Full CFO: NI + D&amp;A + SBC − Δ Op NWC + Increase in Deferred Revenue.
LINK: https://www.sec.gov/Archives/edgar/data/814547/000081454725000030/fico-20250930.htm</t>
      </text>
    </comment>
    <comment ref="L66" authorId="0" shapeId="0">
      <text>
        <t>Cash from operations
FORMULA: =NI+DA+SBC−ΔOpNWC+ΔDeferred
WHY: Full CFO: NI + D&amp;A + SBC − Δ Op NWC + Increase in Deferred Revenue.
LINK: https://www.sec.gov/Archives/edgar/data/814547/000081454725000030/fico-20250930.htm</t>
      </text>
    </comment>
    <comment ref="M66" authorId="0" shapeId="0">
      <text>
        <t>Cash from operations
FORMULA: =NI+DA+SBC−ΔOpNWC+ΔDeferred
WHY: Full CFO: NI + D&amp;A + SBC − Δ Op NWC + Increase in Deferred Revenue.
LINK: https://www.sec.gov/Archives/edgar/data/814547/000081454725000030/fico-20250930.htm</t>
      </text>
    </comment>
    <comment ref="N66" authorId="0" shapeId="0">
      <text>
        <t>Cash from operations
FORMULA: =NI+DA+SBC−ΔOpNWC+ΔDeferred
WHY: Full CFO: NI + D&amp;A + SBC − Δ Op NWC + Increase in Deferred Revenue.
LINK: https://www.sec.gov/Archives/edgar/data/814547/000081454725000030/fico-20250930.htm</t>
      </text>
    </comment>
    <comment ref="B68" authorId="0" shapeId="0">
      <text>
        <t>CapEx $
WHY: Revenue times flat CapEx%; investing outflow used in CF and the PPE roll-forward.
PATTERN: ={c}24*{c}18
LINK: https://www.sec.gov/Archives/edgar/data/814547/000081454725000030/fico-20250930.htm</t>
      </text>
    </comment>
    <comment ref="J68" authorId="0" shapeId="0">
      <text>
        <t>CapEx $
FORMULA: =J24*J18
WHY: Revenue times flat CapEx%; investing outflow used in CF and the PPE roll-forward.
LINK: https://www.sec.gov/Archives/edgar/data/814547/000081454725000030/fico-20250930.htm</t>
      </text>
    </comment>
    <comment ref="K68" authorId="0" shapeId="0">
      <text>
        <t>CapEx $
FORMULA: =K24*K18
WHY: Revenue times flat CapEx%; investing outflow used in CF and the PPE roll-forward.
LINK: https://www.sec.gov/Archives/edgar/data/814547/000081454725000030/fico-20250930.htm</t>
      </text>
    </comment>
    <comment ref="L68" authorId="0" shapeId="0">
      <text>
        <t>CapEx $
FORMULA: =L24*L18
WHY: Revenue times flat CapEx%; investing outflow used in CF and the PPE roll-forward.
LINK: https://www.sec.gov/Archives/edgar/data/814547/000081454725000030/fico-20250930.htm</t>
      </text>
    </comment>
    <comment ref="M68" authorId="0" shapeId="0">
      <text>
        <t>CapEx $
FORMULA: =M24*M18
WHY: Revenue times flat CapEx%; investing outflow used in CF and the PPE roll-forward.
LINK: https://www.sec.gov/Archives/edgar/data/814547/000081454725000030/fico-20250930.htm</t>
      </text>
    </comment>
    <comment ref="N68" authorId="0" shapeId="0">
      <text>
        <t>CapEx $
FORMULA: =N24*N18
WHY: Revenue times flat CapEx%; investing outflow used in CF and the PPE roll-forward.
LINK: https://www.sec.gov/Archives/edgar/data/814547/000081454725000030/fico-20250930.htm</t>
      </text>
    </comment>
    <comment ref="B69" authorId="0" shapeId="0">
      <text>
        <t>Cash from investing
WHY: In this template CFI is CapEx only; equals the CapEx dollar line above.
PATTERN: ={c}68
LINK: https://www.sec.gov/Archives/edgar/data/814547/000081454725000030/fico-20250930.htm</t>
      </text>
    </comment>
    <comment ref="J69" authorId="0" shapeId="0">
      <text>
        <t>Cash from investing
FORMULA: =J68
WHY: In this template CFI is CapEx only; equals the CapEx dollar line above.
LINK: https://www.sec.gov/Archives/edgar/data/814547/000081454725000030/fico-20250930.htm</t>
      </text>
    </comment>
    <comment ref="K69" authorId="0" shapeId="0">
      <text>
        <t>Cash from investing
FORMULA: =K68
WHY: In this template CFI is CapEx only; equals the CapEx dollar line above.
LINK: https://www.sec.gov/Archives/edgar/data/814547/000081454725000030/fico-20250930.htm</t>
      </text>
    </comment>
    <comment ref="L69" authorId="0" shapeId="0">
      <text>
        <t>Cash from investing
FORMULA: =L68
WHY: In this template CFI is CapEx only; equals the CapEx dollar line above.
LINK: https://www.sec.gov/Archives/edgar/data/814547/000081454725000030/fico-20250930.htm</t>
      </text>
    </comment>
    <comment ref="M69" authorId="0" shapeId="0">
      <text>
        <t>Cash from investing
FORMULA: =M68
WHY: In this template CFI is CapEx only; equals the CapEx dollar line above.
LINK: https://www.sec.gov/Archives/edgar/data/814547/000081454725000030/fico-20250930.htm</t>
      </text>
    </comment>
    <comment ref="N69" authorId="0" shapeId="0">
      <text>
        <t>Cash from investing
FORMULA: =N68
WHY: In this template CFI is CapEx only; equals the CapEx dollar line above.
LINK: https://www.sec.gov/Archives/edgar/data/814547/000081454725000030/fico-20250930.htm</t>
      </text>
    </comment>
    <comment ref="B72" authorId="0" shapeId="0">
      <text>
        <t>Debt issuance CF
WHY: Pulls the 3yr-avg net debt CF policy into financing cash flow.
PATTERN: ={c}19
LINK: https://www.sec.gov/Archives/edgar/data/814547/000081454725000030/fico-20250930.htm</t>
      </text>
    </comment>
    <comment ref="J72" authorId="0" shapeId="0">
      <text>
        <t>Debt issuance CF
FORMULA: =J19
WHY: Pulls the 3yr-avg net debt CF policy into financing cash flow.
LINK: https://www.sec.gov/Archives/edgar/data/814547/000081454725000030/fico-20250930.htm</t>
      </text>
    </comment>
    <comment ref="K72" authorId="0" shapeId="0">
      <text>
        <t>Debt issuance CF
FORMULA: =K19
WHY: Pulls the 3yr-avg net debt CF policy into financing cash flow.
LINK: https://www.sec.gov/Archives/edgar/data/814547/000081454725000030/fico-20250930.htm</t>
      </text>
    </comment>
    <comment ref="L72" authorId="0" shapeId="0">
      <text>
        <t>Debt issuance CF
FORMULA: =L19
WHY: Pulls the 3yr-avg net debt CF policy into financing cash flow.
LINK: https://www.sec.gov/Archives/edgar/data/814547/000081454725000030/fico-20250930.htm</t>
      </text>
    </comment>
    <comment ref="M72" authorId="0" shapeId="0">
      <text>
        <t>Debt issuance CF
FORMULA: =M19
WHY: Pulls the 3yr-avg net debt CF policy into financing cash flow.
LINK: https://www.sec.gov/Archives/edgar/data/814547/000081454725000030/fico-20250930.htm</t>
      </text>
    </comment>
    <comment ref="N72" authorId="0" shapeId="0">
      <text>
        <t>Debt issuance CF
FORMULA: =N19
WHY: Pulls the 3yr-avg net debt CF policy into financing cash flow.
LINK: https://www.sec.gov/Archives/edgar/data/814547/000081454725000030/fico-20250930.htm</t>
      </text>
    </comment>
    <comment ref="B73" authorId="0" shapeId="0">
      <text>
        <t>Equity issuance CF
WHY: Residual FCF buybacks after debt CF — prevents artificial cash stockpiling.
PATTERN: ={c}20
LINK: https://www.sec.gov/Archives/edgar/data/814547/000081454725000030/fico-20250930.htm</t>
      </text>
    </comment>
    <comment ref="J73" authorId="0" shapeId="0">
      <text>
        <t>Equity issuance CF
FORMULA: =J20
WHY: Residual FCF buybacks after debt CF — prevents artificial cash stockpiling.
LINK: https://www.sec.gov/Archives/edgar/data/814547/000081454725000030/fico-20250930.htm</t>
      </text>
    </comment>
    <comment ref="K73" authorId="0" shapeId="0">
      <text>
        <t>Equity issuance CF
FORMULA: =K20
WHY: Residual FCF buybacks after debt CF — prevents artificial cash stockpiling.
LINK: https://www.sec.gov/Archives/edgar/data/814547/000081454725000030/fico-20250930.htm</t>
      </text>
    </comment>
    <comment ref="L73" authorId="0" shapeId="0">
      <text>
        <t>Equity issuance CF
FORMULA: =L20
WHY: Residual FCF buybacks after debt CF — prevents artificial cash stockpiling.
LINK: https://www.sec.gov/Archives/edgar/data/814547/000081454725000030/fico-20250930.htm</t>
      </text>
    </comment>
    <comment ref="M73" authorId="0" shapeId="0">
      <text>
        <t>Equity issuance CF
FORMULA: =M20
WHY: Residual FCF buybacks after debt CF — prevents artificial cash stockpiling.
LINK: https://www.sec.gov/Archives/edgar/data/814547/000081454725000030/fico-20250930.htm</t>
      </text>
    </comment>
    <comment ref="N73" authorId="0" shapeId="0">
      <text>
        <t>Equity issuance CF
FORMULA: =N20
WHY: Residual FCF buybacks after debt CF — prevents artificial cash stockpiling.
LINK: https://www.sec.gov/Archives/edgar/data/814547/000081454725000030/fico-20250930.htm</t>
      </text>
    </comment>
    <comment ref="B74" authorId="0" shapeId="0">
      <text>
        <t>Cash from financing
WHY: Debt plus equity financing cash; excluded from FCFF by design.
PATTERN: ={c}19+{c}20
LINK: https://www.sec.gov/Archives/edgar/data/814547/000081454725000030/fico-20250930.htm</t>
      </text>
    </comment>
    <comment ref="J74" authorId="0" shapeId="0">
      <text>
        <t>Cash from financing
FORMULA: =J19+J20
WHY: Debt plus equity financing cash; excluded from FCFF by design.
LINK: https://www.sec.gov/Archives/edgar/data/814547/000081454725000030/fico-20250930.htm</t>
      </text>
    </comment>
    <comment ref="K74" authorId="0" shapeId="0">
      <text>
        <t>Cash from financing
FORMULA: =K19+K20
WHY: Debt plus equity financing cash; excluded from FCFF by design.
LINK: https://www.sec.gov/Archives/edgar/data/814547/000081454725000030/fico-20250930.htm</t>
      </text>
    </comment>
    <comment ref="L74" authorId="0" shapeId="0">
      <text>
        <t>Cash from financing
FORMULA: =L19+L20
WHY: Debt plus equity financing cash; excluded from FCFF by design.
LINK: https://www.sec.gov/Archives/edgar/data/814547/000081454725000030/fico-20250930.htm</t>
      </text>
    </comment>
    <comment ref="M74" authorId="0" shapeId="0">
      <text>
        <t>Cash from financing
FORMULA: =M19+M20
WHY: Debt plus equity financing cash; excluded from FCFF by design.
LINK: https://www.sec.gov/Archives/edgar/data/814547/000081454725000030/fico-20250930.htm</t>
      </text>
    </comment>
    <comment ref="N74" authorId="0" shapeId="0">
      <text>
        <t>Cash from financing
FORMULA: =N19+N20
WHY: Debt plus equity financing cash; excluded from FCFF by design.
LINK: https://www.sec.gov/Archives/edgar/data/814547/000081454725000030/fico-20250930.htm</t>
      </text>
    </comment>
    <comment ref="B76" authorId="0" shapeId="0">
      <text>
        <t>Δ Cash
WHY: CFO minus CapEx plus financing; net change that rolls opening cash to closing.
PATTERN: ={c}66-{c}69+{c}74
LINK: https://www.sec.gov/Archives/edgar/data/814547/000081454725000030/fico-20250930.htm</t>
      </text>
    </comment>
    <comment ref="J76" authorId="0" shapeId="0">
      <text>
        <t>Δ Cash
FORMULA: =J66-J69+J74
WHY: CFO minus CapEx plus financing; net change that rolls opening cash to closing.
LINK: https://www.sec.gov/Archives/edgar/data/814547/000081454725000030/fico-20250930.htm</t>
      </text>
    </comment>
    <comment ref="K76" authorId="0" shapeId="0">
      <text>
        <t>Δ Cash
FORMULA: =K66-K69+K74
WHY: CFO minus CapEx plus financing; net change that rolls opening cash to closing.
LINK: https://www.sec.gov/Archives/edgar/data/814547/000081454725000030/fico-20250930.htm</t>
      </text>
    </comment>
    <comment ref="L76" authorId="0" shapeId="0">
      <text>
        <t>Δ Cash
FORMULA: =L66-L69+L74
WHY: CFO minus CapEx plus financing; net change that rolls opening cash to closing.
LINK: https://www.sec.gov/Archives/edgar/data/814547/000081454725000030/fico-20250930.htm</t>
      </text>
    </comment>
    <comment ref="M76" authorId="0" shapeId="0">
      <text>
        <t>Δ Cash
FORMULA: =M66-M69+M74
WHY: CFO minus CapEx plus financing; net change that rolls opening cash to closing.
LINK: https://www.sec.gov/Archives/edgar/data/814547/000081454725000030/fico-20250930.htm</t>
      </text>
    </comment>
    <comment ref="N76" authorId="0" shapeId="0">
      <text>
        <t>Δ Cash
FORMULA: =N66-N69+N74
WHY: CFO minus CapEx plus financing; net change that rolls opening cash to closing.
LINK: https://www.sec.gov/Archives/edgar/data/814547/000081454725000030/fico-20250930.htm</t>
      </text>
    </comment>
    <comment ref="B77" authorId="0" shapeId="0">
      <text>
        <t>Opening cash
WHY: Starts at prior balance-sheet cash so the cash roll-forward matches history.
PATTERN: ={p}41
LINK: https://www.sec.gov/Archives/edgar/data/814547/000081454725000030/fico-20250930.htm</t>
      </text>
    </comment>
    <comment ref="J77" authorId="0" shapeId="0">
      <text>
        <t>Opening cash
FORMULA: =I41
WHY: Starts at prior balance-sheet cash so the cash roll-forward matches history.
LINK: https://www.sec.gov/Archives/edgar/data/814547/000081454725000030/fico-20250930.htm</t>
      </text>
    </comment>
    <comment ref="K77" authorId="0" shapeId="0">
      <text>
        <t>Opening cash
FORMULA: =J41
WHY: Starts at prior balance-sheet cash so the cash roll-forward matches history.
LINK: https://www.sec.gov/Archives/edgar/data/814547/000081454725000030/fico-20250930.htm</t>
      </text>
    </comment>
    <comment ref="L77" authorId="0" shapeId="0">
      <text>
        <t>Opening cash
FORMULA: =K41
WHY: Starts at prior balance-sheet cash so the cash roll-forward matches history.
LINK: https://www.sec.gov/Archives/edgar/data/814547/000081454725000030/fico-20250930.htm</t>
      </text>
    </comment>
    <comment ref="M77" authorId="0" shapeId="0">
      <text>
        <t>Opening cash
FORMULA: =L41
WHY: Starts at prior balance-sheet cash so the cash roll-forward matches history.
LINK: https://www.sec.gov/Archives/edgar/data/814547/000081454725000030/fico-20250930.htm</t>
      </text>
    </comment>
    <comment ref="N77" authorId="0" shapeId="0">
      <text>
        <t>Opening cash
FORMULA: =M41
WHY: Starts at prior balance-sheet cash so the cash roll-forward matches history.
LINK: https://www.sec.gov/Archives/edgar/data/814547/000081454725000030/fico-20250930.htm</t>
      </text>
    </comment>
    <comment ref="B78" authorId="0" shapeId="0">
      <text>
        <t>Closing cash
WHY: Opening cash plus Δ cash; feeds BS cash and the cash-flow check.
PATTERN: ={c}77+{c}76
LINK: https://www.sec.gov/Archives/edgar/data/814547/000081454725000030/fico-20250930.htm</t>
      </text>
    </comment>
    <comment ref="J78" authorId="0" shapeId="0">
      <text>
        <t>Closing cash
FORMULA: =J77+J76
WHY: Opening cash plus Δ cash; feeds BS cash and the cash-flow check.
LINK: https://www.sec.gov/Archives/edgar/data/814547/000081454725000030/fico-20250930.htm</t>
      </text>
    </comment>
    <comment ref="K78" authorId="0" shapeId="0">
      <text>
        <t>Closing cash
FORMULA: =K77+K76
WHY: Opening cash plus Δ cash; feeds BS cash and the cash-flow check.
LINK: https://www.sec.gov/Archives/edgar/data/814547/000081454725000030/fico-20250930.htm</t>
      </text>
    </comment>
    <comment ref="L78" authorId="0" shapeId="0">
      <text>
        <t>Closing cash
FORMULA: =L77+L76
WHY: Opening cash plus Δ cash; feeds BS cash and the cash-flow check.
LINK: https://www.sec.gov/Archives/edgar/data/814547/000081454725000030/fico-20250930.htm</t>
      </text>
    </comment>
    <comment ref="M78" authorId="0" shapeId="0">
      <text>
        <t>Closing cash
FORMULA: =M77+M76
WHY: Opening cash plus Δ cash; feeds BS cash and the cash-flow check.
LINK: https://www.sec.gov/Archives/edgar/data/814547/000081454725000030/fico-20250930.htm</t>
      </text>
    </comment>
    <comment ref="N78" authorId="0" shapeId="0">
      <text>
        <t>Closing cash
FORMULA: =N77+N76
WHY: Opening cash plus Δ cash; feeds BS cash and the cash-flow check.
LINK: https://www.sec.gov/Archives/edgar/data/814547/000081454725000030/fico-20250930.htm</t>
      </text>
    </comment>
    <comment ref="B80" authorId="0" shapeId="0">
      <text>
        <t>Cash check
WHY: Closing CF cash minus BS cash; must be zero when statements are linked.
PATTERN: ={c}78-{c}41
LINK: https://www.sec.gov/Archives/edgar/data/814547/000081454725000030/fico-20250930.htm</t>
      </text>
    </comment>
    <comment ref="J80" authorId="0" shapeId="0">
      <text>
        <t>Cash check
FORMULA: =J78-J41
WHY: Closing CF cash minus BS cash; must be zero when statements are linked.
LINK: https://www.sec.gov/Archives/edgar/data/814547/000081454725000030/fico-20250930.htm</t>
      </text>
    </comment>
    <comment ref="K80" authorId="0" shapeId="0">
      <text>
        <t>Cash check
FORMULA: =K78-K41
WHY: Closing CF cash minus BS cash; must be zero when statements are linked.
LINK: https://www.sec.gov/Archives/edgar/data/814547/000081454725000030/fico-20250930.htm</t>
      </text>
    </comment>
    <comment ref="L80" authorId="0" shapeId="0">
      <text>
        <t>Cash check
FORMULA: =L78-L41
WHY: Closing CF cash minus BS cash; must be zero when statements are linked.
LINK: https://www.sec.gov/Archives/edgar/data/814547/000081454725000030/fico-20250930.htm</t>
      </text>
    </comment>
    <comment ref="M80" authorId="0" shapeId="0">
      <text>
        <t>Cash check
FORMULA: =M78-M41
WHY: Closing CF cash minus BS cash; must be zero when statements are linked.
LINK: https://www.sec.gov/Archives/edgar/data/814547/000081454725000030/fico-20250930.htm</t>
      </text>
    </comment>
    <comment ref="N80" authorId="0" shapeId="0">
      <text>
        <t>Cash check
FORMULA: =N78-N41
WHY: Closing CF cash minus BS cash; must be zero when statements are linked.
LINK: https://www.sec.gov/Archives/edgar/data/814547/000081454725000030/fico-20250930.htm</t>
      </text>
    </comment>
    <comment ref="B81" authorId="0" shapeId="0">
      <text>
        <t>CF + Δ Deferred
WHY: Explicit Deferred cash source (SaaS/maintenance billed upfront); also in CFO.
PATTERN: ={c}88−prev88
LINK: https://www.sec.gov/Archives/edgar/data/814547/000081454725000030/fico-20250930.htm</t>
      </text>
    </comment>
    <comment ref="J81" authorId="0" shapeId="0">
      <text>
        <t>CF + Δ Deferred
FORMULA: =J88−prev88
WHY: Explicit Deferred cash source (SaaS/maintenance billed upfront); also in CFO.
LINK: https://www.sec.gov/Archives/edgar/data/814547/000081454725000030/fico-20250930.htm</t>
      </text>
    </comment>
    <comment ref="K81" authorId="0" shapeId="0">
      <text>
        <t>CF + Δ Deferred
FORMULA: =K88−prev88
WHY: Explicit Deferred cash source (SaaS/maintenance billed upfront); also in CFO.
LINK: https://www.sec.gov/Archives/edgar/data/814547/000081454725000030/fico-20250930.htm</t>
      </text>
    </comment>
    <comment ref="L81" authorId="0" shapeId="0">
      <text>
        <t>CF + Δ Deferred
FORMULA: =L88−prev88
WHY: Explicit Deferred cash source (SaaS/maintenance billed upfront); also in CFO.
LINK: https://www.sec.gov/Archives/edgar/data/814547/000081454725000030/fico-20250930.htm</t>
      </text>
    </comment>
    <comment ref="M81" authorId="0" shapeId="0">
      <text>
        <t>CF + Δ Deferred
FORMULA: =M88−prev88
WHY: Explicit Deferred cash source (SaaS/maintenance billed upfront); also in CFO.
LINK: https://www.sec.gov/Archives/edgar/data/814547/000081454725000030/fico-20250930.htm</t>
      </text>
    </comment>
    <comment ref="N81" authorId="0" shapeId="0">
      <text>
        <t>CF + Δ Deferred
FORMULA: =N88−prev88
WHY: Explicit Deferred cash source (SaaS/maintenance billed upfront); also in CFO.
LINK: https://www.sec.gov/Archives/edgar/data/814547/000081454725000030/fico-20250930.htm</t>
      </text>
    </comment>
    <comment ref="B85" authorId="0" shapeId="0">
      <text>
        <t>WC: AR (from DSO)
WHY: WC AR mirrors BS AR built from DSO (Rev × DSO/365).
PATTERN: ={c}42
LINK: https://www.sec.gov/Archives/edgar/data/814547/000081454725000030/fico-20250930.htm</t>
      </text>
    </comment>
    <comment ref="J85" authorId="0" shapeId="0">
      <text>
        <t>WC: AR (from DSO)
FORMULA: =J42
WHY: WC AR mirrors BS AR built from DSO (Rev × DSO/365).
LINK: https://www.sec.gov/Archives/edgar/data/814547/000081454725000030/fico-20250930.htm</t>
      </text>
    </comment>
    <comment ref="K85" authorId="0" shapeId="0">
      <text>
        <t>WC: AR (from DSO)
FORMULA: =K42
WHY: WC AR mirrors BS AR built from DSO (Rev × DSO/365).
LINK: https://www.sec.gov/Archives/edgar/data/814547/000081454725000030/fico-20250930.htm</t>
      </text>
    </comment>
    <comment ref="L85" authorId="0" shapeId="0">
      <text>
        <t>WC: AR (from DSO)
FORMULA: =L42
WHY: WC AR mirrors BS AR built from DSO (Rev × DSO/365).
LINK: https://www.sec.gov/Archives/edgar/data/814547/000081454725000030/fico-20250930.htm</t>
      </text>
    </comment>
    <comment ref="M85" authorId="0" shapeId="0">
      <text>
        <t>WC: AR (from DSO)
FORMULA: =M42
WHY: WC AR mirrors BS AR built from DSO (Rev × DSO/365).
LINK: https://www.sec.gov/Archives/edgar/data/814547/000081454725000030/fico-20250930.htm</t>
      </text>
    </comment>
    <comment ref="N85" authorId="0" shapeId="0">
      <text>
        <t>WC: AR (from DSO)
FORMULA: =N42
WHY: WC AR mirrors BS AR built from DSO (Rev × DSO/365).
LINK: https://www.sec.gov/Archives/edgar/data/814547/000081454725000030/fico-20250930.htm</t>
      </text>
    </comment>
    <comment ref="B86" authorId="0" shapeId="0">
      <text>
        <t>WC: Inventory
WHY: Working-capital inventory mirrors BS inventory (zero for this software business).
PATTERN: ={c}43
LINK: https://www.sec.gov/Archives/edgar/data/814547/000081454725000030/fico-20250930.htm</t>
      </text>
    </comment>
    <comment ref="J86" authorId="0" shapeId="0">
      <text>
        <t>WC: Inventory
FORMULA: =J43
WHY: Working-capital inventory mirrors BS inventory (zero for this software business).
LINK: https://www.sec.gov/Archives/edgar/data/814547/000081454725000030/fico-20250930.htm</t>
      </text>
    </comment>
    <comment ref="K86" authorId="0" shapeId="0">
      <text>
        <t>WC: Inventory
FORMULA: =K43
WHY: Working-capital inventory mirrors BS inventory (zero for this software business).
LINK: https://www.sec.gov/Archives/edgar/data/814547/000081454725000030/fico-20250930.htm</t>
      </text>
    </comment>
    <comment ref="L86" authorId="0" shapeId="0">
      <text>
        <t>WC: Inventory
FORMULA: =L43
WHY: Working-capital inventory mirrors BS inventory (zero for this software business).
LINK: https://www.sec.gov/Archives/edgar/data/814547/000081454725000030/fico-20250930.htm</t>
      </text>
    </comment>
    <comment ref="M86" authorId="0" shapeId="0">
      <text>
        <t>WC: Inventory
FORMULA: =M43
WHY: Working-capital inventory mirrors BS inventory (zero for this software business).
LINK: https://www.sec.gov/Archives/edgar/data/814547/000081454725000030/fico-20250930.htm</t>
      </text>
    </comment>
    <comment ref="N86" authorId="0" shapeId="0">
      <text>
        <t>WC: Inventory
FORMULA: =N43
WHY: Working-capital inventory mirrors BS inventory (zero for this software business).
LINK: https://www.sec.gov/Archives/edgar/data/814547/000081454725000030/fico-20250930.htm</t>
      </text>
    </comment>
    <comment ref="B87" authorId="0" shapeId="0">
      <text>
        <t>WC: AP (from DPO)
WHY: WC AP mirrors BS AP built from DPO (COGS × DPO/365).
PATTERN: ={c}48
LINK: https://www.sec.gov/Archives/edgar/data/814547/000081454725000030/fico-20250930.htm</t>
      </text>
    </comment>
    <comment ref="J87" authorId="0" shapeId="0">
      <text>
        <t>WC: AP (from DPO)
FORMULA: =J48
WHY: WC AP mirrors BS AP built from DPO (COGS × DPO/365).
LINK: https://www.sec.gov/Archives/edgar/data/814547/000081454725000030/fico-20250930.htm</t>
      </text>
    </comment>
    <comment ref="K87" authorId="0" shapeId="0">
      <text>
        <t>WC: AP (from DPO)
FORMULA: =K48
WHY: WC AP mirrors BS AP built from DPO (COGS × DPO/365).
LINK: https://www.sec.gov/Archives/edgar/data/814547/000081454725000030/fico-20250930.htm</t>
      </text>
    </comment>
    <comment ref="L87" authorId="0" shapeId="0">
      <text>
        <t>WC: AP (from DPO)
FORMULA: =L48
WHY: WC AP mirrors BS AP built from DPO (COGS × DPO/365).
LINK: https://www.sec.gov/Archives/edgar/data/814547/000081454725000030/fico-20250930.htm</t>
      </text>
    </comment>
    <comment ref="M87" authorId="0" shapeId="0">
      <text>
        <t>WC: AP (from DPO)
FORMULA: =M48
WHY: WC AP mirrors BS AP built from DPO (COGS × DPO/365).
LINK: https://www.sec.gov/Archives/edgar/data/814547/000081454725000030/fico-20250930.htm</t>
      </text>
    </comment>
    <comment ref="N87" authorId="0" shapeId="0">
      <text>
        <t>WC: AP (from DPO)
FORMULA: =N48
WHY: WC AP mirrors BS AP built from DPO (COGS × DPO/365).
LINK: https://www.sec.gov/Archives/edgar/data/814547/000081454725000030/fico-20250930.htm</t>
      </text>
    </comment>
    <comment ref="B88" authorId="0" shapeId="0">
      <text>
        <t>WC: Deferred Revenue
WHY: BS contract liability; ΔDef is explicit CFO cash source (not inside Op NWC).
PATTERN: ={c}24×(SaaS%+OnPrem%)×(I88/(I24×softmix))
LINK: https://www.sec.gov/Archives/edgar/data/814547/000081454725000030/fico-20250930.htm</t>
      </text>
    </comment>
    <comment ref="J88" authorId="0" shapeId="0">
      <text>
        <t>WC: Deferred Revenue
FORMULA: =J24×(SaaS%+OnPrem%)×(I88/(I24×softmix))
WHY: BS contract liability; ΔDef is explicit CFO cash source (not inside Op NWC).
LINK: https://www.sec.gov/Archives/edgar/data/814547/000081454725000030/fico-20250930.htm</t>
      </text>
    </comment>
    <comment ref="K88" authorId="0" shapeId="0">
      <text>
        <t>WC: Deferred Revenue
FORMULA: =K24×(SaaS%+OnPrem%)×(I88/(I24×softmix))
WHY: BS contract liability; ΔDef is explicit CFO cash source (not inside Op NWC).
LINK: https://www.sec.gov/Archives/edgar/data/814547/000081454725000030/fico-20250930.htm</t>
      </text>
    </comment>
    <comment ref="L88" authorId="0" shapeId="0">
      <text>
        <t>WC: Deferred Revenue
FORMULA: =L24×(SaaS%+OnPrem%)×(I88/(I24×softmix))
WHY: BS contract liability; ΔDef is explicit CFO cash source (not inside Op NWC).
LINK: https://www.sec.gov/Archives/edgar/data/814547/000081454725000030/fico-20250930.htm</t>
      </text>
    </comment>
    <comment ref="M88" authorId="0" shapeId="0">
      <text>
        <t>WC: Deferred Revenue
FORMULA: =M24×(SaaS%+OnPrem%)×(I88/(I24×softmix))
WHY: BS contract liability; ΔDef is explicit CFO cash source (not inside Op NWC).
LINK: https://www.sec.gov/Archives/edgar/data/814547/000081454725000030/fico-20250930.htm</t>
      </text>
    </comment>
    <comment ref="N88" authorId="0" shapeId="0">
      <text>
        <t>WC: Deferred Revenue
FORMULA: =N24×(SaaS%+OnPrem%)×(I88/(I24×softmix))
WHY: BS contract liability; ΔDef is explicit CFO cash source (not inside Op NWC).
LINK: https://www.sec.gov/Archives/edgar/data/814547/000081454725000030/fico-20250930.htm</t>
      </text>
    </comment>
    <comment ref="B89" authorId="0" shapeId="0">
      <text>
        <t>Operating NWC
WHY: AR + inventory − AP only; Deferred excluded (no double count with CF row 81).
PATTERN: ={c}85+{c}86-{c}87
LINK: https://www.sec.gov/Archives/edgar/data/814547/000081454725000030/fico-20250930.htm</t>
      </text>
    </comment>
    <comment ref="J89" authorId="0" shapeId="0">
      <text>
        <t>Operating NWC
FORMULA: =J85+J86-J87
WHY: AR + inventory − AP only; Deferred excluded (no double count with CF row 81).
LINK: https://www.sec.gov/Archives/edgar/data/814547/000081454725000030/fico-20250930.htm</t>
      </text>
    </comment>
    <comment ref="K89" authorId="0" shapeId="0">
      <text>
        <t>Operating NWC
FORMULA: =K85+K86-K87
WHY: AR + inventory − AP only; Deferred excluded (no double count with CF row 81).
LINK: https://www.sec.gov/Archives/edgar/data/814547/000081454725000030/fico-20250930.htm</t>
      </text>
    </comment>
    <comment ref="L89" authorId="0" shapeId="0">
      <text>
        <t>Operating NWC
FORMULA: =L85+L86-L87
WHY: AR + inventory − AP only; Deferred excluded (no double count with CF row 81).
LINK: https://www.sec.gov/Archives/edgar/data/814547/000081454725000030/fico-20250930.htm</t>
      </text>
    </comment>
    <comment ref="M89" authorId="0" shapeId="0">
      <text>
        <t>Operating NWC
FORMULA: =M85+M86-M87
WHY: AR + inventory − AP only; Deferred excluded (no double count with CF row 81).
LINK: https://www.sec.gov/Archives/edgar/data/814547/000081454725000030/fico-20250930.htm</t>
      </text>
    </comment>
    <comment ref="N89" authorId="0" shapeId="0">
      <text>
        <t>Operating NWC
FORMULA: =N85+N86-N87
WHY: AR + inventory − AP only; Deferred excluded (no double count with CF row 81).
LINK: https://www.sec.gov/Archives/edgar/data/814547/000081454725000030/fico-20250930.htm</t>
      </text>
    </comment>
    <comment ref="B90" authorId="0" shapeId="0">
      <text>
        <t>Change in Op NWC
WHY: Year-over-year Op NWC change; AR/AP cash use — Deferred handled separately.
PATTERN: ={c}89-{p}89
LINK: https://www.sec.gov/Archives/edgar/data/814547/000081454725000030/fico-20250930.htm</t>
      </text>
    </comment>
    <comment ref="J90" authorId="0" shapeId="0">
      <text>
        <t>Change in Op NWC
FORMULA: =J89-I89
WHY: Year-over-year Op NWC change; AR/AP cash use — Deferred handled separately.
LINK: https://www.sec.gov/Archives/edgar/data/814547/000081454725000030/fico-20250930.htm</t>
      </text>
    </comment>
    <comment ref="K90" authorId="0" shapeId="0">
      <text>
        <t>Change in Op NWC
FORMULA: =K89-J89
WHY: Year-over-year Op NWC change; AR/AP cash use — Deferred handled separately.
LINK: https://www.sec.gov/Archives/edgar/data/814547/000081454725000030/fico-20250930.htm</t>
      </text>
    </comment>
    <comment ref="L90" authorId="0" shapeId="0">
      <text>
        <t>Change in Op NWC
FORMULA: =L89-K89
WHY: Year-over-year Op NWC change; AR/AP cash use — Deferred handled separately.
LINK: https://www.sec.gov/Archives/edgar/data/814547/000081454725000030/fico-20250930.htm</t>
      </text>
    </comment>
    <comment ref="M90" authorId="0" shapeId="0">
      <text>
        <t>Change in Op NWC
FORMULA: =M89-L89
WHY: Year-over-year Op NWC change; AR/AP cash use — Deferred handled separately.
LINK: https://www.sec.gov/Archives/edgar/data/814547/000081454725000030/fico-20250930.htm</t>
      </text>
    </comment>
    <comment ref="N90" authorId="0" shapeId="0">
      <text>
        <t>Change in Op NWC
FORMULA: =N89-M89
WHY: Year-over-year Op NWC change; AR/AP cash use — Deferred handled separately.
LINK: https://www.sec.gov/Archives/edgar/data/814547/000081454725000030/fico-20250930.htm</t>
      </text>
    </comment>
    <comment ref="B92" authorId="0" shapeId="0">
      <text>
        <t>PPE opening
WHY: Prior closing PP&amp;E (FY1 opens at last historical I44); base for CapEx and D&amp;A.
PATTERN: ={p}95 or I44
LINK: https://www.sec.gov/Archives/edgar/data/814547/000081454725000030/fico-20250930.htm</t>
      </text>
    </comment>
    <comment ref="J92" authorId="0" shapeId="0">
      <text>
        <t>PPE opening
FORMULA: =I95 or I44
WHY: Prior closing PP&amp;E (FY1 opens at last historical I44); base for CapEx and D&amp;A.
LINK: https://www.sec.gov/Archives/edgar/data/814547/000081454725000030/fico-20250930.htm</t>
      </text>
    </comment>
    <comment ref="K92" authorId="0" shapeId="0">
      <text>
        <t>PPE opening
FORMULA: =J95 or I44
WHY: Prior closing PP&amp;E (FY1 opens at last historical I44); base for CapEx and D&amp;A.
LINK: https://www.sec.gov/Archives/edgar/data/814547/000081454725000030/fico-20250930.htm</t>
      </text>
    </comment>
    <comment ref="L92" authorId="0" shapeId="0">
      <text>
        <t>PPE opening
FORMULA: =K95 or I44
WHY: Prior closing PP&amp;E (FY1 opens at last historical I44); base for CapEx and D&amp;A.
LINK: https://www.sec.gov/Archives/edgar/data/814547/000081454725000030/fico-20250930.htm</t>
      </text>
    </comment>
    <comment ref="M92" authorId="0" shapeId="0">
      <text>
        <t>PPE opening
FORMULA: =L95 or I44
WHY: Prior closing PP&amp;E (FY1 opens at last historical I44); base for CapEx and D&amp;A.
LINK: https://www.sec.gov/Archives/edgar/data/814547/000081454725000030/fico-20250930.htm</t>
      </text>
    </comment>
    <comment ref="N92" authorId="0" shapeId="0">
      <text>
        <t>PPE opening
FORMULA: =M95 or I44
WHY: Prior closing PP&amp;E (FY1 opens at last historical I44); base for CapEx and D&amp;A.
LINK: https://www.sec.gov/Archives/edgar/data/814547/000081454725000030/fico-20250930.htm</t>
      </text>
    </comment>
    <comment ref="B93" authorId="0" shapeId="0">
      <text>
        <t>PPE + CapEx
WHY: Same CapEx dollars as CF; additions that grow the gross PP&amp;E stock.
PATTERN: ={c}24*{c}18
LINK: https://www.sec.gov/Archives/edgar/data/814547/000081454725000030/fico-20250930.htm</t>
      </text>
    </comment>
    <comment ref="J93" authorId="0" shapeId="0">
      <text>
        <t>PPE + CapEx
FORMULA: =J24*J18
WHY: Same CapEx dollars as CF; additions that grow the gross PP&amp;E stock.
LINK: https://www.sec.gov/Archives/edgar/data/814547/000081454725000030/fico-20250930.htm</t>
      </text>
    </comment>
    <comment ref="K93" authorId="0" shapeId="0">
      <text>
        <t>PPE + CapEx
FORMULA: =K24*K18
WHY: Same CapEx dollars as CF; additions that grow the gross PP&amp;E stock.
LINK: https://www.sec.gov/Archives/edgar/data/814547/000081454725000030/fico-20250930.htm</t>
      </text>
    </comment>
    <comment ref="L93" authorId="0" shapeId="0">
      <text>
        <t>PPE + CapEx
FORMULA: =L24*L18
WHY: Same CapEx dollars as CF; additions that grow the gross PP&amp;E stock.
LINK: https://www.sec.gov/Archives/edgar/data/814547/000081454725000030/fico-20250930.htm</t>
      </text>
    </comment>
    <comment ref="M93" authorId="0" shapeId="0">
      <text>
        <t>PPE + CapEx
FORMULA: =M24*M18
WHY: Same CapEx dollars as CF; additions that grow the gross PP&amp;E stock.
LINK: https://www.sec.gov/Archives/edgar/data/814547/000081454725000030/fico-20250930.htm</t>
      </text>
    </comment>
    <comment ref="N93" authorId="0" shapeId="0">
      <text>
        <t>PPE + CapEx
FORMULA: =N24*N18
WHY: Same CapEx dollars as CF; additions that grow the gross PP&amp;E stock.
LINK: https://www.sec.gov/Archives/edgar/data/814547/000081454725000030/fico-20250930.htm</t>
      </text>
    </comment>
    <comment ref="B94" authorId="0" shapeId="0">
      <text>
        <t>PPE − D&amp;A
WHY: Same total D&amp;A as the IS (Rev × DA%); reduces net PP&amp;E and adds back in FCFF.
PATTERN: ={c}30
LINK: https://www.sec.gov/Archives/edgar/data/814547/000081454725000030/fico-20250930.htm</t>
      </text>
    </comment>
    <comment ref="J94" authorId="0" shapeId="0">
      <text>
        <t>PPE − D&amp;A
FORMULA: =J30
WHY: Same total D&amp;A as the IS (Rev × DA%); reduces net PP&amp;E and adds back in FCFF.
LINK: https://www.sec.gov/Archives/edgar/data/814547/000081454725000030/fico-20250930.htm</t>
      </text>
    </comment>
    <comment ref="K94" authorId="0" shapeId="0">
      <text>
        <t>PPE − D&amp;A
FORMULA: =K30
WHY: Same total D&amp;A as the IS (Rev × DA%); reduces net PP&amp;E and adds back in FCFF.
LINK: https://www.sec.gov/Archives/edgar/data/814547/000081454725000030/fico-20250930.htm</t>
      </text>
    </comment>
    <comment ref="L94" authorId="0" shapeId="0">
      <text>
        <t>PPE − D&amp;A
FORMULA: =L30
WHY: Same total D&amp;A as the IS (Rev × DA%); reduces net PP&amp;E and adds back in FCFF.
LINK: https://www.sec.gov/Archives/edgar/data/814547/000081454725000030/fico-20250930.htm</t>
      </text>
    </comment>
    <comment ref="M94" authorId="0" shapeId="0">
      <text>
        <t>PPE − D&amp;A
FORMULA: =M30
WHY: Same total D&amp;A as the IS (Rev × DA%); reduces net PP&amp;E and adds back in FCFF.
LINK: https://www.sec.gov/Archives/edgar/data/814547/000081454725000030/fico-20250930.htm</t>
      </text>
    </comment>
    <comment ref="N94" authorId="0" shapeId="0">
      <text>
        <t>PPE − D&amp;A
FORMULA: =N30
WHY: Same total D&amp;A as the IS (Rev × DA%); reduces net PP&amp;E and adds back in FCFF.
LINK: https://www.sec.gov/Archives/edgar/data/814547/000081454725000030/fico-20250930.htm</t>
      </text>
    </comment>
    <comment ref="B95" authorId="0" shapeId="0">
      <text>
        <t>PPE closing
WHY: Open + CapEx − D&amp;A; closing net PP&amp;E posted to the balance sheet.
PATTERN: ={c}92+{c}93-{c}94
LINK: https://www.sec.gov/Archives/edgar/data/814547/000081454725000030/fico-20250930.htm</t>
      </text>
    </comment>
    <comment ref="J95" authorId="0" shapeId="0">
      <text>
        <t>PPE closing
FORMULA: =J92+J93-J94
WHY: Open + CapEx − D&amp;A; closing net PP&amp;E posted to the balance sheet.
LINK: https://www.sec.gov/Archives/edgar/data/814547/000081454725000030/fico-20250930.htm</t>
      </text>
    </comment>
    <comment ref="K95" authorId="0" shapeId="0">
      <text>
        <t>PPE closing
FORMULA: =K92+K93-K94
WHY: Open + CapEx − D&amp;A; closing net PP&amp;E posted to the balance sheet.
LINK: https://www.sec.gov/Archives/edgar/data/814547/000081454725000030/fico-20250930.htm</t>
      </text>
    </comment>
    <comment ref="L95" authorId="0" shapeId="0">
      <text>
        <t>PPE closing
FORMULA: =L92+L93-L94
WHY: Open + CapEx − D&amp;A; closing net PP&amp;E posted to the balance sheet.
LINK: https://www.sec.gov/Archives/edgar/data/814547/000081454725000030/fico-20250930.htm</t>
      </text>
    </comment>
    <comment ref="M95" authorId="0" shapeId="0">
      <text>
        <t>PPE closing
FORMULA: =M92+M93-M94
WHY: Open + CapEx − D&amp;A; closing net PP&amp;E posted to the balance sheet.
LINK: https://www.sec.gov/Archives/edgar/data/814547/000081454725000030/fico-20250930.htm</t>
      </text>
    </comment>
    <comment ref="N95" authorId="0" shapeId="0">
      <text>
        <t>PPE closing
FORMULA: =N92+N93-N94
WHY: Open + CapEx − D&amp;A; closing net PP&amp;E posted to the balance sheet.
LINK: https://www.sec.gov/Archives/edgar/data/814547/000081454725000030/fico-20250930.htm</t>
      </text>
    </comment>
    <comment ref="B98" authorId="0" shapeId="0">
      <text>
        <t>Debt opening
WHY: Prior closing debt (FY1 opens at historical I49); base for interest and issuance.
PATTERN: ={p}100 or I49
LINK: https://www.sec.gov/Archives/edgar/data/814547/000081454725000016/fico-20250331.htm</t>
      </text>
    </comment>
    <comment ref="J98" authorId="0" shapeId="0">
      <text>
        <t>Debt opening
FORMULA: =I100 or I49
WHY: Prior closing debt (FY1 opens at historical I49); base for interest and issuance.
LINK: https://www.sec.gov/Archives/edgar/data/814547/000081454725000016/fico-20250331.htm</t>
      </text>
    </comment>
    <comment ref="K98" authorId="0" shapeId="0">
      <text>
        <t>Debt opening
FORMULA: =J100 or I49
WHY: Prior closing debt (FY1 opens at historical I49); base for interest and issuance.
LINK: https://www.sec.gov/Archives/edgar/data/814547/000081454725000016/fico-20250331.htm</t>
      </text>
    </comment>
    <comment ref="L98" authorId="0" shapeId="0">
      <text>
        <t>Debt opening
FORMULA: =K100 or I49
WHY: Prior closing debt (FY1 opens at historical I49); base for interest and issuance.
LINK: https://www.sec.gov/Archives/edgar/data/814547/000081454725000016/fico-20250331.htm</t>
      </text>
    </comment>
    <comment ref="M98" authorId="0" shapeId="0">
      <text>
        <t>Debt opening
FORMULA: =L100 or I49
WHY: Prior closing debt (FY1 opens at historical I49); base for interest and issuance.
LINK: https://www.sec.gov/Archives/edgar/data/814547/000081454725000016/fico-20250331.htm</t>
      </text>
    </comment>
    <comment ref="N98" authorId="0" shapeId="0">
      <text>
        <t>Debt opening
FORMULA: =M100 or I49
WHY: Prior closing debt (FY1 opens at historical I49); base for interest and issuance.
LINK: https://www.sec.gov/Archives/edgar/data/814547/000081454725000016/fico-20250331.htm</t>
      </text>
    </comment>
    <comment ref="B99" authorId="0" shapeId="0">
      <text>
        <t>Debt issuance
WHY: Links the debt policy row into the schedule; base case keeps this at zero.
PATTERN: ={c}19
LINK: https://www.sec.gov/Archives/edgar/data/814547/000081454725000030/fico-20250930.htm</t>
      </text>
    </comment>
    <comment ref="J99" authorId="0" shapeId="0">
      <text>
        <t>Debt issuance
FORMULA: =J19
WHY: Links the debt policy row into the schedule; base case keeps this at zero.
LINK: https://www.sec.gov/Archives/edgar/data/814547/000081454725000030/fico-20250930.htm</t>
      </text>
    </comment>
    <comment ref="K99" authorId="0" shapeId="0">
      <text>
        <t>Debt issuance
FORMULA: =K19
WHY: Links the debt policy row into the schedule; base case keeps this at zero.
LINK: https://www.sec.gov/Archives/edgar/data/814547/000081454725000030/fico-20250930.htm</t>
      </text>
    </comment>
    <comment ref="L99" authorId="0" shapeId="0">
      <text>
        <t>Debt issuance
FORMULA: =L19
WHY: Links the debt policy row into the schedule; base case keeps this at zero.
LINK: https://www.sec.gov/Archives/edgar/data/814547/000081454725000030/fico-20250930.htm</t>
      </text>
    </comment>
    <comment ref="M99" authorId="0" shapeId="0">
      <text>
        <t>Debt issuance
FORMULA: =M19
WHY: Links the debt policy row into the schedule; base case keeps this at zero.
LINK: https://www.sec.gov/Archives/edgar/data/814547/000081454725000030/fico-20250930.htm</t>
      </text>
    </comment>
    <comment ref="N99" authorId="0" shapeId="0">
      <text>
        <t>Debt issuance
FORMULA: =N19
WHY: Links the debt policy row into the schedule; base case keeps this at zero.
LINK: https://www.sec.gov/Archives/edgar/data/814547/000081454725000030/fico-20250930.htm</t>
      </text>
    </comment>
    <comment ref="B100" authorId="0" shapeId="0">
      <text>
        <t>Debt closing
WHY: Open plus issuance/(repayment); closing debt posted to the balance sheet.
PATTERN: ={c}98+{c}99
LINK: https://www.sec.gov/Archives/edgar/data/814547/000081454725000030/fico-20250930.htm</t>
      </text>
    </comment>
    <comment ref="J100" authorId="0" shapeId="0">
      <text>
        <t>Debt closing
FORMULA: =J98+J99
WHY: Open plus issuance/(repayment); closing debt posted to the balance sheet.
LINK: https://www.sec.gov/Archives/edgar/data/814547/000081454725000030/fico-20250930.htm</t>
      </text>
    </comment>
    <comment ref="K100" authorId="0" shapeId="0">
      <text>
        <t>Debt closing
FORMULA: =K98+K99
WHY: Open plus issuance/(repayment); closing debt posted to the balance sheet.
LINK: https://www.sec.gov/Archives/edgar/data/814547/000081454725000030/fico-20250930.htm</t>
      </text>
    </comment>
    <comment ref="L100" authorId="0" shapeId="0">
      <text>
        <t>Debt closing
FORMULA: =L98+L99
WHY: Open plus issuance/(repayment); closing debt posted to the balance sheet.
LINK: https://www.sec.gov/Archives/edgar/data/814547/000081454725000030/fico-20250930.htm</t>
      </text>
    </comment>
    <comment ref="M100" authorId="0" shapeId="0">
      <text>
        <t>Debt closing
FORMULA: =M98+M99
WHY: Open plus issuance/(repayment); closing debt posted to the balance sheet.
LINK: https://www.sec.gov/Archives/edgar/data/814547/000081454725000030/fico-20250930.htm</t>
      </text>
    </comment>
    <comment ref="N100" authorId="0" shapeId="0">
      <text>
        <t>Debt closing
FORMULA: =N98+N99
WHY: Open plus issuance/(repayment); closing debt posted to the balance sheet.
LINK: https://www.sec.gov/Archives/edgar/data/814547/000081454725000030/fico-20250930.htm</t>
      </text>
    </comment>
    <comment ref="B101" authorId="0" shapeId="0">
      <text>
        <t>Interest (schedule)
WHY: Opening debt × interest%; same economics as IS interest, from the debt schedule.
PATTERN: ={c}98*{c}12
LINK: https://www.sec.gov/Archives/edgar/data/814547/000081454725000030/fico-20250930.htm</t>
      </text>
    </comment>
    <comment ref="J101" authorId="0" shapeId="0">
      <text>
        <t>Interest (schedule)
FORMULA: =J98*J12
WHY: Opening debt × interest%; same economics as IS interest, from the debt schedule.
LINK: https://www.sec.gov/Archives/edgar/data/814547/000081454725000030/fico-20250930.htm</t>
      </text>
    </comment>
    <comment ref="K101" authorId="0" shapeId="0">
      <text>
        <t>Interest (schedule)
FORMULA: =K98*K12
WHY: Opening debt × interest%; same economics as IS interest, from the debt schedule.
LINK: https://www.sec.gov/Archives/edgar/data/814547/000081454725000030/fico-20250930.htm</t>
      </text>
    </comment>
    <comment ref="L101" authorId="0" shapeId="0">
      <text>
        <t>Interest (schedule)
FORMULA: =L98*L12
WHY: Opening debt × interest%; same economics as IS interest, from the debt schedule.
LINK: https://www.sec.gov/Archives/edgar/data/814547/000081454725000030/fico-20250930.htm</t>
      </text>
    </comment>
    <comment ref="M101" authorId="0" shapeId="0">
      <text>
        <t>Interest (schedule)
FORMULA: =M98*M12
WHY: Opening debt × interest%; same economics as IS interest, from the debt schedule.
LINK: https://www.sec.gov/Archives/edgar/data/814547/000081454725000030/fico-20250930.htm</t>
      </text>
    </comment>
    <comment ref="N101" authorId="0" shapeId="0">
      <text>
        <t>Interest (schedule)
FORMULA: =N98*N12
WHY: Opening debt × interest%; same economics as IS interest, from the debt schedule.
LINK: https://www.sec.gov/Archives/edgar/data/814547/000081454725000030/fico-20250930.htm</t>
      </text>
    </comment>
    <comment ref="B104" authorId="0" shapeId="0">
      <text>
        <t>Mix % — SaaS / Platform software
HOW: FY25 base 21.08% (SaaS $419,720k / Total $1,990,869k), then +250 bps/yr taken from on-prem. Platform ARR KPI $263.6M is not additive IS revenue.
WHY: Updated SaaS mix shift from Model13 (Previous: +200 bps/yr) to Model16 (New: +250 bps/yr). SaaS billed annually in advance → Deferred Revenue growth → explicit CFO cash source (row 81). Source: https://www.sec.gov/Archives/edgar/data/814547/000081454726000011/fico-20251231.htm.
SOURCE: SEC 10-Q Q1 FY2026 — Deferred revenue / contract liabilities detail
LINK: https://www.sec.gov/Archives/edgar/data/814547/000081454726000011/R45.htm
ASSUMPTIONS LIST PDF: https://raw.githubusercontent.com/vengeanceaiUSC/Rainmaker/cursor/vengeanceaiusmodel16-d3ac/FICO/output/MODEL16_FICO_ASSUMPTIONS_LIST.pdf</t>
      </text>
    </comment>
    <comment ref="J104" authorId="0" shapeId="0">
      <text>
        <t>Mix % — SaaS / Platform software
HOW: FY25 base 21.08% (SaaS $419,720k / Total $1,990,869k), then +250 bps/yr taken from on-prem. Platform ARR KPI $263.6M is not additive IS revenue.
WHY: Updated SaaS mix shift from Model13 (Previous: +200 bps/yr) to Model16 (New: +250 bps/yr). SaaS billed annually in advance → Deferred Revenue growth → explicit CFO cash source (row 81). Source: https://www.sec.gov/Archives/edgar/data/814547/000081454726000011/fico-20251231.htm.
SOURCE: SEC 10-Q Q1 FY2026 — Deferred revenue / contract liabilities detail
LINK: https://www.sec.gov/Archives/edgar/data/814547/000081454726000011/R45.htm
ASSUMPTIONS LIST PDF: https://raw.githubusercontent.com/vengeanceaiUSC/Rainmaker/cursor/vengeanceaiusmodel16-d3ac/FICO/output/MODEL16_FICO_ASSUMPTIONS_LIST.pdf</t>
      </text>
    </comment>
    <comment ref="K104" authorId="0" shapeId="0">
      <text>
        <t>Mix % — SaaS / Platform software
HOW: FY25 base 21.08% (SaaS $419,720k / Total $1,990,869k), then +250 bps/yr taken from on-prem. Platform ARR KPI $263.6M is not additive IS revenue.
WHY: Updated SaaS mix shift from Model13 (Previous: +200 bps/yr) to Model16 (New: +250 bps/yr). SaaS billed annually in advance → Deferred Revenue growth → explicit CFO cash source (row 81). Source: https://www.sec.gov/Archives/edgar/data/814547/000081454726000011/fico-20251231.htm.
SOURCE: SEC 10-Q Q1 FY2026 — Deferred revenue / contract liabilities detail
LINK: https://www.sec.gov/Archives/edgar/data/814547/000081454726000011/R45.htm
ASSUMPTIONS LIST PDF: https://raw.githubusercontent.com/vengeanceaiUSC/Rainmaker/cursor/vengeanceaiusmodel16-d3ac/FICO/output/MODEL16_FICO_ASSUMPTIONS_LIST.pdf</t>
      </text>
    </comment>
    <comment ref="L104" authorId="0" shapeId="0">
      <text>
        <t>Mix % — SaaS / Platform software
HOW: FY25 base 21.08% (SaaS $419,720k / Total $1,990,869k), then +250 bps/yr taken from on-prem. Platform ARR KPI $263.6M is not additive IS revenue.
WHY: Updated SaaS mix shift from Model13 (Previous: +200 bps/yr) to Model16 (New: +250 bps/yr). SaaS billed annually in advance → Deferred Revenue growth → explicit CFO cash source (row 81). Source: https://www.sec.gov/Archives/edgar/data/814547/000081454726000011/fico-20251231.htm.
SOURCE: SEC 10-Q Q1 FY2026 — Deferred revenue / contract liabilities detail
LINK: https://www.sec.gov/Archives/edgar/data/814547/000081454726000011/R45.htm
ASSUMPTIONS LIST PDF: https://raw.githubusercontent.com/vengeanceaiUSC/Rainmaker/cursor/vengeanceaiusmodel16-d3ac/FICO/output/MODEL16_FICO_ASSUMPTIONS_LIST.pdf</t>
      </text>
    </comment>
    <comment ref="M104" authorId="0" shapeId="0">
      <text>
        <t>Mix % — SaaS / Platform software
HOW: FY25 base 21.08% (SaaS $419,720k / Total $1,990,869k), then +250 bps/yr taken from on-prem. Platform ARR KPI $263.6M is not additive IS revenue.
WHY: Updated SaaS mix shift from Model13 (Previous: +200 bps/yr) to Model16 (New: +250 bps/yr). SaaS billed annually in advance → Deferred Revenue growth → explicit CFO cash source (row 81). Source: https://www.sec.gov/Archives/edgar/data/814547/000081454726000011/fico-20251231.htm.
SOURCE: SEC 10-Q Q1 FY2026 — Deferred revenue / contract liabilities detail
LINK: https://www.sec.gov/Archives/edgar/data/814547/000081454726000011/R45.htm
ASSUMPTIONS LIST PDF: https://raw.githubusercontent.com/vengeanceaiUSC/Rainmaker/cursor/vengeanceaiusmodel16-d3ac/FICO/output/MODEL16_FICO_ASSUMPTIONS_LIST.pdf</t>
      </text>
    </comment>
    <comment ref="N104" authorId="0" shapeId="0">
      <text>
        <t>Mix % — SaaS / Platform software
HOW: FY25 base 21.08% (SaaS $419,720k / Total $1,990,869k), then +250 bps/yr taken from on-prem. Platform ARR KPI $263.6M is not additive IS revenue.
WHY: Updated SaaS mix shift from Model13 (Previous: +200 bps/yr) to Model16 (New: +250 bps/yr). SaaS billed annually in advance → Deferred Revenue growth → explicit CFO cash source (row 81). Source: https://www.sec.gov/Archives/edgar/data/814547/000081454726000011/fico-20251231.htm.
SOURCE: SEC 10-Q Q1 FY2026 — Deferred revenue / contract liabilities detail
LINK: https://www.sec.gov/Archives/edgar/data/814547/000081454726000011/R45.htm
ASSUMPTIONS LIST PDF: https://raw.githubusercontent.com/vengeanceaiUSC/Rainmaker/cursor/vengeanceaiusmodel16-d3ac/FICO/output/MODEL16_FICO_ASSUMPTIONS_LIST.pdf</t>
      </text>
    </comment>
    <comment ref="U104" authorId="0" shapeId="0">
      <text>
        <t>Mix % — SaaS / Platform software
HOW: FY25 base 21.08% (SaaS $419,720k / Total $1,990,869k), then +250 bps/yr taken from on-prem. Platform ARR KPI $263.6M is not additive IS revenue.
WHY: Updated SaaS mix shift from Model13 (Previous: +200 bps/yr) to Model16 (New: +250 bps/yr). SaaS billed annually in advance → Deferred Revenue growth → explicit CFO cash source (row 81). Source: https://www.sec.gov/Archives/edgar/data/814547/000081454726000011/fico-20251231.htm.
SOURCE: SEC 10-Q Q1 FY2026 — Deferred revenue / contract liabilities detail
LINK: https://www.sec.gov/Archives/edgar/data/814547/000081454726000011/R45.htm
ASSUMPTIONS LIST PDF: https://raw.githubusercontent.com/vengeanceaiUSC/Rainmaker/cursor/vengeanceaiusmodel16-d3ac/FICO/output/MODEL16_FICO_ASSUMPTIONS_LIST.pdf</t>
      </text>
    </comment>
    <comment ref="V104" authorId="0" shapeId="0">
      <text>
        <t>Filing source for this row:
https://www.sec.gov/Archives/edgar/data/814547/000081454726000011/R45.htm
Full Assumptions List PDF (click orange title P4):
https://raw.githubusercontent.com/vengeanceaiUSC/Rainmaker/cursor/vengeanceaiusmodel16-d3ac/FICO/output/MODEL16_FICO_ASSUMPTIONS_LIST.pdf</t>
      </text>
    </comment>
    <comment ref="B105" authorId="0" shapeId="0">
      <text>
        <t>Mix % — B2C Subscriptions (myFICO)
HOW: Yellow POLICY = 11.05% (FY25 B2C Scores $219,980k / Total $1,990,869k).
WHY: Near-zero DSO (card-settled consumer subscriptions). Minimal Deferred Revenue vs annual SaaS invoices. High incremental margin; WC-light cash conversion.
SOURCE: SEC 10-K FY2025 — Scores segment B2C / myFICO disaggregation
LINK: https://www.sec.gov/Archives/edgar/data/814547/000081454725000030/fico-20250930.htm
ASSUMPTIONS LIST PDF: https://raw.githubusercontent.com/vengeanceaiUSC/Rainmaker/cursor/vengeanceaiusmodel16-d3ac/FICO/output/MODEL16_FICO_ASSUMPTIONS_LIST.pdf</t>
      </text>
    </comment>
    <comment ref="J105" authorId="0" shapeId="0">
      <text>
        <t>Mix % — B2C Subscriptions (myFICO)
HOW: Yellow POLICY = 11.05% (FY25 B2C Scores $219,980k / Total $1,990,869k).
WHY: Near-zero DSO (card-settled consumer subscriptions). Minimal Deferred Revenue vs annual SaaS invoices. High incremental margin; WC-light cash conversion.
SOURCE: SEC 10-K FY2025 — Scores segment B2C / myFICO disaggregation
LINK: https://www.sec.gov/Archives/edgar/data/814547/000081454725000030/fico-20250930.htm
ASSUMPTIONS LIST PDF: https://raw.githubusercontent.com/vengeanceaiUSC/Rainmaker/cursor/vengeanceaiusmodel16-d3ac/FICO/output/MODEL16_FICO_ASSUMPTIONS_LIST.pdf</t>
      </text>
    </comment>
    <comment ref="K105" authorId="0" shapeId="0">
      <text>
        <t>Mix % — B2C Subscriptions (myFICO)
HOW: Yellow POLICY = 11.05% (FY25 B2C Scores $219,980k / Total $1,990,869k).
WHY: Near-zero DSO (card-settled consumer subscriptions). Minimal Deferred Revenue vs annual SaaS invoices. High incremental margin; WC-light cash conversion.
SOURCE: SEC 10-K FY2025 — Scores segment B2C / myFICO disaggregation
LINK: https://www.sec.gov/Archives/edgar/data/814547/000081454725000030/fico-20250930.htm
ASSUMPTIONS LIST PDF: https://raw.githubusercontent.com/vengeanceaiUSC/Rainmaker/cursor/vengeanceaiusmodel16-d3ac/FICO/output/MODEL16_FICO_ASSUMPTIONS_LIST.pdf</t>
      </text>
    </comment>
    <comment ref="L105" authorId="0" shapeId="0">
      <text>
        <t>Mix % — B2C Subscriptions (myFICO)
HOW: Yellow POLICY = 11.05% (FY25 B2C Scores $219,980k / Total $1,990,869k).
WHY: Near-zero DSO (card-settled consumer subscriptions). Minimal Deferred Revenue vs annual SaaS invoices. High incremental margin; WC-light cash conversion.
SOURCE: SEC 10-K FY2025 — Scores segment B2C / myFICO disaggregation
LINK: https://www.sec.gov/Archives/edgar/data/814547/000081454725000030/fico-20250930.htm
ASSUMPTIONS LIST PDF: https://raw.githubusercontent.com/vengeanceaiUSC/Rainmaker/cursor/vengeanceaiusmodel16-d3ac/FICO/output/MODEL16_FICO_ASSUMPTIONS_LIST.pdf</t>
      </text>
    </comment>
    <comment ref="M105" authorId="0" shapeId="0">
      <text>
        <t>Mix % — B2C Subscriptions (myFICO)
HOW: Yellow POLICY = 11.05% (FY25 B2C Scores $219,980k / Total $1,990,869k).
WHY: Near-zero DSO (card-settled consumer subscriptions). Minimal Deferred Revenue vs annual SaaS invoices. High incremental margin; WC-light cash conversion.
SOURCE: SEC 10-K FY2025 — Scores segment B2C / myFICO disaggregation
LINK: https://www.sec.gov/Archives/edgar/data/814547/000081454725000030/fico-20250930.htm
ASSUMPTIONS LIST PDF: https://raw.githubusercontent.com/vengeanceaiUSC/Rainmaker/cursor/vengeanceaiusmodel16-d3ac/FICO/output/MODEL16_FICO_ASSUMPTIONS_LIST.pdf</t>
      </text>
    </comment>
    <comment ref="N105" authorId="0" shapeId="0">
      <text>
        <t>Mix % — B2C Subscriptions (myFICO)
HOW: Yellow POLICY = 11.05% (FY25 B2C Scores $219,980k / Total $1,990,869k).
WHY: Near-zero DSO (card-settled consumer subscriptions). Minimal Deferred Revenue vs annual SaaS invoices. High incremental margin; WC-light cash conversion.
SOURCE: SEC 10-K FY2025 — Scores segment B2C / myFICO disaggregation
LINK: https://www.sec.gov/Archives/edgar/data/814547/000081454725000030/fico-20250930.htm
ASSUMPTIONS LIST PDF: https://raw.githubusercontent.com/vengeanceaiUSC/Rainmaker/cursor/vengeanceaiusmodel16-d3ac/FICO/output/MODEL16_FICO_ASSUMPTIONS_LIST.pdf</t>
      </text>
    </comment>
    <comment ref="U105" authorId="0" shapeId="0">
      <text>
        <t>Mix % — B2C Subscriptions (myFICO)
HOW: Yellow POLICY = 11.05% (FY25 B2C Scores $219,980k / Total $1,990,869k).
WHY: Near-zero DSO (card-settled consumer subscriptions). Minimal Deferred Revenue vs annual SaaS invoices. High incremental margin; WC-light cash conversion.
SOURCE: SEC 10-K FY2025 — Scores segment B2C / myFICO disaggregation
LINK: https://www.sec.gov/Archives/edgar/data/814547/000081454725000030/fico-20250930.htm
ASSUMPTIONS LIST PDF: https://raw.githubusercontent.com/vengeanceaiUSC/Rainmaker/cursor/vengeanceaiusmodel16-d3ac/FICO/output/MODEL16_FICO_ASSUMPTIONS_LIST.pdf</t>
      </text>
    </comment>
    <comment ref="V105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https://raw.githubusercontent.com/vengeanceaiUSC/Rainmaker/cursor/vengeanceaiusmodel16-d3ac/FICO/output/MODEL16_FICO_ASSUMPTIONS_LIST.pdf</t>
      </text>
    </comment>
    <comment ref="B106" authorId="0" shapeId="0">
      <text>
        <t>Mix % — B2B Scores
HOW: Yellow POLICY = 47.65% (FY25 B2B Scores $948,595k / Total $1,990,869k).
WHY: Transactional volume through Experian/TransUnion/Equifax; ~30-day DSO. Does not create SaaS-style Deferred Revenue (usage-based recognition).
SOURCE: SEC 10-K FY2025 — Scores segment B2B disaggregation
LINK: https://www.sec.gov/Archives/edgar/data/814547/000081454725000030/fico-20250930.htm
ASSUMPTIONS LIST PDF: https://raw.githubusercontent.com/vengeanceaiUSC/Rainmaker/cursor/vengeanceaiusmodel16-d3ac/FICO/output/MODEL16_FICO_ASSUMPTIONS_LIST.pdf</t>
      </text>
    </comment>
    <comment ref="J106" authorId="0" shapeId="0">
      <text>
        <t>Mix % — B2B Scores
HOW: Yellow POLICY = 47.65% (FY25 B2B Scores $948,595k / Total $1,990,869k).
WHY: Transactional volume through Experian/TransUnion/Equifax; ~30-day DSO. Does not create SaaS-style Deferred Revenue (usage-based recognition).
SOURCE: SEC 10-K FY2025 — Scores segment B2B disaggregation
LINK: https://www.sec.gov/Archives/edgar/data/814547/000081454725000030/fico-20250930.htm
ASSUMPTIONS LIST PDF: https://raw.githubusercontent.com/vengeanceaiUSC/Rainmaker/cursor/vengeanceaiusmodel16-d3ac/FICO/output/MODEL16_FICO_ASSUMPTIONS_LIST.pdf</t>
      </text>
    </comment>
    <comment ref="K106" authorId="0" shapeId="0">
      <text>
        <t>Mix % — B2B Scores
HOW: Yellow POLICY = 47.65% (FY25 B2B Scores $948,595k / Total $1,990,869k).
WHY: Transactional volume through Experian/TransUnion/Equifax; ~30-day DSO. Does not create SaaS-style Deferred Revenue (usage-based recognition).
SOURCE: SEC 10-K FY2025 — Scores segment B2B disaggregation
LINK: https://www.sec.gov/Archives/edgar/data/814547/000081454725000030/fico-20250930.htm
ASSUMPTIONS LIST PDF: https://raw.githubusercontent.com/vengeanceaiUSC/Rainmaker/cursor/vengeanceaiusmodel16-d3ac/FICO/output/MODEL16_FICO_ASSUMPTIONS_LIST.pdf</t>
      </text>
    </comment>
    <comment ref="L106" authorId="0" shapeId="0">
      <text>
        <t>Mix % — B2B Scores
HOW: Yellow POLICY = 47.65% (FY25 B2B Scores $948,595k / Total $1,990,869k).
WHY: Transactional volume through Experian/TransUnion/Equifax; ~30-day DSO. Does not create SaaS-style Deferred Revenue (usage-based recognition).
SOURCE: SEC 10-K FY2025 — Scores segment B2B disaggregation
LINK: https://www.sec.gov/Archives/edgar/data/814547/000081454725000030/fico-20250930.htm
ASSUMPTIONS LIST PDF: https://raw.githubusercontent.com/vengeanceaiUSC/Rainmaker/cursor/vengeanceaiusmodel16-d3ac/FICO/output/MODEL16_FICO_ASSUMPTIONS_LIST.pdf</t>
      </text>
    </comment>
    <comment ref="M106" authorId="0" shapeId="0">
      <text>
        <t>Mix % — B2B Scores
HOW: Yellow POLICY = 47.65% (FY25 B2B Scores $948,595k / Total $1,990,869k).
WHY: Transactional volume through Experian/TransUnion/Equifax; ~30-day DSO. Does not create SaaS-style Deferred Revenue (usage-based recognition).
SOURCE: SEC 10-K FY2025 — Scores segment B2B disaggregation
LINK: https://www.sec.gov/Archives/edgar/data/814547/000081454725000030/fico-20250930.htm
ASSUMPTIONS LIST PDF: https://raw.githubusercontent.com/vengeanceaiUSC/Rainmaker/cursor/vengeanceaiusmodel16-d3ac/FICO/output/MODEL16_FICO_ASSUMPTIONS_LIST.pdf</t>
      </text>
    </comment>
    <comment ref="N106" authorId="0" shapeId="0">
      <text>
        <t>Mix % — B2B Scores
HOW: Yellow POLICY = 47.65% (FY25 B2B Scores $948,595k / Total $1,990,869k).
WHY: Transactional volume through Experian/TransUnion/Equifax; ~30-day DSO. Does not create SaaS-style Deferred Revenue (usage-based recognition).
SOURCE: SEC 10-K FY2025 — Scores segment B2B disaggregation
LINK: https://www.sec.gov/Archives/edgar/data/814547/000081454725000030/fico-20250930.htm
ASSUMPTIONS LIST PDF: https://raw.githubusercontent.com/vengeanceaiUSC/Rainmaker/cursor/vengeanceaiusmodel16-d3ac/FICO/output/MODEL16_FICO_ASSUMPTIONS_LIST.pdf</t>
      </text>
    </comment>
    <comment ref="U106" authorId="0" shapeId="0">
      <text>
        <t>Mix % — B2B Scores
HOW: Yellow POLICY = 47.65% (FY25 B2B Scores $948,595k / Total $1,990,869k).
WHY: Transactional volume through Experian/TransUnion/Equifax; ~30-day DSO. Does not create SaaS-style Deferred Revenue (usage-based recognition).
SOURCE: SEC 10-K FY2025 — Scores segment B2B disaggregation
LINK: https://www.sec.gov/Archives/edgar/data/814547/000081454725000030/fico-20250930.htm
ASSUMPTIONS LIST PDF: https://raw.githubusercontent.com/vengeanceaiUSC/Rainmaker/cursor/vengeanceaiusmodel16-d3ac/FICO/output/MODEL16_FICO_ASSUMPTIONS_LIST.pdf</t>
      </text>
    </comment>
    <comment ref="V106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https://raw.githubusercontent.com/vengeanceaiUSC/Rainmaker/cursor/vengeanceaiusmodel16-d3ac/FICO/output/MODEL16_FICO_ASSUMPTIONS_LIST.pdf</t>
      </text>
    </comment>
    <comment ref="B107" authorId="0" shapeId="0">
      <text>
        <t>Mix % — Professional Services
HOW: Yellow POLICY = 4.13% (FY25 PS $82,149k / Total $1,990,869k).
WHY: Upfront integration fees convert cash quickly (low DSO) but carry significantly lower gross margin than software/scores — pulls blended COGS up vs pure SaaS.
SOURCE: SEC 10-K FY2025 — Software segment Professional services line
LINK: https://www.sec.gov/Archives/edgar/data/814547/000081454725000030/fico-20250930.htm
ASSUMPTIONS LIST PDF: https://raw.githubusercontent.com/vengeanceaiUSC/Rainmaker/cursor/vengeanceaiusmodel16-d3ac/FICO/output/MODEL16_FICO_ASSUMPTIONS_LIST.pdf</t>
      </text>
    </comment>
    <comment ref="J107" authorId="0" shapeId="0">
      <text>
        <t>Mix % — Professional Services
HOW: Yellow POLICY = 4.13% (FY25 PS $82,149k / Total $1,990,869k).
WHY: Upfront integration fees convert cash quickly (low DSO) but carry significantly lower gross margin than software/scores — pulls blended COGS up vs pure SaaS.
SOURCE: SEC 10-K FY2025 — Software segment Professional services line
LINK: https://www.sec.gov/Archives/edgar/data/814547/000081454725000030/fico-20250930.htm
ASSUMPTIONS LIST PDF: https://raw.githubusercontent.com/vengeanceaiUSC/Rainmaker/cursor/vengeanceaiusmodel16-d3ac/FICO/output/MODEL16_FICO_ASSUMPTIONS_LIST.pdf</t>
      </text>
    </comment>
    <comment ref="K107" authorId="0" shapeId="0">
      <text>
        <t>Mix % — Professional Services
HOW: Yellow POLICY = 4.13% (FY25 PS $82,149k / Total $1,990,869k).
WHY: Upfront integration fees convert cash quickly (low DSO) but carry significantly lower gross margin than software/scores — pulls blended COGS up vs pure SaaS.
SOURCE: SEC 10-K FY2025 — Software segment Professional services line
LINK: https://www.sec.gov/Archives/edgar/data/814547/000081454725000030/fico-20250930.htm
ASSUMPTIONS LIST PDF: https://raw.githubusercontent.com/vengeanceaiUSC/Rainmaker/cursor/vengeanceaiusmodel16-d3ac/FICO/output/MODEL16_FICO_ASSUMPTIONS_LIST.pdf</t>
      </text>
    </comment>
    <comment ref="L107" authorId="0" shapeId="0">
      <text>
        <t>Mix % — Professional Services
HOW: Yellow POLICY = 4.13% (FY25 PS $82,149k / Total $1,990,869k).
WHY: Upfront integration fees convert cash quickly (low DSO) but carry significantly lower gross margin than software/scores — pulls blended COGS up vs pure SaaS.
SOURCE: SEC 10-K FY2025 — Software segment Professional services line
LINK: https://www.sec.gov/Archives/edgar/data/814547/000081454725000030/fico-20250930.htm
ASSUMPTIONS LIST PDF: https://raw.githubusercontent.com/vengeanceaiUSC/Rainmaker/cursor/vengeanceaiusmodel16-d3ac/FICO/output/MODEL16_FICO_ASSUMPTIONS_LIST.pdf</t>
      </text>
    </comment>
    <comment ref="M107" authorId="0" shapeId="0">
      <text>
        <t>Mix % — Professional Services
HOW: Yellow POLICY = 4.13% (FY25 PS $82,149k / Total $1,990,869k).
WHY: Upfront integration fees convert cash quickly (low DSO) but carry significantly lower gross margin than software/scores — pulls blended COGS up vs pure SaaS.
SOURCE: SEC 10-K FY2025 — Software segment Professional services line
LINK: https://www.sec.gov/Archives/edgar/data/814547/000081454725000030/fico-20250930.htm
ASSUMPTIONS LIST PDF: https://raw.githubusercontent.com/vengeanceaiUSC/Rainmaker/cursor/vengeanceaiusmodel16-d3ac/FICO/output/MODEL16_FICO_ASSUMPTIONS_LIST.pdf</t>
      </text>
    </comment>
    <comment ref="N107" authorId="0" shapeId="0">
      <text>
        <t>Mix % — Professional Services
HOW: Yellow POLICY = 4.13% (FY25 PS $82,149k / Total $1,990,869k).
WHY: Upfront integration fees convert cash quickly (low DSO) but carry significantly lower gross margin than software/scores — pulls blended COGS up vs pure SaaS.
SOURCE: SEC 10-K FY2025 — Software segment Professional services line
LINK: https://www.sec.gov/Archives/edgar/data/814547/000081454725000030/fico-20250930.htm
ASSUMPTIONS LIST PDF: https://raw.githubusercontent.com/vengeanceaiUSC/Rainmaker/cursor/vengeanceaiusmodel16-d3ac/FICO/output/MODEL16_FICO_ASSUMPTIONS_LIST.pdf</t>
      </text>
    </comment>
    <comment ref="U107" authorId="0" shapeId="0">
      <text>
        <t>Mix % — Professional Services
HOW: Yellow POLICY = 4.13% (FY25 PS $82,149k / Total $1,990,869k).
WHY: Upfront integration fees convert cash quickly (low DSO) but carry significantly lower gross margin than software/scores — pulls blended COGS up vs pure SaaS.
SOURCE: SEC 10-K FY2025 — Software segment Professional services line
LINK: https://www.sec.gov/Archives/edgar/data/814547/000081454725000030/fico-20250930.htm
ASSUMPTIONS LIST PDF: https://raw.githubusercontent.com/vengeanceaiUSC/Rainmaker/cursor/vengeanceaiusmodel16-d3ac/FICO/output/MODEL16_FICO_ASSUMPTIONS_LIST.pdf</t>
      </text>
    </comment>
    <comment ref="V107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https://raw.githubusercontent.com/vengeanceaiUSC/Rainmaker/cursor/vengeanceaiusmodel16-d3ac/FICO/output/MODEL16_FICO_ASSUMPTIONS_LIST.pdf</t>
      </text>
    </comment>
    <comment ref="B108" authorId="0" shapeId="0">
      <text>
        <t>Mix % — On-Premises Software
HOW: Yellow POLICY = 16.09% (FY25 on-prem $320,425k / Total $1,990,869k).
WHY: With SaaS mix, drives Deferred Revenue (maintenance billed in advance). Same 45-day DSO policy as SaaS. Completes mix identity to 100% of Total Rev.
SOURCE: SEC 10-K FY2025 — Software on-premises vs SaaS deployment table
LINK: https://www.sec.gov/Archives/edgar/data/814547/000081454725000030/fico-20250930.htm
ASSUMPTIONS LIST PDF: https://raw.githubusercontent.com/vengeanceaiUSC/Rainmaker/cursor/vengeanceaiusmodel16-d3ac/FICO/output/MODEL16_FICO_ASSUMPTIONS_LIST.pdf</t>
      </text>
    </comment>
    <comment ref="J108" authorId="0" shapeId="0">
      <text>
        <t>Mix % — On-Premises Software
HOW: Yellow POLICY = 16.09% (FY25 on-prem $320,425k / Total $1,990,869k).
WHY: With SaaS mix, drives Deferred Revenue (maintenance billed in advance). Same 45-day DSO policy as SaaS. Completes mix identity to 100% of Total Rev.
SOURCE: SEC 10-K FY2025 — Software on-premises vs SaaS deployment table
LINK: https://www.sec.gov/Archives/edgar/data/814547/000081454725000030/fico-20250930.htm
ASSUMPTIONS LIST PDF: https://raw.githubusercontent.com/vengeanceaiUSC/Rainmaker/cursor/vengeanceaiusmodel16-d3ac/FICO/output/MODEL16_FICO_ASSUMPTIONS_LIST.pdf</t>
      </text>
    </comment>
    <comment ref="K108" authorId="0" shapeId="0">
      <text>
        <t>Mix % — On-Premises Software
HOW: Yellow POLICY = 16.09% (FY25 on-prem $320,425k / Total $1,990,869k).
WHY: With SaaS mix, drives Deferred Revenue (maintenance billed in advance). Same 45-day DSO policy as SaaS. Completes mix identity to 100% of Total Rev.
SOURCE: SEC 10-K FY2025 — Software on-premises vs SaaS deployment table
LINK: https://www.sec.gov/Archives/edgar/data/814547/000081454725000030/fico-20250930.htm
ASSUMPTIONS LIST PDF: https://raw.githubusercontent.com/vengeanceaiUSC/Rainmaker/cursor/vengeanceaiusmodel16-d3ac/FICO/output/MODEL16_FICO_ASSUMPTIONS_LIST.pdf</t>
      </text>
    </comment>
    <comment ref="L108" authorId="0" shapeId="0">
      <text>
        <t>Mix % — On-Premises Software
HOW: Yellow POLICY = 16.09% (FY25 on-prem $320,425k / Total $1,990,869k).
WHY: With SaaS mix, drives Deferred Revenue (maintenance billed in advance). Same 45-day DSO policy as SaaS. Completes mix identity to 100% of Total Rev.
SOURCE: SEC 10-K FY2025 — Software on-premises vs SaaS deployment table
LINK: https://www.sec.gov/Archives/edgar/data/814547/000081454725000030/fico-20250930.htm
ASSUMPTIONS LIST PDF: https://raw.githubusercontent.com/vengeanceaiUSC/Rainmaker/cursor/vengeanceaiusmodel16-d3ac/FICO/output/MODEL16_FICO_ASSUMPTIONS_LIST.pdf</t>
      </text>
    </comment>
    <comment ref="M108" authorId="0" shapeId="0">
      <text>
        <t>Mix % — On-Premises Software
HOW: Yellow POLICY = 16.09% (FY25 on-prem $320,425k / Total $1,990,869k).
WHY: With SaaS mix, drives Deferred Revenue (maintenance billed in advance). Same 45-day DSO policy as SaaS. Completes mix identity to 100% of Total Rev.
SOURCE: SEC 10-K FY2025 — Software on-premises vs SaaS deployment table
LINK: https://www.sec.gov/Archives/edgar/data/814547/000081454725000030/fico-20250930.htm
ASSUMPTIONS LIST PDF: https://raw.githubusercontent.com/vengeanceaiUSC/Rainmaker/cursor/vengeanceaiusmodel16-d3ac/FICO/output/MODEL16_FICO_ASSUMPTIONS_LIST.pdf</t>
      </text>
    </comment>
    <comment ref="N108" authorId="0" shapeId="0">
      <text>
        <t>Mix % — On-Premises Software
HOW: Yellow POLICY = 16.09% (FY25 on-prem $320,425k / Total $1,990,869k).
WHY: With SaaS mix, drives Deferred Revenue (maintenance billed in advance). Same 45-day DSO policy as SaaS. Completes mix identity to 100% of Total Rev.
SOURCE: SEC 10-K FY2025 — Software on-premises vs SaaS deployment table
LINK: https://www.sec.gov/Archives/edgar/data/814547/000081454725000030/fico-20250930.htm
ASSUMPTIONS LIST PDF: https://raw.githubusercontent.com/vengeanceaiUSC/Rainmaker/cursor/vengeanceaiusmodel16-d3ac/FICO/output/MODEL16_FICO_ASSUMPTIONS_LIST.pdf</t>
      </text>
    </comment>
    <comment ref="U108" authorId="0" shapeId="0">
      <text>
        <t>Mix % — On-Premises Software
HOW: Yellow POLICY = 16.09% (FY25 on-prem $320,425k / Total $1,990,869k).
WHY: With SaaS mix, drives Deferred Revenue (maintenance billed in advance). Same 45-day DSO policy as SaaS. Completes mix identity to 100% of Total Rev.
SOURCE: SEC 10-K FY2025 — Software on-premises vs SaaS deployment table
LINK: https://www.sec.gov/Archives/edgar/data/814547/000081454725000030/fico-20250930.htm
ASSUMPTIONS LIST PDF: https://raw.githubusercontent.com/vengeanceaiUSC/Rainmaker/cursor/vengeanceaiusmodel16-d3ac/FICO/output/MODEL16_FICO_ASSUMPTIONS_LIST.pdf</t>
      </text>
    </comment>
    <comment ref="V108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https://raw.githubusercontent.com/vengeanceaiUSC/Rainmaker/cursor/vengeanceaiusmodel16-d3ac/FICO/output/MODEL16_FICO_ASSUMPTIONS_LIST.pdf</t>
      </text>
    </comment>
    <comment ref="B115" authorId="0" shapeId="0">
      <text>
        <t>Blended DSO (ref)
WHY: Segment economics reference; assumption row 15 phases hist→45d (not a cliff).
PATTERN: Σ mix_i×DSO_i
LINK: https://www.sec.gov/Archives/edgar/data/814547/000081454725000030/fico-20250930.htm</t>
      </text>
    </comment>
    <comment ref="J115" authorId="0" shapeId="0">
      <text>
        <t>Blended DSO (ref)
FORMULA: Σ mix_i×DSO_i
WHY: Segment economics reference; assumption row 15 phases hist→45d (not a cliff).
LINK: https://www.sec.gov/Archives/edgar/data/814547/000081454725000030/fico-20250930.htm</t>
      </text>
    </comment>
    <comment ref="K115" authorId="0" shapeId="0">
      <text>
        <t>Blended DSO (ref)
FORMULA: Σ mix_i×DSO_i
WHY: Segment economics reference; assumption row 15 phases hist→45d (not a cliff).
LINK: https://www.sec.gov/Archives/edgar/data/814547/000081454725000030/fico-20250930.htm</t>
      </text>
    </comment>
    <comment ref="L115" authorId="0" shapeId="0">
      <text>
        <t>Blended DSO (ref)
FORMULA: Σ mix_i×DSO_i
WHY: Segment economics reference; assumption row 15 phases hist→45d (not a cliff).
LINK: https://www.sec.gov/Archives/edgar/data/814547/000081454725000030/fico-20250930.htm</t>
      </text>
    </comment>
    <comment ref="M115" authorId="0" shapeId="0">
      <text>
        <t>Blended DSO (ref)
FORMULA: Σ mix_i×DSO_i
WHY: Segment economics reference; assumption row 15 phases hist→45d (not a cliff).
LINK: https://www.sec.gov/Archives/edgar/data/814547/000081454725000030/fico-20250930.htm</t>
      </text>
    </comment>
    <comment ref="N115" authorId="0" shapeId="0">
      <text>
        <t>Blended DSO (ref)
FORMULA: Σ mix_i×DSO_i
WHY: Segment economics reference; assumption row 15 phases hist→45d (not a cliff).
LINK: https://www.sec.gov/Archives/edgar/data/814547/000081454725000030/fico-20250930.htm</t>
      </text>
    </comment>
    <comment ref="B122" authorId="0" shapeId="0">
      <text>
        <t>Blended COGS %
WHY: Feeds assumption row 8; reflects low-margin professional services mix.
PATTERN: 1 − Σ mix_i×GM_i
LINK: https://www.sec.gov/Archives/edgar/data/814547/000081454725000030/fico-20250930.htm</t>
      </text>
    </comment>
    <comment ref="J122" authorId="0" shapeId="0">
      <text>
        <t>Blended COGS %
FORMULA: 1 − Σ mix_i×GM_i
WHY: Feeds assumption row 8; reflects low-margin professional services mix.
LINK: https://www.sec.gov/Archives/edgar/data/814547/000081454725000030/fico-20250930.htm</t>
      </text>
    </comment>
    <comment ref="K122" authorId="0" shapeId="0">
      <text>
        <t>Blended COGS %
FORMULA: 1 − Σ mix_i×GM_i
WHY: Feeds assumption row 8; reflects low-margin professional services mix.
LINK: https://www.sec.gov/Archives/edgar/data/814547/000081454725000030/fico-20250930.htm</t>
      </text>
    </comment>
    <comment ref="L122" authorId="0" shapeId="0">
      <text>
        <t>Blended COGS %
FORMULA: 1 − Σ mix_i×GM_i
WHY: Feeds assumption row 8; reflects low-margin professional services mix.
LINK: https://www.sec.gov/Archives/edgar/data/814547/000081454725000030/fico-20250930.htm</t>
      </text>
    </comment>
    <comment ref="M122" authorId="0" shapeId="0">
      <text>
        <t>Blended COGS %
FORMULA: 1 − Σ mix_i×GM_i
WHY: Feeds assumption row 8; reflects low-margin professional services mix.
LINK: https://www.sec.gov/Archives/edgar/data/814547/000081454725000030/fico-20250930.htm</t>
      </text>
    </comment>
    <comment ref="N122" authorId="0" shapeId="0">
      <text>
        <t>Blended COGS %
FORMULA: 1 − Σ mix_i×GM_i
WHY: Feeds assumption row 8; reflects low-margin professional services mix.
LINK: https://www.sec.gov/Archives/edgar/data/814547/000081454725000030/fico-20250930.htm</t>
      </text>
    </comment>
  </commentList>
</comments>
</file>

<file path=xl/comments/comment2.xml><?xml version="1.0" encoding="utf-8"?>
<comments xmlns="http://schemas.openxmlformats.org/spreadsheetml/2006/main">
  <authors>
    <author>vengeanceaiUSCMODEL16.0</author>
  </authors>
  <commentList>
    <comment ref="D5" authorId="0" shapeId="0">
      <text>
        <t>Cash tax rate
FORMULA: =3yr IncomeTaxesPaid/EBT
WHY: Cash tax rate for unlevered FCFF (not book tax on 3S J13); also feeds after-tax Rd.</t>
      </text>
    </comment>
    <comment ref="D6" authorId="0" shapeId="0">
      <text>
        <t>WACC
FORMULA: CAPM = R15 (primary)
WHY: Updated from Model13 (Previous: Yacktman 7.8%) to Model16 (New: live CAPM D6←R15).</t>
      </text>
    </comment>
    <comment ref="D8" authorId="0" shapeId="0">
      <text>
        <t>Exit EV/EBITDA multiple (BASE)
HOW: Yellow POLICY input D8 = 21.0x; TV = Year-5 EBITDA × D8.
WHY: Perpetual pricing power premium vs peer median (~18.1x). Unchanged vs Model13 21.0x. Bull 26x / Bear 15.5x. NOT FICO spot (~25–27x).
SOURCE (peer comps): https://vcpscanner.com/valuation/fico/relative
SOURCE (FICO spot): https://www.alphaspread.com/security/nyse/fico/relative-valuation/ratio/enterprise-value-to-ebitda</t>
      </text>
    </comment>
    <comment ref="R15" authorId="0" shapeId="0">
      <text>
        <t>WACC CAPM
FORMULA: =We×Ke+Wd×Rd×(1−t)
WHY: Weighted average cost of capital from CAPM Ke and after-tax cost of debt.</t>
      </text>
    </comment>
    <comment ref="D16" authorId="0" shapeId="0">
      <text>
        <t>Buyback-adjusted share schedule (Yacktman — no SBC double penalty).
HOW: D16 = starting shares (D12 = FYE25 23,764k). Each year: Shares += 3S EquityIssuance (row 20) / Price. Row 20 is residual FCF buybacks (negative) so the share count falls.
WHY: SBC is already added back in FCFF — diluting by SBC$/Price would double-penalize. Massive repurchases ($1.4B in FY25) are the real share-count driver.
SOURCE: 10-K FY2025 — Repurchases of common stock; shares outstanding.</t>
      </text>
    </comment>
    <comment ref="E21" authorId="0" shapeId="0">
      <text>
        <t>EBIT
FORMULA: GP−SGA−R&amp;D−DA
WHY: Operating profit from 3-statement links.</t>
      </text>
    </comment>
    <comment ref="F21" authorId="0" shapeId="0">
      <text>
        <t>EBIT
FORMULA: GP−SGA−R&amp;D−DA
WHY: Operating profit from 3-statement links.</t>
      </text>
    </comment>
    <comment ref="G21" authorId="0" shapeId="0">
      <text>
        <t>EBIT
FORMULA: GP−SGA−R&amp;D−DA
WHY: Operating profit from 3-statement links.</t>
      </text>
    </comment>
    <comment ref="H21" authorId="0" shapeId="0">
      <text>
        <t>EBIT
FORMULA: GP−SGA−R&amp;D−DA
WHY: Operating profit from 3-statement links.</t>
      </text>
    </comment>
    <comment ref="I21" authorId="0" shapeId="0">
      <text>
        <t>EBIT
FORMULA: GP−SGA−R&amp;D−DA
WHY: Operating profit from 3-statement links.</t>
      </text>
    </comment>
    <comment ref="E22" authorId="0" shapeId="0">
      <text>
        <t>Unlevered tax
FORMULA: EBIT×t
WHY: All-equity tax on EBIT for FCFF.</t>
      </text>
    </comment>
    <comment ref="F22" authorId="0" shapeId="0">
      <text>
        <t>Unlevered tax
FORMULA: EBIT×t
WHY: All-equity tax on EBIT for FCFF.</t>
      </text>
    </comment>
    <comment ref="G22" authorId="0" shapeId="0">
      <text>
        <t>Unlevered tax
FORMULA: EBIT×t
WHY: All-equity tax on EBIT for FCFF.</t>
      </text>
    </comment>
    <comment ref="H22" authorId="0" shapeId="0">
      <text>
        <t>Unlevered tax
FORMULA: EBIT×t
WHY: All-equity tax on EBIT for FCFF.</t>
      </text>
    </comment>
    <comment ref="I22" authorId="0" shapeId="0">
      <text>
        <t>Unlevered tax
FORMULA: EBIT×t
WHY: All-equity tax on EBIT for FCFF.</t>
      </text>
    </comment>
    <comment ref="E23" authorId="0" shapeId="0">
      <text>
        <t>D&amp;A
FORMULA: 3S D&amp;A
WHY: Non-cash add-back from 3-statement.</t>
      </text>
    </comment>
    <comment ref="F23" authorId="0" shapeId="0">
      <text>
        <t>D&amp;A
FORMULA: 3S D&amp;A
WHY: Non-cash add-back from 3-statement.</t>
      </text>
    </comment>
    <comment ref="G23" authorId="0" shapeId="0">
      <text>
        <t>D&amp;A
FORMULA: 3S D&amp;A
WHY: Non-cash add-back from 3-statement.</t>
      </text>
    </comment>
    <comment ref="H23" authorId="0" shapeId="0">
      <text>
        <t>D&amp;A
FORMULA: 3S D&amp;A
WHY: Non-cash add-back from 3-statement.</t>
      </text>
    </comment>
    <comment ref="I23" authorId="0" shapeId="0">
      <text>
        <t>D&amp;A
FORMULA: 3S D&amp;A
WHY: Non-cash add-back from 3-statement.</t>
      </text>
    </comment>
    <comment ref="E24" authorId="0" shapeId="0">
      <text>
        <t>CapEx
FORMULA: 3S CapEx
WHY: Reinvestment outflow from 3-statement CF.</t>
      </text>
    </comment>
    <comment ref="F24" authorId="0" shapeId="0">
      <text>
        <t>CapEx
FORMULA: 3S CapEx
WHY: Reinvestment outflow from 3-statement CF.</t>
      </text>
    </comment>
    <comment ref="G24" authorId="0" shapeId="0">
      <text>
        <t>CapEx
FORMULA: 3S CapEx
WHY: Reinvestment outflow from 3-statement CF.</t>
      </text>
    </comment>
    <comment ref="H24" authorId="0" shapeId="0">
      <text>
        <t>CapEx
FORMULA: 3S CapEx
WHY: Reinvestment outflow from 3-statement CF.</t>
      </text>
    </comment>
    <comment ref="I24" authorId="0" shapeId="0">
      <text>
        <t>CapEx
FORMULA: 3S CapEx
WHY: Reinvestment outflow from 3-statement CF.</t>
      </text>
    </comment>
    <comment ref="E25" authorId="0" shapeId="0">
      <text>
        <t>ΔNWC
FORMULA: 3S ΔNWC
WHY: Working-capital investment from 3-statement.</t>
      </text>
    </comment>
    <comment ref="F25" authorId="0" shapeId="0">
      <text>
        <t>ΔNWC
FORMULA: 3S ΔNWC
WHY: Working-capital investment from 3-statement.</t>
      </text>
    </comment>
    <comment ref="G25" authorId="0" shapeId="0">
      <text>
        <t>ΔNWC
FORMULA: 3S ΔNWC
WHY: Working-capital investment from 3-statement.</t>
      </text>
    </comment>
    <comment ref="H25" authorId="0" shapeId="0">
      <text>
        <t>ΔNWC
FORMULA: 3S ΔNWC
WHY: Working-capital investment from 3-statement.</t>
      </text>
    </comment>
    <comment ref="I25" authorId="0" shapeId="0">
      <text>
        <t>ΔNWC
FORMULA: 3S ΔNWC
WHY: Working-capital investment from 3-statement.</t>
      </text>
    </comment>
    <comment ref="E26" authorId="0" shapeId="0">
      <text>
        <t>UFCF
FORMULA: EBIT−tax+DA−CapEx−ΔNWC
WHY: Unlevered free cash flow discounted in DCF.</t>
      </text>
    </comment>
    <comment ref="F26" authorId="0" shapeId="0">
      <text>
        <t>UFCF
FORMULA: EBIT−tax+DA−CapEx−ΔNWC
WHY: Unlevered free cash flow discounted in DCF.</t>
      </text>
    </comment>
    <comment ref="G26" authorId="0" shapeId="0">
      <text>
        <t>UFCF
FORMULA: EBIT−tax+DA−CapEx−ΔNWC
WHY: Unlevered free cash flow discounted in DCF.</t>
      </text>
    </comment>
    <comment ref="H26" authorId="0" shapeId="0">
      <text>
        <t>UFCF
FORMULA: EBIT−tax+DA−CapEx−ΔNWC
WHY: Unlevered free cash flow discounted in DCF.</t>
      </text>
    </comment>
    <comment ref="I26" authorId="0" shapeId="0">
      <text>
        <t>UFCF
FORMULA: EBIT−tax+DA−CapEx−ΔNWC
WHY: Unlevered free cash flow discounted in DCF.</t>
      </text>
    </comment>
    <comment ref="J27" authorId="0" shapeId="0">
      <text>
        <t>Exit TV
FORMULA: =EBITDA_n×exit multiple
WHY: Terminal enterprise value at year 5 using exit EV/EBITDA (primary exit method).</t>
      </text>
    </comment>
    <comment ref="E28" authorId="0" shapeId="0">
      <text>
        <t>Transaction CF
FORMULA: FCFF (+ TV in exit yr)
WHY: Cash flow vector for XNPV.</t>
      </text>
    </comment>
    <comment ref="F28" authorId="0" shapeId="0">
      <text>
        <t>Transaction CF
FORMULA: FCFF (+ TV in exit yr)
WHY: Cash flow vector for XNPV.</t>
      </text>
    </comment>
    <comment ref="G28" authorId="0" shapeId="0">
      <text>
        <t>Transaction CF
FORMULA: FCFF (+ TV in exit yr)
WHY: Cash flow vector for XNPV.</t>
      </text>
    </comment>
    <comment ref="H28" authorId="0" shapeId="0">
      <text>
        <t>Transaction CF
FORMULA: FCFF (+ TV in exit yr)
WHY: Cash flow vector for XNPV.</t>
      </text>
    </comment>
    <comment ref="I28" authorId="0" shapeId="0">
      <text>
        <t>Transaction CF
FORMULA: FCFF (+ TV in exit yr)
WHY: Cash flow vector for XNPV.</t>
      </text>
    </comment>
    <comment ref="D32" authorId="0" shapeId="0">
      <text>
        <t>Enterprise value
FORMULA: =XNPV(WACC, CFs, mid-year dates)
WHY: Present value of FCFF + TV using mid-year dates and the live WACC.</t>
      </text>
    </comment>
    <comment ref="D35" authorId="0" shapeId="0">
      <text>
        <t>Equity value
FORMULA: =EV+Cash−Debt
WHY: Equity bridge: enterprise value plus cash minus gross debt (net debt adjustment).</t>
      </text>
    </comment>
    <comment ref="D37" authorId="0" shapeId="0">
      <text>
        <t>Value / share
FORMULA: =Equity/Shares
WHY: Intrinsic equity value per share using diluted shares outstanding.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2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r:id="rId1"/>
        </cNvPr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647701" y="5158514"/>
          <a:ext cx="742950" cy="8136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raw.githubusercontent.com/vengeanceaiUSC/Rainmaker/cursor/vengeanceaiusmodel16-d3ac/FICO/output/MODEL16_FICO_ASSUMPTIONS_LIST.pdf" TargetMode="External" Id="rId1" /><Relationship Type="http://schemas.openxmlformats.org/officeDocument/2006/relationships/hyperlink" Target="https://raw.githubusercontent.com/vengeanceaiUSC/Rainmaker/cursor/vengeanceaiusmodel16-d3ac/FICO/output/MODEL16_FICO_ASSUMPTIONS_LIST.pdf" TargetMode="External" Id="rId2" /><Relationship Type="http://schemas.openxmlformats.org/officeDocument/2006/relationships/hyperlink" Target="https://raw.githubusercontent.com/vengeanceaiUSC/Rainmaker/cursor/vengeanceaiusmodel16-d3ac/FICO/output/MODEL16_FICO_ASSUMPTIONS_LIST.pdf" TargetMode="External" Id="rId3" /><Relationship Type="http://schemas.openxmlformats.org/officeDocument/2006/relationships/hyperlink" Target="https://raw.githubusercontent.com/vengeanceaiUSC/Rainmaker/cursor/vengeanceaiusmodel16-d3ac/FICO/output/MODEL16_FICO_ASSUMPTIONS_LIST.pdf" TargetMode="External" Id="rId4" /><Relationship Type="http://schemas.openxmlformats.org/officeDocument/2006/relationships/hyperlink" Target="https://www.sec.gov/Archives/edgar/data/814547/000081454725000030/fico-20250930.htm" TargetMode="External" Id="rId5" /><Relationship Type="http://schemas.openxmlformats.org/officeDocument/2006/relationships/hyperlink" Target="https://www.sec.gov/Archives/edgar/data/814547/000081454725000030/fico-20250930.htm" TargetMode="External" Id="rId6" /><Relationship Type="http://schemas.openxmlformats.org/officeDocument/2006/relationships/hyperlink" Target="https://www.sec.gov/Archives/edgar/data/814547/000081454726000030/fico-20260630.htm" TargetMode="External" Id="rId7" /><Relationship Type="http://schemas.openxmlformats.org/officeDocument/2006/relationships/hyperlink" Target="https://www.sec.gov/Archives/edgar/data/814547/000081454726000030/fico-20260630.htm" TargetMode="External" Id="rId8" /><Relationship Type="http://schemas.openxmlformats.org/officeDocument/2006/relationships/hyperlink" Target="https://www.sec.gov/Archives/edgar/data/814547/000119312526117936/d56220d8k.htm" TargetMode="External" Id="rId9" /><Relationship Type="http://schemas.openxmlformats.org/officeDocument/2006/relationships/hyperlink" Target="https://www.sec.gov/Archives/edgar/data/814547/000119312526117936/d56220d8k.htm" TargetMode="External" Id="rId10" /><Relationship Type="http://schemas.openxmlformats.org/officeDocument/2006/relationships/hyperlink" Target="https://pages.stern.nyu.edu/adamodar/New_Home_Page/home.htm" TargetMode="External" Id="rId11" /><Relationship Type="http://schemas.openxmlformats.org/officeDocument/2006/relationships/hyperlink" Target="https://pages.stern.nyu.edu/adamodar/New_Home_Page/home.htm" TargetMode="External" Id="rId12" /><Relationship Type="http://schemas.openxmlformats.org/officeDocument/2006/relationships/hyperlink" Target="https://pages.stern.nyu.edu/adamodar/New_Home_Page/datafile/vebitda.htm" TargetMode="External" Id="rId13" /><Relationship Type="http://schemas.openxmlformats.org/officeDocument/2006/relationships/hyperlink" Target="https://pages.stern.nyu.edu/adamodar/New_Home_Page/datafile/vebitda.htm" TargetMode="External" Id="rId14" /><Relationship Type="http://schemas.openxmlformats.org/officeDocument/2006/relationships/hyperlink" Target="https://pages.stern.nyu.edu/~adamodar/New_Home_Page/datafile/histfcff.html" TargetMode="External" Id="rId15" /><Relationship Type="http://schemas.openxmlformats.org/officeDocument/2006/relationships/hyperlink" Target="https://pages.stern.nyu.edu/~adamodar/New_Home_Page/datafile/histfcff.html" TargetMode="External" Id="rId16" /><Relationship Type="http://schemas.openxmlformats.org/officeDocument/2006/relationships/hyperlink" Target="https://pages.stern.nyu.edu/adamodar/New_Home_Page/home.htm" TargetMode="External" Id="rId17" /><Relationship Type="http://schemas.openxmlformats.org/officeDocument/2006/relationships/hyperlink" Target="https://pages.stern.nyu.edu/adamodar/New_Home_Page/home.htm" TargetMode="External" Id="rId18" /><Relationship Type="http://schemas.openxmlformats.org/officeDocument/2006/relationships/hyperlink" Target="https://pages.stern.nyu.edu/~adamodar/New_Home_Page/datafile/histimpl.html" TargetMode="External" Id="rId19" /><Relationship Type="http://schemas.openxmlformats.org/officeDocument/2006/relationships/hyperlink" Target="https://pages.stern.nyu.edu/~adamodar/New_Home_Page/datafile/histimpl.html" TargetMode="External" Id="rId20" /><Relationship Type="http://schemas.openxmlformats.org/officeDocument/2006/relationships/hyperlink" Target="https://www.alphaspread.com/security/nyse/fico/relative-valuation/ratio/enterprise-value-to-ebitda" TargetMode="External" Id="rId21" /><Relationship Type="http://schemas.openxmlformats.org/officeDocument/2006/relationships/hyperlink" Target="https://www.alphaspread.com/security/nyse/fico/relative-valuation/ratio/enterprise-value-to-ebitda" TargetMode="External" Id="rId22" /><Relationship Type="http://schemas.openxmlformats.org/officeDocument/2006/relationships/hyperlink" Target="https://www.fico.com/en/investors" TargetMode="External" Id="rId23" /><Relationship Type="http://schemas.openxmlformats.org/officeDocument/2006/relationships/hyperlink" Target="https://www.fico.com/en/investors" TargetMode="External" Id="rId24" /><Relationship Type="http://schemas.openxmlformats.org/officeDocument/2006/relationships/hyperlink" Target="https://investors.fico.com/static-files/663245db-39a2-4db7-8f89-284034bbccbf" TargetMode="External" Id="rId25" /><Relationship Type="http://schemas.openxmlformats.org/officeDocument/2006/relationships/hyperlink" Target="https://investors.fico.com/static-files/663245db-39a2-4db7-8f89-284034bbccbf" TargetMode="External" Id="rId26" /><Relationship Type="http://schemas.openxmlformats.org/officeDocument/2006/relationships/hyperlink" Target="https://investors.fico.com/static-files/935bc755-fe08-44bd-9898-d04a4e3c92f1" TargetMode="External" Id="rId27" /><Relationship Type="http://schemas.openxmlformats.org/officeDocument/2006/relationships/hyperlink" Target="https://investors.fico.com/static-files/935bc755-fe08-44bd-9898-d04a4e3c92f1" TargetMode="External" Id="rId28" /><Relationship Type="http://schemas.openxmlformats.org/officeDocument/2006/relationships/hyperlink" Target="https://investors.fico.com/financial-information/sec-filings" TargetMode="External" Id="rId29" /><Relationship Type="http://schemas.openxmlformats.org/officeDocument/2006/relationships/hyperlink" Target="https://investors.fico.com/financial-information/sec-filings" TargetMode="External" Id="rId30" /><Relationship Type="http://schemas.openxmlformats.org/officeDocument/2006/relationships/hyperlink" Target="https://vcpscanner.com/valuation/fico/relative" TargetMode="External" Id="rId31" /><Relationship Type="http://schemas.openxmlformats.org/officeDocument/2006/relationships/hyperlink" Target="https://vcpscanner.com/valuation/fico/relative" TargetMode="External" Id="rId32" /><Relationship Type="http://schemas.openxmlformats.org/officeDocument/2006/relationships/hyperlink" Target="https://fred.stlouisfed.org/series/DGS10" TargetMode="External" Id="rId33" /><Relationship Type="http://schemas.openxmlformats.org/officeDocument/2006/relationships/hyperlink" Target="https://fred.stlouisfed.org/series/DGS10" TargetMode="External" Id="rId34" /><Relationship Type="http://schemas.openxmlformats.org/officeDocument/2006/relationships/hyperlink" Target="https://fred.stlouisfed.org/series/DGS10" TargetMode="External" Id="rId35" /><Relationship Type="http://schemas.openxmlformats.org/officeDocument/2006/relationships/hyperlink" Target="https://fred.stlouisfed.org/series/DGS10" TargetMode="External" Id="rId36" /><Relationship Type="http://schemas.openxmlformats.org/officeDocument/2006/relationships/hyperlink" Target="https://www.sec.gov/Archives/edgar/data/814547/000081454726000031/exhibit991erq32026.htm" TargetMode="External" Id="rId37" /><Relationship Type="http://schemas.openxmlformats.org/officeDocument/2006/relationships/hyperlink" Target="https://www.sec.gov/Archives/edgar/data/814547/000081454726000031/exhibit991erq32026.htm" TargetMode="External" Id="rId38" /><Relationship Type="http://schemas.openxmlformats.org/officeDocument/2006/relationships/hyperlink" Target="https://raw.githubusercontent.com/vengeanceaiUSC/Rainmaker/cursor/vengeanceaiusmodel16-d3ac/FICO/output/MODEL16_FICO_ASSUMPTIONS_LIST.pdf" TargetMode="External" Id="rId39" /><Relationship Type="http://schemas.openxmlformats.org/officeDocument/2006/relationships/hyperlink" Target="https://raw.githubusercontent.com/vengeanceaiUSC/Rainmaker/cursor/vengeanceaiusmodel16-d3ac/FICO/output/MODEL16_FICO_ASSUMPTIONS_LIST.pdf" TargetMode="External" Id="rId40" /><Relationship Type="http://schemas.openxmlformats.org/officeDocument/2006/relationships/hyperlink" Target="https://github.com/vengeanceaiUSC/Rainmaker/blob/cursor/vengeanceaiusmodel16-d3ac/FICO/output/MODEL16_FICO_ASSUMPTIONS_LIST.pdf" TargetMode="External" Id="rId41" /><Relationship Type="http://schemas.openxmlformats.org/officeDocument/2006/relationships/hyperlink" Target="https://github.com/vengeanceaiUSC/Rainmaker/blob/cursor/vengeanceaiusmodel16-d3ac/FICO/output/MODEL16_FICO_ASSUMPTIONS_LIST.pdf" TargetMode="External" Id="rId42" /><Relationship Type="http://schemas.openxmlformats.org/officeDocument/2006/relationships/hyperlink" Target="https://www.sec.gov/Archives/edgar/data/814547/000081454725000030/fico-20250930.htm" TargetMode="External" Id="rId43" /><Relationship Type="http://schemas.openxmlformats.org/officeDocument/2006/relationships/hyperlink" Target="https://www.sec.gov/Archives/edgar/data/814547/000081454725000030/fico-20250930.htm" TargetMode="External" Id="rId44" /><Relationship Type="http://schemas.openxmlformats.org/officeDocument/2006/relationships/hyperlink" Target="https://www.sec.gov/Archives/edgar/data/814547/000081454725000030/0000814547-25-000030-index.htm" TargetMode="External" Id="rId45" /><Relationship Type="http://schemas.openxmlformats.org/officeDocument/2006/relationships/hyperlink" Target="https://www.sec.gov/Archives/edgar/data/814547/000081454725000030/0000814547-25-000030-index.htm" TargetMode="External" Id="rId46" /><Relationship Type="http://schemas.openxmlformats.org/officeDocument/2006/relationships/hyperlink" Target="https://www.sec.gov/Archives/edgar/data/814547/000081454726000011/fico-20251231.htm" TargetMode="External" Id="rId47" /><Relationship Type="http://schemas.openxmlformats.org/officeDocument/2006/relationships/hyperlink" Target="https://www.sec.gov/Archives/edgar/data/814547/000081454726000011/fico-20251231.htm" TargetMode="External" Id="rId48" /><Relationship Type="http://schemas.openxmlformats.org/officeDocument/2006/relationships/hyperlink" Target="https://www.sec.gov/Archives/edgar/data/814547/000081454726000011/R45.htm" TargetMode="External" Id="rId49" /><Relationship Type="http://schemas.openxmlformats.org/officeDocument/2006/relationships/hyperlink" Target="https://www.sec.gov/Archives/edgar/data/814547/000081454726000011/R45.htm" TargetMode="External" Id="rId50" /><Relationship Type="http://schemas.openxmlformats.org/officeDocument/2006/relationships/hyperlink" Target="https://www.sec.gov/Archives/edgar/data/814547/000119312526117936/d56220d8k.htm" TargetMode="External" Id="rId51" /><Relationship Type="http://schemas.openxmlformats.org/officeDocument/2006/relationships/hyperlink" Target="https://www.sec.gov/Archives/edgar/data/814547/000119312526117936/d56220d8k.htm" TargetMode="External" Id="rId52" /><Relationship Type="http://schemas.openxmlformats.org/officeDocument/2006/relationships/hyperlink" Target="https://data.sec.gov/api/xbrl/companyfacts/CIK0000814547.json" TargetMode="External" Id="rId53" /><Relationship Type="http://schemas.openxmlformats.org/officeDocument/2006/relationships/hyperlink" Target="https://data.sec.gov/api/xbrl/companyfacts/CIK0000814547.json" TargetMode="External" Id="rId54" /><Relationship Type="http://schemas.openxmlformats.org/officeDocument/2006/relationships/hyperlink" Target="https://home.treasury.gov/resource-center/data-chart-center/interest-rates/TextView?type=daily_treasury_yield_curve" TargetMode="External" Id="rId55" /><Relationship Type="http://schemas.openxmlformats.org/officeDocument/2006/relationships/hyperlink" Target="https://home.treasury.gov/resource-center/data-chart-center/interest-rates/TextView?type=daily_treasury_yield_curve" TargetMode="External" Id="rId56" /><Relationship Type="http://schemas.openxmlformats.org/officeDocument/2006/relationships/hyperlink" Target="https://home.treasury.gov/resource-center/data-chart-center/interest-rates/TextView?type=daily_treasury_yield_curve" TargetMode="External" Id="rId57" /><Relationship Type="http://schemas.openxmlformats.org/officeDocument/2006/relationships/hyperlink" Target="https://home.treasury.gov/resource-center/data-chart-center/interest-rates/TextView?type=daily_treasury_yield_curve" TargetMode="External" Id="rId58" /><Relationship Type="http://schemas.openxmlformats.org/officeDocument/2006/relationships/hyperlink" Target="https://finance.yahoo.com/quote/FICO/key-statistics/" TargetMode="External" Id="rId59" /><Relationship Type="http://schemas.openxmlformats.org/officeDocument/2006/relationships/hyperlink" Target="https://finance.yahoo.com/quote/FICO/key-statistics/" TargetMode="External" Id="rId60" /><Relationship Type="http://schemas.openxmlformats.org/officeDocument/2006/relationships/hyperlink" Target="https://finance.yahoo.com/quote/FICO/key-statistics/" TargetMode="External" Id="rId61" /><Relationship Type="http://schemas.openxmlformats.org/officeDocument/2006/relationships/hyperlink" Target="https://finance.yahoo.com/quote/FICO/key-statistics/" TargetMode="External" Id="rId62" /><Relationship Type="http://schemas.openxmlformats.org/officeDocument/2006/relationships/hyperlink" Target="https://finance.yahoo.com/quote/FICO/" TargetMode="External" Id="rId63" /><Relationship Type="http://schemas.openxmlformats.org/officeDocument/2006/relationships/hyperlink" Target="https://finance.yahoo.com/quote/FICO/" TargetMode="External" Id="rId64" /><Relationship Type="http://schemas.openxmlformats.org/officeDocument/2006/relationships/hyperlink" Target="https://finance.yahoo.com/quote/%5ETNX/" TargetMode="External" Id="rId65" /><Relationship Type="http://schemas.openxmlformats.org/officeDocument/2006/relationships/hyperlink" Target="https://finance.yahoo.com/quote/%5ETNX/" TargetMode="External" Id="rId66" /><Relationship Type="http://schemas.openxmlformats.org/officeDocument/2006/relationships/hyperlink" Target="https://data.sec.gov/api/xbrl/companyfacts/CIK0000814547.json" TargetMode="External" Id="rId67" /><Relationship Type="http://schemas.openxmlformats.org/officeDocument/2006/relationships/hyperlink" Target="https://data.sec.gov/api/xbrl/companyfacts/CIK0000814547.json" TargetMode="External" Id="rId68" /><Relationship Type="http://schemas.openxmlformats.org/officeDocument/2006/relationships/drawing" Target="/xl/drawings/drawing1.xml" Id="rId69" /></Relationships>
</file>

<file path=xl/worksheets/_rels/sheet2.xml.rels><Relationships xmlns="http://schemas.openxmlformats.org/package/2006/relationships"><Relationship Type="http://schemas.openxmlformats.org/officeDocument/2006/relationships/hyperlink" Target="https://raw.githubusercontent.com/vengeanceaiUSC/Rainmaker/cursor/vengeanceaiusmodel16-d3ac/FICO/output/MODEL16_FICO_ASSUMPTIONS_LIST.pdf" TargetMode="External" Id="rId1" /><Relationship Type="http://schemas.openxmlformats.org/officeDocument/2006/relationships/hyperlink" Target="https://raw.githubusercontent.com/vengeanceaiUSC/Rainmaker/cursor/vengeanceaiusmodel16-d3ac/FICO/output/MODEL16_FICO_ASSUMPTIONS_LIST.pdf" TargetMode="External" Id="rId2" /><Relationship Type="http://schemas.openxmlformats.org/officeDocument/2006/relationships/hyperlink" Target="https://www.sec.gov/Archives/edgar/data/814547/000081454726000031/exhibit991erq32026.htm" TargetMode="External" Id="rId3" /><Relationship Type="http://schemas.openxmlformats.org/officeDocument/2006/relationships/hyperlink" Target="https://www.sec.gov/Archives/edgar/data/814547/000081454726000031/exhibit991erq32026.htm" TargetMode="External" Id="rId4" /><Relationship Type="http://schemas.openxmlformats.org/officeDocument/2006/relationships/hyperlink" Target="https://www.sec.gov/Archives/edgar/data/814547/000081454725000030/fico-20250930.htm" TargetMode="External" Id="rId5" /><Relationship Type="http://schemas.openxmlformats.org/officeDocument/2006/relationships/hyperlink" Target="https://www.sec.gov/Archives/edgar/data/814547/000081454725000030/fico-20250930.htm" TargetMode="External" Id="rId6" /><Relationship Type="http://schemas.openxmlformats.org/officeDocument/2006/relationships/hyperlink" Target="https://www.sec.gov/Archives/edgar/data/814547/000081454725000030/fico-20250930.htm" TargetMode="External" Id="rId7" /><Relationship Type="http://schemas.openxmlformats.org/officeDocument/2006/relationships/hyperlink" Target="https://www.sec.gov/Archives/edgar/data/814547/000081454725000030/fico-20250930.htm" TargetMode="External" Id="rId8" /><Relationship Type="http://schemas.openxmlformats.org/officeDocument/2006/relationships/hyperlink" Target="https://www.sec.gov/Archives/edgar/data/814547/000081454725000030/fico-20250930.htm" TargetMode="External" Id="rId9" /><Relationship Type="http://schemas.openxmlformats.org/officeDocument/2006/relationships/hyperlink" Target="https://www.sec.gov/Archives/edgar/data/814547/000081454725000030/fico-20250930.htm" TargetMode="External" Id="rId10" /><Relationship Type="http://schemas.openxmlformats.org/officeDocument/2006/relationships/hyperlink" Target="https://data.sec.gov/api/xbrl/companyfacts/CIK0000814547.json" TargetMode="External" Id="rId11" /><Relationship Type="http://schemas.openxmlformats.org/officeDocument/2006/relationships/hyperlink" Target="https://data.sec.gov/api/xbrl/companyfacts/CIK0000814547.json" TargetMode="External" Id="rId12" /><Relationship Type="http://schemas.openxmlformats.org/officeDocument/2006/relationships/hyperlink" Target="https://www.sec.gov/Archives/edgar/data/814547/000081454725000030/fico-20250930.htm" TargetMode="External" Id="rId13" /><Relationship Type="http://schemas.openxmlformats.org/officeDocument/2006/relationships/hyperlink" Target="https://www.sec.gov/Archives/edgar/data/814547/000081454725000030/fico-20250930.htm" TargetMode="External" Id="rId14" /><Relationship Type="http://schemas.openxmlformats.org/officeDocument/2006/relationships/hyperlink" Target="https://data.sec.gov/api/xbrl/companyfacts/CIK0000814547.json" TargetMode="External" Id="rId15" /><Relationship Type="http://schemas.openxmlformats.org/officeDocument/2006/relationships/hyperlink" Target="https://data.sec.gov/api/xbrl/companyfacts/CIK0000814547.json" TargetMode="External" Id="rId16" /><Relationship Type="http://schemas.openxmlformats.org/officeDocument/2006/relationships/hyperlink" Target="https://www.sec.gov/Archives/edgar/data/814547/000081454726000011/R45.htm" TargetMode="External" Id="rId17" /><Relationship Type="http://schemas.openxmlformats.org/officeDocument/2006/relationships/hyperlink" Target="https://www.sec.gov/Archives/edgar/data/814547/000081454726000011/R45.htm" TargetMode="External" Id="rId18" /><Relationship Type="http://schemas.openxmlformats.org/officeDocument/2006/relationships/hyperlink" Target="https://www.sec.gov/Archives/edgar/data/814547/000081454725000030/fico-20250930.htm" TargetMode="External" Id="rId19" /><Relationship Type="http://schemas.openxmlformats.org/officeDocument/2006/relationships/hyperlink" Target="https://www.sec.gov/Archives/edgar/data/814547/000081454725000030/fico-20250930.htm" TargetMode="External" Id="rId20" /><Relationship Type="http://schemas.openxmlformats.org/officeDocument/2006/relationships/hyperlink" Target="https://www.sec.gov/Archives/edgar/data/814547/000081454725000030/fico-20250930.htm" TargetMode="External" Id="rId21" /><Relationship Type="http://schemas.openxmlformats.org/officeDocument/2006/relationships/hyperlink" Target="https://www.sec.gov/Archives/edgar/data/814547/000081454725000030/fico-20250930.htm" TargetMode="External" Id="rId22" /><Relationship Type="http://schemas.openxmlformats.org/officeDocument/2006/relationships/hyperlink" Target="https://data.sec.gov/api/xbrl/companyfacts/CIK0000814547.json" TargetMode="External" Id="rId23" /><Relationship Type="http://schemas.openxmlformats.org/officeDocument/2006/relationships/hyperlink" Target="https://data.sec.gov/api/xbrl/companyfacts/CIK0000814547.json" TargetMode="External" Id="rId24" /><Relationship Type="http://schemas.openxmlformats.org/officeDocument/2006/relationships/hyperlink" Target="https://data.sec.gov/api/xbrl/companyfacts/CIK0000814547.json" TargetMode="External" Id="rId25" /><Relationship Type="http://schemas.openxmlformats.org/officeDocument/2006/relationships/hyperlink" Target="https://data.sec.gov/api/xbrl/companyfacts/CIK0000814547.json" TargetMode="External" Id="rId26" /><Relationship Type="http://schemas.openxmlformats.org/officeDocument/2006/relationships/hyperlink" Target="https://www.sec.gov/Archives/edgar/data/814547/000081454725000030/fico-20250930.htm" TargetMode="External" Id="rId27" /><Relationship Type="http://schemas.openxmlformats.org/officeDocument/2006/relationships/hyperlink" Target="https://www.sec.gov/Archives/edgar/data/814547/000081454725000030/fico-20250930.htm" TargetMode="External" Id="rId28" /><Relationship Type="http://schemas.openxmlformats.org/officeDocument/2006/relationships/hyperlink" Target="https://data.sec.gov/api/xbrl/companyfacts/CIK0000814547.json" TargetMode="External" Id="rId29" /><Relationship Type="http://schemas.openxmlformats.org/officeDocument/2006/relationships/hyperlink" Target="https://data.sec.gov/api/xbrl/companyfacts/CIK0000814547.json" TargetMode="External" Id="rId30" /><Relationship Type="http://schemas.openxmlformats.org/officeDocument/2006/relationships/hyperlink" Target="https://www.sec.gov/Archives/edgar/data/814547/000081454726000011/R45.htm" TargetMode="External" Id="rId31" /><Relationship Type="http://schemas.openxmlformats.org/officeDocument/2006/relationships/hyperlink" Target="https://www.sec.gov/Archives/edgar/data/814547/000081454726000011/R45.htm" TargetMode="External" Id="rId32" /><Relationship Type="http://schemas.openxmlformats.org/officeDocument/2006/relationships/hyperlink" Target="https://www.sec.gov/Archives/edgar/data/814547/000081454725000030/fico-20250930.htm" TargetMode="External" Id="rId33" /><Relationship Type="http://schemas.openxmlformats.org/officeDocument/2006/relationships/hyperlink" Target="https://www.sec.gov/Archives/edgar/data/814547/000081454725000030/fico-20250930.htm" TargetMode="External" Id="rId34" /><Relationship Type="http://schemas.openxmlformats.org/officeDocument/2006/relationships/hyperlink" Target="https://www.sec.gov/Archives/edgar/data/814547/000081454725000030/fico-20250930.htm" TargetMode="External" Id="rId35" /><Relationship Type="http://schemas.openxmlformats.org/officeDocument/2006/relationships/hyperlink" Target="https://www.sec.gov/Archives/edgar/data/814547/000081454725000030/fico-20250930.htm" TargetMode="External" Id="rId36" /><Relationship Type="http://schemas.openxmlformats.org/officeDocument/2006/relationships/hyperlink" Target="https://www.sec.gov/Archives/edgar/data/814547/000081454725000030/fico-20250930.htm" TargetMode="External" Id="rId37" /><Relationship Type="http://schemas.openxmlformats.org/officeDocument/2006/relationships/hyperlink" Target="https://www.sec.gov/Archives/edgar/data/814547/000081454725000030/fico-20250930.htm" TargetMode="External" Id="rId38" /><Relationship Type="http://schemas.openxmlformats.org/officeDocument/2006/relationships/hyperlink" Target="https://www.sec.gov/Archives/edgar/data/814547/000081454725000030/fico-20250930.htm" TargetMode="External" Id="rId39" /><Relationship Type="http://schemas.openxmlformats.org/officeDocument/2006/relationships/hyperlink" Target="https://www.sec.gov/Archives/edgar/data/814547/000081454725000030/fico-20250930.htm" TargetMode="External" Id="rId40" /><Relationship Type="http://schemas.openxmlformats.org/officeDocument/2006/relationships/hyperlink" Target="https://corporatefinanceinstitute.com/" TargetMode="External" Id="rId41" /><Relationship Type="http://schemas.openxmlformats.org/officeDocument/2006/relationships/drawing" Target="/xl/drawings/drawing2.xml" Id="rId4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https://raw.githubusercontent.com/vengeanceaiUSC/Rainmaker/cursor/vengeanceaiusmodel16-d3ac/FICO/output/MODEL16_FICO_ASSUMPTIONS_LIST.pdf" TargetMode="External" Id="rId1" /><Relationship Type="http://schemas.openxmlformats.org/officeDocument/2006/relationships/hyperlink" Target="https://github.com/vengeanceaiUSC/Rainmaker/blob/cursor/vengeanceaiusmodel16-d3ac/FICO/output/MODEL16_FICO_ASSUMPTIONS_LIST.pdf" TargetMode="External" Id="rId2" /><Relationship Type="http://schemas.openxmlformats.org/officeDocument/2006/relationships/hyperlink" Target="https://www.sec.gov/Archives/edgar/data/814547/000081454725000030/fico-20250930.htm" TargetMode="External" Id="rId3" /><Relationship Type="http://schemas.openxmlformats.org/officeDocument/2006/relationships/hyperlink" Target="https://fred.stlouisfed.org/series/DGS10" TargetMode="External" Id="rId4" /><Relationship Type="http://schemas.openxmlformats.org/officeDocument/2006/relationships/hyperlink" Target="https://pages.stern.nyu.edu/adamodar/New_Home_Page/home.htm" TargetMode="External" Id="rId5" /><Relationship Type="http://schemas.openxmlformats.org/officeDocument/2006/relationships/hyperlink" Target="https://www.sec.gov/Archives/edgar/data/814547/000119312526117936/d56220d8k.htm" TargetMode="External" Id="rId6" /><Relationship Type="http://schemas.openxmlformats.org/officeDocument/2006/relationships/hyperlink" Target="https://fred.stlouisfed.org/series/DGS10" TargetMode="External" Id="rId7" /><Relationship Type="http://schemas.openxmlformats.org/officeDocument/2006/relationships/hyperlink" Target="https://home.treasury.gov/resource-center/data-chart-center/interest-rates/TextView?type=daily_treasury_yield_curve" TargetMode="External" Id="rId8" /><Relationship Type="http://schemas.openxmlformats.org/officeDocument/2006/relationships/hyperlink" Target="https://pages.stern.nyu.edu/adamodar/New_Home_Page/home.htm" TargetMode="External" Id="rId9" /><Relationship Type="http://schemas.openxmlformats.org/officeDocument/2006/relationships/hyperlink" Target="https://pages.stern.nyu.edu/~adamodar/New_Home_Page/datafile/histimpl.html" TargetMode="External" Id="rId10" /><Relationship Type="http://schemas.openxmlformats.org/officeDocument/2006/relationships/hyperlink" Target="https://www.sec.gov/Archives/edgar/data/814547/000119312526117936/d56220d8k.htm" TargetMode="External" Id="rId11" /><Relationship Type="http://schemas.openxmlformats.org/officeDocument/2006/relationships/hyperlink" Target="https://vcpscanner.com/valuation/fico/relative" TargetMode="External" Id="rId12" /><Relationship Type="http://schemas.openxmlformats.org/officeDocument/2006/relationships/hyperlink" Target="https://www.alphaspread.com/security/nyse/fico/relative-valuation/ratio/enterprise-value-to-ebitda" TargetMode="External" Id="rId13" /><Relationship Type="http://schemas.openxmlformats.org/officeDocument/2006/relationships/hyperlink" Target="https://finance.yahoo.com/quote/FICO/key-statistics/" TargetMode="External" Id="rId14" /><Relationship Type="http://schemas.openxmlformats.org/officeDocument/2006/relationships/hyperlink" Target="https://finance.yahoo.com/quote/FICO/" TargetMode="External" Id="rId15" /><Relationship Type="http://schemas.openxmlformats.org/officeDocument/2006/relationships/hyperlink" Target="https://vcpscanner.com/valuation/fico/relative" TargetMode="External" Id="rId16" /><Relationship Type="http://schemas.openxmlformats.org/officeDocument/2006/relationships/hyperlink" Target="https://www.alphaspread.com/security/nyse/fico/relative-valuation/ratio/enterprise-value-to-ebitda" TargetMode="External" Id="rId17" /><Relationship Type="http://schemas.openxmlformats.org/officeDocument/2006/relationships/hyperlink" Target="https://www.sec.gov/Archives/edgar/data/814547/000119312526117936/d56220d8k.htm" TargetMode="External" Id="rId18" /><Relationship Type="http://schemas.openxmlformats.org/officeDocument/2006/relationships/hyperlink" Target="https://www.sec.gov/Archives/edgar/data/814547/000119312526102450/d92566dex991.htm" TargetMode="External" Id="rId19" /><Relationship Type="http://schemas.openxmlformats.org/officeDocument/2006/relationships/hyperlink" Target="https://www.sec.gov/Archives/edgar/data/814547/000081454725000030/fico-20250930.htm" TargetMode="External" Id="rId20" /><Relationship Type="http://schemas.openxmlformats.org/officeDocument/2006/relationships/hyperlink" Target="https://data.sec.gov/api/xbrl/companyfacts/CIK0000814547.json" TargetMode="External" Id="rId21" /><Relationship Type="http://schemas.openxmlformats.org/officeDocument/2006/relationships/hyperlink" Target="https://www.sec.gov/Archives/edgar/data/814547/000081454726000030/fico-20260630.htm" TargetMode="External" Id="rId22" /><Relationship Type="http://schemas.openxmlformats.org/officeDocument/2006/relationships/hyperlink" Target="https://finance.yahoo.com/quote/FICO/key-statistics/" TargetMode="External" Id="rId23" /><Relationship Type="http://schemas.openxmlformats.org/officeDocument/2006/relationships/hyperlink" Target="https://www.sec.gov/Archives/edgar/data/814547/000081454726000030/fico-20260630.htm" TargetMode="External" Id="rId24" /><Relationship Type="http://schemas.openxmlformats.org/officeDocument/2006/relationships/hyperlink" Target="https://www.sec.gov/Archives/edgar/data/814547/000081454725000030/fico-20250930.htm" TargetMode="External" Id="rId25" /><Relationship Type="http://schemas.openxmlformats.org/officeDocument/2006/relationships/hyperlink" Target="https://www.sec.gov/Archives/edgar/data/814547/000081454725000030/fico-20250930.htm" TargetMode="External" Id="rId26" /><Relationship Type="http://schemas.openxmlformats.org/officeDocument/2006/relationships/hyperlink" Target="https://pages.stern.nyu.edu/adamodar/New_Home_Page/home.htm" TargetMode="External" Id="rId27" /><Relationship Type="http://schemas.openxmlformats.org/officeDocument/2006/relationships/hyperlink" Target="https://data.sec.gov/api/xbrl/companyfacts/CIK0000814547.json" TargetMode="External" Id="rId28" /><Relationship Type="http://schemas.openxmlformats.org/officeDocument/2006/relationships/hyperlink" Target="https://www.sec.gov/Archives/edgar/data/814547/000081454725000030/fico-20250930.htm" TargetMode="External" Id="rId29" /><Relationship Type="http://schemas.openxmlformats.org/officeDocument/2006/relationships/hyperlink" Target="https://www.sec.gov/Archives/edgar/data/814547/000081454725000030/fico-20250930.htm" TargetMode="External" Id="rId30" /><Relationship Type="http://schemas.openxmlformats.org/officeDocument/2006/relationships/hyperlink" Target="https://finance.yahoo.com/quote/FICO/key-statistics/" TargetMode="External" Id="rId31" /><Relationship Type="http://schemas.openxmlformats.org/officeDocument/2006/relationships/hyperlink" Target="https://pages.stern.nyu.edu/adamodar/New_Home_Page/home.htm" TargetMode="External" Id="rId32" /><Relationship Type="http://schemas.openxmlformats.org/officeDocument/2006/relationships/hyperlink" Target="https://www.sec.gov/Archives/edgar/data/814547/000081454726000030/fico-20260630.htm" TargetMode="External" Id="rId33" /><Relationship Type="http://schemas.openxmlformats.org/officeDocument/2006/relationships/hyperlink" Target="https://www.sec.gov/Archives/edgar/data/814547/000081454725000030/fico-20250930.htm" TargetMode="External" Id="rId34" /><Relationship Type="http://schemas.openxmlformats.org/officeDocument/2006/relationships/hyperlink" Target="https://finance.yahoo.com/quote/FICO/key-statistics/" TargetMode="External" Id="rId35" /><Relationship Type="http://schemas.openxmlformats.org/officeDocument/2006/relationships/hyperlink" Target="https://finance.yahoo.com/quote/FICO/" TargetMode="External" Id="rId36" /><Relationship Type="http://schemas.openxmlformats.org/officeDocument/2006/relationships/hyperlink" Target="https://www.sec.gov/Archives/edgar/data/814547/000081454725000030/fico-20250930.htm" TargetMode="External" Id="rId37" /><Relationship Type="http://schemas.openxmlformats.org/officeDocument/2006/relationships/hyperlink" Target="https://data.sec.gov/api/xbrl/companyfacts/CIK0000814547.json" TargetMode="External" Id="rId38" /><Relationship Type="http://schemas.openxmlformats.org/officeDocument/2006/relationships/hyperlink" Target="https://www.sec.gov/Archives/edgar/data/814547/000081454725000030/fico-20250930.htm" TargetMode="External" Id="rId39" /><Relationship Type="http://schemas.openxmlformats.org/officeDocument/2006/relationships/hyperlink" Target="https://www.sec.gov/Archives/edgar/data/814547/000081454726000030/fico-20260630.htm" TargetMode="External" Id="rId40" /><Relationship Type="http://schemas.openxmlformats.org/officeDocument/2006/relationships/hyperlink" Target="https://www.sec.gov/Archives/edgar/data/814547/000119312526117936/d56220d8k.htm" TargetMode="External" Id="rId41" /><Relationship Type="http://schemas.openxmlformats.org/officeDocument/2006/relationships/hyperlink" Target="https://www.sec.gov/Archives/edgar/data/814547/000119312526102450/d92566dex991.htm" TargetMode="External" Id="rId42" /><Relationship Type="http://schemas.openxmlformats.org/officeDocument/2006/relationships/hyperlink" Target="https://data.sec.gov/api/xbrl/companyfacts/CIK0000814547.json" TargetMode="External" Id="rId43" /><Relationship Type="http://schemas.openxmlformats.org/officeDocument/2006/relationships/hyperlink" Target="https://fred.stlouisfed.org/series/DGS10" TargetMode="External" Id="rId44" /><Relationship Type="http://schemas.openxmlformats.org/officeDocument/2006/relationships/hyperlink" Target="https://home.treasury.gov/resource-center/data-chart-center/interest-rates/TextView?type=daily_treasury_yield_curve" TargetMode="External" Id="rId45" /><Relationship Type="http://schemas.openxmlformats.org/officeDocument/2006/relationships/hyperlink" Target="https://pages.stern.nyu.edu/adamodar/New_Home_Page/home.htm" TargetMode="External" Id="rId46" /><Relationship Type="http://schemas.openxmlformats.org/officeDocument/2006/relationships/hyperlink" Target="https://pages.stern.nyu.edu/~adamodar/New_Home_Page/datafile/histimpl.html" TargetMode="External" Id="rId47" /><Relationship Type="http://schemas.openxmlformats.org/officeDocument/2006/relationships/hyperlink" Target="https://finance.yahoo.com/quote/FICO/key-statistics/" TargetMode="External" Id="rId48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58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28" customWidth="1" min="5" max="5"/>
    <col width="36" customWidth="1" min="6" max="6"/>
    <col width="70" customWidth="1" min="7" max="7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vengeanceaiUSCMODEL16.0 (3-Statement + DCF)</t>
        </is>
      </c>
      <c r="D12" s="74" t="n"/>
      <c r="E12" s="166">
        <f>HYPERLINK("https://raw.githubusercontent.com/vengeanceaiUSC/Rainmaker/cursor/vengeanceaiusmodel16-d3ac/FICO/output/MODEL16_FICO_ASSUMPTIONS_LIST.pdf","⬇ ASSUMPTIONS PDF")</f>
        <v/>
      </c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44" customHeight="1">
      <c r="B13" s="74" t="n"/>
      <c r="C13" s="167">
        <f>HYPERLINK("https://raw.githubusercontent.com/vengeanceaiUSC/Rainmaker/cursor/vengeanceaiusmodel16-d3ac/FICO/output/MODEL16_FICO_ASSUMPTIONS_LIST.pdf","⬇ CLICK HERE — DOWNLOAD ASSUMPTIONS LIST PDF (NO CHARTS)")</f>
        <v/>
      </c>
      <c r="D13" s="168" t="n"/>
      <c r="E13" s="168" t="n"/>
      <c r="F13" s="168" t="n"/>
      <c r="G13" s="168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vengeanceaiUSCMODEL16.0 (CAPM-primary from MODEL13): MODEL13=6.5/10; WACC 7.80%→CAPM 9.27% (D6=R15); DSO 97→28d; +ΔDeferred in CFO; SBC 8.25% add-back; exit 21.0x; g=3.0%. ASSUMPTIONS PDF DOWNLOAD is the orange banner on Cover row 13 (C13). Also listed in Source Index (cols E–G).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30" customFormat="1" customHeight="1" s="84">
      <c r="B22" s="85" t="n"/>
      <c r="C22" s="169">
        <f>HYPERLINK("https://raw.githubusercontent.com/vengeanceaiUSC/Rainmaker/cursor/vengeanceaiusmodel16-d3ac/FICO/output/MODEL16_FICO_ASSUMPTIONS_LIST.pdf","⬇ DOWNLOAD ASSUMPTIONS LIST PDF — CLICK THIS LINK")</f>
        <v/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170">
        <f>HYPERLINK("https://raw.githubusercontent.com/vengeanceaiUSC/Rainmaker/cursor/vengeanceaiusmodel16-d3ac/FICO/output/MODEL16_FICO_ASSUMPTIONS_LIST.pdf","https://raw.githubusercontent.com/vengeanceaiUSC/Rainmaker/cursor/vengeanceaiusmodel16-d3ac/FICO/output/MODEL16_FICO_ASSUMPTIONS_LIST.pdf")</f>
        <v/>
      </c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171" t="inlineStr">
        <is>
          <t>vengeanceaiUSCMODEL16.0 — SOURCE INDEX (click any link)</t>
        </is>
      </c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172" t="inlineStr">
        <is>
          <t>Every assumption / WACC / filing source used in this workbook. Same links appear on 3-statement col U/V and DCF col U/V.</t>
        </is>
      </c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173" t="inlineStr">
        <is>
          <t>Source</t>
        </is>
      </c>
      <c r="F26" s="173" t="inlineStr">
        <is>
          <t>Clickable link</t>
        </is>
      </c>
      <c r="G26" s="173" t="inlineStr">
        <is>
          <t>URL</t>
        </is>
      </c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174" t="inlineStr">
        <is>
          <t>10-K FY2025</t>
        </is>
      </c>
      <c r="F27" s="175" t="inlineStr">
        <is>
          <t>10-K FY2025</t>
        </is>
      </c>
      <c r="G27" s="175" t="inlineStr">
        <is>
          <t>https://www.sec.gov/Archives/edgar/data/814547/000081454725000030/fico-20250930.htm</t>
        </is>
      </c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174" t="inlineStr">
        <is>
          <t>10-Q Q3 FY2026</t>
        </is>
      </c>
      <c r="F28" s="175" t="inlineStr">
        <is>
          <t>10-Q Q3 FY2026</t>
        </is>
      </c>
      <c r="G28" s="175" t="inlineStr">
        <is>
          <t>https://www.sec.gov/Archives/edgar/data/814547/000081454726000030/fico-20260630.htm</t>
        </is>
      </c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176" t="inlineStr">
        <is>
          <t>8-K 6.250% notes</t>
        </is>
      </c>
      <c r="F29" s="177" t="inlineStr">
        <is>
          <t>8-K 6.250% notes</t>
        </is>
      </c>
      <c r="G29" s="177" t="inlineStr">
        <is>
          <t>https://www.sec.gov/Archives/edgar/data/814547/000119312526117936/d56220d8k.htm</t>
        </is>
      </c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>
      <c r="E30" s="178" t="inlineStr">
        <is>
          <t>Damodaran ERP</t>
        </is>
      </c>
      <c r="F30" s="179" t="inlineStr">
        <is>
          <t>Damodaran ERP</t>
        </is>
      </c>
      <c r="G30" s="179" t="inlineStr">
        <is>
          <t>https://pages.stern.nyu.edu/adamodar/New_Home_Page/home.htm</t>
        </is>
      </c>
    </row>
    <row r="31" ht="19.5" customHeight="1">
      <c r="E31" s="178" t="inlineStr">
        <is>
          <t>Damodaran EV/EBITDA by sector</t>
        </is>
      </c>
      <c r="F31" s="179" t="inlineStr">
        <is>
          <t>Damodaran EV/EBITDA by sector</t>
        </is>
      </c>
      <c r="G31" s="179" t="inlineStr">
        <is>
          <t>https://pages.stern.nyu.edu/adamodar/New_Home_Page/datafile/vebitda.htm</t>
        </is>
      </c>
    </row>
    <row r="32" ht="19.5" customHeight="1">
      <c r="E32" s="178" t="inlineStr">
        <is>
          <t>Damodaran FCFF</t>
        </is>
      </c>
      <c r="F32" s="179" t="inlineStr">
        <is>
          <t>Damodaran FCFF</t>
        </is>
      </c>
      <c r="G32" s="179" t="inlineStr">
        <is>
          <t>https://pages.stern.nyu.edu/~adamodar/New_Home_Page/datafile/histfcff.html</t>
        </is>
      </c>
    </row>
    <row r="33" ht="19.5" customHeight="1">
      <c r="E33" s="178" t="inlineStr">
        <is>
          <t>Damodaran Implied ERP</t>
        </is>
      </c>
      <c r="F33" s="179" t="inlineStr">
        <is>
          <t>Damodaran Implied ERP</t>
        </is>
      </c>
      <c r="G33" s="179" t="inlineStr">
        <is>
          <t>https://pages.stern.nyu.edu/adamodar/New_Home_Page/home.htm</t>
        </is>
      </c>
    </row>
    <row r="34" ht="19.5" customHeight="1">
      <c r="E34" s="178" t="inlineStr">
        <is>
          <t>Damodaran implied ERP table</t>
        </is>
      </c>
      <c r="F34" s="179" t="inlineStr">
        <is>
          <t>Damodaran implied ERP table</t>
        </is>
      </c>
      <c r="G34" s="179" t="inlineStr">
        <is>
          <t>https://pages.stern.nyu.edu/~adamodar/New_Home_Page/datafile/histimpl.html</t>
        </is>
      </c>
    </row>
    <row r="35" ht="19.5" customHeight="1">
      <c r="E35" s="178" t="inlineStr">
        <is>
          <t>FICO EV/EBITDA (Alpha Spread)</t>
        </is>
      </c>
      <c r="F35" s="179" t="inlineStr">
        <is>
          <t>FICO EV/EBITDA (Alpha Spread)</t>
        </is>
      </c>
      <c r="G35" s="179" t="inlineStr">
        <is>
          <t>https://www.alphaspread.com/security/nyse/fico/relative-valuation/ratio/enterprise-value-to-ebitda</t>
        </is>
      </c>
    </row>
    <row r="36" ht="19.5" customHeight="1">
      <c r="E36" s="178" t="inlineStr">
        <is>
          <t>FICO IR</t>
        </is>
      </c>
      <c r="F36" s="179" t="inlineStr">
        <is>
          <t>FICO IR</t>
        </is>
      </c>
      <c r="G36" s="179" t="inlineStr">
        <is>
          <t>https://www.fico.com/en/investors</t>
        </is>
      </c>
    </row>
    <row r="37" ht="19.5" customHeight="1">
      <c r="E37" s="178" t="inlineStr">
        <is>
          <t>FICO IR — FY2025 10-K PDF</t>
        </is>
      </c>
      <c r="F37" s="179" t="inlineStr">
        <is>
          <t>FICO IR — FY2025 10-K PDF</t>
        </is>
      </c>
      <c r="G37" s="179" t="inlineStr">
        <is>
          <t>https://investors.fico.com/static-files/663245db-39a2-4db7-8f89-284034bbccbf</t>
        </is>
      </c>
    </row>
    <row r="38" ht="19.5" customHeight="1">
      <c r="E38" s="178" t="inlineStr">
        <is>
          <t>FICO IR — Q1 FY2026 10-Q PDF</t>
        </is>
      </c>
      <c r="F38" s="179" t="inlineStr">
        <is>
          <t>FICO IR — Q1 FY2026 10-Q PDF</t>
        </is>
      </c>
      <c r="G38" s="179" t="inlineStr">
        <is>
          <t>https://investors.fico.com/static-files/935bc755-fe08-44bd-9898-d04a4e3c92f1</t>
        </is>
      </c>
    </row>
    <row r="39" ht="19.5" customHeight="1">
      <c r="E39" s="178" t="inlineStr">
        <is>
          <t>FICO IR — SEC filings hub</t>
        </is>
      </c>
      <c r="F39" s="179" t="inlineStr">
        <is>
          <t>FICO IR — SEC filings hub</t>
        </is>
      </c>
      <c r="G39" s="179" t="inlineStr">
        <is>
          <t>https://investors.fico.com/financial-information/sec-filings</t>
        </is>
      </c>
    </row>
    <row r="40" ht="19.5" customHeight="1">
      <c r="E40" s="178" t="inlineStr">
        <is>
          <t>FICO peer EV/EBITDA comps (VCP Scanner)</t>
        </is>
      </c>
      <c r="F40" s="179" t="inlineStr">
        <is>
          <t>FICO peer EV/EBITDA comps (VCP Scanner)</t>
        </is>
      </c>
      <c r="G40" s="179" t="inlineStr">
        <is>
          <t>https://vcpscanner.com/valuation/fico/relative</t>
        </is>
      </c>
    </row>
    <row r="41" ht="19.5" customHeight="1">
      <c r="E41" s="178" t="inlineStr">
        <is>
          <t>FRED DGS10</t>
        </is>
      </c>
      <c r="F41" s="179" t="inlineStr">
        <is>
          <t>FRED DGS10</t>
        </is>
      </c>
      <c r="G41" s="179" t="inlineStr">
        <is>
          <t>https://fred.stlouisfed.org/series/DGS10</t>
        </is>
      </c>
    </row>
    <row r="42" ht="19.5" customHeight="1">
      <c r="E42" s="178" t="inlineStr">
        <is>
          <t>FRED DGS10 — US 10Y risk-free rate (Rf)</t>
        </is>
      </c>
      <c r="F42" s="179" t="inlineStr">
        <is>
          <t>FRED DGS10 — US 10Y risk-free rate (Rf)</t>
        </is>
      </c>
      <c r="G42" s="179" t="inlineStr">
        <is>
          <t>https://fred.stlouisfed.org/series/DGS10</t>
        </is>
      </c>
    </row>
    <row r="43" ht="19.5" customHeight="1">
      <c r="E43" s="178" t="inlineStr">
        <is>
          <t>FY2026 guidance EX-99.1</t>
        </is>
      </c>
      <c r="F43" s="179" t="inlineStr">
        <is>
          <t>FY2026 guidance EX-99.1</t>
        </is>
      </c>
      <c r="G43" s="179" t="inlineStr">
        <is>
          <t>https://www.sec.gov/Archives/edgar/data/814547/000081454726000031/exhibit991erq32026.htm</t>
        </is>
      </c>
    </row>
    <row r="44" ht="19.5" customHeight="1">
      <c r="E44" s="178" t="inlineStr">
        <is>
          <t>MODEL16 Assumptions List (PDF download)</t>
        </is>
      </c>
      <c r="F44" s="179" t="inlineStr">
        <is>
          <t>MODEL16 Assumptions List (PDF download)</t>
        </is>
      </c>
      <c r="G44" s="179" t="inlineStr">
        <is>
          <t>https://raw.githubusercontent.com/vengeanceaiUSC/Rainmaker/cursor/vengeanceaiusmodel16-d3ac/FICO/output/MODEL16_FICO_ASSUMPTIONS_LIST.pdf</t>
        </is>
      </c>
    </row>
    <row r="45" ht="19.5" customHeight="1">
      <c r="E45" s="178" t="inlineStr">
        <is>
          <t>MODEL16 Assumptions List (PDF view)</t>
        </is>
      </c>
      <c r="F45" s="179" t="inlineStr">
        <is>
          <t>MODEL16 Assumptions List (PDF view)</t>
        </is>
      </c>
      <c r="G45" s="179" t="inlineStr">
        <is>
          <t>https://github.com/vengeanceaiUSC/Rainmaker/blob/cursor/vengeanceaiusmodel16-d3ac/FICO/output/MODEL16_FICO_ASSUMPTIONS_LIST.pdf</t>
        </is>
      </c>
    </row>
    <row r="46" ht="19.5" customHeight="1">
      <c r="E46" s="178" t="inlineStr">
        <is>
          <t>SEC 10-K FY2025 (HTML)</t>
        </is>
      </c>
      <c r="F46" s="179" t="inlineStr">
        <is>
          <t>SEC 10-K FY2025 (HTML)</t>
        </is>
      </c>
      <c r="G46" s="179" t="inlineStr">
        <is>
          <t>https://www.sec.gov/Archives/edgar/data/814547/000081454725000030/fico-20250930.htm</t>
        </is>
      </c>
    </row>
    <row r="47">
      <c r="E47" s="178" t="inlineStr">
        <is>
          <t>SEC 10-K FY2025 filing index</t>
        </is>
      </c>
      <c r="F47" s="179" t="inlineStr">
        <is>
          <t>SEC 10-K FY2025 filing index</t>
        </is>
      </c>
      <c r="G47" s="179" t="inlineStr">
        <is>
          <t>https://www.sec.gov/Archives/edgar/data/814547/000081454725000030/0000814547-25-000030-index.htm</t>
        </is>
      </c>
    </row>
    <row r="48">
      <c r="E48" s="178" t="inlineStr">
        <is>
          <t>SEC 10-Q Q1 FY2026 (deferred revenue)</t>
        </is>
      </c>
      <c r="F48" s="179" t="inlineStr">
        <is>
          <t>SEC 10-Q Q1 FY2026 (deferred revenue)</t>
        </is>
      </c>
      <c r="G48" s="179" t="inlineStr">
        <is>
          <t>https://www.sec.gov/Archives/edgar/data/814547/000081454726000011/fico-20251231.htm</t>
        </is>
      </c>
    </row>
    <row r="49">
      <c r="E49" s="178" t="inlineStr">
        <is>
          <t>SEC 10-Q Q1 FY2026 — deferred revenue detail</t>
        </is>
      </c>
      <c r="F49" s="179" t="inlineStr">
        <is>
          <t>SEC 10-Q Q1 FY2026 — deferred revenue detail</t>
        </is>
      </c>
      <c r="G49" s="179" t="inlineStr">
        <is>
          <t>https://www.sec.gov/Archives/edgar/data/814547/000081454726000011/R45.htm</t>
        </is>
      </c>
    </row>
    <row r="50">
      <c r="E50" s="178" t="inlineStr">
        <is>
          <t>SEC 8-K — 6.250% Senior Notes due 2034 (Rd)</t>
        </is>
      </c>
      <c r="F50" s="179" t="inlineStr">
        <is>
          <t>SEC 8-K — 6.250% Senior Notes due 2034 (Rd)</t>
        </is>
      </c>
      <c r="G50" s="179" t="inlineStr">
        <is>
          <t>https://www.sec.gov/Archives/edgar/data/814547/000119312526117936/d56220d8k.htm</t>
        </is>
      </c>
    </row>
    <row r="51">
      <c r="E51" s="178" t="inlineStr">
        <is>
          <t>SEC companyfacts XBRL (SBC / cash tax / CapEx / buybacks)</t>
        </is>
      </c>
      <c r="F51" s="179" t="inlineStr">
        <is>
          <t>SEC companyfacts XBRL (SBC / cash tax / CapEx / buybacks)</t>
        </is>
      </c>
      <c r="G51" s="179" t="inlineStr">
        <is>
          <t>https://data.sec.gov/api/xbrl/companyfacts/CIK0000814547.json</t>
        </is>
      </c>
    </row>
    <row r="52">
      <c r="E52" s="178" t="inlineStr">
        <is>
          <t>US Treasury daily par yield curve</t>
        </is>
      </c>
      <c r="F52" s="179" t="inlineStr">
        <is>
          <t>US Treasury daily par yield curve</t>
        </is>
      </c>
      <c r="G52" s="179" t="inlineStr">
        <is>
          <t>https://home.treasury.gov/resource-center/data-chart-center/interest-rates/TextView?type=daily_treasury_yield_curve</t>
        </is>
      </c>
    </row>
    <row r="53">
      <c r="E53" s="178" t="inlineStr">
        <is>
          <t>US Treasury yield curve</t>
        </is>
      </c>
      <c r="F53" s="179" t="inlineStr">
        <is>
          <t>US Treasury yield curve</t>
        </is>
      </c>
      <c r="G53" s="179" t="inlineStr">
        <is>
          <t>https://home.treasury.gov/resource-center/data-chart-center/interest-rates/TextView?type=daily_treasury_yield_curve</t>
        </is>
      </c>
    </row>
    <row r="54">
      <c r="E54" s="178" t="inlineStr">
        <is>
          <t>Yahoo FICO</t>
        </is>
      </c>
      <c r="F54" s="179" t="inlineStr">
        <is>
          <t>Yahoo FICO</t>
        </is>
      </c>
      <c r="G54" s="179" t="inlineStr">
        <is>
          <t>https://finance.yahoo.com/quote/FICO/key-statistics/</t>
        </is>
      </c>
    </row>
    <row r="55">
      <c r="E55" s="178" t="inlineStr">
        <is>
          <t>Yahoo FICO key statistics — 5Y monthly Beta</t>
        </is>
      </c>
      <c r="F55" s="179" t="inlineStr">
        <is>
          <t>Yahoo FICO key statistics — 5Y monthly Beta</t>
        </is>
      </c>
      <c r="G55" s="179" t="inlineStr">
        <is>
          <t>https://finance.yahoo.com/quote/FICO/key-statistics/</t>
        </is>
      </c>
    </row>
    <row r="56">
      <c r="E56" s="178" t="inlineStr">
        <is>
          <t>Yahoo FICO quote</t>
        </is>
      </c>
      <c r="F56" s="179" t="inlineStr">
        <is>
          <t>Yahoo FICO quote</t>
        </is>
      </c>
      <c r="G56" s="179" t="inlineStr">
        <is>
          <t>https://finance.yahoo.com/quote/FICO/</t>
        </is>
      </c>
    </row>
    <row r="57">
      <c r="E57" s="178" t="inlineStr">
        <is>
          <t>Yahoo ^TNX — 10Y yield cross-check</t>
        </is>
      </c>
      <c r="F57" s="179" t="inlineStr">
        <is>
          <t>Yahoo ^TNX — 10Y yield cross-check</t>
        </is>
      </c>
      <c r="G57" s="179" t="inlineStr">
        <is>
          <t>https://finance.yahoo.com/quote/%5ETNX/</t>
        </is>
      </c>
    </row>
    <row r="58">
      <c r="E58" s="178" t="inlineStr">
        <is>
          <t>companyfacts</t>
        </is>
      </c>
      <c r="F58" s="179" t="inlineStr">
        <is>
          <t>companyfacts</t>
        </is>
      </c>
      <c r="G58" s="179" t="inlineStr">
        <is>
          <t>https://data.sec.gov/api/xbrl/companyfacts/CIK0000814547.json</t>
        </is>
      </c>
    </row>
  </sheetData>
  <mergeCells count="3">
    <mergeCell ref="C13:G13"/>
    <mergeCell ref="E24:G24"/>
    <mergeCell ref="E25:G25"/>
  </mergeCells>
  <hyperlinks>
    <hyperlink xmlns:r="http://schemas.openxmlformats.org/officeDocument/2006/relationships" ref="E12" r:id="rId1"/>
    <hyperlink xmlns:r="http://schemas.openxmlformats.org/officeDocument/2006/relationships" ref="C13" r:id="rId2"/>
    <hyperlink ref="C15" location="'3 Statement Model'!A1" display="3 Statement Model"/>
    <hyperlink xmlns:r="http://schemas.openxmlformats.org/officeDocument/2006/relationships" ref="C22" r:id="rId3"/>
    <hyperlink xmlns:r="http://schemas.openxmlformats.org/officeDocument/2006/relationships" ref="C23" r:id="rId4"/>
    <hyperlink xmlns:r="http://schemas.openxmlformats.org/officeDocument/2006/relationships" ref="F27" r:id="rId5"/>
    <hyperlink xmlns:r="http://schemas.openxmlformats.org/officeDocument/2006/relationships" ref="G27" r:id="rId6"/>
    <hyperlink xmlns:r="http://schemas.openxmlformats.org/officeDocument/2006/relationships" ref="F28" r:id="rId7"/>
    <hyperlink xmlns:r="http://schemas.openxmlformats.org/officeDocument/2006/relationships" ref="G28" r:id="rId8"/>
    <hyperlink xmlns:r="http://schemas.openxmlformats.org/officeDocument/2006/relationships" ref="F29" r:id="rId9"/>
    <hyperlink xmlns:r="http://schemas.openxmlformats.org/officeDocument/2006/relationships" ref="G29" r:id="rId10"/>
    <hyperlink xmlns:r="http://schemas.openxmlformats.org/officeDocument/2006/relationships" ref="F30" r:id="rId11"/>
    <hyperlink xmlns:r="http://schemas.openxmlformats.org/officeDocument/2006/relationships" ref="G30" r:id="rId12"/>
    <hyperlink xmlns:r="http://schemas.openxmlformats.org/officeDocument/2006/relationships" ref="F31" r:id="rId13"/>
    <hyperlink xmlns:r="http://schemas.openxmlformats.org/officeDocument/2006/relationships" ref="G31" r:id="rId14"/>
    <hyperlink xmlns:r="http://schemas.openxmlformats.org/officeDocument/2006/relationships" ref="F32" r:id="rId15"/>
    <hyperlink xmlns:r="http://schemas.openxmlformats.org/officeDocument/2006/relationships" ref="G32" r:id="rId16"/>
    <hyperlink xmlns:r="http://schemas.openxmlformats.org/officeDocument/2006/relationships" ref="F33" r:id="rId17"/>
    <hyperlink xmlns:r="http://schemas.openxmlformats.org/officeDocument/2006/relationships" ref="G33" r:id="rId18"/>
    <hyperlink xmlns:r="http://schemas.openxmlformats.org/officeDocument/2006/relationships" ref="F34" r:id="rId19"/>
    <hyperlink xmlns:r="http://schemas.openxmlformats.org/officeDocument/2006/relationships" ref="G34" r:id="rId20"/>
    <hyperlink xmlns:r="http://schemas.openxmlformats.org/officeDocument/2006/relationships" ref="F35" r:id="rId21"/>
    <hyperlink xmlns:r="http://schemas.openxmlformats.org/officeDocument/2006/relationships" ref="G35" r:id="rId22"/>
    <hyperlink xmlns:r="http://schemas.openxmlformats.org/officeDocument/2006/relationships" ref="F36" r:id="rId23"/>
    <hyperlink xmlns:r="http://schemas.openxmlformats.org/officeDocument/2006/relationships" ref="G36" r:id="rId24"/>
    <hyperlink xmlns:r="http://schemas.openxmlformats.org/officeDocument/2006/relationships" ref="F37" r:id="rId25"/>
    <hyperlink xmlns:r="http://schemas.openxmlformats.org/officeDocument/2006/relationships" ref="G37" r:id="rId26"/>
    <hyperlink xmlns:r="http://schemas.openxmlformats.org/officeDocument/2006/relationships" ref="F38" r:id="rId27"/>
    <hyperlink xmlns:r="http://schemas.openxmlformats.org/officeDocument/2006/relationships" ref="G38" r:id="rId28"/>
    <hyperlink xmlns:r="http://schemas.openxmlformats.org/officeDocument/2006/relationships" ref="F39" r:id="rId29"/>
    <hyperlink xmlns:r="http://schemas.openxmlformats.org/officeDocument/2006/relationships" ref="G39" r:id="rId30"/>
    <hyperlink xmlns:r="http://schemas.openxmlformats.org/officeDocument/2006/relationships" ref="F40" r:id="rId31"/>
    <hyperlink xmlns:r="http://schemas.openxmlformats.org/officeDocument/2006/relationships" ref="G40" r:id="rId32"/>
    <hyperlink xmlns:r="http://schemas.openxmlformats.org/officeDocument/2006/relationships" ref="F41" r:id="rId33"/>
    <hyperlink xmlns:r="http://schemas.openxmlformats.org/officeDocument/2006/relationships" ref="G41" r:id="rId34"/>
    <hyperlink xmlns:r="http://schemas.openxmlformats.org/officeDocument/2006/relationships" ref="F42" r:id="rId35"/>
    <hyperlink xmlns:r="http://schemas.openxmlformats.org/officeDocument/2006/relationships" ref="G42" r:id="rId36"/>
    <hyperlink xmlns:r="http://schemas.openxmlformats.org/officeDocument/2006/relationships" ref="F43" r:id="rId37"/>
    <hyperlink xmlns:r="http://schemas.openxmlformats.org/officeDocument/2006/relationships" ref="G43" r:id="rId38"/>
    <hyperlink xmlns:r="http://schemas.openxmlformats.org/officeDocument/2006/relationships" ref="F44" r:id="rId39"/>
    <hyperlink xmlns:r="http://schemas.openxmlformats.org/officeDocument/2006/relationships" ref="G44" r:id="rId40"/>
    <hyperlink xmlns:r="http://schemas.openxmlformats.org/officeDocument/2006/relationships" ref="F45" r:id="rId41"/>
    <hyperlink xmlns:r="http://schemas.openxmlformats.org/officeDocument/2006/relationships" ref="G45" r:id="rId42"/>
    <hyperlink xmlns:r="http://schemas.openxmlformats.org/officeDocument/2006/relationships" ref="F46" r:id="rId43"/>
    <hyperlink xmlns:r="http://schemas.openxmlformats.org/officeDocument/2006/relationships" ref="G46" r:id="rId44"/>
    <hyperlink xmlns:r="http://schemas.openxmlformats.org/officeDocument/2006/relationships" ref="F47" r:id="rId45"/>
    <hyperlink xmlns:r="http://schemas.openxmlformats.org/officeDocument/2006/relationships" ref="G47" r:id="rId46"/>
    <hyperlink xmlns:r="http://schemas.openxmlformats.org/officeDocument/2006/relationships" ref="F48" r:id="rId47"/>
    <hyperlink xmlns:r="http://schemas.openxmlformats.org/officeDocument/2006/relationships" ref="G48" r:id="rId48"/>
    <hyperlink xmlns:r="http://schemas.openxmlformats.org/officeDocument/2006/relationships" ref="F49" r:id="rId49"/>
    <hyperlink xmlns:r="http://schemas.openxmlformats.org/officeDocument/2006/relationships" ref="G49" r:id="rId50"/>
    <hyperlink xmlns:r="http://schemas.openxmlformats.org/officeDocument/2006/relationships" ref="F50" r:id="rId51"/>
    <hyperlink xmlns:r="http://schemas.openxmlformats.org/officeDocument/2006/relationships" ref="G50" r:id="rId52"/>
    <hyperlink xmlns:r="http://schemas.openxmlformats.org/officeDocument/2006/relationships" ref="F51" r:id="rId53"/>
    <hyperlink xmlns:r="http://schemas.openxmlformats.org/officeDocument/2006/relationships" ref="G51" r:id="rId54"/>
    <hyperlink xmlns:r="http://schemas.openxmlformats.org/officeDocument/2006/relationships" ref="F52" r:id="rId55"/>
    <hyperlink xmlns:r="http://schemas.openxmlformats.org/officeDocument/2006/relationships" ref="G52" r:id="rId56"/>
    <hyperlink xmlns:r="http://schemas.openxmlformats.org/officeDocument/2006/relationships" ref="F53" r:id="rId57"/>
    <hyperlink xmlns:r="http://schemas.openxmlformats.org/officeDocument/2006/relationships" ref="G53" r:id="rId58"/>
    <hyperlink xmlns:r="http://schemas.openxmlformats.org/officeDocument/2006/relationships" ref="F54" r:id="rId59"/>
    <hyperlink xmlns:r="http://schemas.openxmlformats.org/officeDocument/2006/relationships" ref="G54" r:id="rId60"/>
    <hyperlink xmlns:r="http://schemas.openxmlformats.org/officeDocument/2006/relationships" ref="F55" r:id="rId61"/>
    <hyperlink xmlns:r="http://schemas.openxmlformats.org/officeDocument/2006/relationships" ref="G55" r:id="rId62"/>
    <hyperlink xmlns:r="http://schemas.openxmlformats.org/officeDocument/2006/relationships" ref="F56" r:id="rId63"/>
    <hyperlink xmlns:r="http://schemas.openxmlformats.org/officeDocument/2006/relationships" ref="G56" r:id="rId64"/>
    <hyperlink xmlns:r="http://schemas.openxmlformats.org/officeDocument/2006/relationships" ref="F57" r:id="rId65"/>
    <hyperlink xmlns:r="http://schemas.openxmlformats.org/officeDocument/2006/relationships" ref="G57" r:id="rId66"/>
    <hyperlink xmlns:r="http://schemas.openxmlformats.org/officeDocument/2006/relationships" ref="F58" r:id="rId67"/>
    <hyperlink xmlns:r="http://schemas.openxmlformats.org/officeDocument/2006/relationships" ref="G58" r:id="rId68"/>
  </hyperlinks>
  <pageMargins left="0.7" right="0.7" top="0.75" bottom="0.75" header="0.3" footer="0.3"/>
  <pageSetup orientation="landscape" scale="64"/>
  <drawing xmlns:r="http://schemas.openxmlformats.org/officeDocument/2006/relationships" r:id="rId6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80" customWidth="1" min="3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  <col width="8" customWidth="1" min="16" max="16"/>
    <col width="22" customWidth="1" min="17" max="17"/>
    <col width="36" customWidth="1" min="18" max="18"/>
    <col width="42" customWidth="1" min="19" max="19"/>
    <col width="48" customWidth="1" min="20" max="20"/>
    <col width="42" customWidth="1" min="21" max="21"/>
    <col width="55" customWidth="1" min="22" max="22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180" t="n">
        <v>2021</v>
      </c>
      <c r="F2" s="181">
        <f>+E2+1</f>
        <v/>
      </c>
      <c r="G2" s="181">
        <f>+F2+1</f>
        <v/>
      </c>
      <c r="H2" s="181">
        <f>+G2+1</f>
        <v/>
      </c>
      <c r="I2" s="181">
        <f>+H2+1</f>
        <v/>
      </c>
      <c r="J2" s="182">
        <f>+I2+1</f>
        <v/>
      </c>
      <c r="K2" s="182">
        <f>+J2+1</f>
        <v/>
      </c>
      <c r="L2" s="182">
        <f>+K2+1</f>
        <v/>
      </c>
      <c r="M2" s="182">
        <f>+L2+1</f>
        <v/>
      </c>
      <c r="N2" s="182">
        <f>+M2+1</f>
        <v/>
      </c>
    </row>
    <row r="3">
      <c r="B3" s="19" t="inlineStr">
        <is>
          <t>Balance Sheet Check</t>
        </is>
      </c>
      <c r="E3" s="183">
        <f>IFERROR(IF(ABS(E57)&gt;0.5,"ERROR","OK"),"OK")</f>
        <v/>
      </c>
      <c r="F3" s="183">
        <f>IFERROR(IF(ABS(F57)&gt;0.5,"ERROR","OK"),"OK")</f>
        <v/>
      </c>
      <c r="G3" s="183">
        <f>IFERROR(IF(ABS(G57)&gt;0.5,"ERROR","OK"),"OK")</f>
        <v/>
      </c>
      <c r="H3" s="183">
        <f>IFERROR(IF(ABS(H57)&gt;0.5,"ERROR","OK"),"OK")</f>
        <v/>
      </c>
      <c r="I3" s="183">
        <f>IFERROR(IF(ABS(I57)&gt;0.5,"ERROR","OK"),"OK")</f>
        <v/>
      </c>
      <c r="J3" s="183">
        <f>IFERROR(IF(ABS(J57)&gt;0.5,"ERROR","OK"),"OK")</f>
        <v/>
      </c>
      <c r="K3" s="183">
        <f>IFERROR(IF(ABS(K57)&gt;0.5,"ERROR","OK"),"OK")</f>
        <v/>
      </c>
      <c r="L3" s="183">
        <f>IFERROR(IF(ABS(L57)&gt;0.5,"ERROR","OK"),"OK")</f>
        <v/>
      </c>
      <c r="M3" s="183">
        <f>IFERROR(IF(ABS(M57)&gt;0.5,"ERROR","OK"),"OK")</f>
        <v/>
      </c>
      <c r="N3" s="183">
        <f>IFERROR(IF(ABS(N57)&gt;0.5,"ERROR","OK"),"OK")</f>
        <v/>
      </c>
    </row>
    <row r="4" ht="44" customHeight="1">
      <c r="A4" s="184">
        <f>HYPERLINK("https://raw.githubusercontent.com/vengeanceaiUSC/Rainmaker/cursor/vengeanceaiusmodel16-d3ac/FICO/output/MODEL16_FICO_ASSUMPTIONS_LIST.pdf","⬇ Download Assumptions List PDF")</f>
        <v/>
      </c>
      <c r="B4" s="185" t="inlineStr">
        <is>
          <t>vengeanceaiUSCMODEL16.0: hover J–N for WHY+SOURCE; col U = filing source; col W = download Assumptions List PDF (no charts)</t>
        </is>
      </c>
      <c r="P4" s="186">
        <f>HYPERLINK("https://raw.githubusercontent.com/vengeanceaiUSC/Rainmaker/cursor/vengeanceaiusmodel16-d3ac/FICO/output/MODEL16_FICO_ASSUMPTIONS_LIST.pdf","ASSUMPTIONS EXPLAINED — click blue Source (col U) for the filing/data")</f>
        <v/>
      </c>
      <c r="Q4" s="187" t="n"/>
      <c r="R4" s="187" t="n"/>
      <c r="S4" s="187" t="n"/>
      <c r="T4" s="187" t="n"/>
      <c r="U4" s="187" t="n"/>
      <c r="V4" s="188" t="n"/>
    </row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  <c r="P5" s="189" t="inlineStr">
        <is>
          <t>Yellow = policy. Green = FY25-linked equations. Orange title above = click to download the Assumptions List PDF (no charts). PDF: https://raw.githubusercontent.com/vengeanceaiUSC/Rainmaker/cursor/vengeanceaiusmodel16-d3ac/FICO/output/MODEL16_FICO_ASSUMPTIONS_LIST.pdf</t>
        </is>
      </c>
    </row>
    <row r="6" hidden="1" outlineLevel="1" customFormat="1" s="19">
      <c r="B6" s="18" t="inlineStr">
        <is>
          <t>Income statement</t>
        </is>
      </c>
      <c r="D6" s="47" t="n"/>
      <c r="P6" s="190" t="inlineStr">
        <is>
          <t>Row</t>
        </is>
      </c>
      <c r="Q6" s="190" t="inlineStr">
        <is>
          <t>Assumption</t>
        </is>
      </c>
      <c r="R6" s="190" t="inlineStr">
        <is>
          <t>What it is</t>
        </is>
      </c>
      <c r="S6" s="190" t="inlineStr">
        <is>
          <t>How set in model</t>
        </is>
      </c>
      <c r="T6" s="190" t="inlineStr">
        <is>
          <t>Why this choice</t>
        </is>
      </c>
      <c r="U6" s="190" t="inlineStr">
        <is>
          <t>Source (click)</t>
        </is>
      </c>
      <c r="V6" s="190" t="inlineStr">
        <is>
          <t>Source URL</t>
        </is>
      </c>
    </row>
    <row r="7" hidden="1" outlineLevel="1" ht="40" customHeight="1">
      <c r="B7" s="19" t="inlineStr">
        <is>
          <t>Revenue Growth (% Change)</t>
        </is>
      </c>
      <c r="C7" s="191" t="inlineStr">
        <is>
          <t>WHY: Y1 ≈ company FY2026 revenue guidance (~$2.53B / FY25 $1.991B − 1 ≈ 27%). Then fade toward terminal g=3% (not straight… | SOURCE: SEC EX-99.1 Q3 FY2026 — updated FY2026 revenue guidance $2.53B | LINK: https://www.sec.gov/Archives/edgar/data/814547/000081454726000031/exhibit991erq32026.htm | HOW: Yellow POLICY input: 27% / 16% / 13% / 10% / 7%. | ASSUMPTIONS PDF: https://raw.githubusercontent.com/vengeanceaiUSC/Rainmaker/cursor/vengeanceaiusmodel16-d3ac/FICO/output/MODEL16_FICO_ASSUMPTIONS_LIST.pdf</t>
        </is>
      </c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192" t="n">
        <v>0.27</v>
      </c>
      <c r="K7" s="192" t="n">
        <v>0.16</v>
      </c>
      <c r="L7" s="192" t="n">
        <v>0.13</v>
      </c>
      <c r="M7" s="192" t="n">
        <v>0.1</v>
      </c>
      <c r="N7" s="192" t="n">
        <v>0.07000000000000001</v>
      </c>
      <c r="P7" s="193" t="n">
        <v>7</v>
      </c>
      <c r="Q7" s="193" t="inlineStr">
        <is>
          <t>Revenue Growth</t>
        </is>
      </c>
      <c r="R7" s="194" t="inlineStr">
        <is>
          <t>Year-over-year % increase in revenue for each forecast year.</t>
        </is>
      </c>
      <c r="S7" s="194" t="inlineStr">
        <is>
          <t>Yellow POLICY input: 27% / 16% / 13% / 10% / 7%.</t>
        </is>
      </c>
      <c r="T7" s="194" t="inlineStr">
        <is>
          <t>Y1 ≈ company FY2026 revenue guidance (~$2.53B / FY25 $1.991B − 1 ≈ 27%). Then fade toward terminal g=3% (not straight-lined). This is the main forward-looking judgment; it drives Rev → GP → EBT → Net Earnings → CF.</t>
        </is>
      </c>
      <c r="U7" s="195">
        <f>HYPERLINK("https://www.sec.gov/Archives/edgar/data/814547/000081454726000031/exhibit991erq32026.htm","SEC EX-99.1 Q3 FY2026 — updated FY2026 revenue guidance $2.53B")</f>
        <v/>
      </c>
      <c r="V7" s="195">
        <f>HYPERLINK("https://www.sec.gov/Archives/edgar/data/814547/000081454726000031/exhibit991erq32026.htm","https://www.sec.gov/Archives/edgar/data/814547/000081454726000031/exhibit991erq32026.htm")</f>
        <v/>
      </c>
    </row>
    <row r="8" hidden="1" outlineLevel="1" ht="40" customHeight="1">
      <c r="B8" s="19" t="inlineStr">
        <is>
          <t>COGS % of Revenue (segment GM base − 75bps×t pricing)</t>
        </is>
      </c>
      <c r="C8" s="191" t="inlineStr">
        <is>
          <t>WHY: MODEL16 Yacktman: COGS −75 bps/yr from segment GM; SG&amp;A −125 bps toward 15% floor (carry Model13 Scores pricing-power… | SOURCE: SEC 10-K FY2025 — Scores +$249M YoY 'primarily attributable to a higher unit price' | LINK: https://www.sec.gov/Archives/edgar/data/814547/000081454725000030/fico-20250930.htm | HOW: Excel: MAX(10%, segment blended COGS base≈17.60% − 75bps × year). | ASSUMPTIONS PDF: https://raw.githubusercontent.com/vengeanceaiUSC/Rainmaker/cursor/vengeanceaiusmodel16-d3ac/FICO/output/MODEL16_FICO_ASSUMPTIONS_LIST.pdf</t>
        </is>
      </c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196">
        <f>MAX(0.10,J122-0.0075)</f>
        <v/>
      </c>
      <c r="K8" s="196">
        <f>MAX(0.10,K122-0.015)</f>
        <v/>
      </c>
      <c r="L8" s="196">
        <f>MAX(0.10,L122-0.0225)</f>
        <v/>
      </c>
      <c r="M8" s="196">
        <f>MAX(0.10,M122-0.03)</f>
        <v/>
      </c>
      <c r="N8" s="196">
        <f>MAX(0.10,N122-0.0375)</f>
        <v/>
      </c>
      <c r="P8" s="193" t="n">
        <v>8</v>
      </c>
      <c r="Q8" s="193" t="inlineStr">
        <is>
          <t>COGS % of Revenue</t>
        </is>
      </c>
      <c r="R8" s="194" t="inlineStr">
        <is>
          <t>Cost of revenues as a % of sales (gross margin = 1 − this).</t>
        </is>
      </c>
      <c r="S8" s="194" t="inlineStr">
        <is>
          <t>Excel: MAX(10%, segment blended COGS base≈17.60% − 75bps × year).</t>
        </is>
      </c>
      <c r="T8" s="194" t="inlineStr">
        <is>
          <t>MODEL16 Yacktman: COGS −75 bps/yr from segment GM; SG&amp;A −125 bps toward 15% floor (carry Model13 Scores pricing-power grind). Mix % offset within Total Revenue (not a second revenue stack).</t>
        </is>
      </c>
      <c r="U8" s="195">
        <f>HYPERLINK("https://www.sec.gov/Archives/edgar/data/814547/000081454725000030/fico-20250930.htm","SEC 10-K FY2025 — Scores +$249M YoY 'primarily attributable to a higher unit price'")</f>
        <v/>
      </c>
      <c r="V8" s="195">
        <f>HYPERLINK("https://www.sec.gov/Archives/edgar/data/814547/000081454725000030/fico-20250930.htm","https://www.sec.gov/Archives/edgar/data/814547/000081454725000030/fico-20250930.htm")</f>
        <v/>
      </c>
    </row>
    <row r="9" hidden="1" outlineLevel="1" ht="40" customHeight="1">
      <c r="B9" s="19" t="inlineStr">
        <is>
          <t>SG&amp;A % of Revenue (floor 15%, −125bps×t)</t>
        </is>
      </c>
      <c r="C9" s="191" t="inlineStr">
        <is>
          <t>WHY: MODEL16 Yacktman: faster opex leverage (−125 bps/yr, floor 15%) as Scores near-100% incremental margins and SaaS scal… | SOURCE: SEC 10-K FY2025 — SG&amp;A + Scores pricing commentary | LINK: https://www.sec.gov/Archives/edgar/data/814547/000081454725000030/fico-20250930.htm | HOW: Equation: MAX(15%, (I28 − 10,922)/I24 − 125bps × year). Strips FY25 restructuring; then −1.25% of sales each year. | ASSUMPTIONS PDF: https://raw.githubusercontent.com/vengeanceaiUSC/Rainmaker/cursor/vengeanceaiusmodel16-d3ac/FICO/output/MODEL16_FICO_ASSUMPTIONS_LIST.pdf</t>
        </is>
      </c>
      <c r="D9" s="47" t="n"/>
      <c r="E9" s="197">
        <f>E28</f>
        <v/>
      </c>
      <c r="F9" s="197">
        <f>F28</f>
        <v/>
      </c>
      <c r="G9" s="197">
        <f>G28</f>
        <v/>
      </c>
      <c r="H9" s="197">
        <f>H28</f>
        <v/>
      </c>
      <c r="I9" s="197">
        <f>I28</f>
        <v/>
      </c>
      <c r="J9" s="198">
        <f>MAX(0.15,(($I$28-10922.0)/$I$24)-0.0125)</f>
        <v/>
      </c>
      <c r="K9" s="198">
        <f>MAX(0.15,(($I$28-10922.0)/$I$24)-0.025)</f>
        <v/>
      </c>
      <c r="L9" s="198">
        <f>MAX(0.15,(($I$28-10922.0)/$I$24)-0.037500000000000006)</f>
        <v/>
      </c>
      <c r="M9" s="198">
        <f>MAX(0.15,(($I$28-10922.0)/$I$24)-0.05)</f>
        <v/>
      </c>
      <c r="N9" s="198">
        <f>MAX(0.15,(($I$28-10922.0)/$I$24)-0.0625)</f>
        <v/>
      </c>
      <c r="P9" s="193" t="n">
        <v>9</v>
      </c>
      <c r="Q9" s="193" t="inlineStr">
        <is>
          <t>SG&amp;A % of Revenue</t>
        </is>
      </c>
      <c r="R9" s="194" t="inlineStr">
        <is>
          <t>Operating opex (SG&amp;A) as % of sales.</t>
        </is>
      </c>
      <c r="S9" s="194" t="inlineStr">
        <is>
          <t>Equation: MAX(15%, (I28 − 10,922)/I24 − 125bps × year). Strips FY25 restructuring; then −1.25% of sales each year.</t>
        </is>
      </c>
      <c r="T9" s="194" t="inlineStr">
        <is>
          <t>MODEL16 Yacktman: faster opex leverage (−125 bps/yr, floor 15%) as Scores near-100% incremental margins and SaaS scale drop incremental dollars below the line (MODEL12 used −100 bps).</t>
        </is>
      </c>
      <c r="U9" s="195">
        <f>HYPERLINK("https://www.sec.gov/Archives/edgar/data/814547/000081454725000030/fico-20250930.htm","SEC 10-K FY2025 — SG&amp;A + Scores pricing commentary")</f>
        <v/>
      </c>
      <c r="V9" s="195">
        <f>HYPERLINK("https://www.sec.gov/Archives/edgar/data/814547/000081454725000030/fico-20250930.htm","https://www.sec.gov/Archives/edgar/data/814547/000081454725000030/fico-20250930.htm")</f>
        <v/>
      </c>
    </row>
    <row r="10" hidden="1" outlineLevel="1" ht="40" customHeight="1">
      <c r="B10" s="19" t="inlineStr">
        <is>
          <t>R&amp;D % of Revenue (equation)</t>
        </is>
      </c>
      <c r="C10" s="191" t="inlineStr">
        <is>
          <t>WHY: FICO reinvests steadily in analytics/software. Flat % grows dollars with revenue. | SOURCE: SEC 10-K FY2025 — Research and development | LINK: https://www.sec.gov/Archives/edgar/data/814547/000081454725000030/fico-20250930.htm | HOW: Excel equation: I29/I24 held flat (~9.46%). | ASSUMPTIONS PDF: https://raw.githubusercontent.com/vengeanceaiUSC/Rainmaker/cursor/vengeanceaiusmodel16-d3ac/FICO/output/MODEL16_FICO_ASSUMPTIONS_LIST.pdf</t>
        </is>
      </c>
      <c r="D10" s="47" t="n"/>
      <c r="E10" s="197">
        <f>E29</f>
        <v/>
      </c>
      <c r="F10" s="197">
        <f>F29</f>
        <v/>
      </c>
      <c r="G10" s="197">
        <f>G29</f>
        <v/>
      </c>
      <c r="H10" s="197">
        <f>H29</f>
        <v/>
      </c>
      <c r="I10" s="197">
        <f>I29</f>
        <v/>
      </c>
      <c r="J10" s="198">
        <f>$I$29/$I$24</f>
        <v/>
      </c>
      <c r="K10" s="198">
        <f>$I$29/$I$24</f>
        <v/>
      </c>
      <c r="L10" s="198">
        <f>$I$29/$I$24</f>
        <v/>
      </c>
      <c r="M10" s="198">
        <f>$I$29/$I$24</f>
        <v/>
      </c>
      <c r="N10" s="198">
        <f>$I$29/$I$24</f>
        <v/>
      </c>
      <c r="P10" s="193" t="n">
        <v>10</v>
      </c>
      <c r="Q10" s="193" t="inlineStr">
        <is>
          <t>R&amp;D % of Revenue</t>
        </is>
      </c>
      <c r="R10" s="194" t="inlineStr">
        <is>
          <t>Research &amp; development expense as % of sales (IS label: R&amp;D, not Rent).</t>
        </is>
      </c>
      <c r="S10" s="194" t="inlineStr">
        <is>
          <t>Excel equation: I29/I24 held flat (~9.46%).</t>
        </is>
      </c>
      <c r="T10" s="194" t="inlineStr">
        <is>
          <t>FICO reinvests steadily in analytics/software. Flat % grows dollars with revenue.</t>
        </is>
      </c>
      <c r="U10" s="195">
        <f>HYPERLINK("https://www.sec.gov/Archives/edgar/data/814547/000081454725000030/fico-20250930.htm","SEC 10-K FY2025 — Research and development")</f>
        <v/>
      </c>
      <c r="V10" s="195">
        <f>HYPERLINK("https://www.sec.gov/Archives/edgar/data/814547/000081454725000030/fico-20250930.htm","https://www.sec.gov/Archives/edgar/data/814547/000081454725000030/fico-20250930.htm")</f>
        <v/>
      </c>
    </row>
    <row r="11" hidden="1" outlineLevel="1" ht="40" customHeight="1">
      <c r="B11" s="19" t="inlineStr">
        <is>
          <t>D&amp;A % of Revenue (TOTAL D&amp;A incl. amort. of intangibles — CF add-back)</t>
        </is>
      </c>
      <c r="C11" s="191" t="inlineStr">
        <is>
          <t>WHY: MODEL16: TOTAL D&amp;A add-back ≈ 0.84% of Rev (3yr avg). SBC is a SEPARATE add-back — no double-count with D&amp;A / intangi… | SOURCE: SEC companyfacts — DepreciationDepletionAndAmortization (+ AmortizationOfIntangibleAssets) | LINK: https://data.sec.gov/api/xbrl/companyfacts/CIK0000814547.json | HOW: Yellow POLICY input: flat 0.84% (3yr FY23–25 avg TOTAL D&amp;A). Forecast DA$ = Revenue × DA%; CF row 63 adds it back once. | ASSUMPTIONS PDF: https://raw.githubusercontent.com/vengeanceaiUSC/Rainmaker/cursor/vengeanceaiusmodel16-d3ac/FICO/output/MODEL16_FICO_ASSUMPTIONS_LIST.pdf</t>
        </is>
      </c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192" t="n">
        <v>0.008411</v>
      </c>
      <c r="K11" s="192" t="n">
        <v>0.008411</v>
      </c>
      <c r="L11" s="192" t="n">
        <v>0.008411</v>
      </c>
      <c r="M11" s="192" t="n">
        <v>0.008411</v>
      </c>
      <c r="N11" s="192" t="n">
        <v>0.008411</v>
      </c>
      <c r="P11" s="193" t="n">
        <v>11</v>
      </c>
      <c r="Q11" s="193" t="inlineStr">
        <is>
          <t>D&amp;A % of Revenue</t>
        </is>
      </c>
      <c r="R11" s="194" t="inlineStr">
        <is>
          <t>Total depreciation &amp; amortization as % of sales (software-industry driver).</t>
        </is>
      </c>
      <c r="S11" s="194" t="inlineStr">
        <is>
          <t>Yellow POLICY input: flat 0.84% (3yr FY23–25 avg TOTAL D&amp;A). Forecast DA$ = Revenue × DA%; CF row 63 adds it back once.</t>
        </is>
      </c>
      <c r="T11" s="194" t="inlineStr">
        <is>
          <t>MODEL16: TOTAL D&amp;A add-back ≈ 0.84% of Rev (3yr avg). SBC is a SEPARATE add-back — no double-count with D&amp;A / intangibles amort.</t>
        </is>
      </c>
      <c r="U11" s="195">
        <f>HYPERLINK("https://data.sec.gov/api/xbrl/companyfacts/CIK0000814547.json","SEC companyfacts — DepreciationDepletionAndAmortization (+ AmortizationOfIntangibleAssets)")</f>
        <v/>
      </c>
      <c r="V11" s="195">
        <f>HYPERLINK("https://data.sec.gov/api/xbrl/companyfacts/CIK0000814547.json","https://data.sec.gov/api/xbrl/companyfacts/CIK0000814547.json")</f>
        <v/>
      </c>
    </row>
    <row r="12" hidden="1" outlineLevel="1" ht="40" customHeight="1">
      <c r="B12" s="19" t="inlineStr">
        <is>
          <t>Interest (% of Debt Open Bal)</t>
        </is>
      </c>
      <c r="C12" s="191" t="inlineStr">
        <is>
          <t>WHY: Approximates average coupon / cost of debt on the book. Debt stock follows the net debt issuance assumption (row 19). | SOURCE: SEC 10-K FY2025 — Interest expense; see also 8-K 6.250% notes | LINK: https://www.sec.gov/Archives/edgar/data/814547/000081454725000030/fico-20250930.htm | HOW: Excel equation: I101/I98 (FY25 interest ÷ FY25 opening debt in schedule). | ASSUMPTIONS PDF: https://raw.githubusercontent.com/vengeanceaiUSC/Rainmaker/cursor/vengeanceaiusmodel16-d3ac/FICO/output/MODEL16_FICO_ASSUMPTIONS_LIST.pdf</t>
        </is>
      </c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196">
        <f>IF($I$98=0,0.05,$I$101/$I$98)</f>
        <v/>
      </c>
      <c r="K12" s="196">
        <f>IF($I$98=0,0.05,$I$101/$I$98)</f>
        <v/>
      </c>
      <c r="L12" s="196">
        <f>IF($I$98=0,0.05,$I$101/$I$98)</f>
        <v/>
      </c>
      <c r="M12" s="196">
        <f>IF($I$98=0,0.05,$I$101/$I$98)</f>
        <v/>
      </c>
      <c r="N12" s="196">
        <f>IF($I$98=0,0.05,$I$101/$I$98)</f>
        <v/>
      </c>
      <c r="P12" s="193" t="n">
        <v>12</v>
      </c>
      <c r="Q12" s="193" t="inlineStr">
        <is>
          <t>Interest % of Debt Open</t>
        </is>
      </c>
      <c r="R12" s="194" t="inlineStr">
        <is>
          <t>Interest expense as % of opening debt balance.</t>
        </is>
      </c>
      <c r="S12" s="194" t="inlineStr">
        <is>
          <t>Excel equation: I101/I98 (FY25 interest ÷ FY25 opening debt in schedule).</t>
        </is>
      </c>
      <c r="T12" s="194" t="inlineStr">
        <is>
          <t>Approximates average coupon / cost of debt on the book. Debt stock follows the net debt issuance assumption (row 19).</t>
        </is>
      </c>
      <c r="U12" s="195">
        <f>HYPERLINK("https://www.sec.gov/Archives/edgar/data/814547/000081454725000030/fico-20250930.htm","SEC 10-K FY2025 — Interest expense; see also 8-K 6.250% notes")</f>
        <v/>
      </c>
      <c r="V12" s="195">
        <f>HYPERLINK("https://www.sec.gov/Archives/edgar/data/814547/000081454725000030/fico-20250930.htm","https://www.sec.gov/Archives/edgar/data/814547/000081454725000030/fico-20250930.htm")</f>
        <v/>
      </c>
    </row>
    <row r="13" hidden="1" outlineLevel="1" ht="40" customHeight="1">
      <c r="B13" s="19" t="inlineStr">
        <is>
          <t>Tax Rate (% of Earnings Before Tax)</t>
        </is>
      </c>
      <c r="C13" s="191" t="inlineStr">
        <is>
          <t>WHY: Book rate (~19%) remains on the income statement. DCF unlevered cash taxes use a separate cash tax rate (22.87% = 3yr… | SOURCE: SEC 10-K FY2025 — tax expense; cash taxes from IncomeTaxesPaidNet | LINK: https://data.sec.gov/api/xbrl/companyfacts/CIK0000814547.json | HOW: Excel equation: I35/I33 (FY25 tax ÷ simplified FY25 EBT in this template). | ASSUMPTIONS PDF: https://raw.githubusercontent.com/vengeanceaiUSC/Rainmaker/cursor/vengeanceaiusmodel16-d3ac/FICO/output/MODEL16_FICO_ASSUMPTIONS_LIST.pdf</t>
        </is>
      </c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196">
        <f>IF($I$33=0,0.21,$I$35/$I$33)</f>
        <v/>
      </c>
      <c r="K13" s="196">
        <f>IF($I$33=0,0.21,$I$35/$I$33)</f>
        <v/>
      </c>
      <c r="L13" s="196">
        <f>IF($I$33=0,0.21,$I$35/$I$33)</f>
        <v/>
      </c>
      <c r="M13" s="196">
        <f>IF($I$33=0,0.21,$I$35/$I$33)</f>
        <v/>
      </c>
      <c r="N13" s="196">
        <f>IF($I$33=0,0.21,$I$35/$I$33)</f>
        <v/>
      </c>
      <c r="P13" s="193" t="n">
        <v>13</v>
      </c>
      <c r="Q13" s="193" t="inlineStr">
        <is>
          <t>Book Tax Rate (% of EBT)</t>
        </is>
      </c>
      <c r="R13" s="194" t="inlineStr">
        <is>
          <t>Effective book tax rate applied to forecast EBT → Net Income.</t>
        </is>
      </c>
      <c r="S13" s="194" t="inlineStr">
        <is>
          <t>Excel equation: I35/I33 (FY25 tax ÷ simplified FY25 EBT in this template).</t>
        </is>
      </c>
      <c r="T13" s="194" t="inlineStr">
        <is>
          <t>Book rate (~19%) remains on the income statement. DCF unlevered cash taxes use a separate cash tax rate (22.87% = 3yr IncomeTaxesPaidNet/EBT). DCF cash tax 22.87% (3yr IncomeTaxesPaidNet/EBT). CAPM after-tax Rd uses book ETR ~18.8% in WaccInputs; Excel R11 links to D5 for Rd(1−t) consistency with FCFF cash taxes.</t>
        </is>
      </c>
      <c r="U13" s="195">
        <f>HYPERLINK("https://data.sec.gov/api/xbrl/companyfacts/CIK0000814547.json","SEC 10-K FY2025 — tax expense; cash taxes from IncomeTaxesPaidNet")</f>
        <v/>
      </c>
      <c r="V13" s="195">
        <f>HYPERLINK("https://data.sec.gov/api/xbrl/companyfacts/CIK0000814547.json","https://data.sec.gov/api/xbrl/companyfacts/CIK0000814547.json")</f>
        <v/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 ht="40" customHeight="1">
      <c r="B15" s="19" t="inlineStr">
        <is>
          <t>DSO — phased 97→28d over 5yrs (segment blend ref ≈ 27.5d @ row 115; AR=Rev×DSO/365)</t>
        </is>
      </c>
      <c r="C15" s="199" t="inlineStr">
        <is>
          <t>WHY: Updated DSO from Model13 (Previous: 97→45d) to Model16 (New: 97→28d) for Scores near-instant cash (MODEL13 rated 6.5/… | SOURCE: SEC 10-K FY2025 — AR; Q1 FY2026 deferred detail (R45) | LINK: https://www.sec.gov/Archives/edgar/data/814547/000081454726000011/R45.htm | HOW: Yellow POLICY path: phases 97d (FY25 hist) → 28d over 5 years (Y1≈83.2d … Y5=28d). Segment blend ref ≈ 27.5d on schedule row 115 (SaaS 40/B2C 2/B2B 25/PS 12/On-prem 40). | ASSUMPTIONS PDF: https://raw.githubusercontent.com/vengeanceaiUSC/Rainmaker/cursor/vengeanceaiusmodel16-d3ac/FICO/output/MODEL16_FICO_ASSUMPTIONS_LIST.pdf</t>
        </is>
      </c>
      <c r="D15" s="32" t="n"/>
      <c r="E15" s="197">
        <f>E42/E24*365</f>
        <v/>
      </c>
      <c r="F15" s="197">
        <f>F42/F24*365</f>
        <v/>
      </c>
      <c r="G15" s="197">
        <f>G42/G24*365</f>
        <v/>
      </c>
      <c r="H15" s="197">
        <f>H42/H24*365</f>
        <v/>
      </c>
      <c r="I15" s="197">
        <f>I42/I24*365</f>
        <v/>
      </c>
      <c r="J15" s="200" t="n">
        <v>83.2</v>
      </c>
      <c r="K15" s="200" t="n">
        <v>69.40000000000001</v>
      </c>
      <c r="L15" s="200" t="n">
        <v>55.6</v>
      </c>
      <c r="M15" s="200" t="n">
        <v>41.8</v>
      </c>
      <c r="N15" s="200" t="n">
        <v>28</v>
      </c>
      <c r="P15" s="193" t="n">
        <v>15</v>
      </c>
      <c r="Q15" s="193" t="inlineStr">
        <is>
          <t>DSO — Accounts Receivable (Days)</t>
        </is>
      </c>
      <c r="R15" s="194" t="inlineStr">
        <is>
          <t>Days Sales Outstanding. AR = Revenue × DSO / 365.</t>
        </is>
      </c>
      <c r="S15" s="194" t="inlineStr">
        <is>
          <t>Yellow POLICY path: phases 97d (FY25 hist) → 28d over 5 years (Y1≈83.2d … Y5=28d). Segment blend ref ≈ 27.5d on schedule row 115 (SaaS 40/B2C 2/B2B 25/PS 12/On-prem 40).</t>
        </is>
      </c>
      <c r="T15" s="194" t="inlineStr">
        <is>
          <t>Updated DSO from Model13 (Previous: 97→45d) to Model16 (New: 97→28d) for Scores near-instant cash (MODEL13 rated 6.5/10). Updated DSO from Model13 (Previous: 97→45d) to Model16 (New: 97→28d). Op NWC = AR+Inv−AP ONLY. Increase in Deferred Revenue is a SEPARATE positive CFO/FCFF add-back tied to SaaS/on-prem mix (+250bps/yr). No AR/unearned double-count. Source: https://www.sec.gov/Archives/edgar/data/814547/000081454726000011/R45.htm. Updated Deferred from Model13 (Previous: present but under-weighted vs Scores cash) to Model16 (New: explicit BS liability + CFO row 81). Deferred_t = Rev × (SaaS%+OnPrem%) × (FY25 Def / FY25 soft Rev). FY25 deferred ≈ $187.4M. Detail: https://www.sec.gov/Archives/edgar/data/814547/000081454726000011/R45.htm.</t>
        </is>
      </c>
      <c r="U15" s="195">
        <f>HYPERLINK("https://www.sec.gov/Archives/edgar/data/814547/000081454726000011/R45.htm","SEC 10-K FY2025 — AR; Q1 FY2026 deferred detail (R45)")</f>
        <v/>
      </c>
      <c r="V15" s="195">
        <f>HYPERLINK("https://www.sec.gov/Archives/edgar/data/814547/000081454726000011/R45.htm","https://www.sec.gov/Archives/edgar/data/814547/000081454726000011/R45.htm")</f>
        <v/>
      </c>
    </row>
    <row r="16" hidden="1" outlineLevel="1" ht="40" customHeight="1">
      <c r="B16" s="19" t="inlineStr">
        <is>
          <t>Inventory (Days)</t>
        </is>
      </c>
      <c r="C16" s="199" t="inlineStr">
        <is>
          <t>WHY: No inventory cycle to fund. | SOURCE: SEC 10-K FY2025 — Inventory ≈ $0 | LINK: https://www.sec.gov/Archives/edgar/data/814547/000081454725000030/fico-20250930.htm | HOW: Hard zero — FICO is software / scores; inventory is immaterial. | ASSUMPTIONS PDF: https://raw.githubusercontent.com/vengeanceaiUSC/Rainmaker/cursor/vengeanceaiusmodel16-d3ac/FICO/output/MODEL16_FICO_ASSUMPTIONS_LIST.pdf</t>
        </is>
      </c>
      <c r="D16" s="32" t="n"/>
      <c r="E16" s="197">
        <f>E43/E25*365</f>
        <v/>
      </c>
      <c r="F16" s="197">
        <f>F43/F25*365</f>
        <v/>
      </c>
      <c r="G16" s="197">
        <f>G43/G25*365</f>
        <v/>
      </c>
      <c r="H16" s="197">
        <f>H43/H25*365</f>
        <v/>
      </c>
      <c r="I16" s="197">
        <f>I43/I25*365</f>
        <v/>
      </c>
      <c r="J16" s="200" t="n">
        <v>0</v>
      </c>
      <c r="K16" s="200" t="n">
        <v>0</v>
      </c>
      <c r="L16" s="200" t="n">
        <v>0</v>
      </c>
      <c r="M16" s="200" t="n">
        <v>0</v>
      </c>
      <c r="N16" s="200" t="n">
        <v>0</v>
      </c>
      <c r="P16" s="193" t="n">
        <v>16</v>
      </c>
      <c r="Q16" s="193" t="inlineStr">
        <is>
          <t>Inventory (Days)</t>
        </is>
      </c>
      <c r="R16" s="194" t="inlineStr">
        <is>
          <t>Inventory days (Inv = COGS × days/365).</t>
        </is>
      </c>
      <c r="S16" s="194" t="inlineStr">
        <is>
          <t>Hard zero — FICO is software / scores; inventory is immaterial.</t>
        </is>
      </c>
      <c r="T16" s="194" t="inlineStr">
        <is>
          <t>No inventory cycle to fund.</t>
        </is>
      </c>
      <c r="U16" s="195">
        <f>HYPERLINK("https://www.sec.gov/Archives/edgar/data/814547/000081454725000030/fico-20250930.htm","SEC 10-K FY2025 — Inventory ≈ $0")</f>
        <v/>
      </c>
      <c r="V16" s="195">
        <f>HYPERLINK("https://www.sec.gov/Archives/edgar/data/814547/000081454725000030/fico-20250930.htm","https://www.sec.gov/Archives/edgar/data/814547/000081454725000030/fico-20250930.htm")</f>
        <v/>
      </c>
    </row>
    <row r="17" hidden="1" outlineLevel="1" ht="40" customHeight="1">
      <c r="B17" s="19" t="inlineStr">
        <is>
          <t>DPO — Accounts Payable (Days)  [AP = COGS × DPO/365]</t>
        </is>
      </c>
      <c r="C17" s="199" t="inlineStr">
        <is>
          <t>WHY: MODEL16: DPO pairs with phased DSO for Op NWC = AR+Inv−AP. Deferred is a SEPARATE CFO cash source (row 81) — never mi… | SOURCE: SEC 10-K FY2025 — Accounts payable | LINK: https://www.sec.gov/Archives/edgar/data/814547/000081454725000030/fico-20250930.htm | HOW: Excel equation: ROUND(I48/I25×365, 0) from FY25; held flat. | ASSUMPTIONS PDF: https://raw.githubusercontent.com/vengeanceaiUSC/Rainmaker/cursor/vengeanceaiusmodel16-d3ac/FICO/output/MODEL16_FICO_ASSUMPTIONS_LIST.pdf</t>
        </is>
      </c>
      <c r="D17" s="32" t="n"/>
      <c r="E17" s="197">
        <f>E48/E25*365</f>
        <v/>
      </c>
      <c r="F17" s="197">
        <f>F48/F25*365</f>
        <v/>
      </c>
      <c r="G17" s="197">
        <f>G48/G25*365</f>
        <v/>
      </c>
      <c r="H17" s="197">
        <f>H48/H25*365</f>
        <v/>
      </c>
      <c r="I17" s="197">
        <f>I48/I25*365</f>
        <v/>
      </c>
      <c r="J17" s="201">
        <f>IF($I$25=0,0,ROUND($I$48/$I$25*365,0))</f>
        <v/>
      </c>
      <c r="K17" s="201">
        <f>IF($I$25=0,0,ROUND($I$48/$I$25*365,0))</f>
        <v/>
      </c>
      <c r="L17" s="201">
        <f>IF($I$25=0,0,ROUND($I$48/$I$25*365,0))</f>
        <v/>
      </c>
      <c r="M17" s="201">
        <f>IF($I$25=0,0,ROUND($I$48/$I$25*365,0))</f>
        <v/>
      </c>
      <c r="N17" s="201">
        <f>IF($I$25=0,0,ROUND($I$48/$I$25*365,0))</f>
        <v/>
      </c>
      <c r="P17" s="193" t="n">
        <v>17</v>
      </c>
      <c r="Q17" s="193" t="inlineStr">
        <is>
          <t>DPO — Accounts Payable (Days)</t>
        </is>
      </c>
      <c r="R17" s="194" t="inlineStr">
        <is>
          <t>Days Payable Outstanding. AP = COGS × DPO / 365.</t>
        </is>
      </c>
      <c r="S17" s="194" t="inlineStr">
        <is>
          <t>Excel equation: ROUND(I48/I25×365, 0) from FY25; held flat.</t>
        </is>
      </c>
      <c r="T17" s="194" t="inlineStr">
        <is>
          <t>MODEL16: DPO pairs with phased DSO for Op NWC = AR+Inv−AP. Deferred is a SEPARATE CFO cash source (row 81) — never mixed into AR/DPO.</t>
        </is>
      </c>
      <c r="U17" s="195">
        <f>HYPERLINK("https://www.sec.gov/Archives/edgar/data/814547/000081454725000030/fico-20250930.htm","SEC 10-K FY2025 — Accounts payable")</f>
        <v/>
      </c>
      <c r="V17" s="195">
        <f>HYPERLINK("https://www.sec.gov/Archives/edgar/data/814547/000081454725000030/fico-20250930.htm","https://www.sec.gov/Archives/edgar/data/814547/000081454725000030/fico-20250930.htm")</f>
        <v/>
      </c>
    </row>
    <row r="18" hidden="1" outlineLevel="1" ht="40" customHeight="1">
      <c r="B18" s="19" t="inlineStr">
        <is>
          <t>CapEx % of Revenue (fade 1.25%→0.60%)</t>
        </is>
      </c>
      <c r="C18" s="199" t="inlineStr">
        <is>
          <t>WHY: MODEL16 Yacktman: Updated CapEx path documentation (unchanged levels vs Model13): 1.25% → 1.05% → 0.90% → 0.75% → 0.60%. | SOURCE: SEC 10-K / companyfacts — PPE purchases + capitalized software; fade to maintenance | LINK: https://data.sec.gov/api/xbrl/companyfacts/CIK0000814547.json | HOW: Yellow POLICY path: 1.25% / 1.05% / 0.90% / 0.75% / 0.60% (fade with operating leverage). | ASSUMPTIONS PDF: https://raw.githubusercontent.com/vengeanceaiUSC/Rainmaker/cursor/vengeanceaiusmodel16-d3ac/FICO/output/MODEL16_FICO_ASSUMPTIONS_LIST.pdf</t>
        </is>
      </c>
      <c r="E18" s="197">
        <f>E68</f>
        <v/>
      </c>
      <c r="F18" s="197">
        <f>F68</f>
        <v/>
      </c>
      <c r="G18" s="197">
        <f>G68</f>
        <v/>
      </c>
      <c r="H18" s="197">
        <f>H68</f>
        <v/>
      </c>
      <c r="I18" s="197">
        <f>I68</f>
        <v/>
      </c>
      <c r="J18" s="202" t="n">
        <v>0.0125</v>
      </c>
      <c r="K18" s="202" t="n">
        <v>0.0105</v>
      </c>
      <c r="L18" s="202" t="n">
        <v>0.008999999999999999</v>
      </c>
      <c r="M18" s="202" t="n">
        <v>0.0075</v>
      </c>
      <c r="N18" s="202" t="n">
        <v>0.006</v>
      </c>
      <c r="P18" s="193" t="n">
        <v>18</v>
      </c>
      <c r="Q18" s="193" t="inlineStr">
        <is>
          <t>CapEx % of Revenue</t>
        </is>
      </c>
      <c r="R18" s="194" t="inlineStr">
        <is>
          <t>Capital investment (PPE + capitalized software) as % of sales.</t>
        </is>
      </c>
      <c r="S18" s="194" t="inlineStr">
        <is>
          <t>Yellow POLICY path: 1.25% / 1.05% / 0.90% / 0.75% / 0.60% (fade with operating leverage).</t>
        </is>
      </c>
      <c r="T18" s="194" t="inlineStr">
        <is>
          <t>MODEL16 Yacktman: Updated CapEx path documentation (unchanged levels vs Model13): 1.25% → 1.05% → 0.90% → 0.75% → 0.60%.</t>
        </is>
      </c>
      <c r="U18" s="195">
        <f>HYPERLINK("https://data.sec.gov/api/xbrl/companyfacts/CIK0000814547.json","SEC 10-K / companyfacts — PPE purchases + capitalized software; fade to maintenance")</f>
        <v/>
      </c>
      <c r="V18" s="195">
        <f>HYPERLINK("https://data.sec.gov/api/xbrl/companyfacts/CIK0000814547.json","https://data.sec.gov/api/xbrl/companyfacts/CIK0000814547.json")</f>
        <v/>
      </c>
    </row>
    <row r="19" hidden="1" outlineLevel="1" ht="40" customHeight="1">
      <c r="B19" s="19" t="inlineStr">
        <is>
          <t>Debt Issuance (Repayment) — 3yr avg net debt CF ($000s)</t>
        </is>
      </c>
      <c r="C19" s="199" t="inlineStr">
        <is>
          <t>WHY: MODEL16: Debt = 3yr avg net debt CF; equity buybacks = residual (CFO−CapEx−Debt) so ΔCash≈0. Hist buybacks avg ≈ $881… | SOURCE: SEC companyfacts — ProceedsFromIssuanceOfSeniorLongTermDebt / RepaymentsOfLinesOfCredit | LINK: https://data.sec.gov/api/xbrl/companyfacts/CIK0000814547.json | HOW: Yellow POLICY input: -290,917 each year (3yr avg senior-note proceeds − line-of-credit repayments). | ASSUMPTIONS PDF: https://raw.githubusercontent.com/vengeanceaiUSC/Rainmaker/cursor/vengeanceaiusmodel16-d3ac/FICO/output/MODEL16_FICO_ASSUMPTIONS_LIST.pdf</t>
        </is>
      </c>
      <c r="E19" s="197">
        <f>E99</f>
        <v/>
      </c>
      <c r="F19" s="197">
        <f>F99</f>
        <v/>
      </c>
      <c r="G19" s="197">
        <f>G99</f>
        <v/>
      </c>
      <c r="H19" s="197">
        <f>H99</f>
        <v/>
      </c>
      <c r="I19" s="197">
        <f>I99</f>
        <v/>
      </c>
      <c r="J19" s="200" t="n">
        <v>-290917</v>
      </c>
      <c r="K19" s="200" t="n">
        <v>-290917</v>
      </c>
      <c r="L19" s="200" t="n">
        <v>-290917</v>
      </c>
      <c r="M19" s="200" t="n">
        <v>-290917</v>
      </c>
      <c r="N19" s="200" t="n">
        <v>-290917</v>
      </c>
      <c r="P19" s="193" t="n">
        <v>19</v>
      </c>
      <c r="Q19" s="193" t="inlineStr">
        <is>
          <t>Debt Issuance (Repayment)</t>
        </is>
      </c>
      <c r="R19" s="194" t="inlineStr">
        <is>
          <t>New borrowing (+) or repayment (−) in the forecast ($000s).</t>
        </is>
      </c>
      <c r="S19" s="194" t="inlineStr">
        <is>
          <t>Yellow POLICY input: -290,917 each year (3yr avg senior-note proceeds − line-of-credit repayments).</t>
        </is>
      </c>
      <c r="T19" s="194" t="inlineStr">
        <is>
          <t>MODEL16: Debt = 3yr avg net debt CF; equity buybacks = residual (CFO−CapEx−Debt) so ΔCash≈0. Hist buybacks avg ≈ $881M/yr. Financing is excluded from FCFF.</t>
        </is>
      </c>
      <c r="U19" s="195">
        <f>HYPERLINK("https://data.sec.gov/api/xbrl/companyfacts/CIK0000814547.json","SEC companyfacts — ProceedsFromIssuanceOfSeniorLongTermDebt / RepaymentsOfLinesOfCredit")</f>
        <v/>
      </c>
      <c r="V19" s="195">
        <f>HYPERLINK("https://data.sec.gov/api/xbrl/companyfacts/CIK0000814547.json","https://data.sec.gov/api/xbrl/companyfacts/CIK0000814547.json")</f>
        <v/>
      </c>
    </row>
    <row r="20" hidden="1" outlineLevel="1" ht="40" customHeight="1">
      <c r="B20" s="19" t="inlineStr">
        <is>
          <t>Equity Issued (Repaid) — residual FCF after debt (hist buybacks avg $881M)</t>
        </is>
      </c>
      <c r="C20" s="199" t="inlineStr">
        <is>
          <t>WHY: Restores financing realism so cash does not artificially stockpile. Buybacks are financing — excluded from FCFF. DCF … | SOURCE: SEC 10-K FY2025 — Repurchases of common stock ($1.415B); June 2025 $1B authorization | LINK: https://www.sec.gov/Archives/edgar/data/814547/000081454725000030/fico-20250930.htm | HOW: Equation: −(CFO − CapEx) − DebtIssuance so residual levered FCF funds buybacks (hist 3yr avg buybacks ≈ $881M/yr). | ASSUMPTIONS PDF: https://raw.githubusercontent.com/vengeanceaiUSC/Rainmaker/cursor/vengeanceaiusmodel16-d3ac/FICO/output/MODEL16_FICO_ASSUMPTIONS_LIST.pdf</t>
        </is>
      </c>
      <c r="E20" s="197">
        <f>E73</f>
        <v/>
      </c>
      <c r="F20" s="197">
        <f>F73</f>
        <v/>
      </c>
      <c r="G20" s="197">
        <f>G73</f>
        <v/>
      </c>
      <c r="H20" s="197">
        <f>H73</f>
        <v/>
      </c>
      <c r="I20" s="197">
        <f>I73</f>
        <v/>
      </c>
      <c r="J20" s="201">
        <f>-(J66-J69)-J19</f>
        <v/>
      </c>
      <c r="K20" s="201">
        <f>-(K66-K69)-K19</f>
        <v/>
      </c>
      <c r="L20" s="201">
        <f>-(L66-L69)-L19</f>
        <v/>
      </c>
      <c r="M20" s="201">
        <f>-(M66-M69)-M19</f>
        <v/>
      </c>
      <c r="N20" s="201">
        <f>-(N66-N69)-N19</f>
        <v/>
      </c>
      <c r="P20" s="193" t="n">
        <v>20</v>
      </c>
      <c r="Q20" s="193" t="inlineStr">
        <is>
          <t>Equity Issued (Repaid)</t>
        </is>
      </c>
      <c r="R20" s="194" t="inlineStr">
        <is>
          <t>New equity issued (+) or buybacks (−) in the forecast BS/CF.</t>
        </is>
      </c>
      <c r="S20" s="194" t="inlineStr">
        <is>
          <t>Equation: −(CFO − CapEx) − DebtIssuance so residual levered FCF funds buybacks (hist 3yr avg buybacks ≈ $881M/yr).</t>
        </is>
      </c>
      <c r="T20" s="194" t="inlineStr">
        <is>
          <t>Restores financing realism so cash does not artificially stockpile. Buybacks are financing — excluded from FCFF. DCF share count FALLS with this buyback outflow. Start shares 23,764k (FYE25). Shares_t += EquityCF_t/Price; EquityCF is buybacks (&lt;0). SBC add-back does NOT dilute.</t>
        </is>
      </c>
      <c r="U20" s="195">
        <f>HYPERLINK("https://www.sec.gov/Archives/edgar/data/814547/000081454725000030/fico-20250930.htm","SEC 10-K FY2025 — Repurchases of common stock ($1.415B); June 2025 $1B authorization")</f>
        <v/>
      </c>
      <c r="V20" s="195">
        <f>HYPERLINK("https://www.sec.gov/Archives/edgar/data/814547/000081454725000030/fico-20250930.htm","https://www.sec.gov/Archives/edgar/data/814547/000081454725000030/fico-20250930.htm")</f>
        <v/>
      </c>
    </row>
    <row r="21" hidden="1" outlineLevel="1" ht="40" customHeight="1">
      <c r="B21" t="inlineStr">
        <is>
          <t>SBC % of Revenue (CF/FCFF add-back ONLY — buybacks cut DCF shares)</t>
        </is>
      </c>
      <c r="C21" s="199" t="inlineStr">
        <is>
          <t>WHY: MODEL16 Yacktman: Updated SBC from Model13 (Previous: 8.251% present but user CSV inspection showed weak CFO integrat… | SOURCE: SEC 10-K cash flow — ShareBasedCompensation (add-back only; no share dilution) | LINK: https://data.sec.gov/api/xbrl/companyfacts/CIK0000814547.json | HOW: Yellow POLICY input: flat 8.25% (3yr FY23–25 avg ShareBasedCompensation / Revenue). | ASSUMPTIONS PDF: https://raw.githubusercontent.com/vengeanceaiUSC/Rainmaker/cursor/vengeanceaiusmodel16-d3ac/FICO/output/MODEL16_FICO_ASSUMPTIONS_LIST.pdf</t>
        </is>
      </c>
      <c r="E21" s="52" t="n"/>
      <c r="F21" s="52" t="n"/>
      <c r="G21" s="52" t="n"/>
      <c r="H21" s="52" t="n"/>
      <c r="I21" s="52" t="n"/>
      <c r="J21" s="200" t="n">
        <v>0.08251</v>
      </c>
      <c r="K21" s="200" t="n">
        <v>0.08251</v>
      </c>
      <c r="L21" s="200" t="n">
        <v>0.08251</v>
      </c>
      <c r="M21" s="200" t="n">
        <v>0.08251</v>
      </c>
      <c r="N21" s="200" t="n">
        <v>0.08251</v>
      </c>
      <c r="P21" s="193" t="n">
        <v>21</v>
      </c>
      <c r="Q21" s="193" t="inlineStr">
        <is>
          <t>SBC % of Revenue</t>
        </is>
      </c>
      <c r="R21" s="194" t="inlineStr">
        <is>
          <t>Stock-based compensation as % of sales; non-cash add-back in CFO and FCFF.</t>
        </is>
      </c>
      <c r="S21" s="194" t="inlineStr">
        <is>
          <t>Yellow POLICY input: flat 8.25% (3yr FY23–25 avg ShareBasedCompensation / Revenue).</t>
        </is>
      </c>
      <c r="T21" s="194" t="inlineStr">
        <is>
          <t>MODEL16 Yacktman: Updated SBC from Model13 (Previous: 8.251% present but user CSV inspection showed weak CFO integration clarity) to Model16 (New: yellow POLICY row 21 = 8.25% from SEC companyfacts ShareBasedCompensation/Rev; CFO row 64 = Rev×SBC%; FCFF add-back once). Source: https://data.sec.gov/api/xbrl/companyfacts/CIK0000814547.json. Shares fall only via buybacks — no SBC$/Price dilution.</t>
        </is>
      </c>
      <c r="U21" s="195">
        <f>HYPERLINK("https://data.sec.gov/api/xbrl/companyfacts/CIK0000814547.json","SEC 10-K cash flow — ShareBasedCompensation (add-back only; no share dilution)")</f>
        <v/>
      </c>
      <c r="V21" s="195">
        <f>HYPERLINK("https://data.sec.gov/api/xbrl/companyfacts/CIK0000814547.json","https://data.sec.gov/api/xbrl/companyfacts/CIK0000814547.json")</f>
        <v/>
      </c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203" t="inlineStr">
        <is>
          <t>eqn: PriorRev × (1 + growth)</t>
        </is>
      </c>
      <c r="D24" s="46" t="n"/>
      <c r="E24" s="204" t="n">
        <v>1316536</v>
      </c>
      <c r="F24" s="204" t="n">
        <v>1377270</v>
      </c>
      <c r="G24" s="204" t="n">
        <v>1513557</v>
      </c>
      <c r="H24" s="204" t="n">
        <v>1717526</v>
      </c>
      <c r="I24" s="204" t="n">
        <v>1990869</v>
      </c>
      <c r="J24" s="201">
        <f>I24*(1+J7)</f>
        <v/>
      </c>
      <c r="K24" s="201">
        <f>J24*(1+K7)</f>
        <v/>
      </c>
      <c r="L24" s="201">
        <f>K24*(1+L7)</f>
        <v/>
      </c>
      <c r="M24" s="201">
        <f>L24*(1+M7)</f>
        <v/>
      </c>
      <c r="N24" s="201">
        <f>M24*(1+N7)</f>
        <v/>
      </c>
    </row>
    <row r="25" hidden="1" outlineLevel="1">
      <c r="B25" s="19" t="inlineStr">
        <is>
          <t>Cost of Goods Sold (COGS)</t>
        </is>
      </c>
      <c r="C25" s="203" t="inlineStr">
        <is>
          <t>eqn: Rev × COGS%</t>
        </is>
      </c>
      <c r="D25" s="47" t="n"/>
      <c r="E25" s="204" t="n">
        <v>332462</v>
      </c>
      <c r="F25" s="204" t="n">
        <v>302174</v>
      </c>
      <c r="G25" s="204" t="n">
        <v>311053</v>
      </c>
      <c r="H25" s="204" t="n">
        <v>348206</v>
      </c>
      <c r="I25" s="204" t="n">
        <v>353722</v>
      </c>
      <c r="J25" s="201">
        <f>J24*J8</f>
        <v/>
      </c>
      <c r="K25" s="201">
        <f>K24*K8</f>
        <v/>
      </c>
      <c r="L25" s="201">
        <f>L24*L8</f>
        <v/>
      </c>
      <c r="M25" s="201">
        <f>M24*M8</f>
        <v/>
      </c>
      <c r="N25" s="201">
        <f>N24*N8</f>
        <v/>
      </c>
    </row>
    <row r="26" hidden="1" outlineLevel="1">
      <c r="B26" s="4" t="inlineStr">
        <is>
          <t>Gross Profit</t>
        </is>
      </c>
      <c r="C26" s="205" t="inlineStr">
        <is>
          <t>eqn: Rev − COGS</t>
        </is>
      </c>
      <c r="D26" s="22" t="n"/>
      <c r="E26" s="206">
        <f>E24-E25</f>
        <v/>
      </c>
      <c r="F26" s="206">
        <f>F24-F25</f>
        <v/>
      </c>
      <c r="G26" s="206">
        <f>G24-G25</f>
        <v/>
      </c>
      <c r="H26" s="206">
        <f>H24-H25</f>
        <v/>
      </c>
      <c r="I26" s="206">
        <f>I24-I25</f>
        <v/>
      </c>
      <c r="J26" s="201">
        <f>J24-J25</f>
        <v/>
      </c>
      <c r="K26" s="201">
        <f>K24-K25</f>
        <v/>
      </c>
      <c r="L26" s="201">
        <f>L24-L25</f>
        <v/>
      </c>
      <c r="M26" s="201">
        <f>M24-M25</f>
        <v/>
      </c>
      <c r="N26" s="201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SG&amp;A Expense</t>
        </is>
      </c>
      <c r="C28" s="207" t="inlineStr">
        <is>
          <t>eqn: Rev × SG&amp;A%</t>
        </is>
      </c>
      <c r="E28" s="204" t="n">
        <v>396281</v>
      </c>
      <c r="F28" s="204" t="n">
        <v>383863</v>
      </c>
      <c r="G28" s="204" t="n">
        <v>400565</v>
      </c>
      <c r="H28" s="204" t="n">
        <v>462834</v>
      </c>
      <c r="I28" s="204" t="n">
        <v>513028</v>
      </c>
      <c r="J28" s="201">
        <f>J24*J9</f>
        <v/>
      </c>
      <c r="K28" s="201">
        <f>K24*K9</f>
        <v/>
      </c>
      <c r="L28" s="201">
        <f>L24*L9</f>
        <v/>
      </c>
      <c r="M28" s="201">
        <f>M24*M9</f>
        <v/>
      </c>
      <c r="N28" s="201">
        <f>N24*N9</f>
        <v/>
      </c>
    </row>
    <row r="29" hidden="1" outlineLevel="1">
      <c r="B29" s="19" t="inlineStr">
        <is>
          <t>Research &amp; Development (R&amp;D)</t>
        </is>
      </c>
      <c r="C29" s="207" t="inlineStr">
        <is>
          <t>eqn: Rev × R&amp;D%</t>
        </is>
      </c>
      <c r="E29" s="204" t="n">
        <v>171231</v>
      </c>
      <c r="F29" s="204" t="n">
        <v>146758</v>
      </c>
      <c r="G29" s="204" t="n">
        <v>159950</v>
      </c>
      <c r="H29" s="204" t="n">
        <v>171940</v>
      </c>
      <c r="I29" s="204" t="n">
        <v>188347</v>
      </c>
      <c r="J29" s="201">
        <f>J24*J10</f>
        <v/>
      </c>
      <c r="K29" s="201">
        <f>K24*K10</f>
        <v/>
      </c>
      <c r="L29" s="201">
        <f>L24*L10</f>
        <v/>
      </c>
      <c r="M29" s="201">
        <f>M24*M10</f>
        <v/>
      </c>
      <c r="N29" s="201">
        <f>N24*N10</f>
        <v/>
      </c>
    </row>
    <row r="30" hidden="1" outlineLevel="1">
      <c r="B30" s="19" t="inlineStr">
        <is>
          <t>Depreciation &amp; Amortization</t>
        </is>
      </c>
      <c r="C30" s="207" t="inlineStr">
        <is>
          <t>eqn: Rev × DA% (total D&amp;A / sales)</t>
        </is>
      </c>
      <c r="E30" s="204" t="n">
        <v>25592</v>
      </c>
      <c r="F30" s="204" t="n">
        <v>20465</v>
      </c>
      <c r="G30" s="204" t="n">
        <v>14638</v>
      </c>
      <c r="H30" s="204" t="n">
        <v>13827</v>
      </c>
      <c r="I30" s="204" t="n">
        <v>14952</v>
      </c>
      <c r="J30" s="201">
        <f>J24*J11</f>
        <v/>
      </c>
      <c r="K30" s="201">
        <f>K24*K11</f>
        <v/>
      </c>
      <c r="L30" s="201">
        <f>L24*L11</f>
        <v/>
      </c>
      <c r="M30" s="201">
        <f>M24*M11</f>
        <v/>
      </c>
      <c r="N30" s="201">
        <f>N24*N11</f>
        <v/>
      </c>
    </row>
    <row r="31" hidden="1" outlineLevel="1">
      <c r="B31" s="2" t="inlineStr">
        <is>
          <t>Interest</t>
        </is>
      </c>
      <c r="C31" s="208" t="inlineStr">
        <is>
          <t>eqn: Debt_open × Int%</t>
        </is>
      </c>
      <c r="D31" s="24" t="n"/>
      <c r="E31" s="209" t="n">
        <v>40092</v>
      </c>
      <c r="F31" s="209" t="n">
        <v>68967</v>
      </c>
      <c r="G31" s="209" t="n">
        <v>95546</v>
      </c>
      <c r="H31" s="209" t="n">
        <v>105638</v>
      </c>
      <c r="I31" s="209" t="n">
        <v>133647</v>
      </c>
      <c r="J31" s="201">
        <f>J98*J12</f>
        <v/>
      </c>
      <c r="K31" s="201">
        <f>K98*K12</f>
        <v/>
      </c>
      <c r="L31" s="201">
        <f>L98*L12</f>
        <v/>
      </c>
      <c r="M31" s="201">
        <f>M98*M12</f>
        <v/>
      </c>
      <c r="N31" s="201">
        <f>N98*N12</f>
        <v/>
      </c>
    </row>
    <row r="32" hidden="1" outlineLevel="1">
      <c r="B32" s="18" t="inlineStr">
        <is>
          <t>Total Expenses</t>
        </is>
      </c>
      <c r="C32" s="19" t="n"/>
      <c r="D32" s="47" t="n"/>
      <c r="E32" s="210">
        <f>SUM(E28:E31)</f>
        <v/>
      </c>
      <c r="F32" s="210">
        <f>SUM(F28:F31)</f>
        <v/>
      </c>
      <c r="G32" s="210">
        <f>SUM(G28:G31)</f>
        <v/>
      </c>
      <c r="H32" s="210">
        <f>SUM(H28:H31)</f>
        <v/>
      </c>
      <c r="I32" s="210">
        <f>SUM(I28:I31)</f>
        <v/>
      </c>
      <c r="J32" s="201">
        <f>SUM(J28:J31)</f>
        <v/>
      </c>
      <c r="K32" s="201">
        <f>SUM(K28:K31)</f>
        <v/>
      </c>
      <c r="L32" s="201">
        <f>SUM(L28:L31)</f>
        <v/>
      </c>
      <c r="M32" s="201">
        <f>SUM(M28:M31)</f>
        <v/>
      </c>
      <c r="N32" s="201">
        <f>SUM(N28:N31)</f>
        <v/>
      </c>
    </row>
    <row r="33" hidden="1" outlineLevel="1">
      <c r="B33" s="4" t="inlineStr">
        <is>
          <t>Earnings Before Tax</t>
        </is>
      </c>
      <c r="C33" s="205" t="inlineStr">
        <is>
          <t>eqn: GP − Expenses</t>
        </is>
      </c>
      <c r="D33" s="22" t="n"/>
      <c r="E33" s="206">
        <f>E26-E32</f>
        <v/>
      </c>
      <c r="F33" s="206">
        <f>F26-F32</f>
        <v/>
      </c>
      <c r="G33" s="206">
        <f>G26-G32</f>
        <v/>
      </c>
      <c r="H33" s="206">
        <f>H26-H32</f>
        <v/>
      </c>
      <c r="I33" s="206">
        <f>I26-I32</f>
        <v/>
      </c>
      <c r="J33" s="201">
        <f>J26-J32</f>
        <v/>
      </c>
      <c r="K33" s="201">
        <f>K26-K32</f>
        <v/>
      </c>
      <c r="L33" s="201">
        <f>L26-L32</f>
        <v/>
      </c>
      <c r="M33" s="201">
        <f>M26-M32</f>
        <v/>
      </c>
      <c r="N33" s="201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203" t="inlineStr">
        <is>
          <t>eqn: EBT × book tax%</t>
        </is>
      </c>
      <c r="D35" s="47" t="n"/>
      <c r="E35" s="204" t="n">
        <v>81058</v>
      </c>
      <c r="F35" s="204" t="n">
        <v>97768</v>
      </c>
      <c r="G35" s="204" t="n">
        <v>124249</v>
      </c>
      <c r="H35" s="204" t="n">
        <v>129214</v>
      </c>
      <c r="I35" s="204" t="n">
        <v>150649</v>
      </c>
      <c r="J35" s="201">
        <f>J33*J13</f>
        <v/>
      </c>
      <c r="K35" s="201">
        <f>K33*K13</f>
        <v/>
      </c>
      <c r="L35" s="201">
        <f>L33*L13</f>
        <v/>
      </c>
      <c r="M35" s="201">
        <f>M33*M13</f>
        <v/>
      </c>
      <c r="N35" s="201">
        <f>N33*N13</f>
        <v/>
      </c>
    </row>
    <row r="36" hidden="1" outlineLevel="1" ht="16.2" customHeight="1" thickBot="1">
      <c r="B36" s="39" t="inlineStr">
        <is>
          <t>Net Earnings</t>
        </is>
      </c>
      <c r="C36" s="211" t="inlineStr">
        <is>
          <t>eqn: EBT × (1 − book tax%)</t>
        </is>
      </c>
      <c r="D36" s="40" t="n"/>
      <c r="E36" s="212">
        <f>E33-E35</f>
        <v/>
      </c>
      <c r="F36" s="212">
        <f>F33-F35</f>
        <v/>
      </c>
      <c r="G36" s="212">
        <f>G33-G35</f>
        <v/>
      </c>
      <c r="H36" s="212">
        <f>H33-H35</f>
        <v/>
      </c>
      <c r="I36" s="212">
        <f>I33-I35</f>
        <v/>
      </c>
      <c r="J36" s="201">
        <f>J33*(1-J13)</f>
        <v/>
      </c>
      <c r="K36" s="201">
        <f>K33*(1-K13)</f>
        <v/>
      </c>
      <c r="L36" s="201">
        <f>L33*(1-L13)</f>
        <v/>
      </c>
      <c r="M36" s="201">
        <f>M33*(1-M13)</f>
        <v/>
      </c>
      <c r="N36" s="201">
        <f>N33*(1-N13)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204" t="n">
        <v>195354</v>
      </c>
      <c r="F41" s="204" t="n">
        <v>133202</v>
      </c>
      <c r="G41" s="204" t="n">
        <v>136778</v>
      </c>
      <c r="H41" s="204" t="n">
        <v>150667</v>
      </c>
      <c r="I41" s="204" t="n">
        <v>134136</v>
      </c>
      <c r="J41" s="201">
        <f>J78</f>
        <v/>
      </c>
      <c r="K41" s="201">
        <f>K78</f>
        <v/>
      </c>
      <c r="L41" s="201">
        <f>L78</f>
        <v/>
      </c>
      <c r="M41" s="201">
        <f>M78</f>
        <v/>
      </c>
      <c r="N41" s="201">
        <f>N78</f>
        <v/>
      </c>
    </row>
    <row r="42" hidden="1" outlineLevel="1">
      <c r="B42" s="19" t="inlineStr">
        <is>
          <t>Accounts Receivable</t>
        </is>
      </c>
      <c r="C42" s="207" t="inlineStr">
        <is>
          <t>eqn: Rev × phased DSO / 365  (AR ≠ Deferred)</t>
        </is>
      </c>
      <c r="E42" s="204" t="n">
        <v>312107</v>
      </c>
      <c r="F42" s="204" t="n">
        <v>322410</v>
      </c>
      <c r="G42" s="204" t="n">
        <v>387947</v>
      </c>
      <c r="H42" s="204" t="n">
        <v>426642</v>
      </c>
      <c r="I42" s="204" t="n">
        <v>529148</v>
      </c>
      <c r="J42" s="201">
        <f>J24*J15/365</f>
        <v/>
      </c>
      <c r="K42" s="201">
        <f>K24*K15/365</f>
        <v/>
      </c>
      <c r="L42" s="201">
        <f>L24*L15/365</f>
        <v/>
      </c>
      <c r="M42" s="201">
        <f>M24*M15/365</f>
        <v/>
      </c>
      <c r="N42" s="201">
        <f>N24*N15/365</f>
        <v/>
      </c>
    </row>
    <row r="43" hidden="1" outlineLevel="1">
      <c r="B43" s="19" t="inlineStr">
        <is>
          <t>Inventory</t>
        </is>
      </c>
      <c r="E43" s="204" t="n">
        <v>0</v>
      </c>
      <c r="F43" s="204" t="n">
        <v>0</v>
      </c>
      <c r="G43" s="204" t="n">
        <v>0</v>
      </c>
      <c r="H43" s="204" t="n">
        <v>0</v>
      </c>
      <c r="I43" s="204" t="n">
        <v>0</v>
      </c>
      <c r="J43" s="201">
        <f>J25*J16/365</f>
        <v/>
      </c>
      <c r="K43" s="201">
        <f>K25*K16/365</f>
        <v/>
      </c>
      <c r="L43" s="201">
        <f>L25*L16/365</f>
        <v/>
      </c>
      <c r="M43" s="201">
        <f>M25*M16/365</f>
        <v/>
      </c>
      <c r="N43" s="201">
        <f>N25*N16/365</f>
        <v/>
      </c>
    </row>
    <row r="44" hidden="1" outlineLevel="1">
      <c r="B44" s="19" t="inlineStr">
        <is>
          <t>Property &amp; Equipment</t>
        </is>
      </c>
      <c r="E44" s="204" t="n">
        <v>27913</v>
      </c>
      <c r="F44" s="204" t="n">
        <v>17580</v>
      </c>
      <c r="G44" s="204" t="n">
        <v>10966</v>
      </c>
      <c r="H44" s="204" t="n">
        <v>38465</v>
      </c>
      <c r="I44" s="204" t="n">
        <v>67713</v>
      </c>
      <c r="J44" s="201">
        <f>J95</f>
        <v/>
      </c>
      <c r="K44" s="201">
        <f>K95</f>
        <v/>
      </c>
      <c r="L44" s="201">
        <f>L95</f>
        <v/>
      </c>
      <c r="M44" s="201">
        <f>M95</f>
        <v/>
      </c>
      <c r="N44" s="201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212">
        <f>SUM(E41:E44)</f>
        <v/>
      </c>
      <c r="F45" s="212">
        <f>SUM(F41:F44)</f>
        <v/>
      </c>
      <c r="G45" s="212">
        <f>SUM(G41:G44)</f>
        <v/>
      </c>
      <c r="H45" s="212">
        <f>SUM(H41:H44)</f>
        <v/>
      </c>
      <c r="I45" s="212">
        <f>SUM(I41:I44)</f>
        <v/>
      </c>
      <c r="J45" s="201">
        <f>SUM(J41:J44)</f>
        <v/>
      </c>
      <c r="K45" s="201">
        <f>SUM(K41:K44)</f>
        <v/>
      </c>
      <c r="L45" s="201">
        <f>SUM(L41:L44)</f>
        <v/>
      </c>
      <c r="M45" s="201">
        <f>SUM(M41:M44)</f>
        <v/>
      </c>
      <c r="N45" s="201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 (Deferred Revenue = WC row 88, included in Total Liab)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C48" s="207" t="inlineStr">
        <is>
          <t>eqn: COGS × DPO / 365</t>
        </is>
      </c>
      <c r="E48" s="204" t="n">
        <v>20749</v>
      </c>
      <c r="F48" s="204" t="n">
        <v>17273</v>
      </c>
      <c r="G48" s="204" t="n">
        <v>19009</v>
      </c>
      <c r="H48" s="204" t="n">
        <v>22473</v>
      </c>
      <c r="I48" s="204" t="n">
        <v>32315</v>
      </c>
      <c r="J48" s="201">
        <f>J25*J17/365</f>
        <v/>
      </c>
      <c r="K48" s="201">
        <f>K25*K17/365</f>
        <v/>
      </c>
      <c r="L48" s="201">
        <f>L25*L17/365</f>
        <v/>
      </c>
      <c r="M48" s="201">
        <f>M25*M17/365</f>
        <v/>
      </c>
      <c r="N48" s="201">
        <f>N25*N17/365</f>
        <v/>
      </c>
    </row>
    <row r="49" hidden="1" outlineLevel="1">
      <c r="B49" s="19" t="inlineStr">
        <is>
          <t>Debt</t>
        </is>
      </c>
      <c r="E49" s="204" t="n">
        <v>1259018</v>
      </c>
      <c r="F49" s="204" t="n">
        <v>1853669</v>
      </c>
      <c r="G49" s="204" t="n">
        <v>1861658</v>
      </c>
      <c r="H49" s="204" t="n">
        <v>2209021</v>
      </c>
      <c r="I49" s="204" t="n">
        <v>3055691</v>
      </c>
      <c r="J49" s="201">
        <f>J100</f>
        <v/>
      </c>
      <c r="K49" s="201">
        <f>K100</f>
        <v/>
      </c>
      <c r="L49" s="201">
        <f>L100</f>
        <v/>
      </c>
      <c r="M49" s="201">
        <f>M100</f>
        <v/>
      </c>
      <c r="N49" s="201">
        <f>N100</f>
        <v/>
      </c>
    </row>
    <row r="50" hidden="1" outlineLevel="1">
      <c r="B50" s="4" t="inlineStr">
        <is>
          <t>Total Liabilities (AP + Debt + Deferred Revenue)</t>
        </is>
      </c>
      <c r="C50" s="205" t="inlineStr">
        <is>
          <t>eqn: AP + Debt + DeferredRev(88)</t>
        </is>
      </c>
      <c r="D50" s="22" t="n"/>
      <c r="E50" s="213">
        <f>E48+E49+E88</f>
        <v/>
      </c>
      <c r="F50" s="213">
        <f>F48+F49+F88</f>
        <v/>
      </c>
      <c r="G50" s="213">
        <f>G48+G49+G88</f>
        <v/>
      </c>
      <c r="H50" s="213">
        <f>H48+H49+H88</f>
        <v/>
      </c>
      <c r="I50" s="213">
        <f>I48+I49+I88</f>
        <v/>
      </c>
      <c r="J50" s="201">
        <f>J48+J49+J88</f>
        <v/>
      </c>
      <c r="K50" s="201">
        <f>K48+K49+K88</f>
        <v/>
      </c>
      <c r="L50" s="201">
        <f>L48+L49+L88</f>
        <v/>
      </c>
      <c r="M50" s="201">
        <f>M48+M49+M88</f>
        <v/>
      </c>
      <c r="N50" s="201">
        <f>N48+N49+N88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 (BS plug = Assets − Liab − RE)</t>
        </is>
      </c>
      <c r="C52" s="207" t="inlineStr">
        <is>
          <t>eqn: Assets − Liabilities − RE  (forces BS balance)</t>
        </is>
      </c>
      <c r="E52" s="201">
        <f>E45-E50-E53</f>
        <v/>
      </c>
      <c r="F52" s="201">
        <f>F45-F50-F53</f>
        <v/>
      </c>
      <c r="G52" s="201">
        <f>G45-G50-G53</f>
        <v/>
      </c>
      <c r="H52" s="201">
        <f>H45-H50-H53</f>
        <v/>
      </c>
      <c r="I52" s="201">
        <f>I45-I50-I53</f>
        <v/>
      </c>
      <c r="J52" s="201">
        <f>J45-J50-J53</f>
        <v/>
      </c>
      <c r="K52" s="201">
        <f>K45-K50-K53</f>
        <v/>
      </c>
      <c r="L52" s="201">
        <f>L45-L50-L53</f>
        <v/>
      </c>
      <c r="M52" s="201">
        <f>M45-M50-M53</f>
        <v/>
      </c>
      <c r="N52" s="201">
        <f>N45-N50-N53</f>
        <v/>
      </c>
    </row>
    <row r="53" hidden="1" outlineLevel="1">
      <c r="B53" s="19" t="inlineStr">
        <is>
          <t>Retained Earnings</t>
        </is>
      </c>
      <c r="C53" s="207" t="inlineStr">
        <is>
          <t>eqn: PriorRE + EBT×(1−t)</t>
        </is>
      </c>
      <c r="E53" s="204" t="n">
        <v>0</v>
      </c>
      <c r="F53" s="204" t="n">
        <v>0</v>
      </c>
      <c r="G53" s="204" t="n">
        <v>0</v>
      </c>
      <c r="H53" s="204" t="n">
        <v>0</v>
      </c>
      <c r="I53" s="204" t="n">
        <v>0</v>
      </c>
      <c r="J53" s="201">
        <f>I53+J33*(1-J13)</f>
        <v/>
      </c>
      <c r="K53" s="201">
        <f>J53+K33*(1-K13)</f>
        <v/>
      </c>
      <c r="L53" s="201">
        <f>K53+L33*(1-L13)</f>
        <v/>
      </c>
      <c r="M53" s="201">
        <f>L53+M33*(1-M13)</f>
        <v/>
      </c>
      <c r="N53" s="201">
        <f>M53+N33*(1-N13)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201">
        <f>SUM(E52:E53)</f>
        <v/>
      </c>
      <c r="F54" s="201">
        <f>SUM(F52:F53)</f>
        <v/>
      </c>
      <c r="G54" s="201">
        <f>SUM(G52:G53)</f>
        <v/>
      </c>
      <c r="H54" s="201">
        <f>SUM(H52:H53)</f>
        <v/>
      </c>
      <c r="I54" s="201">
        <f>SUM(I52:I53)</f>
        <v/>
      </c>
      <c r="J54" s="201">
        <f>SUM(J52:J53)</f>
        <v/>
      </c>
      <c r="K54" s="201">
        <f>SUM(K52:K53)</f>
        <v/>
      </c>
      <c r="L54" s="201">
        <f>SUM(L52:L53)</f>
        <v/>
      </c>
      <c r="M54" s="201">
        <f>SUM(M52:M53)</f>
        <v/>
      </c>
      <c r="N54" s="201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201">
        <f>E50+E54</f>
        <v/>
      </c>
      <c r="F55" s="201">
        <f>F50+F54</f>
        <v/>
      </c>
      <c r="G55" s="201">
        <f>G50+G54</f>
        <v/>
      </c>
      <c r="H55" s="201">
        <f>H50+H54</f>
        <v/>
      </c>
      <c r="I55" s="201">
        <f>I50+I54</f>
        <v/>
      </c>
      <c r="J55" s="201">
        <f>J50+J54</f>
        <v/>
      </c>
      <c r="K55" s="201">
        <f>K50+K54</f>
        <v/>
      </c>
      <c r="L55" s="201">
        <f>L50+L54</f>
        <v/>
      </c>
      <c r="M55" s="201">
        <f>M50+M54</f>
        <v/>
      </c>
      <c r="N55" s="201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214" t="inlineStr">
        <is>
          <t>eqn: (L+E) − Assets   must be 0</t>
        </is>
      </c>
      <c r="D57" s="27" t="n"/>
      <c r="E57" s="201">
        <f>E55-E45</f>
        <v/>
      </c>
      <c r="F57" s="201">
        <f>F55-F45</f>
        <v/>
      </c>
      <c r="G57" s="201">
        <f>G55-G45</f>
        <v/>
      </c>
      <c r="H57" s="201">
        <f>H55-H45</f>
        <v/>
      </c>
      <c r="I57" s="201">
        <f>I55-I45</f>
        <v/>
      </c>
      <c r="J57" s="201">
        <f>J55-J45</f>
        <v/>
      </c>
      <c r="K57" s="201">
        <f>K55-K45</f>
        <v/>
      </c>
      <c r="L57" s="201">
        <f>L55-L45</f>
        <v/>
      </c>
      <c r="M57" s="201">
        <f>M55-M45</f>
        <v/>
      </c>
      <c r="N57" s="201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C62" s="207" t="inlineStr">
        <is>
          <t>eqn: EBT × (1 − book tax%)</t>
        </is>
      </c>
      <c r="E62" s="215">
        <f>E36</f>
        <v/>
      </c>
      <c r="F62" s="215">
        <f>F36</f>
        <v/>
      </c>
      <c r="G62" s="215">
        <f>G36</f>
        <v/>
      </c>
      <c r="H62" s="215">
        <f>H36</f>
        <v/>
      </c>
      <c r="I62" s="215">
        <f>I36</f>
        <v/>
      </c>
      <c r="J62" s="201">
        <f>J33*(1-J13)</f>
        <v/>
      </c>
      <c r="K62" s="201">
        <f>K33*(1-K13)</f>
        <v/>
      </c>
      <c r="L62" s="201">
        <f>L33*(1-L13)</f>
        <v/>
      </c>
      <c r="M62" s="201">
        <f>M33*(1-M13)</f>
        <v/>
      </c>
      <c r="N62" s="201">
        <f>N33*(1-N13)</f>
        <v/>
      </c>
    </row>
    <row r="63" hidden="1" outlineLevel="1">
      <c r="B63" s="19" t="inlineStr">
        <is>
          <t>Plus: D&amp;A (TOTAL — incl. amortization of intangibles)</t>
        </is>
      </c>
      <c r="C63" s="207" t="inlineStr">
        <is>
          <t>eqn: TOTAL D&amp;A (depr + amort. of intangibles) — single add-back</t>
        </is>
      </c>
      <c r="E63" s="215">
        <f>+E30</f>
        <v/>
      </c>
      <c r="F63" s="215">
        <f>+F30</f>
        <v/>
      </c>
      <c r="G63" s="215">
        <f>+G30</f>
        <v/>
      </c>
      <c r="H63" s="215">
        <f>+H30</f>
        <v/>
      </c>
      <c r="I63" s="215">
        <f>+I30</f>
        <v/>
      </c>
      <c r="J63" s="201">
        <f>J30</f>
        <v/>
      </c>
      <c r="K63" s="201">
        <f>K30</f>
        <v/>
      </c>
      <c r="L63" s="201">
        <f>L30</f>
        <v/>
      </c>
      <c r="M63" s="201">
        <f>M30</f>
        <v/>
      </c>
      <c r="N63" s="201">
        <f>N30</f>
        <v/>
      </c>
    </row>
    <row r="64" hidden="1" outlineLevel="1">
      <c r="B64" s="19" t="inlineStr">
        <is>
          <t>Plus: Stock-Based Compensation (SBC)</t>
        </is>
      </c>
      <c r="C64" s="207" t="inlineStr">
        <is>
          <t>eqn: Rev × SBC%  (non-cash add-back)</t>
        </is>
      </c>
      <c r="E64" s="200" t="n">
        <v>112457</v>
      </c>
      <c r="F64" s="200" t="n">
        <v>115355</v>
      </c>
      <c r="G64" s="200" t="n">
        <v>123847</v>
      </c>
      <c r="H64" s="200" t="n">
        <v>149439</v>
      </c>
      <c r="I64" s="200" t="n">
        <v>156667</v>
      </c>
      <c r="J64" s="201">
        <f>J24*J21</f>
        <v/>
      </c>
      <c r="K64" s="201">
        <f>K24*K21</f>
        <v/>
      </c>
      <c r="L64" s="201">
        <f>L24*L21</f>
        <v/>
      </c>
      <c r="M64" s="201">
        <f>M24*M21</f>
        <v/>
      </c>
      <c r="N64" s="201">
        <f>N24*N21</f>
        <v/>
      </c>
    </row>
    <row r="65" hidden="1" outlineLevel="1">
      <c r="B65" s="4" t="inlineStr">
        <is>
          <t>Less: Δ Operating NWC (AR+Inv−AP; Deferred NOT here)</t>
        </is>
      </c>
      <c r="C65" s="205" t="inlineStr">
        <is>
          <t>eqn: Δ Op NWC = OpNWCt − OpNWCt−1  (AR+Inv−AP only)</t>
        </is>
      </c>
      <c r="D65" s="28" t="n"/>
      <c r="E65" s="201">
        <f>E90</f>
        <v/>
      </c>
      <c r="F65" s="201">
        <f>F90</f>
        <v/>
      </c>
      <c r="G65" s="201">
        <f>G90</f>
        <v/>
      </c>
      <c r="H65" s="201">
        <f>H90</f>
        <v/>
      </c>
      <c r="I65" s="201">
        <f>I90</f>
        <v/>
      </c>
      <c r="J65" s="201">
        <f>J90</f>
        <v/>
      </c>
      <c r="K65" s="201">
        <f>K90</f>
        <v/>
      </c>
      <c r="L65" s="201">
        <f>L90</f>
        <v/>
      </c>
      <c r="M65" s="201">
        <f>M90</f>
        <v/>
      </c>
      <c r="N65" s="201">
        <f>N90</f>
        <v/>
      </c>
    </row>
    <row r="66" hidden="1" outlineLevel="1">
      <c r="B66" s="18" t="inlineStr">
        <is>
          <t>Cash from Operations (incl. +Increase in Deferred)</t>
        </is>
      </c>
      <c r="C66" s="203" t="inlineStr">
        <is>
          <t>eqn: NI + DA + SBC − ΔOpNWC + ΔDeferred</t>
        </is>
      </c>
      <c r="D66" s="47" t="n"/>
      <c r="E66" s="201">
        <f>E62+E63+E64-E65</f>
        <v/>
      </c>
      <c r="F66" s="201">
        <f>F62+F63+F64-F65+(F88-E88)</f>
        <v/>
      </c>
      <c r="G66" s="201">
        <f>G62+G63+G64-G65+(G88-F88)</f>
        <v/>
      </c>
      <c r="H66" s="201">
        <f>H62+H63+H64-H65+(H88-G88)</f>
        <v/>
      </c>
      <c r="I66" s="201">
        <f>I62+I63+I64-I65+(I88-H88)</f>
        <v/>
      </c>
      <c r="J66" s="201">
        <f>J62+J63+J64-J65+(J88-I88)</f>
        <v/>
      </c>
      <c r="K66" s="201">
        <f>K62+K63+K64-K65+(K88-J88)</f>
        <v/>
      </c>
      <c r="L66" s="201">
        <f>L62+L63+L64-L65+(L88-K88)</f>
        <v/>
      </c>
      <c r="M66" s="201">
        <f>M62+M63+M64-M65+(M88-L88)</f>
        <v/>
      </c>
      <c r="N66" s="201">
        <f>N62+N63+N64-N65+(N88-M88)</f>
        <v/>
      </c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C68" s="207" t="inlineStr">
        <is>
          <t>eqn: Rev × CapEx% (fade path)</t>
        </is>
      </c>
      <c r="E68" s="204" t="n">
        <v>7569</v>
      </c>
      <c r="F68" s="204" t="n">
        <v>6029</v>
      </c>
      <c r="G68" s="204" t="n">
        <v>4237</v>
      </c>
      <c r="H68" s="204" t="n">
        <v>25551</v>
      </c>
      <c r="I68" s="204" t="n">
        <v>39407</v>
      </c>
      <c r="J68" s="201">
        <f>J24*J18</f>
        <v/>
      </c>
      <c r="K68" s="201">
        <f>K24*K18</f>
        <v/>
      </c>
      <c r="L68" s="201">
        <f>L24*L18</f>
        <v/>
      </c>
      <c r="M68" s="201">
        <f>M24*M18</f>
        <v/>
      </c>
      <c r="N68" s="201">
        <f>N24*N18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201">
        <f>E68</f>
        <v/>
      </c>
      <c r="F69" s="201">
        <f>F68</f>
        <v/>
      </c>
      <c r="G69" s="201">
        <f>G68</f>
        <v/>
      </c>
      <c r="H69" s="201">
        <f>H68</f>
        <v/>
      </c>
      <c r="I69" s="201">
        <f>I68</f>
        <v/>
      </c>
      <c r="J69" s="201">
        <f>J68</f>
        <v/>
      </c>
      <c r="K69" s="201">
        <f>K68</f>
        <v/>
      </c>
      <c r="L69" s="201">
        <f>L68</f>
        <v/>
      </c>
      <c r="M69" s="201">
        <f>M68</f>
        <v/>
      </c>
      <c r="N69" s="201">
        <f>N68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204" t="n">
        <v>519583</v>
      </c>
      <c r="F72" s="204" t="n">
        <v>594651</v>
      </c>
      <c r="G72" s="204" t="n">
        <v>7989</v>
      </c>
      <c r="H72" s="204" t="n">
        <v>347363</v>
      </c>
      <c r="I72" s="204" t="n">
        <v>846670</v>
      </c>
      <c r="J72" s="201">
        <f>J19</f>
        <v/>
      </c>
      <c r="K72" s="201">
        <f>K19</f>
        <v/>
      </c>
      <c r="L72" s="201">
        <f>L19</f>
        <v/>
      </c>
      <c r="M72" s="201">
        <f>M19</f>
        <v/>
      </c>
      <c r="N72" s="201">
        <f>N19</f>
        <v/>
      </c>
    </row>
    <row r="73" hidden="1" outlineLevel="1">
      <c r="B73" s="19" t="inlineStr">
        <is>
          <t>Issuance (repayment) of equity</t>
        </is>
      </c>
      <c r="E73" s="201">
        <f>E41-E77-E66+E69-E72</f>
        <v/>
      </c>
      <c r="F73" s="201">
        <f>F41-F77-F66+F69-F72</f>
        <v/>
      </c>
      <c r="G73" s="201">
        <f>G41-G77-G66+G69-G72</f>
        <v/>
      </c>
      <c r="H73" s="201">
        <f>H41-H77-H66+H69-H72</f>
        <v/>
      </c>
      <c r="I73" s="201">
        <f>I41-I77-I66+I69-I72</f>
        <v/>
      </c>
      <c r="J73" s="201">
        <f>J20</f>
        <v/>
      </c>
      <c r="K73" s="201">
        <f>K20</f>
        <v/>
      </c>
      <c r="L73" s="201">
        <f>L20</f>
        <v/>
      </c>
      <c r="M73" s="201">
        <f>M20</f>
        <v/>
      </c>
      <c r="N73" s="201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201">
        <f>E72+E73</f>
        <v/>
      </c>
      <c r="F74" s="201">
        <f>F72+F73</f>
        <v/>
      </c>
      <c r="G74" s="201">
        <f>G72+G73</f>
        <v/>
      </c>
      <c r="H74" s="201">
        <f>H72+H73</f>
        <v/>
      </c>
      <c r="I74" s="201">
        <f>I72+I73</f>
        <v/>
      </c>
      <c r="J74" s="201">
        <f>J19+J20</f>
        <v/>
      </c>
      <c r="K74" s="201">
        <f>K19+K20</f>
        <v/>
      </c>
      <c r="L74" s="201">
        <f>L19+L20</f>
        <v/>
      </c>
      <c r="M74" s="201">
        <f>M19+M20</f>
        <v/>
      </c>
      <c r="N74" s="201">
        <f>N19+N20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C76" s="207" t="inlineStr">
        <is>
          <t>eqn: CFO − CapEx + Financing</t>
        </is>
      </c>
      <c r="E76" s="201">
        <f>E66-E69+E74</f>
        <v/>
      </c>
      <c r="F76" s="201">
        <f>F66-F69+F74</f>
        <v/>
      </c>
      <c r="G76" s="201">
        <f>G66-G69+G74</f>
        <v/>
      </c>
      <c r="H76" s="201">
        <f>H66-H69+H74</f>
        <v/>
      </c>
      <c r="I76" s="201">
        <f>I66-I69+I74</f>
        <v/>
      </c>
      <c r="J76" s="201">
        <f>J66-J69+J74</f>
        <v/>
      </c>
      <c r="K76" s="201">
        <f>K66-K69+K74</f>
        <v/>
      </c>
      <c r="L76" s="201">
        <f>L66-L69+L74</f>
        <v/>
      </c>
      <c r="M76" s="201">
        <f>M66-M69+M74</f>
        <v/>
      </c>
      <c r="N76" s="201">
        <f>N66-N69+N74</f>
        <v/>
      </c>
    </row>
    <row r="77" hidden="1" outlineLevel="1">
      <c r="B77" s="19" t="inlineStr">
        <is>
          <t>Opening Cash Balance</t>
        </is>
      </c>
      <c r="E77" s="204" t="n">
        <v>157394</v>
      </c>
      <c r="F77" s="216">
        <f>E41</f>
        <v/>
      </c>
      <c r="G77" s="216">
        <f>F41</f>
        <v/>
      </c>
      <c r="H77" s="216">
        <f>G41</f>
        <v/>
      </c>
      <c r="I77" s="216">
        <f>H41</f>
        <v/>
      </c>
      <c r="J77" s="201">
        <f>I41</f>
        <v/>
      </c>
      <c r="K77" s="201">
        <f>J41</f>
        <v/>
      </c>
      <c r="L77" s="201">
        <f>K41</f>
        <v/>
      </c>
      <c r="M77" s="201">
        <f>L41</f>
        <v/>
      </c>
      <c r="N77" s="201">
        <f>M41</f>
        <v/>
      </c>
    </row>
    <row r="78" hidden="1" outlineLevel="1">
      <c r="B78" s="4" t="inlineStr">
        <is>
          <t>Closing Cash Balance</t>
        </is>
      </c>
      <c r="C78" s="5" t="n"/>
      <c r="D78" s="217" t="n">
        <v>157394</v>
      </c>
      <c r="E78" s="201">
        <f>E77+E76</f>
        <v/>
      </c>
      <c r="F78" s="201">
        <f>F77+F76</f>
        <v/>
      </c>
      <c r="G78" s="201">
        <f>G77+G76</f>
        <v/>
      </c>
      <c r="H78" s="201">
        <f>H77+H76</f>
        <v/>
      </c>
      <c r="I78" s="201">
        <f>I77+I76</f>
        <v/>
      </c>
      <c r="J78" s="201">
        <f>J77+J76</f>
        <v/>
      </c>
      <c r="K78" s="201">
        <f>K77+K76</f>
        <v/>
      </c>
      <c r="L78" s="201">
        <f>L77+L76</f>
        <v/>
      </c>
      <c r="M78" s="201">
        <f>M77+M76</f>
        <v/>
      </c>
      <c r="N78" s="201">
        <f>N77+N76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Cash Check (CF close vs BS cash)</t>
        </is>
      </c>
      <c r="C80" s="9" t="n"/>
      <c r="D80" s="27" t="n"/>
      <c r="E80" s="218">
        <f>E78-E41</f>
        <v/>
      </c>
      <c r="F80" s="218">
        <f>F78-F41</f>
        <v/>
      </c>
      <c r="G80" s="218">
        <f>G78-G41</f>
        <v/>
      </c>
      <c r="H80" s="218">
        <f>H78-H41</f>
        <v/>
      </c>
      <c r="I80" s="218">
        <f>I78-I41</f>
        <v/>
      </c>
      <c r="J80" s="201">
        <f>J78-J41</f>
        <v/>
      </c>
      <c r="K80" s="201">
        <f>K78-K41</f>
        <v/>
      </c>
      <c r="L80" s="201">
        <f>L78-L41</f>
        <v/>
      </c>
      <c r="M80" s="201">
        <f>M78-M41</f>
        <v/>
      </c>
      <c r="N80" s="201">
        <f>N78-N41</f>
        <v/>
      </c>
    </row>
    <row r="81" hidden="1" outlineLevel="1">
      <c r="B81" s="18" t="inlineStr">
        <is>
          <t>Plus: Increase in Deferred Revenue (explicit CFO cash source)</t>
        </is>
      </c>
      <c r="C81" s="207" t="inlineStr">
        <is>
          <t>eqn: Def_t − Def_t−1  (SaaS/maintenance upfront cash; in CFO)</t>
        </is>
      </c>
      <c r="E81" s="219" t="inlineStr">
        <is>
          <t>0</t>
        </is>
      </c>
      <c r="F81" s="201">
        <f>F88-E88</f>
        <v/>
      </c>
      <c r="G81" s="201">
        <f>G88-F88</f>
        <v/>
      </c>
      <c r="H81" s="201">
        <f>H88-G88</f>
        <v/>
      </c>
      <c r="I81" s="201">
        <f>I88-H88</f>
        <v/>
      </c>
      <c r="J81" s="220">
        <f>J88-I88</f>
        <v/>
      </c>
      <c r="K81" s="220">
        <f>K88-J88</f>
        <v/>
      </c>
      <c r="L81" s="220">
        <f>L88-K88</f>
        <v/>
      </c>
      <c r="M81" s="220">
        <f>M88-L88</f>
        <v/>
      </c>
      <c r="N81" s="220">
        <f>N88-M88</f>
        <v/>
      </c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 (from phased DSO — separate from Deferred)</t>
        </is>
      </c>
      <c r="E85" s="204" t="n">
        <v>312107</v>
      </c>
      <c r="F85" s="204" t="n">
        <v>322410</v>
      </c>
      <c r="G85" s="204" t="n">
        <v>387947</v>
      </c>
      <c r="H85" s="204" t="n">
        <v>426642</v>
      </c>
      <c r="I85" s="204" t="n">
        <v>529148</v>
      </c>
      <c r="J85" s="201">
        <f>J42</f>
        <v/>
      </c>
      <c r="K85" s="201">
        <f>K42</f>
        <v/>
      </c>
      <c r="L85" s="201">
        <f>L42</f>
        <v/>
      </c>
      <c r="M85" s="201">
        <f>M42</f>
        <v/>
      </c>
      <c r="N85" s="201">
        <f>N42</f>
        <v/>
      </c>
    </row>
    <row r="86" hidden="1" outlineLevel="1">
      <c r="B86" s="19" t="inlineStr">
        <is>
          <t>Inventory</t>
        </is>
      </c>
      <c r="E86" s="204" t="n">
        <v>0</v>
      </c>
      <c r="F86" s="204" t="n">
        <v>0</v>
      </c>
      <c r="G86" s="204" t="n">
        <v>0</v>
      </c>
      <c r="H86" s="204" t="n">
        <v>0</v>
      </c>
      <c r="I86" s="204" t="n">
        <v>0</v>
      </c>
      <c r="J86" s="201">
        <f>J43</f>
        <v/>
      </c>
      <c r="K86" s="201">
        <f>K43</f>
        <v/>
      </c>
      <c r="L86" s="201">
        <f>L43</f>
        <v/>
      </c>
      <c r="M86" s="201">
        <f>M43</f>
        <v/>
      </c>
      <c r="N86" s="201">
        <f>N43</f>
        <v/>
      </c>
    </row>
    <row r="87" hidden="1" outlineLevel="1">
      <c r="B87" s="19" t="inlineStr">
        <is>
          <t>Accounts Payable (from DPO)</t>
        </is>
      </c>
      <c r="E87" s="204" t="n">
        <v>20749</v>
      </c>
      <c r="F87" s="204" t="n">
        <v>17273</v>
      </c>
      <c r="G87" s="204" t="n">
        <v>19009</v>
      </c>
      <c r="H87" s="204" t="n">
        <v>22473</v>
      </c>
      <c r="I87" s="204" t="n">
        <v>32315</v>
      </c>
      <c r="J87" s="201">
        <f>J48</f>
        <v/>
      </c>
      <c r="K87" s="201">
        <f>K48</f>
        <v/>
      </c>
      <c r="L87" s="201">
        <f>L48</f>
        <v/>
      </c>
      <c r="M87" s="201">
        <f>M48</f>
        <v/>
      </c>
      <c r="N87" s="201">
        <f>N48</f>
        <v/>
      </c>
    </row>
    <row r="88" hidden="1" outlineLevel="1">
      <c r="B88" s="5" t="inlineStr">
        <is>
          <t>Deferred Revenue (BS contract liability — SaaS/on-prem; CF source)</t>
        </is>
      </c>
      <c r="C88" s="205" t="inlineStr">
        <is>
          <t>eqn: Rev × softmix_t × (FY25 Def / FY25 soft Rev) — SaaS shift ↑ Def</t>
        </is>
      </c>
      <c r="D88" s="28" t="n"/>
      <c r="E88" s="221" t="n">
        <v>105417</v>
      </c>
      <c r="F88" s="221" t="n">
        <v>120045</v>
      </c>
      <c r="G88" s="221" t="n">
        <v>136730</v>
      </c>
      <c r="H88" s="221" t="n">
        <v>156897</v>
      </c>
      <c r="I88" s="221" t="n">
        <v>187372</v>
      </c>
      <c r="J88" s="201">
        <f>J24*(J104+J108)*IF($I$24*(0.21082251017018197+0.16094730492061507)=0,0,$I$88/($I$24*(0.21082251017018197+0.16094730492061507)))</f>
        <v/>
      </c>
      <c r="K88" s="201">
        <f>K24*(K104+K108)*IF($I$24*(0.21082251017018197+0.16094730492061507)=0,0,$I$88/($I$24*(0.21082251017018197+0.16094730492061507)))</f>
        <v/>
      </c>
      <c r="L88" s="201">
        <f>L24*(L104+L108)*IF($I$24*(0.21082251017018197+0.16094730492061507)=0,0,$I$88/($I$24*(0.21082251017018197+0.16094730492061507)))</f>
        <v/>
      </c>
      <c r="M88" s="201">
        <f>M24*(M104+M108)*IF($I$24*(0.21082251017018197+0.16094730492061507)=0,0,$I$88/($I$24*(0.21082251017018197+0.16094730492061507)))</f>
        <v/>
      </c>
      <c r="N88" s="201">
        <f>N24*(N104+N108)*IF($I$24*(0.21082251017018197+0.16094730492061507)=0,0,$I$88/($I$24*(0.21082251017018197+0.16094730492061507)))</f>
        <v/>
      </c>
    </row>
    <row r="89" hidden="1" outlineLevel="1">
      <c r="B89" s="19" t="inlineStr">
        <is>
          <t>Operating NWC (AR+Inv−AP; EXCLUDES Deferred — no double count)</t>
        </is>
      </c>
      <c r="C89" s="207" t="inlineStr">
        <is>
          <t>eqn: AR + Inv − AP   (Deferred excluded — see CF row 81)</t>
        </is>
      </c>
      <c r="D89" s="222" t="n">
        <v>311147</v>
      </c>
      <c r="E89" s="201">
        <f>E85+E86-E87</f>
        <v/>
      </c>
      <c r="F89" s="201">
        <f>F85+F86-F87</f>
        <v/>
      </c>
      <c r="G89" s="201">
        <f>G85+G86-G87</f>
        <v/>
      </c>
      <c r="H89" s="201">
        <f>H85+H86-H87</f>
        <v/>
      </c>
      <c r="I89" s="201">
        <f>I85+I86-I87</f>
        <v/>
      </c>
      <c r="J89" s="201">
        <f>J85+J86-J87</f>
        <v/>
      </c>
      <c r="K89" s="201">
        <f>K85+K86-K87</f>
        <v/>
      </c>
      <c r="L89" s="201">
        <f>L85+L86-L87</f>
        <v/>
      </c>
      <c r="M89" s="201">
        <f>M85+M86-M87</f>
        <v/>
      </c>
      <c r="N89" s="201">
        <f>N85+N86-N87</f>
        <v/>
      </c>
    </row>
    <row r="90" hidden="1" outlineLevel="1">
      <c r="B90" t="inlineStr">
        <is>
          <t>Change in Operating NWC</t>
        </is>
      </c>
      <c r="C90" s="207" t="inlineStr">
        <is>
          <t>eqn: OpNWCt − OpNWCt−1  (AR/AP only; Deferred separate)</t>
        </is>
      </c>
      <c r="E90" s="219" t="inlineStr">
        <is>
          <t>0</t>
        </is>
      </c>
      <c r="F90" s="201">
        <f>F89-E89</f>
        <v/>
      </c>
      <c r="G90" s="201">
        <f>G89-F89</f>
        <v/>
      </c>
      <c r="H90" s="201">
        <f>H89-G89</f>
        <v/>
      </c>
      <c r="I90" s="201">
        <f>I89-H89</f>
        <v/>
      </c>
      <c r="J90" s="220">
        <f>J89-I89</f>
        <v/>
      </c>
      <c r="K90" s="220">
        <f>K89-J89</f>
        <v/>
      </c>
      <c r="L90" s="220">
        <f>L89-K89</f>
        <v/>
      </c>
      <c r="M90" s="220">
        <f>M89-L89</f>
        <v/>
      </c>
      <c r="N90" s="220">
        <f>N89-M89</f>
        <v/>
      </c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204" t="n">
        <v>46419</v>
      </c>
      <c r="F92" s="216">
        <f>E95</f>
        <v/>
      </c>
      <c r="G92" s="216">
        <f>F95</f>
        <v/>
      </c>
      <c r="H92" s="216">
        <f>G95</f>
        <v/>
      </c>
      <c r="I92" s="216">
        <f>H95</f>
        <v/>
      </c>
      <c r="J92" s="201">
        <f>I44</f>
        <v/>
      </c>
      <c r="K92" s="201">
        <f>J95</f>
        <v/>
      </c>
      <c r="L92" s="201">
        <f>K95</f>
        <v/>
      </c>
      <c r="M92" s="201">
        <f>L95</f>
        <v/>
      </c>
      <c r="N92" s="201">
        <f>M95</f>
        <v/>
      </c>
    </row>
    <row r="93" hidden="1" outlineLevel="1">
      <c r="B93" s="19" t="inlineStr">
        <is>
          <t>Plus Capex</t>
        </is>
      </c>
      <c r="E93" s="204" t="n">
        <v>7569</v>
      </c>
      <c r="F93" s="204" t="n">
        <v>6029</v>
      </c>
      <c r="G93" s="204" t="n">
        <v>4237</v>
      </c>
      <c r="H93" s="204" t="n">
        <v>25551</v>
      </c>
      <c r="I93" s="204" t="n">
        <v>39407</v>
      </c>
      <c r="J93" s="201">
        <f>J24*J18</f>
        <v/>
      </c>
      <c r="K93" s="201">
        <f>K24*K18</f>
        <v/>
      </c>
      <c r="L93" s="201">
        <f>L24*L18</f>
        <v/>
      </c>
      <c r="M93" s="201">
        <f>M24*M18</f>
        <v/>
      </c>
      <c r="N93" s="201">
        <f>N24*N18</f>
        <v/>
      </c>
    </row>
    <row r="94" hidden="1" outlineLevel="1">
      <c r="B94" s="19" t="inlineStr">
        <is>
          <t>Less Depreciation</t>
        </is>
      </c>
      <c r="C94" s="207" t="inlineStr">
        <is>
          <t>eqn: Rev × DA% (same as IS D&amp;A — includes intangible amort)</t>
        </is>
      </c>
      <c r="E94" s="204" t="n">
        <v>25592</v>
      </c>
      <c r="F94" s="204" t="n">
        <v>20465</v>
      </c>
      <c r="G94" s="204" t="n">
        <v>14638</v>
      </c>
      <c r="H94" s="204" t="n">
        <v>13827</v>
      </c>
      <c r="I94" s="204" t="n">
        <v>14952</v>
      </c>
      <c r="J94" s="201">
        <f>J30</f>
        <v/>
      </c>
      <c r="K94" s="201">
        <f>K30</f>
        <v/>
      </c>
      <c r="L94" s="201">
        <f>L30</f>
        <v/>
      </c>
      <c r="M94" s="201">
        <f>M30</f>
        <v/>
      </c>
      <c r="N94" s="201">
        <f>N30</f>
        <v/>
      </c>
    </row>
    <row r="95" hidden="1" outlineLevel="1">
      <c r="B95" s="5" t="inlineStr">
        <is>
          <t>PPE Closing</t>
        </is>
      </c>
      <c r="C95" s="5" t="n"/>
      <c r="D95" s="28" t="n"/>
      <c r="E95" s="221" t="n">
        <v>27913</v>
      </c>
      <c r="F95" s="221" t="n">
        <v>17580</v>
      </c>
      <c r="G95" s="221" t="n">
        <v>10966</v>
      </c>
      <c r="H95" s="221" t="n">
        <v>38465</v>
      </c>
      <c r="I95" s="221" t="n">
        <v>67713</v>
      </c>
      <c r="J95" s="201">
        <f>J92+J93-J94</f>
        <v/>
      </c>
      <c r="K95" s="201">
        <f>K92+K93-K94</f>
        <v/>
      </c>
      <c r="L95" s="201">
        <f>L92+L93-L94</f>
        <v/>
      </c>
      <c r="M95" s="201">
        <f>M92+M93-M94</f>
        <v/>
      </c>
      <c r="N95" s="201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204" t="n">
        <v>739435</v>
      </c>
      <c r="F98" s="216">
        <f>E100</f>
        <v/>
      </c>
      <c r="G98" s="216">
        <f>F100</f>
        <v/>
      </c>
      <c r="H98" s="216">
        <f>G100</f>
        <v/>
      </c>
      <c r="I98" s="216">
        <f>H100</f>
        <v/>
      </c>
      <c r="J98" s="201">
        <f>I49</f>
        <v/>
      </c>
      <c r="K98" s="201">
        <f>J100</f>
        <v/>
      </c>
      <c r="L98" s="201">
        <f>K100</f>
        <v/>
      </c>
      <c r="M98" s="201">
        <f>L100</f>
        <v/>
      </c>
      <c r="N98" s="201">
        <f>M100</f>
        <v/>
      </c>
    </row>
    <row r="99" hidden="1" outlineLevel="1">
      <c r="B99" s="19" t="inlineStr">
        <is>
          <t>Issuance (repayment)</t>
        </is>
      </c>
      <c r="E99" s="204" t="n">
        <v>519583</v>
      </c>
      <c r="F99" s="204" t="n">
        <v>594651</v>
      </c>
      <c r="G99" s="204" t="n">
        <v>7989</v>
      </c>
      <c r="H99" s="204" t="n">
        <v>347363</v>
      </c>
      <c r="I99" s="204" t="n">
        <v>846670</v>
      </c>
      <c r="J99" s="201">
        <f>J19</f>
        <v/>
      </c>
      <c r="K99" s="201">
        <f>K19</f>
        <v/>
      </c>
      <c r="L99" s="201">
        <f>L19</f>
        <v/>
      </c>
      <c r="M99" s="201">
        <f>M19</f>
        <v/>
      </c>
      <c r="N99" s="201">
        <f>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221" t="n">
        <v>1259018</v>
      </c>
      <c r="F100" s="221" t="n">
        <v>1853669</v>
      </c>
      <c r="G100" s="221" t="n">
        <v>1861658</v>
      </c>
      <c r="H100" s="221" t="n">
        <v>2209021</v>
      </c>
      <c r="I100" s="221" t="n">
        <v>3055691</v>
      </c>
      <c r="J100" s="201">
        <f>J98+J99</f>
        <v/>
      </c>
      <c r="K100" s="201">
        <f>K98+K99</f>
        <v/>
      </c>
      <c r="L100" s="201">
        <f>L98+L99</f>
        <v/>
      </c>
      <c r="M100" s="201">
        <f>M98+M99</f>
        <v/>
      </c>
      <c r="N100" s="201">
        <f>N98+N99</f>
        <v/>
      </c>
    </row>
    <row r="101" hidden="1" outlineLevel="1">
      <c r="B101" s="19" t="inlineStr">
        <is>
          <t>Interest Expense</t>
        </is>
      </c>
      <c r="E101" s="204" t="n">
        <v>40092</v>
      </c>
      <c r="F101" s="204" t="n">
        <v>68967</v>
      </c>
      <c r="G101" s="204" t="n">
        <v>95546</v>
      </c>
      <c r="H101" s="204" t="n">
        <v>105638</v>
      </c>
      <c r="I101" s="204" t="n">
        <v>133647</v>
      </c>
      <c r="J101" s="201">
        <f>J98*J12</f>
        <v/>
      </c>
      <c r="K101" s="201">
        <f>K98*K12</f>
        <v/>
      </c>
      <c r="L101" s="201">
        <f>L98*L12</f>
        <v/>
      </c>
      <c r="M101" s="201">
        <f>M98*M12</f>
        <v/>
      </c>
      <c r="N101" s="201">
        <f>N98*N12</f>
        <v/>
      </c>
    </row>
    <row r="102" hidden="1" outlineLevel="1">
      <c r="B102" s="223" t="inlineStr">
        <is>
          <t>REVENUE MIX &amp; CASH CONVERSION (FY25 10-K disaggregation — mix offsets within Total Rev row 24; NOT additive)</t>
        </is>
      </c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 ht="40" customHeight="1">
      <c r="B104" t="inlineStr">
        <is>
          <t>Mix % — SaaS / Platform software (cloud; +250bps/yr shift)</t>
        </is>
      </c>
      <c r="C104" s="199" t="inlineStr">
        <is>
          <t>WHY: Updated SaaS mix shift from Model13 (Previous: +200 bps/yr) to Model16 (New: +250 bps/yr). SaaS billed annually in ad… | SOURCE: SEC 10-Q Q1 FY2026 — Deferred revenue / contract liabilities detail | LINK: https://www.sec.gov/Archives/edgar/data/814547/000081454726000011/R45.htm | HOW: FY25 base 21.08% (SaaS $419,720k / Total $1,990,869k), then +250 bps/yr taken from on-prem. Platform ARR KPI $263.6M is not additive IS revenue. | ASSUMPTIONS PDF: https://raw.githubusercontent.com/vengeanceaiUSC/Rainmaker/cursor/vengeanceaiusmodel16-d3ac/FICO/output/MODEL16_FICO_ASSUMPTIONS_LIST.pdf</t>
        </is>
      </c>
      <c r="E104" s="33" t="n"/>
      <c r="F104" s="33" t="n"/>
      <c r="G104" s="33" t="n"/>
      <c r="H104" s="33" t="n"/>
      <c r="I104" s="33" t="n"/>
      <c r="J104" s="224" t="n">
        <v>0.235822510170182</v>
      </c>
      <c r="K104" s="224" t="n">
        <v>0.260822510170182</v>
      </c>
      <c r="L104" s="224" t="n">
        <v>0.285822510170182</v>
      </c>
      <c r="M104" s="224" t="n">
        <v>0.310822510170182</v>
      </c>
      <c r="N104" s="224" t="n">
        <v>0.3358225101701821</v>
      </c>
      <c r="P104" s="193" t="n">
        <v>104</v>
      </c>
      <c r="Q104" s="193" t="inlineStr">
        <is>
          <t>Mix % — SaaS / Platform software</t>
        </is>
      </c>
      <c r="R104" s="194" t="inlineStr">
        <is>
          <t>Share of Total Revenue from SaaS / cloud software (incl. FICO Platform cloud).</t>
        </is>
      </c>
      <c r="S104" s="194" t="inlineStr">
        <is>
          <t>FY25 base 21.08% (SaaS $419,720k / Total $1,990,869k), then +250 bps/yr taken from on-prem. Platform ARR KPI $263.6M is not additive IS revenue.</t>
        </is>
      </c>
      <c r="T104" s="194" t="inlineStr">
        <is>
          <t>Updated SaaS mix shift from Model13 (Previous: +200 bps/yr) to Model16 (New: +250 bps/yr). SaaS billed annually in advance → Deferred Revenue growth → explicit CFO cash source (row 81). Source: https://www.sec.gov/Archives/edgar/data/814547/000081454726000011/fico-20251231.htm.</t>
        </is>
      </c>
      <c r="U104" s="195">
        <f>HYPERLINK("https://www.sec.gov/Archives/edgar/data/814547/000081454726000011/R45.htm","SEC 10-Q Q1 FY2026 — Deferred revenue / contract liabilities detail")</f>
        <v/>
      </c>
      <c r="V104" s="195">
        <f>HYPERLINK("https://www.sec.gov/Archives/edgar/data/814547/000081454726000011/R45.htm","https://www.sec.gov/Archives/edgar/data/814547/000081454726000011/R45.htm")</f>
        <v/>
      </c>
    </row>
    <row r="105" ht="40" customHeight="1">
      <c r="B105" s="65" t="inlineStr">
        <is>
          <t>Mix % — B2C Subscriptions (myFICO)</t>
        </is>
      </c>
      <c r="C105" s="225" t="inlineStr">
        <is>
          <t>WHY: Near-zero DSO (card-settled consumer subscriptions). Minimal Deferred Revenue vs annual SaaS invoices. High increment… | SOURCE: SEC 10-K FY2025 — Scores segment B2C / myFICO disaggregation | LINK: https://www.sec.gov/Archives/edgar/data/814547/000081454725000030/fico-20250930.htm | HOW: Yellow POLICY = 11.05% (FY25 B2C Scores $219,980k / Total $1,990,869k). | ASSUMPTIONS PDF: https://raw.githubusercontent.com/vengeanceaiUSC/Rainmaker/cursor/vengeanceaiusmodel16-d3ac/FICO/output/MODEL16_FICO_ASSUMPTIONS_LIST.pdf</t>
        </is>
      </c>
      <c r="D105" s="65" t="n"/>
      <c r="E105" s="65" t="n"/>
      <c r="F105" s="65" t="n"/>
      <c r="G105" s="65" t="n"/>
      <c r="H105" s="65" t="n"/>
      <c r="I105" s="65" t="n"/>
      <c r="J105" s="226" t="n">
        <v>0.1104944624683995</v>
      </c>
      <c r="K105" s="226" t="n">
        <v>0.1104944624683995</v>
      </c>
      <c r="L105" s="226" t="n">
        <v>0.1104944624683995</v>
      </c>
      <c r="M105" s="226" t="n">
        <v>0.1104944624683995</v>
      </c>
      <c r="N105" s="226" t="n">
        <v>0.1104944624683995</v>
      </c>
      <c r="P105" s="193" t="n">
        <v>105</v>
      </c>
      <c r="Q105" s="193" t="inlineStr">
        <is>
          <t>Mix % — B2C Subscriptions (myFICO)</t>
        </is>
      </c>
      <c r="R105" s="194" t="inlineStr">
        <is>
          <t>Share of Total Revenue from B2C scoring / myFICO.com subscriptions.</t>
        </is>
      </c>
      <c r="S105" s="194" t="inlineStr">
        <is>
          <t>Yellow POLICY = 11.05% (FY25 B2C Scores $219,980k / Total $1,990,869k).</t>
        </is>
      </c>
      <c r="T105" s="194" t="inlineStr">
        <is>
          <t>Near-zero DSO (card-settled consumer subscriptions). Minimal Deferred Revenue vs annual SaaS invoices. High incremental margin; WC-light cash conversion.</t>
        </is>
      </c>
      <c r="U105" s="195">
        <f>HYPERLINK("https://www.sec.gov/Archives/edgar/data/814547/000081454725000030/fico-20250930.htm","SEC 10-K FY2025 — Scores segment B2C / myFICO disaggregation")</f>
        <v/>
      </c>
      <c r="V105" s="195">
        <f>HYPERLINK("https://www.sec.gov/Archives/edgar/data/814547/000081454725000030/fico-20250930.htm","https://www.sec.gov/Archives/edgar/data/814547/000081454725000030/fico-20250930.htm")</f>
        <v/>
      </c>
    </row>
    <row r="106" hidden="1" outlineLevel="1" ht="40" customHeight="1">
      <c r="B106" t="inlineStr">
        <is>
          <t>Mix % — B2B Scores (transactional)</t>
        </is>
      </c>
      <c r="C106" s="199" t="inlineStr">
        <is>
          <t>WHY: Transactional volume through Experian/TransUnion/Equifax; ~30-day DSO. Does not create SaaS-style Deferred Revenue (u… | SOURCE: SEC 10-K FY2025 — Scores segment B2B disaggregation | LINK: https://www.sec.gov/Archives/edgar/data/814547/000081454725000030/fico-20250930.htm | HOW: Yellow POLICY = 47.65% (FY25 B2B Scores $948,595k / Total $1,990,869k). | ASSUMPTIONS PDF: https://raw.githubusercontent.com/vengeanceaiUSC/Rainmaker/cursor/vengeanceaiusmodel16-d3ac/FICO/output/MODEL16_FICO_ASSUMPTIONS_LIST.pdf</t>
        </is>
      </c>
      <c r="J106" s="224" t="n">
        <v>0.4764728367361187</v>
      </c>
      <c r="K106" s="224" t="n">
        <v>0.4764728367361187</v>
      </c>
      <c r="L106" s="224" t="n">
        <v>0.4764728367361187</v>
      </c>
      <c r="M106" s="224" t="n">
        <v>0.4764728367361187</v>
      </c>
      <c r="N106" s="224" t="n">
        <v>0.4764728367361187</v>
      </c>
      <c r="P106" s="193" t="n">
        <v>106</v>
      </c>
      <c r="Q106" s="193" t="inlineStr">
        <is>
          <t>Mix % — B2B Scores</t>
        </is>
      </c>
      <c r="R106" s="194" t="inlineStr">
        <is>
          <t>Share of Total Revenue from B2B scoring (mortgage, auto, card via CRAs).</t>
        </is>
      </c>
      <c r="S106" s="194" t="inlineStr">
        <is>
          <t>Yellow POLICY = 47.65% (FY25 B2B Scores $948,595k / Total $1,990,869k).</t>
        </is>
      </c>
      <c r="T106" s="194" t="inlineStr">
        <is>
          <t>Transactional volume through Experian/TransUnion/Equifax; ~30-day DSO. Does not create SaaS-style Deferred Revenue (usage-based recognition).</t>
        </is>
      </c>
      <c r="U106" s="195">
        <f>HYPERLINK("https://www.sec.gov/Archives/edgar/data/814547/000081454725000030/fico-20250930.htm","SEC 10-K FY2025 — Scores segment B2B disaggregation")</f>
        <v/>
      </c>
      <c r="V106" s="195">
        <f>HYPERLINK("https://www.sec.gov/Archives/edgar/data/814547/000081454725000030/fico-20250930.htm","https://www.sec.gov/Archives/edgar/data/814547/000081454725000030/fico-20250930.htm")</f>
        <v/>
      </c>
    </row>
    <row r="107" hidden="1" outlineLevel="1" ht="40" customHeight="1">
      <c r="B107" t="inlineStr">
        <is>
          <t>Mix % — Professional Services (implementation)</t>
        </is>
      </c>
      <c r="C107" s="199" t="inlineStr">
        <is>
          <t>WHY: Upfront integration fees convert cash quickly (low DSO) but carry significantly lower gross margin than software/scor… | SOURCE: SEC 10-K FY2025 — Software segment Professional services line | LINK: https://www.sec.gov/Archives/edgar/data/814547/000081454725000030/fico-20250930.htm | HOW: Yellow POLICY = 4.13% (FY25 PS $82,149k / Total $1,990,869k). | ASSUMPTIONS PDF: https://raw.githubusercontent.com/vengeanceaiUSC/Rainmaker/cursor/vengeanceaiusmodel16-d3ac/FICO/output/MODEL16_FICO_ASSUMPTIONS_LIST.pdf</t>
        </is>
      </c>
      <c r="J107" s="224" t="n">
        <v>0.04126288570468474</v>
      </c>
      <c r="K107" s="224" t="n">
        <v>0.04126288570468474</v>
      </c>
      <c r="L107" s="224" t="n">
        <v>0.04126288570468474</v>
      </c>
      <c r="M107" s="224" t="n">
        <v>0.04126288570468474</v>
      </c>
      <c r="N107" s="224" t="n">
        <v>0.04126288570468474</v>
      </c>
      <c r="P107" s="193" t="n">
        <v>107</v>
      </c>
      <c r="Q107" s="193" t="inlineStr">
        <is>
          <t>Mix % — Professional Services</t>
        </is>
      </c>
      <c r="R107" s="194" t="inlineStr">
        <is>
          <t>Share of Total Revenue from implementation / consulting / training fees.</t>
        </is>
      </c>
      <c r="S107" s="194" t="inlineStr">
        <is>
          <t>Yellow POLICY = 4.13% (FY25 PS $82,149k / Total $1,990,869k).</t>
        </is>
      </c>
      <c r="T107" s="194" t="inlineStr">
        <is>
          <t>Upfront integration fees convert cash quickly (low DSO) but carry significantly lower gross margin than software/scores — pulls blended COGS up vs pure SaaS.</t>
        </is>
      </c>
      <c r="U107" s="195">
        <f>HYPERLINK("https://www.sec.gov/Archives/edgar/data/814547/000081454725000030/fico-20250930.htm","SEC 10-K FY2025 — Software segment Professional services line")</f>
        <v/>
      </c>
      <c r="V107" s="195">
        <f>HYPERLINK("https://www.sec.gov/Archives/edgar/data/814547/000081454725000030/fico-20250930.htm","https://www.sec.gov/Archives/edgar/data/814547/000081454725000030/fico-20250930.htm")</f>
        <v/>
      </c>
    </row>
    <row r="108" hidden="1" outlineLevel="1" ht="40" customHeight="1">
      <c r="B108" t="inlineStr">
        <is>
          <t>Mix % — On-Premises Software (−250bps/yr → SaaS)</t>
        </is>
      </c>
      <c r="C108" s="199" t="inlineStr">
        <is>
          <t>WHY: With SaaS mix, drives Deferred Revenue (maintenance billed in advance). Same 45-day DSO policy as SaaS. Completes mix… | SOURCE: SEC 10-K FY2025 — Software on-premises vs SaaS deployment table | LINK: https://www.sec.gov/Archives/edgar/data/814547/000081454725000030/fico-20250930.htm | HOW: Yellow POLICY = 16.09% (FY25 on-prem $320,425k / Total $1,990,869k). | ASSUMPTIONS PDF: https://raw.githubusercontent.com/vengeanceaiUSC/Rainmaker/cursor/vengeanceaiusmodel16-d3ac/FICO/output/MODEL16_FICO_ASSUMPTIONS_LIST.pdf</t>
        </is>
      </c>
      <c r="J108" s="224" t="n">
        <v>0.1359473049206151</v>
      </c>
      <c r="K108" s="224" t="n">
        <v>0.1109473049206151</v>
      </c>
      <c r="L108" s="224" t="n">
        <v>0.08594730492061509</v>
      </c>
      <c r="M108" s="224" t="n">
        <v>0.06094730492061506</v>
      </c>
      <c r="N108" s="224" t="n">
        <v>0.03594730492061504</v>
      </c>
      <c r="P108" s="193" t="n">
        <v>108</v>
      </c>
      <c r="Q108" s="193" t="inlineStr">
        <is>
          <t>Mix % — On-Premises Software</t>
        </is>
      </c>
      <c r="R108" s="194" t="inlineStr">
        <is>
          <t>Share of Total Revenue from on-premises license + maintenance software.</t>
        </is>
      </c>
      <c r="S108" s="194" t="inlineStr">
        <is>
          <t>Yellow POLICY = 16.09% (FY25 on-prem $320,425k / Total $1,990,869k).</t>
        </is>
      </c>
      <c r="T108" s="194" t="inlineStr">
        <is>
          <t>With SaaS mix, drives Deferred Revenue (maintenance billed in advance). Same 45-day DSO policy as SaaS. Completes mix identity to 100% of Total Rev.</t>
        </is>
      </c>
      <c r="U108" s="195">
        <f>HYPERLINK("https://www.sec.gov/Archives/edgar/data/814547/000081454725000030/fico-20250930.htm","SEC 10-K FY2025 — Software on-premises vs SaaS deployment table")</f>
        <v/>
      </c>
      <c r="V108" s="195">
        <f>HYPERLINK("https://www.sec.gov/Archives/edgar/data/814547/000081454725000030/fico-20250930.htm","https://www.sec.gov/Archives/edgar/data/814547/000081454725000030/fico-20250930.htm")</f>
        <v/>
      </c>
    </row>
    <row r="109" hidden="1" outlineLevel="1">
      <c r="B109" t="inlineStr">
        <is>
          <t>Mix check (must equal 100%)</t>
        </is>
      </c>
      <c r="C109" s="207" t="inlineStr">
        <is>
          <t>eqn: Σ mix = 100%  (flag if ≠ 1)</t>
        </is>
      </c>
      <c r="J109" s="227">
        <f>J104+J105+J106+J107+J108</f>
        <v/>
      </c>
      <c r="K109" s="227">
        <f>K104+K105+K106+K107+K108</f>
        <v/>
      </c>
      <c r="L109" s="227">
        <f>L104+L105+L106+L107+L108</f>
        <v/>
      </c>
      <c r="M109" s="227">
        <f>M104+M105+M106+M107+M108</f>
        <v/>
      </c>
      <c r="N109" s="227">
        <f>N104+N105+N106+N107+N108</f>
        <v/>
      </c>
    </row>
    <row r="110" hidden="1" outlineLevel="1">
      <c r="B110" t="inlineStr">
        <is>
          <t>DSO days — SaaS / Platform (30–60 mid)</t>
        </is>
      </c>
      <c r="J110" s="224" t="n">
        <v>40</v>
      </c>
      <c r="K110" s="220">
        <f>$J$110</f>
        <v/>
      </c>
      <c r="L110" s="220">
        <f>$J$110</f>
        <v/>
      </c>
      <c r="M110" s="220">
        <f>$J$110</f>
        <v/>
      </c>
      <c r="N110" s="220">
        <f>$J$110</f>
        <v/>
      </c>
    </row>
    <row r="111" hidden="1" outlineLevel="1">
      <c r="B111" t="inlineStr">
        <is>
          <t>DSO days — B2C myFICO (≈0, card-settled)</t>
        </is>
      </c>
      <c r="J111" s="228" t="n">
        <v>2</v>
      </c>
      <c r="K111" s="229">
        <f>$J$111</f>
        <v/>
      </c>
      <c r="L111" s="229">
        <f>$J$111</f>
        <v/>
      </c>
      <c r="M111" s="229">
        <f>$J$111</f>
        <v/>
      </c>
      <c r="N111" s="229">
        <f>$J$111</f>
        <v/>
      </c>
    </row>
    <row r="112" hidden="1" outlineLevel="1">
      <c r="B112" t="inlineStr">
        <is>
          <t>DSO days — B2B Scores (≈30)</t>
        </is>
      </c>
      <c r="J112" s="228" t="n">
        <v>25</v>
      </c>
      <c r="K112" s="229">
        <f>$J$112</f>
        <v/>
      </c>
      <c r="L112" s="229">
        <f>$J$112</f>
        <v/>
      </c>
      <c r="M112" s="229">
        <f>$J$112</f>
        <v/>
      </c>
      <c r="N112" s="229">
        <f>$J$112</f>
        <v/>
      </c>
    </row>
    <row r="113" hidden="1" outlineLevel="1">
      <c r="B113" t="inlineStr">
        <is>
          <t>DSO days — Professional Services</t>
        </is>
      </c>
      <c r="J113" s="228" t="n">
        <v>12</v>
      </c>
      <c r="K113" s="229">
        <f>$J$113</f>
        <v/>
      </c>
      <c r="L113" s="229">
        <f>$J$113</f>
        <v/>
      </c>
      <c r="M113" s="229">
        <f>$J$113</f>
        <v/>
      </c>
      <c r="N113" s="229">
        <f>$J$113</f>
        <v/>
      </c>
    </row>
    <row r="114" hidden="1" outlineLevel="1">
      <c r="B114" t="inlineStr">
        <is>
          <t>DSO days — On-Premises Software</t>
        </is>
      </c>
      <c r="J114" s="228" t="n">
        <v>40</v>
      </c>
      <c r="K114" s="229">
        <f>$J$114</f>
        <v/>
      </c>
      <c r="L114" s="229">
        <f>$J$114</f>
        <v/>
      </c>
      <c r="M114" s="229">
        <f>$J$114</f>
        <v/>
      </c>
      <c r="N114" s="229">
        <f>$J$114</f>
        <v/>
      </c>
    </row>
    <row r="115" hidden="1" outlineLevel="1">
      <c r="B115" t="inlineStr">
        <is>
          <t>Blended DSO (feeds assumption row 15; rises slightly with SaaS mix)</t>
        </is>
      </c>
      <c r="C115" s="207" t="inlineStr">
        <is>
          <t>eqn: Σ (mix_i × DSO_i)</t>
        </is>
      </c>
      <c r="J115" s="230">
        <f>J104*J110+J105*J111+J106*J112+J107*J113+J108*J114</f>
        <v/>
      </c>
      <c r="K115" s="230">
        <f>K104*K110+K105*K111+K106*K112+K107*K113+K108*K114</f>
        <v/>
      </c>
      <c r="L115" s="230">
        <f>L104*L110+L105*L111+L106*L112+L107*L113+L108*L114</f>
        <v/>
      </c>
      <c r="M115" s="230">
        <f>M104*M110+M105*M111+M106*M112+M107*M113+M108*M114</f>
        <v/>
      </c>
      <c r="N115" s="230">
        <f>N104*N110+N105*N111+N106*N112+N107*N113+N108*N114</f>
        <v/>
      </c>
    </row>
    <row r="116" hidden="1" outlineLevel="1">
      <c r="B116" t="inlineStr">
        <is>
          <t>Gross Margin — SaaS / Platform</t>
        </is>
      </c>
      <c r="J116" s="231" t="n">
        <v>0.8</v>
      </c>
      <c r="K116" s="141">
        <f>$J$116</f>
        <v/>
      </c>
      <c r="L116" s="141">
        <f>$J$116</f>
        <v/>
      </c>
      <c r="M116" s="141">
        <f>$J$116</f>
        <v/>
      </c>
      <c r="N116" s="141">
        <f>$J$116</f>
        <v/>
      </c>
    </row>
    <row r="117" hidden="1" outlineLevel="1">
      <c r="B117" t="inlineStr">
        <is>
          <t>Gross Margin — B2C myFICO</t>
        </is>
      </c>
      <c r="J117" s="231" t="n">
        <v>0.78</v>
      </c>
      <c r="K117" s="141">
        <f>$J$117</f>
        <v/>
      </c>
      <c r="L117" s="141">
        <f>$J$117</f>
        <v/>
      </c>
      <c r="M117" s="141">
        <f>$J$117</f>
        <v/>
      </c>
      <c r="N117" s="141">
        <f>$J$117</f>
        <v/>
      </c>
    </row>
    <row r="118" hidden="1" outlineLevel="1">
      <c r="B118" t="inlineStr">
        <is>
          <t>Gross Margin — B2B Scores</t>
        </is>
      </c>
      <c r="C118" s="69" t="n"/>
      <c r="D118" s="69" t="n"/>
      <c r="J118" s="231" t="n">
        <v>0.9</v>
      </c>
      <c r="K118" s="141">
        <f>$J$118</f>
        <v/>
      </c>
      <c r="L118" s="141">
        <f>$J$118</f>
        <v/>
      </c>
      <c r="M118" s="141">
        <f>$J$118</f>
        <v/>
      </c>
      <c r="N118" s="141">
        <f>$J$118</f>
        <v/>
      </c>
    </row>
    <row r="119" hidden="1" outlineLevel="1">
      <c r="B119" s="69" t="inlineStr">
        <is>
          <t>Gross Margin — Professional Services (low)</t>
        </is>
      </c>
      <c r="C119" s="69" t="n"/>
      <c r="D119" s="69" t="n"/>
      <c r="J119" s="231" t="n">
        <v>0.28</v>
      </c>
      <c r="K119" s="141">
        <f>$J$119</f>
        <v/>
      </c>
      <c r="L119" s="141">
        <f>$J$119</f>
        <v/>
      </c>
      <c r="M119" s="141">
        <f>$J$119</f>
        <v/>
      </c>
      <c r="N119" s="141">
        <f>$J$119</f>
        <v/>
      </c>
    </row>
    <row r="120" hidden="1" outlineLevel="1">
      <c r="B120" t="inlineStr">
        <is>
          <t>Gross Margin — On-Premises Software</t>
        </is>
      </c>
      <c r="J120" s="231" t="n">
        <v>0.8</v>
      </c>
      <c r="K120" s="141">
        <f>$J$120</f>
        <v/>
      </c>
      <c r="L120" s="141">
        <f>$J$120</f>
        <v/>
      </c>
      <c r="M120" s="141">
        <f>$J$120</f>
        <v/>
      </c>
      <c r="N120" s="141">
        <f>$J$120</f>
        <v/>
      </c>
    </row>
    <row r="121" hidden="1" outlineLevel="1">
      <c r="B121" s="19" t="inlineStr">
        <is>
          <t>Blended Gross Margin (pre pricing grind)</t>
        </is>
      </c>
      <c r="E121" s="19" t="n"/>
      <c r="F121" s="19" t="n"/>
      <c r="G121" s="19" t="n"/>
      <c r="H121" s="19" t="n"/>
      <c r="I121" s="19" t="n"/>
      <c r="J121" s="141">
        <f>J104*J116+J105*J117+J106*J118+J107*J119+J108*J120</f>
        <v/>
      </c>
      <c r="K121" s="141">
        <f>K104*K116+K105*K117+K106*K118+K107*K119+K108*K120</f>
        <v/>
      </c>
      <c r="L121" s="141">
        <f>L104*L116+L105*L117+L106*L118+L107*L119+L108*L120</f>
        <v/>
      </c>
      <c r="M121" s="141">
        <f>M104*M116+M105*M117+M106*M118+M107*M119+M108*M120</f>
        <v/>
      </c>
      <c r="N121" s="141">
        <f>N104*N116+N105*N117+N106*N118+N107*N119+N108*N120</f>
        <v/>
      </c>
    </row>
    <row r="122" hidden="1" outlineLevel="1">
      <c r="B122" s="19" t="inlineStr">
        <is>
          <t>Blended COGS % base (row 8 applies −75bps×t grind)</t>
        </is>
      </c>
      <c r="C122" s="207" t="inlineStr">
        <is>
          <t>eqn: 1 − blended GM; row 8 = MAX(10%, base − 75bps×t)</t>
        </is>
      </c>
      <c r="E122" s="19" t="n"/>
      <c r="F122" s="19" t="n"/>
      <c r="G122" s="19" t="n"/>
      <c r="H122" s="19" t="n"/>
      <c r="I122" s="19" t="n"/>
      <c r="J122" s="141">
        <f>1-J121</f>
        <v/>
      </c>
      <c r="K122" s="141">
        <f>1-K121</f>
        <v/>
      </c>
      <c r="L122" s="141">
        <f>1-L121</f>
        <v/>
      </c>
      <c r="M122" s="141">
        <f>1-M121</f>
        <v/>
      </c>
      <c r="N122" s="141">
        <f>1-N121</f>
        <v/>
      </c>
    </row>
    <row r="123" hidden="1" outlineLevel="1">
      <c r="B123" s="19" t="inlineStr">
        <is>
          <t>Software mix % (SaaS + On-Prem — Deferred / CFO WC driver)</t>
        </is>
      </c>
      <c r="E123" s="19" t="n"/>
      <c r="F123" s="19" t="n"/>
      <c r="G123" s="19" t="n"/>
      <c r="H123" s="19" t="n"/>
      <c r="I123" s="19" t="n"/>
      <c r="J123" s="141">
        <f>J104+J108</f>
        <v/>
      </c>
      <c r="K123" s="141">
        <f>K104+K108</f>
        <v/>
      </c>
      <c r="L123" s="141">
        <f>L104+L108</f>
        <v/>
      </c>
      <c r="M123" s="141">
        <f>M104+M108</f>
        <v/>
      </c>
      <c r="N123" s="141">
        <f>N104+N108</f>
        <v/>
      </c>
    </row>
    <row r="124" hidden="1" outlineLevel="1">
      <c r="B124" t="inlineStr">
        <is>
          <t>Segment $ — SaaS (illustrative = Rev × mix; not extra IS revenue)</t>
        </is>
      </c>
      <c r="C124" s="207" t="inlineStr">
        <is>
          <t>eqn: TotalRev × SaaS%  (offset, not additive)</t>
        </is>
      </c>
      <c r="J124" s="232">
        <f>J24*J104</f>
        <v/>
      </c>
      <c r="K124" s="232">
        <f>K24*K104</f>
        <v/>
      </c>
      <c r="L124" s="232">
        <f>L24*L104</f>
        <v/>
      </c>
      <c r="M124" s="232">
        <f>M24*M104</f>
        <v/>
      </c>
      <c r="N124" s="232">
        <f>N24*N104</f>
        <v/>
      </c>
    </row>
    <row r="125" hidden="1" outlineLevel="1">
      <c r="B125" s="19" t="inlineStr">
        <is>
          <t>Segment $ — B2C myFICO (illustrative)</t>
        </is>
      </c>
      <c r="C125" s="207" t="inlineStr">
        <is>
          <t>eqn: TotalRev × B2C%  (offset, not additive)</t>
        </is>
      </c>
      <c r="E125" s="19" t="n"/>
      <c r="F125" s="19" t="n"/>
      <c r="G125" s="19" t="n"/>
      <c r="H125" s="19" t="n"/>
      <c r="I125" s="19" t="n"/>
      <c r="J125" s="232">
        <f>J24*J105</f>
        <v/>
      </c>
      <c r="K125" s="232">
        <f>K24*K105</f>
        <v/>
      </c>
      <c r="L125" s="232">
        <f>L24*L105</f>
        <v/>
      </c>
      <c r="M125" s="232">
        <f>M24*M105</f>
        <v/>
      </c>
      <c r="N125" s="232">
        <f>N24*N105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mergeCells count="2">
    <mergeCell ref="P5:V5"/>
    <mergeCell ref="P4:V4"/>
  </mergeCells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A4" r:id="rId1"/>
    <hyperlink xmlns:r="http://schemas.openxmlformats.org/officeDocument/2006/relationships" ref="P4" r:id="rId2"/>
    <hyperlink xmlns:r="http://schemas.openxmlformats.org/officeDocument/2006/relationships" ref="U7" r:id="rId3"/>
    <hyperlink xmlns:r="http://schemas.openxmlformats.org/officeDocument/2006/relationships" ref="V7" r:id="rId4"/>
    <hyperlink xmlns:r="http://schemas.openxmlformats.org/officeDocument/2006/relationships" ref="U8" r:id="rId5"/>
    <hyperlink xmlns:r="http://schemas.openxmlformats.org/officeDocument/2006/relationships" ref="V8" r:id="rId6"/>
    <hyperlink xmlns:r="http://schemas.openxmlformats.org/officeDocument/2006/relationships" ref="U9" r:id="rId7"/>
    <hyperlink xmlns:r="http://schemas.openxmlformats.org/officeDocument/2006/relationships" ref="V9" r:id="rId8"/>
    <hyperlink xmlns:r="http://schemas.openxmlformats.org/officeDocument/2006/relationships" ref="U10" r:id="rId9"/>
    <hyperlink xmlns:r="http://schemas.openxmlformats.org/officeDocument/2006/relationships" ref="V10" r:id="rId10"/>
    <hyperlink xmlns:r="http://schemas.openxmlformats.org/officeDocument/2006/relationships" ref="U11" r:id="rId11"/>
    <hyperlink xmlns:r="http://schemas.openxmlformats.org/officeDocument/2006/relationships" ref="V11" r:id="rId12"/>
    <hyperlink xmlns:r="http://schemas.openxmlformats.org/officeDocument/2006/relationships" ref="U12" r:id="rId13"/>
    <hyperlink xmlns:r="http://schemas.openxmlformats.org/officeDocument/2006/relationships" ref="V12" r:id="rId14"/>
    <hyperlink xmlns:r="http://schemas.openxmlformats.org/officeDocument/2006/relationships" ref="U13" r:id="rId15"/>
    <hyperlink xmlns:r="http://schemas.openxmlformats.org/officeDocument/2006/relationships" ref="V13" r:id="rId16"/>
    <hyperlink xmlns:r="http://schemas.openxmlformats.org/officeDocument/2006/relationships" ref="U15" r:id="rId17"/>
    <hyperlink xmlns:r="http://schemas.openxmlformats.org/officeDocument/2006/relationships" ref="V15" r:id="rId18"/>
    <hyperlink xmlns:r="http://schemas.openxmlformats.org/officeDocument/2006/relationships" ref="U16" r:id="rId19"/>
    <hyperlink xmlns:r="http://schemas.openxmlformats.org/officeDocument/2006/relationships" ref="V16" r:id="rId20"/>
    <hyperlink xmlns:r="http://schemas.openxmlformats.org/officeDocument/2006/relationships" ref="U17" r:id="rId21"/>
    <hyperlink xmlns:r="http://schemas.openxmlformats.org/officeDocument/2006/relationships" ref="V17" r:id="rId22"/>
    <hyperlink xmlns:r="http://schemas.openxmlformats.org/officeDocument/2006/relationships" ref="U18" r:id="rId23"/>
    <hyperlink xmlns:r="http://schemas.openxmlformats.org/officeDocument/2006/relationships" ref="V18" r:id="rId24"/>
    <hyperlink xmlns:r="http://schemas.openxmlformats.org/officeDocument/2006/relationships" ref="U19" r:id="rId25"/>
    <hyperlink xmlns:r="http://schemas.openxmlformats.org/officeDocument/2006/relationships" ref="V19" r:id="rId26"/>
    <hyperlink xmlns:r="http://schemas.openxmlformats.org/officeDocument/2006/relationships" ref="U20" r:id="rId27"/>
    <hyperlink xmlns:r="http://schemas.openxmlformats.org/officeDocument/2006/relationships" ref="V20" r:id="rId28"/>
    <hyperlink xmlns:r="http://schemas.openxmlformats.org/officeDocument/2006/relationships" ref="U21" r:id="rId29"/>
    <hyperlink xmlns:r="http://schemas.openxmlformats.org/officeDocument/2006/relationships" ref="V21" r:id="rId30"/>
    <hyperlink xmlns:r="http://schemas.openxmlformats.org/officeDocument/2006/relationships" ref="U104" r:id="rId31"/>
    <hyperlink xmlns:r="http://schemas.openxmlformats.org/officeDocument/2006/relationships" ref="V104" r:id="rId32"/>
    <hyperlink xmlns:r="http://schemas.openxmlformats.org/officeDocument/2006/relationships" ref="U105" r:id="rId33"/>
    <hyperlink xmlns:r="http://schemas.openxmlformats.org/officeDocument/2006/relationships" ref="V105" r:id="rId34"/>
    <hyperlink xmlns:r="http://schemas.openxmlformats.org/officeDocument/2006/relationships" ref="U106" r:id="rId35"/>
    <hyperlink xmlns:r="http://schemas.openxmlformats.org/officeDocument/2006/relationships" ref="V106" r:id="rId36"/>
    <hyperlink xmlns:r="http://schemas.openxmlformats.org/officeDocument/2006/relationships" ref="U107" r:id="rId37"/>
    <hyperlink xmlns:r="http://schemas.openxmlformats.org/officeDocument/2006/relationships" ref="V107" r:id="rId38"/>
    <hyperlink xmlns:r="http://schemas.openxmlformats.org/officeDocument/2006/relationships" ref="U108" r:id="rId39"/>
    <hyperlink xmlns:r="http://schemas.openxmlformats.org/officeDocument/2006/relationships" ref="V108" r:id="rId40"/>
    <hyperlink xmlns:r="http://schemas.openxmlformats.org/officeDocument/2006/relationships" ref="B138" r:id="rId41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42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72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44" customWidth="1" min="12" max="12"/>
    <col width="18" customWidth="1" min="13" max="13"/>
    <col width="18" customWidth="1" min="14" max="14"/>
    <col width="22" customWidth="1" min="15" max="15"/>
    <col width="40" customWidth="1" min="17" max="17"/>
    <col width="14" customWidth="1" min="18" max="18"/>
    <col width="36" customWidth="1" min="19" max="19"/>
    <col width="14" customWidth="1" min="20" max="20"/>
    <col width="52" customWidth="1" min="21" max="21"/>
    <col width="52" customWidth="1" min="22" max="22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5" t="inlineStr">
        <is>
          <t>vengeanceaiUSCMODEL16.0 — Public Peer EV/EBITDA Comps</t>
        </is>
      </c>
    </row>
    <row r="2" ht="18" customHeight="1">
      <c r="A2" s="93" t="n"/>
      <c r="B2" s="96" t="inlineStr">
        <is>
          <t>DCF Model</t>
        </is>
      </c>
      <c r="C2" s="97" t="n"/>
      <c r="D2" s="97" t="n"/>
      <c r="E2" s="97" t="n"/>
      <c r="F2" s="94" t="n"/>
      <c r="G2" s="94" t="n"/>
      <c r="H2" s="93" t="n"/>
      <c r="I2" s="96" t="n"/>
      <c r="J2" s="97" t="n"/>
      <c r="K2" s="97" t="n"/>
      <c r="L2" s="98" t="inlineStr">
        <is>
          <t>Ticker</t>
        </is>
      </c>
      <c r="M2" s="99" t="inlineStr">
        <is>
          <t>Company</t>
        </is>
      </c>
      <c r="N2" s="99" t="inlineStr">
        <is>
          <t>EV/EBITDA</t>
        </is>
      </c>
      <c r="O2" s="98" t="inlineStr">
        <is>
          <t>Source</t>
        </is>
      </c>
      <c r="Q2" s="233" t="inlineStr">
        <is>
          <t>vengeanceaiUSCMODEL16.0 — LIVE EQUATIONS + SOURCE LINKS</t>
        </is>
      </c>
    </row>
    <row r="3" ht="16" customHeight="1">
      <c r="A3" s="100" t="n"/>
      <c r="B3" s="101" t="n"/>
      <c r="C3" s="100" t="n"/>
      <c r="D3" s="102" t="n"/>
      <c r="E3" s="103" t="n"/>
      <c r="F3" s="103" t="n"/>
      <c r="G3" s="103" t="n"/>
      <c r="H3" s="103" t="n"/>
      <c r="I3" s="103" t="n"/>
      <c r="J3" s="100" t="n"/>
      <c r="K3" s="100" t="n"/>
      <c r="L3" s="104" t="inlineStr">
        <is>
          <t>EFX</t>
        </is>
      </c>
      <c r="M3" s="104" t="inlineStr">
        <is>
          <t>Equifax</t>
        </is>
      </c>
      <c r="N3" s="234" t="n">
        <v>13.88</v>
      </c>
      <c r="O3" s="104" t="inlineStr">
        <is>
          <t>VCP Scanner peer set</t>
        </is>
      </c>
      <c r="Q3" s="235" t="inlineStr">
        <is>
          <t>Yellow = inputs (edit). Green = formulas. Blue underlined = clickable sources.</t>
        </is>
      </c>
    </row>
    <row r="4" ht="16" customHeight="1">
      <c r="A4" s="236">
        <f>HYPERLINK("https://raw.githubusercontent.com/vengeanceaiUSC/Rainmaker/cursor/vengeanceaiusmodel16-d3ac/FICO/output/MODEL16_FICO_ASSUMPTIONS_LIST.pdf","⬇ Download Assumptions List PDF")</f>
        <v/>
      </c>
      <c r="B4" s="106" t="inlineStr">
        <is>
          <t>Assumptions — full list PDF (no charts): MODEL16_FICO_ASSUMPTIONS_LIST.pdf</t>
        </is>
      </c>
      <c r="C4" s="237" t="inlineStr">
        <is>
          <t>https://github.com/vengeanceaiUSC/Rainmaker/blob/cursor/vengeanceaiusmodel16-d3ac/FICO/output/MODEL16_FICO_ASSUMPTIONS_LIST.pdf</t>
        </is>
      </c>
      <c r="D4" s="107" t="n"/>
      <c r="E4" s="103" t="n"/>
      <c r="F4" s="100" t="n"/>
      <c r="G4" s="100" t="n"/>
      <c r="H4" s="100" t="n"/>
      <c r="I4" s="100" t="n"/>
      <c r="J4" s="100" t="n"/>
      <c r="K4" s="100" t="n"/>
      <c r="L4" s="104" t="inlineStr">
        <is>
          <t>VRSK</t>
        </is>
      </c>
      <c r="M4" s="104" t="inlineStr">
        <is>
          <t>Verisk Analytics</t>
        </is>
      </c>
      <c r="N4" s="234" t="n">
        <v>17.42</v>
      </c>
      <c r="O4" s="104" t="inlineStr">
        <is>
          <t>VCP Scanner peer set</t>
        </is>
      </c>
      <c r="Q4" s="238" t="inlineStr">
        <is>
          <t>Input</t>
        </is>
      </c>
      <c r="R4" s="238" t="inlineStr">
        <is>
          <t>Value</t>
        </is>
      </c>
      <c r="S4" s="238" t="inlineStr">
        <is>
          <t>Description</t>
        </is>
      </c>
      <c r="T4" s="238" t="inlineStr">
        <is>
          <t>Role</t>
        </is>
      </c>
      <c r="U4" s="238" t="inlineStr">
        <is>
          <t>Primary source (click)</t>
        </is>
      </c>
      <c r="V4" s="238" t="inlineStr">
        <is>
          <t>Secondary source (click)</t>
        </is>
      </c>
    </row>
    <row r="5" ht="16" customHeight="1">
      <c r="A5" s="100" t="n"/>
      <c r="B5" s="108" t="inlineStr">
        <is>
          <t>Cash Tax Rate (3yr avg IncomeTaxesPaid/EBT = 22.87%)</t>
        </is>
      </c>
      <c r="C5" s="109" t="inlineStr">
        <is>
          <t>MODEL16 — cash taxes ≠ book tax (3S J13 still book for NI)</t>
        </is>
      </c>
      <c r="D5" s="239" t="n">
        <v>0.22873</v>
      </c>
      <c r="E5" s="240" t="inlineStr">
        <is>
          <t>Tax source: SEC 10-K</t>
        </is>
      </c>
      <c r="F5" s="100" t="n"/>
      <c r="G5" s="100" t="n"/>
      <c r="H5" s="100" t="n"/>
      <c r="I5" s="100" t="n"/>
      <c r="J5" s="100" t="n"/>
      <c r="K5" s="100" t="n"/>
      <c r="L5" s="104" t="inlineStr">
        <is>
          <t>SPGI</t>
        </is>
      </c>
      <c r="M5" s="104" t="inlineStr">
        <is>
          <t>S&amp;P Global</t>
        </is>
      </c>
      <c r="N5" s="234" t="n">
        <v>18.11</v>
      </c>
      <c r="O5" s="104" t="inlineStr">
        <is>
          <t>VCP Scanner peer set</t>
        </is>
      </c>
      <c r="Q5" s="185" t="inlineStr">
        <is>
          <t>1) CAPM → WACC   (D6 = R15)</t>
        </is>
      </c>
    </row>
    <row r="6" ht="16" customHeight="1">
      <c r="A6" s="241" t="inlineStr">
        <is>
          <t>WACC sources → columns U–V</t>
        </is>
      </c>
      <c r="B6" s="108" t="inlineStr">
        <is>
          <t>Discount Rate (CAPM WACC = R15 ≈ 9.27%; Model13 was Yacktman 7.80%)</t>
        </is>
      </c>
      <c r="C6" s="109" t="inlineStr">
        <is>
          <t>Updated WACC from Model13 (Previous: 7.80% policy) to Model16 (New: live CAPM 9.27% = D6←R15)</t>
        </is>
      </c>
      <c r="D6" s="242">
        <f>R15</f>
        <v/>
      </c>
      <c r="E6" s="240" t="inlineStr">
        <is>
          <t>WACC sources → scroll to col U (Rf/ERP/β/Rd links)</t>
        </is>
      </c>
      <c r="F6" s="240" t="inlineStr">
        <is>
          <t>Damodaran ERP</t>
        </is>
      </c>
      <c r="G6" s="240" t="inlineStr">
        <is>
          <t>SEC 8-K Rd 6.250%</t>
        </is>
      </c>
      <c r="H6" s="100" t="n"/>
      <c r="I6" s="100" t="n"/>
      <c r="J6" s="100" t="n"/>
      <c r="K6" s="100" t="n"/>
      <c r="L6" s="104" t="inlineStr">
        <is>
          <t>MCO</t>
        </is>
      </c>
      <c r="M6" s="104" t="inlineStr">
        <is>
          <t>Moody's</t>
        </is>
      </c>
      <c r="N6" s="234" t="n">
        <v>22.2</v>
      </c>
      <c r="O6" s="104" t="inlineStr">
        <is>
          <t>VCP Scanner peer set</t>
        </is>
      </c>
      <c r="Q6" s="243" t="inlineStr">
        <is>
          <t>Risk-free rate (Rf)</t>
        </is>
      </c>
      <c r="R6" s="231" t="n">
        <v>0.0467</v>
      </c>
      <c r="S6" s="243" t="inlineStr">
        <is>
          <t>US 10Y Treasury yield</t>
        </is>
      </c>
      <c r="T6" s="243" t="inlineStr">
        <is>
          <t>CAPM input</t>
        </is>
      </c>
      <c r="U6" s="244" t="inlineStr">
        <is>
          <t>FRED DGS10 (US 10Y)</t>
        </is>
      </c>
      <c r="V6" s="244" t="inlineStr">
        <is>
          <t>US Treasury Daily Par Yield Curve</t>
        </is>
      </c>
    </row>
    <row r="7" ht="16" customHeight="1">
      <c r="A7" s="100" t="n"/>
      <c r="B7" s="100" t="inlineStr">
        <is>
          <t>Perpetural Growth Rate</t>
        </is>
      </c>
      <c r="C7" s="100" t="n"/>
      <c r="D7" s="239" t="n">
        <v>0.03</v>
      </c>
      <c r="E7" s="100" t="n"/>
      <c r="F7" s="100" t="n"/>
      <c r="G7" s="100" t="n"/>
      <c r="H7" s="100" t="n"/>
      <c r="I7" s="100" t="n"/>
      <c r="J7" s="100" t="n"/>
      <c r="K7" s="100" t="n"/>
      <c r="L7" s="104" t="inlineStr">
        <is>
          <t>MSCI</t>
        </is>
      </c>
      <c r="M7" s="104" t="inlineStr">
        <is>
          <t>MSCI Inc.</t>
        </is>
      </c>
      <c r="N7" s="234" t="n">
        <v>23.74</v>
      </c>
      <c r="O7" s="104" t="inlineStr">
        <is>
          <t>VCP Scanner peer set</t>
        </is>
      </c>
      <c r="Q7" s="243" t="inlineStr">
        <is>
          <t>Equity risk premium (ERP)</t>
        </is>
      </c>
      <c r="R7" s="231" t="n">
        <v>0.0428</v>
      </c>
      <c r="S7" s="243" t="inlineStr">
        <is>
          <t>Damodaran implied ERP</t>
        </is>
      </c>
      <c r="T7" s="243" t="inlineStr">
        <is>
          <t>CAPM input</t>
        </is>
      </c>
      <c r="U7" s="244" t="inlineStr">
        <is>
          <t>Damodaran Online — Implied ERP</t>
        </is>
      </c>
      <c r="V7" s="244" t="inlineStr">
        <is>
          <t>Damodaran histimpl.xls / table</t>
        </is>
      </c>
    </row>
    <row r="8" ht="16" customHeight="1">
      <c r="A8" s="100" t="n"/>
      <c r="B8" s="100" t="inlineStr">
        <is>
          <t>Exit EV/EBITDA (BASE 21.0x — Yacktman premium)</t>
        </is>
      </c>
      <c r="C8" s="109" t="inlineStr">
        <is>
          <t>BASE 21.0x = Yacktman premium vs peer median 18.1x. Bull 26x / Bear 15.5x.</t>
        </is>
      </c>
      <c r="D8" s="245" t="n">
        <v>21</v>
      </c>
      <c r="E8" s="240" t="inlineStr">
        <is>
          <t>Rd source: SEC 8-K 6.250% notes</t>
        </is>
      </c>
      <c r="F8" s="114" t="inlineStr">
        <is>
          <t>Peer EV/EBITDA comps (click)</t>
        </is>
      </c>
      <c r="G8" s="114" t="inlineStr">
        <is>
          <t>FICO spot EV/EBITDA (click)</t>
        </is>
      </c>
      <c r="H8" s="100" t="n"/>
      <c r="I8" s="100" t="n"/>
      <c r="J8" s="100" t="n"/>
      <c r="K8" s="100" t="n"/>
      <c r="L8" s="115" t="inlineStr">
        <is>
          <t>Median</t>
        </is>
      </c>
      <c r="M8" s="115" t="inlineStr">
        <is>
          <t>Peer set</t>
        </is>
      </c>
      <c r="N8" s="246" t="n">
        <v>18.11</v>
      </c>
      <c r="O8" s="115" t="inlineStr">
        <is>
          <t>Sorted median (SPGI)</t>
        </is>
      </c>
      <c r="Q8" s="243" t="inlineStr">
        <is>
          <t>Beta (β)</t>
        </is>
      </c>
      <c r="R8" s="247" t="n">
        <v>1.32</v>
      </c>
      <c r="S8" s="243" t="inlineStr">
        <is>
          <t>Yahoo 5Y monthly beta</t>
        </is>
      </c>
      <c r="T8" s="243" t="inlineStr">
        <is>
          <t>CAPM input</t>
        </is>
      </c>
      <c r="U8" s="244" t="inlineStr">
        <is>
          <t>Yahoo Finance FICO Key Statistics</t>
        </is>
      </c>
      <c r="V8" s="244" t="inlineStr">
        <is>
          <t>Yahoo Finance FICO quote</t>
        </is>
      </c>
    </row>
    <row r="9" ht="16" customHeight="1">
      <c r="A9" s="100" t="n"/>
      <c r="B9" s="100" t="inlineStr">
        <is>
          <t>Transaction Date (= last hist FYE on 3S)</t>
        </is>
      </c>
      <c r="C9" s="109" t="inlineStr">
        <is>
          <t>Matches 3S hist FYE (Sep 30)</t>
        </is>
      </c>
      <c r="D9" s="248" t="n">
        <v>45930</v>
      </c>
      <c r="E9" s="100" t="n"/>
      <c r="F9" s="100" t="n"/>
      <c r="G9" s="100" t="n"/>
      <c r="H9" s="100" t="n"/>
      <c r="I9" s="100" t="n"/>
      <c r="J9" s="100" t="n"/>
      <c r="K9" s="100" t="n"/>
      <c r="L9" s="118" t="inlineStr">
        <is>
          <t>Base exit (D8)</t>
        </is>
      </c>
      <c r="M9" s="118" t="n"/>
      <c r="N9" s="249" t="n">
        <v>21</v>
      </c>
      <c r="O9" s="118" t="inlineStr">
        <is>
          <t>Yacktman premium vs peer median; audit 21.0x</t>
        </is>
      </c>
      <c r="Q9" s="250" t="inlineStr">
        <is>
          <t>Ke = Rf + β × ERP</t>
        </is>
      </c>
      <c r="R9" s="141">
        <f>R6+R8*R7</f>
        <v/>
      </c>
      <c r="S9" s="243" t="inlineStr">
        <is>
          <t>Cost of equity (CAPM)</t>
        </is>
      </c>
      <c r="T9" s="250" t="inlineStr">
        <is>
          <t>→ WACC</t>
        </is>
      </c>
      <c r="U9" s="243" t="inlineStr">
        <is>
          <t>Derived: R6 + R8 × R7</t>
        </is>
      </c>
      <c r="V9" s="243" t="inlineStr"/>
    </row>
    <row r="10" ht="16" customHeight="1">
      <c r="A10" s="100" t="n"/>
      <c r="B10" s="100" t="inlineStr">
        <is>
          <t>Fiscal Year End (first forecast FYE)</t>
        </is>
      </c>
      <c r="C10" s="100" t="n"/>
      <c r="D10" s="248" t="n">
        <v>46295</v>
      </c>
      <c r="E10" s="100" t="n"/>
      <c r="F10" s="100" t="n"/>
      <c r="G10" s="100" t="n"/>
      <c r="H10" s="100" t="n"/>
      <c r="I10" s="100" t="n"/>
      <c r="J10" s="100" t="n"/>
      <c r="K10" s="100" t="n"/>
      <c r="L10" s="114" t="inlineStr">
        <is>
          <t>Peer comps (click)</t>
        </is>
      </c>
      <c r="M10" s="114" t="inlineStr">
        <is>
          <t>FICO spot EV/EBITDA (click)</t>
        </is>
      </c>
      <c r="N10" s="100" t="n"/>
      <c r="O10" s="100" t="n"/>
      <c r="Q10" s="243" t="inlineStr">
        <is>
          <t>Pre-tax cost of debt (Rd)</t>
        </is>
      </c>
      <c r="R10" s="231" t="n">
        <v>0.0625</v>
      </c>
      <c r="S10" s="243" t="inlineStr">
        <is>
          <t>6.250% Senior Notes due 2034</t>
        </is>
      </c>
      <c r="T10" s="243" t="inlineStr">
        <is>
          <t>WACC input</t>
        </is>
      </c>
      <c r="U10" s="244" t="inlineStr">
        <is>
          <t>SEC 8-K — Notes closing (6.250%)</t>
        </is>
      </c>
      <c r="V10" s="244" t="inlineStr">
        <is>
          <t>SEC EX-99.1 — Notes pricing press release</t>
        </is>
      </c>
    </row>
    <row r="11" ht="16" customHeight="1">
      <c r="A11" s="100" t="n"/>
      <c r="B11" s="100" t="inlineStr">
        <is>
          <t>Current Price</t>
        </is>
      </c>
      <c r="C11" s="100" t="n"/>
      <c r="D11" s="251" t="n">
        <v>1046.23</v>
      </c>
      <c r="E11" s="100" t="n"/>
      <c r="F11" s="100" t="n"/>
      <c r="G11" s="100" t="n"/>
      <c r="H11" s="100" t="n"/>
      <c r="I11" s="100" t="n"/>
      <c r="J11" s="100" t="n"/>
      <c r="K11" s="100" t="n"/>
      <c r="L11" s="100" t="n"/>
      <c r="M11" s="100" t="n"/>
      <c r="N11" s="100" t="n"/>
      <c r="O11" s="100" t="n"/>
      <c r="Q11" s="243" t="inlineStr">
        <is>
          <t>Cash tax rate (t)</t>
        </is>
      </c>
      <c r="R11" s="141">
        <f>$D$5</f>
        <v/>
      </c>
      <c r="S11" s="243" t="inlineStr">
        <is>
          <t>D5 ← 3yr cash tax (IncomeTaxesPaid/EBT)</t>
        </is>
      </c>
      <c r="T11" s="243" t="inlineStr">
        <is>
          <t>Cash tax ≠ book J13</t>
        </is>
      </c>
      <c r="U11" s="244" t="inlineStr">
        <is>
          <t>SEC 10-K FY2025 (tax / EBT)</t>
        </is>
      </c>
      <c r="V11" s="244" t="inlineStr">
        <is>
          <t>SEC companyfacts — IncomeTaxesPaidNet</t>
        </is>
      </c>
    </row>
    <row r="12" ht="16" customHeight="1">
      <c r="A12" s="100" t="n"/>
      <c r="B12" s="100" t="inlineStr">
        <is>
          <t>Shares Outstanding — starting (000s, FYE25 10-K)</t>
        </is>
      </c>
      <c r="C12" s="109" t="inlineStr">
        <is>
          <t>Row 16: buybacks reduce shares; SBC add-back does NOT dilute</t>
        </is>
      </c>
      <c r="D12" s="252" t="n">
        <v>23764</v>
      </c>
      <c r="E12" s="100" t="n"/>
      <c r="F12" s="100" t="n"/>
      <c r="G12" s="100" t="n"/>
      <c r="H12" s="100" t="n"/>
      <c r="I12" s="100" t="n"/>
      <c r="J12" s="100" t="n"/>
      <c r="K12" s="100" t="n"/>
      <c r="L12" s="100" t="n"/>
      <c r="M12" s="100" t="n"/>
      <c r="N12" s="100" t="n"/>
      <c r="O12" s="100" t="n"/>
      <c r="Q12" s="250" t="inlineStr">
        <is>
          <t>Rd_aftertax = Rd × (1 − t)</t>
        </is>
      </c>
      <c r="R12" s="141">
        <f>R10*(1-R11)</f>
        <v/>
      </c>
      <c r="S12" s="243" t="inlineStr">
        <is>
          <t>After-tax cost of debt</t>
        </is>
      </c>
      <c r="T12" s="250" t="inlineStr">
        <is>
          <t>→ WACC</t>
        </is>
      </c>
      <c r="U12" s="243" t="inlineStr">
        <is>
          <t>Derived: R10 × (1 − R11)</t>
        </is>
      </c>
      <c r="V12" s="243" t="inlineStr"/>
    </row>
    <row r="13" ht="16" customHeight="1">
      <c r="A13" s="100" t="n"/>
      <c r="B13" s="100" t="inlineStr">
        <is>
          <t>Debt (10-Q bridge — not 3S FY25 I49)</t>
        </is>
      </c>
      <c r="C13" s="109" t="inlineStr">
        <is>
          <t>See L39 for 3S FY25 debt ref</t>
        </is>
      </c>
      <c r="D13" s="252" t="n">
        <v>5582389</v>
      </c>
      <c r="E13" s="100" t="n"/>
      <c r="F13" s="100" t="n"/>
      <c r="G13" s="100" t="n"/>
      <c r="H13" s="100" t="n"/>
      <c r="I13" s="100" t="n"/>
      <c r="J13" s="100" t="n"/>
      <c r="K13" s="100" t="n"/>
      <c r="L13" s="100" t="n"/>
      <c r="M13" s="100" t="n"/>
      <c r="N13" s="100" t="n"/>
      <c r="O13" s="100" t="n"/>
      <c r="Q13" s="243" t="inlineStr">
        <is>
          <t>Equity weight (We)</t>
        </is>
      </c>
      <c r="R13" s="253" t="n">
        <v>0.8</v>
      </c>
      <c r="S13" s="243" t="inlineStr">
        <is>
          <t>Target ~80% equity at market</t>
        </is>
      </c>
      <c r="T13" s="243" t="inlineStr">
        <is>
          <t>WACC weight</t>
        </is>
      </c>
      <c r="U13" s="244" t="inlineStr">
        <is>
          <t>SEC 10-Q Q3 FY2026 (debt / capital)</t>
        </is>
      </c>
      <c r="V13" s="244" t="inlineStr">
        <is>
          <t>Yahoo market cap for E/(D+E)</t>
        </is>
      </c>
    </row>
    <row r="14" ht="16" customHeight="1">
      <c r="A14" s="100" t="n"/>
      <c r="B14" s="100" t="inlineStr">
        <is>
          <t>Cash+mkt secs (10-Q bridge — not 3S FY25 I41)</t>
        </is>
      </c>
      <c r="C14" s="109" t="inlineStr">
        <is>
          <t>See L38 for 3S FY25 cash ref</t>
        </is>
      </c>
      <c r="D14" s="252" t="n">
        <v>304537</v>
      </c>
      <c r="E14" s="100" t="n"/>
      <c r="F14" s="100" t="n"/>
      <c r="G14" s="100" t="n"/>
      <c r="H14" s="100" t="n"/>
      <c r="I14" s="100" t="n"/>
      <c r="J14" s="100" t="n"/>
      <c r="K14" s="100" t="n"/>
      <c r="L14" s="100" t="n"/>
      <c r="M14" s="100" t="n"/>
      <c r="N14" s="100" t="n"/>
      <c r="O14" s="100" t="n"/>
      <c r="Q14" s="243" t="inlineStr">
        <is>
          <t>Debt weight (Wd)</t>
        </is>
      </c>
      <c r="R14" s="253" t="n">
        <v>0.2</v>
      </c>
      <c r="S14" s="243" t="inlineStr">
        <is>
          <t>Target ~20% debt (We+Wd=100%)</t>
        </is>
      </c>
      <c r="T14" s="243" t="inlineStr">
        <is>
          <t>WACC weight</t>
        </is>
      </c>
      <c r="U14" s="244" t="inlineStr">
        <is>
          <t>SEC 10-Q — total debt $5,582,389k</t>
        </is>
      </c>
      <c r="V14" s="244" t="inlineStr">
        <is>
          <t>SEC 10-K — senior notes footnote</t>
        </is>
      </c>
    </row>
    <row r="15" ht="16" customHeight="1">
      <c r="A15" s="100" t="n"/>
      <c r="B15" s="100" t="inlineStr">
        <is>
          <t>Capex FY1 (linked to 3S J68)</t>
        </is>
      </c>
      <c r="C15" s="100" t="n"/>
      <c r="D15" s="254">
        <f>'3 Statement Model'!J68</f>
        <v/>
      </c>
      <c r="E15" s="100" t="n"/>
      <c r="F15" s="100" t="n"/>
      <c r="G15" s="100" t="n"/>
      <c r="H15" s="100" t="n"/>
      <c r="I15" s="100" t="n"/>
      <c r="J15" s="100" t="n"/>
      <c r="K15" s="100" t="n"/>
      <c r="L15" s="100" t="n"/>
      <c r="M15" s="100" t="n"/>
      <c r="N15" s="100" t="n"/>
      <c r="O15" s="100" t="n"/>
      <c r="Q15" s="250" t="inlineStr">
        <is>
          <t>WACC = We×Ke + Wd×Rd_aftertax</t>
        </is>
      </c>
      <c r="R15" s="141">
        <f>R13*R9+R14*R12</f>
        <v/>
      </c>
      <c r="S15" s="243" t="inlineStr">
        <is>
          <t>PRIMARY discount rate → cell D6</t>
        </is>
      </c>
      <c r="T15" s="250" t="inlineStr">
        <is>
          <t>→ D6</t>
        </is>
      </c>
      <c r="U15" s="244" t="inlineStr">
        <is>
          <t>SEC filings (tax, debt coupons)</t>
        </is>
      </c>
      <c r="V15" s="244" t="inlineStr">
        <is>
          <t>Damodaran (ERP methodology)</t>
        </is>
      </c>
    </row>
    <row r="16" ht="16" customHeight="1">
      <c r="A16" s="100" t="n"/>
      <c r="B16" s="100" t="inlineStr">
        <is>
          <t>Shares Outstanding — buyback-adjusted (000s)</t>
        </is>
      </c>
      <c r="C16" s="109" t="inlineStr">
        <is>
          <t>Shares_t = Shares_t−1 + EquityCF_t/Price; EquityCF = 3S buybacks (row 20, &lt;0)</t>
        </is>
      </c>
      <c r="D16" s="254">
        <f>$D$12</f>
        <v/>
      </c>
      <c r="E16" s="254">
        <f>MAX(1000,D16+'3 Statement Model'!J20/$D$11)</f>
        <v/>
      </c>
      <c r="F16" s="254">
        <f>MAX(1000,E16+'3 Statement Model'!K20/$D$11)</f>
        <v/>
      </c>
      <c r="G16" s="254">
        <f>MAX(1000,F16+'3 Statement Model'!L20/$D$11)</f>
        <v/>
      </c>
      <c r="H16" s="254">
        <f>MAX(1000,G16+'3 Statement Model'!M20/$D$11)</f>
        <v/>
      </c>
      <c r="I16" s="254">
        <f>MAX(1000,H16+'3 Statement Model'!N20/$D$11)</f>
        <v/>
      </c>
      <c r="J16" s="100" t="n"/>
      <c r="K16" s="100" t="n"/>
      <c r="L16" s="100" t="n"/>
      <c r="M16" s="100" t="n"/>
      <c r="N16" s="100" t="n"/>
      <c r="O16" s="100" t="n"/>
    </row>
    <row r="17" ht="16" customHeight="1">
      <c r="A17" s="100" t="n"/>
      <c r="B17" s="124" t="inlineStr">
        <is>
          <t>Discounted Cash Flow</t>
        </is>
      </c>
      <c r="C17" s="125" t="n"/>
      <c r="D17" s="126" t="inlineStr">
        <is>
          <t>Entry</t>
        </is>
      </c>
      <c r="E17" s="255">
        <f>YEAR(E18)</f>
        <v/>
      </c>
      <c r="F17" s="255">
        <f>YEAR(F18)</f>
        <v/>
      </c>
      <c r="G17" s="255">
        <f>YEAR(G18)</f>
        <v/>
      </c>
      <c r="H17" s="255">
        <f>YEAR(H18)</f>
        <v/>
      </c>
      <c r="I17" s="255">
        <f>YEAR(I18)</f>
        <v/>
      </c>
      <c r="J17" s="126" t="inlineStr">
        <is>
          <t>Exit</t>
        </is>
      </c>
      <c r="K17" s="100" t="n"/>
      <c r="L17" s="128" t="inlineStr">
        <is>
          <t>Terminal value &amp; scenarios (vengeanceaiUSCMODEL16.0)</t>
        </is>
      </c>
      <c r="O17" s="100" t="n"/>
      <c r="Q17" s="185" t="inlineStr">
        <is>
          <t>2) Unlevered Free Cash Flow</t>
        </is>
      </c>
    </row>
    <row r="18" ht="16" customHeight="1">
      <c r="A18" s="100" t="n"/>
      <c r="B18" s="100" t="inlineStr">
        <is>
          <t>Date (mid-year via EDATE; periods are 0-based)</t>
        </is>
      </c>
      <c r="C18" s="100" t="n"/>
      <c r="D18" s="254">
        <f>$D$9</f>
        <v/>
      </c>
      <c r="E18" s="256">
        <f>EDATE($D$9,(E19+0.5)*12)</f>
        <v/>
      </c>
      <c r="F18" s="256">
        <f>EDATE($D$9,(F19+0.5)*12)</f>
        <v/>
      </c>
      <c r="G18" s="256">
        <f>EDATE($D$9,(G19+0.5)*12)</f>
        <v/>
      </c>
      <c r="H18" s="256">
        <f>EDATE($D$9,(H19+0.5)*12)</f>
        <v/>
      </c>
      <c r="I18" s="256">
        <f>EDATE($D$9,(I19+0.5)*12)</f>
        <v/>
      </c>
      <c r="J18" s="254">
        <f>I18</f>
        <v/>
      </c>
      <c r="K18" s="100" t="n"/>
      <c r="L18" s="100" t="inlineStr">
        <is>
          <t>Exit EV/EBITDA @ D8 (BASE 21.0x)</t>
        </is>
      </c>
      <c r="M18" s="254">
        <f>J27</f>
        <v/>
      </c>
      <c r="N18" s="100" t="inlineStr">
        <is>
          <t>← used in XNPV</t>
        </is>
      </c>
      <c r="O18" s="100" t="n"/>
      <c r="Q18" s="250" t="inlineStr">
        <is>
          <t>FCFF = EBIT − EBIT×t_cash + D&amp;A + SBC − CapEx − ΔOpNWC + ΔDeferred</t>
        </is>
      </c>
      <c r="U18" s="244" t="inlineStr">
        <is>
          <t>Drivers from SEC XBRL → 3-statement</t>
        </is>
      </c>
      <c r="V18" s="244" t="inlineStr">
        <is>
          <t>SEC 10-K historical IS/CF</t>
        </is>
      </c>
    </row>
    <row r="19" ht="16" customHeight="1">
      <c r="A19" s="100" t="n"/>
      <c r="B19" s="130" t="inlineStr">
        <is>
          <t>Time Periods</t>
        </is>
      </c>
      <c r="C19" s="130" t="n"/>
      <c r="D19" s="131" t="n"/>
      <c r="E19" s="257" t="n">
        <v>0</v>
      </c>
      <c r="F19" s="258">
        <f>E19+1</f>
        <v/>
      </c>
      <c r="G19" s="258">
        <f>F19+1</f>
        <v/>
      </c>
      <c r="H19" s="258">
        <f>G19+1</f>
        <v/>
      </c>
      <c r="I19" s="258">
        <f>H19+1</f>
        <v/>
      </c>
      <c r="J19" s="131" t="n"/>
      <c r="K19" s="100" t="n"/>
      <c r="L19" s="100" t="inlineStr">
        <is>
          <t>Gordon cross-check (g=D7)</t>
        </is>
      </c>
      <c r="M19" s="254">
        <f>IF(($D$6-$D$7)&lt;=0,"WACC must exceed g",$I$26*(1+$D$7)/($D$6-$D$7))</f>
        <v/>
      </c>
      <c r="N19" s="134" t="inlineStr">
        <is>
          <t>← sanity check</t>
        </is>
      </c>
      <c r="O19" s="100" t="n"/>
      <c r="Q19" s="243" t="inlineStr">
        <is>
          <t>Excel (col E example)</t>
        </is>
      </c>
      <c r="R19" s="250">
        <f>E21-E22+E23-E24-E25</f>
        <v/>
      </c>
    </row>
    <row r="20" ht="16" customHeight="1">
      <c r="A20" s="100" t="n"/>
      <c r="B20" s="130" t="inlineStr">
        <is>
          <t>Year Fraction (display only; XNPV uses exact dates below)</t>
        </is>
      </c>
      <c r="C20" s="100" t="n"/>
      <c r="D20" s="100" t="n"/>
      <c r="E20" s="258">
        <f>YEARFRAC(D18,E18)</f>
        <v/>
      </c>
      <c r="F20" s="258">
        <f>YEARFRAC(E18,F18)</f>
        <v/>
      </c>
      <c r="G20" s="258">
        <f>YEARFRAC(F18,G18)</f>
        <v/>
      </c>
      <c r="H20" s="258">
        <f>YEARFRAC(G18,H18)</f>
        <v/>
      </c>
      <c r="I20" s="258">
        <f>YEARFRAC(H18,I18)</f>
        <v/>
      </c>
      <c r="J20" s="100" t="n"/>
      <c r="K20" s="100" t="n"/>
      <c r="L20" s="100" t="inlineStr">
        <is>
          <t>Implied Gordon exit multiple</t>
        </is>
      </c>
      <c r="M20" s="254">
        <f>IF(($I$21+$I$23)=0,0,M19/($I$21+$I$23))</f>
        <v/>
      </c>
      <c r="N20" s="136" t="inlineStr">
        <is>
          <t>← ~bear check</t>
        </is>
      </c>
      <c r="O20" s="100" t="n"/>
      <c r="Q20" s="243" t="inlineStr">
        <is>
          <t>Tax on EBIT (unlevered)</t>
        </is>
      </c>
      <c r="R20" s="250">
        <f>E21*$D$5</f>
        <v/>
      </c>
      <c r="S20" s="243" t="inlineStr">
        <is>
          <t>NOT levered IS tax dollars</t>
        </is>
      </c>
      <c r="U20" s="244" t="inlineStr">
        <is>
          <t>Tax rate from SEC 10-K effective rate</t>
        </is>
      </c>
    </row>
    <row r="21" ht="16" customHeight="1">
      <c r="A21" s="100" t="n"/>
      <c r="B21" s="100" t="inlineStr">
        <is>
          <t>EBIT (3S: EBT + Interest)</t>
        </is>
      </c>
      <c r="C21" s="259" t="inlineStr">
        <is>
          <t>EBIT</t>
        </is>
      </c>
      <c r="D21" s="100" t="n"/>
      <c r="E21" s="254">
        <f>'3 Statement Model'!J33+'3 Statement Model'!J31</f>
        <v/>
      </c>
      <c r="F21" s="254">
        <f>'3 Statement Model'!K33+'3 Statement Model'!K31</f>
        <v/>
      </c>
      <c r="G21" s="254">
        <f>'3 Statement Model'!L33+'3 Statement Model'!L31</f>
        <v/>
      </c>
      <c r="H21" s="254">
        <f>'3 Statement Model'!M33+'3 Statement Model'!M31</f>
        <v/>
      </c>
      <c r="I21" s="254">
        <f>'3 Statement Model'!N33+'3 Statement Model'!N31</f>
        <v/>
      </c>
      <c r="J21" s="100" t="n"/>
      <c r="K21" s="100" t="n"/>
      <c r="L21" s="100" t="inlineStr">
        <is>
          <t>BASE TV @ 21.0x (primary)</t>
        </is>
      </c>
      <c r="M21" s="254">
        <f>($I$21+$I$23)*21.0</f>
        <v/>
      </c>
      <c r="N21" s="100" t="inlineStr">
        <is>
          <t>← = D8 policy</t>
        </is>
      </c>
      <c r="O21" s="100" t="n"/>
      <c r="Q21" s="243" t="inlineStr">
        <is>
          <t>FCFF check (FY5 / col I)</t>
        </is>
      </c>
      <c r="R21" s="232">
        <f>I26</f>
        <v/>
      </c>
      <c r="S21" s="243" t="inlineStr">
        <is>
          <t>Must equal I21−I22+I23−I24−I25</t>
        </is>
      </c>
    </row>
    <row r="22" ht="16" customHeight="1">
      <c r="A22" s="100" t="n"/>
      <c r="B22" s="100" t="inlineStr">
        <is>
          <t>Less: Unlevered Cash Taxes (EBIT × cash tax rate D5)</t>
        </is>
      </c>
      <c r="C22" s="259" t="inlineStr">
        <is>
          <t>EBIT×t</t>
        </is>
      </c>
      <c r="D22" s="100" t="n"/>
      <c r="E22" s="254">
        <f>E21*$D$5</f>
        <v/>
      </c>
      <c r="F22" s="254">
        <f>F21*$D$5</f>
        <v/>
      </c>
      <c r="G22" s="254">
        <f>G21*$D$5</f>
        <v/>
      </c>
      <c r="H22" s="254">
        <f>H21*$D$5</f>
        <v/>
      </c>
      <c r="I22" s="254">
        <f>I21*$D$5</f>
        <v/>
      </c>
      <c r="J22" s="100" t="n"/>
      <c r="K22" s="100" t="n"/>
      <c r="L22" s="100" t="inlineStr">
        <is>
          <t>BULL TV @ 26.0x (spot/policy)</t>
        </is>
      </c>
      <c r="M22" s="254">
        <f>($I$21+$I$23)*26.0</f>
        <v/>
      </c>
      <c r="N22" s="100" t="inlineStr">
        <is>
          <t>← sensitivity only</t>
        </is>
      </c>
      <c r="O22" s="100" t="n"/>
    </row>
    <row r="23" ht="16" customHeight="1">
      <c r="A23" s="100" t="n"/>
      <c r="B23" s="100" t="inlineStr">
        <is>
          <t>Plus: D&amp;A (3S IS row 30)</t>
        </is>
      </c>
      <c r="C23" s="259" t="inlineStr">
        <is>
          <t>+D&amp;A</t>
        </is>
      </c>
      <c r="D23" s="100" t="n"/>
      <c r="E23" s="254">
        <f>'3 Statement Model'!J30</f>
        <v/>
      </c>
      <c r="F23" s="254">
        <f>'3 Statement Model'!K30</f>
        <v/>
      </c>
      <c r="G23" s="254">
        <f>'3 Statement Model'!L30</f>
        <v/>
      </c>
      <c r="H23" s="254">
        <f>'3 Statement Model'!M30</f>
        <v/>
      </c>
      <c r="I23" s="254">
        <f>'3 Statement Model'!N30</f>
        <v/>
      </c>
      <c r="J23" s="100" t="n"/>
      <c r="K23" s="100" t="n"/>
      <c r="L23" s="100" t="inlineStr">
        <is>
          <t>BEAR TV @ 15.5x (Gordon-implied)</t>
        </is>
      </c>
      <c r="M23" s="254">
        <f>($I$21+$I$23)*15.5</f>
        <v/>
      </c>
      <c r="N23" s="100" t="inlineStr">
        <is>
          <t>← sensitivity only</t>
        </is>
      </c>
      <c r="O23" s="100" t="n"/>
      <c r="Q23" s="185" t="inlineStr">
        <is>
          <t>3) Terminal Value</t>
        </is>
      </c>
    </row>
    <row r="24" ht="16" customHeight="1">
      <c r="A24" s="100" t="n"/>
      <c r="B24" s="100" t="inlineStr">
        <is>
          <t>Less: Capex (3S CF row 68)</t>
        </is>
      </c>
      <c r="C24" s="259" t="inlineStr">
        <is>
          <t>−CapEx</t>
        </is>
      </c>
      <c r="D24" s="100" t="n"/>
      <c r="E24" s="254">
        <f>'3 Statement Model'!J68</f>
        <v/>
      </c>
      <c r="F24" s="254">
        <f>'3 Statement Model'!K68</f>
        <v/>
      </c>
      <c r="G24" s="254">
        <f>'3 Statement Model'!L68</f>
        <v/>
      </c>
      <c r="H24" s="254">
        <f>'3 Statement Model'!M68</f>
        <v/>
      </c>
      <c r="I24" s="254">
        <f>'3 Statement Model'!N68</f>
        <v/>
      </c>
      <c r="J24" s="100" t="n"/>
      <c r="K24" s="100" t="n"/>
      <c r="L24" s="109" t="inlineStr">
        <is>
          <t>Reconciliation: Bull 26x → Base 21.0x (Yacktman premium vs peer median ~18.1x) → Bear 15.5x</t>
        </is>
      </c>
      <c r="Q24" s="250" t="inlineStr">
        <is>
          <t>TV_exit = EBITDA_n × ExitMultiple   [PRIMARY]</t>
        </is>
      </c>
    </row>
    <row r="25" ht="16" customHeight="1">
      <c r="A25" s="100" t="n"/>
      <c r="B25" s="100" t="inlineStr">
        <is>
          <t>Less: ΔOpNWC − ΔDeferred (3S 90 − 81; AR≠Deferred)</t>
        </is>
      </c>
      <c r="C25" s="259" t="inlineStr">
        <is>
          <t>−ΔOpNWC+ΔDef</t>
        </is>
      </c>
      <c r="D25" s="100" t="n"/>
      <c r="E25" s="254">
        <f>'3 Statement Model'!J90-('3 Statement Model'!J88-'3 Statement Model'!I88)</f>
        <v/>
      </c>
      <c r="F25" s="254">
        <f>'3 Statement Model'!K90-('3 Statement Model'!K88-'3 Statement Model'!J88)</f>
        <v/>
      </c>
      <c r="G25" s="254">
        <f>'3 Statement Model'!L90-('3 Statement Model'!L88-'3 Statement Model'!K88)</f>
        <v/>
      </c>
      <c r="H25" s="254">
        <f>'3 Statement Model'!M90-('3 Statement Model'!M88-'3 Statement Model'!L88)</f>
        <v/>
      </c>
      <c r="I25" s="254">
        <f>'3 Statement Model'!N90-('3 Statement Model'!N88-'3 Statement Model'!M88)</f>
        <v/>
      </c>
      <c r="J25" s="100" t="n"/>
      <c r="K25" s="100" t="n"/>
      <c r="L25" s="100" t="n"/>
      <c r="M25" s="100" t="n"/>
      <c r="N25" s="100" t="n"/>
      <c r="O25" s="100" t="n"/>
      <c r="Q25" s="243" t="inlineStr">
        <is>
          <t>Excel</t>
        </is>
      </c>
      <c r="R25" s="250">
        <f>($I$21+$I$23)*$D$8</f>
        <v/>
      </c>
      <c r="T25" s="232">
        <f>J27</f>
        <v/>
      </c>
      <c r="U25" s="244" t="inlineStr">
        <is>
          <t>Exit multiple policy vs Yahoo / market multiples</t>
        </is>
      </c>
    </row>
    <row r="26" ht="16" customHeight="1">
      <c r="A26" s="100" t="n"/>
      <c r="B26" s="100" t="inlineStr">
        <is>
          <t>Unlevered FCF (SBC add-back + Deferred cash source)</t>
        </is>
      </c>
      <c r="C26" s="259" t="inlineStr">
        <is>
          <t>FCFF=EBIT−cashTax+DA+SBC−CapEx−ΔOpNWC+ΔDeferred</t>
        </is>
      </c>
      <c r="D26" s="100" t="n"/>
      <c r="E26" s="260">
        <f>E21-E22+E23+'3 Statement Model'!J64-E24-E25</f>
        <v/>
      </c>
      <c r="F26" s="260">
        <f>F21-F22+F23+'3 Statement Model'!K64-F24-F25</f>
        <v/>
      </c>
      <c r="G26" s="260">
        <f>G21-G22+G23+'3 Statement Model'!L64-G24-G25</f>
        <v/>
      </c>
      <c r="H26" s="260">
        <f>H21-H22+H23+'3 Statement Model'!M64-H24-H25</f>
        <v/>
      </c>
      <c r="I26" s="260">
        <f>I21-I22+I23+'3 Statement Model'!N64-I24-I25</f>
        <v/>
      </c>
      <c r="J26" s="100" t="n"/>
      <c r="K26" s="100" t="n"/>
      <c r="L26" s="139" t="inlineStr">
        <is>
          <t>vengeanceaiUSCMODEL16.0 — DCF ← 3-Statement linkage audit</t>
        </is>
      </c>
      <c r="Q26" s="250" t="inlineStr">
        <is>
          <t>TV_gordon = FCFF_n×(1+g)/(WACC−g)   [CHECK]</t>
        </is>
      </c>
    </row>
    <row r="27" ht="16" customHeight="1">
      <c r="A27" s="100" t="n"/>
      <c r="B27" s="100" t="inlineStr">
        <is>
          <t>(Entry)/Exit TV — Exit EV/EBITDA (BASE 21.0x)</t>
        </is>
      </c>
      <c r="C27" s="100" t="n"/>
      <c r="D27" s="261">
        <f>-I35</f>
        <v/>
      </c>
      <c r="E27" s="100" t="n"/>
      <c r="F27" s="100" t="n"/>
      <c r="G27" s="100" t="n"/>
      <c r="H27" s="100" t="n"/>
      <c r="I27" s="100" t="n"/>
      <c r="J27" s="254">
        <f>($I$21+$I$23)*$D$8</f>
        <v/>
      </c>
      <c r="K27" s="100" t="n"/>
      <c r="L27" s="140" t="inlineStr">
        <is>
          <t>DCF item</t>
        </is>
      </c>
      <c r="M27" s="140" t="inlineStr">
        <is>
          <t>Value / link</t>
        </is>
      </c>
      <c r="N27" s="140" t="inlineStr">
        <is>
          <t>3-Statement source</t>
        </is>
      </c>
      <c r="O27" s="140" t="inlineStr">
        <is>
          <t>Notes</t>
        </is>
      </c>
      <c r="Q27" s="243" t="inlineStr">
        <is>
          <t>Excel</t>
        </is>
      </c>
      <c r="R27" s="250">
        <f>IF(($D$6-$D$7)&lt;=0,"err",$I$26*(1+$D$7)/($D$6-$D$7))</f>
        <v/>
      </c>
      <c r="T27" s="232">
        <f>M19</f>
        <v/>
      </c>
      <c r="U27" s="244" t="inlineStr">
        <is>
          <t>Gordon g vs Damodaran long-run growth framing</t>
        </is>
      </c>
    </row>
    <row r="28" ht="16" customHeight="1">
      <c r="A28" s="100" t="n"/>
      <c r="B28" s="100" t="inlineStr">
        <is>
          <t>Transaction CF</t>
        </is>
      </c>
      <c r="C28" s="100" t="n"/>
      <c r="D28" s="262" t="n">
        <v>0</v>
      </c>
      <c r="E28" s="260">
        <f>E27+E26</f>
        <v/>
      </c>
      <c r="F28" s="260">
        <f>F27+F26</f>
        <v/>
      </c>
      <c r="G28" s="260">
        <f>G27+G26</f>
        <v/>
      </c>
      <c r="H28" s="260">
        <f>H27+H26</f>
        <v/>
      </c>
      <c r="I28" s="260">
        <f>I27+I26</f>
        <v/>
      </c>
      <c r="J28" s="260">
        <f>J27+J26</f>
        <v/>
      </c>
      <c r="K28" s="100" t="n"/>
      <c r="L28" s="104" t="inlineStr">
        <is>
          <t>Cash tax rate (D5)</t>
        </is>
      </c>
      <c r="M28" s="220">
        <f>$D$5</f>
        <v/>
      </c>
      <c r="N28" s="142" t="inlineStr">
        <is>
          <t>22.87%</t>
        </is>
      </c>
      <c r="O28" s="143" t="inlineStr">
        <is>
          <t>3yr avg IncomeTaxesPaidNet/EBT (not book J13)</t>
        </is>
      </c>
      <c r="Q28" s="243" t="inlineStr">
        <is>
          <t>Implied Gordon exit multiple</t>
        </is>
      </c>
      <c r="R28" s="263">
        <f>IF(($I$21+$I$23)=0,0,T27/($I$21+$I$23))</f>
        <v/>
      </c>
      <c r="S28" s="243" t="inlineStr">
        <is>
          <t>Gordon TV / EBITDA_n</t>
        </is>
      </c>
    </row>
    <row r="29" ht="16" customHeight="1">
      <c r="A29" s="100" t="n"/>
      <c r="B29" s="100" t="inlineStr">
        <is>
          <t>Transaction CF</t>
        </is>
      </c>
      <c r="C29" s="100" t="n"/>
      <c r="D29" s="261">
        <f>D27+D26</f>
        <v/>
      </c>
      <c r="E29" s="254">
        <f>E27+E26</f>
        <v/>
      </c>
      <c r="F29" s="254">
        <f>F27+F26</f>
        <v/>
      </c>
      <c r="G29" s="254">
        <f>G27+G26</f>
        <v/>
      </c>
      <c r="H29" s="254">
        <f>H27+H26</f>
        <v/>
      </c>
      <c r="I29" s="254">
        <f>I27+I26</f>
        <v/>
      </c>
      <c r="J29" s="254">
        <f>J27</f>
        <v/>
      </c>
      <c r="K29" s="100" t="n"/>
      <c r="L29" s="104" t="inlineStr">
        <is>
          <t>DSO (AR days)</t>
        </is>
      </c>
      <c r="M29" s="220">
        <f>'3 Statement Model'!J15</f>
        <v/>
      </c>
      <c r="N29" s="144">
        <f>'3 Statement Model'!J15</f>
        <v/>
      </c>
      <c r="O29" s="143" t="inlineStr">
        <is>
          <t>Phased DSO hist→45d; Op NWC excludes Deferred</t>
        </is>
      </c>
    </row>
    <row r="30" ht="16" customHeight="1">
      <c r="A30" s="100" t="n"/>
      <c r="B30" s="100" t="n"/>
      <c r="C30" s="100" t="n"/>
      <c r="D30" s="102" t="n"/>
      <c r="E30" s="100" t="n"/>
      <c r="G30" s="100" t="n"/>
      <c r="H30" s="100" t="n"/>
      <c r="I30" s="100" t="n"/>
      <c r="J30" s="100" t="n"/>
      <c r="L30" s="104" t="inlineStr">
        <is>
          <t>SBC % of sales</t>
        </is>
      </c>
      <c r="M30" s="220">
        <f>'3 Statement Model'!J21</f>
        <v/>
      </c>
      <c r="N30" s="144">
        <f>'3 Statement Model'!J21</f>
        <v/>
      </c>
      <c r="O30" s="143" t="inlineStr">
        <is>
          <t>SBC add-back in CFO row 64 and FCFF</t>
        </is>
      </c>
      <c r="Q30" s="185" t="inlineStr">
        <is>
          <t>4) Enterprise → Equity → $/share</t>
        </is>
      </c>
    </row>
    <row r="31" ht="16" customHeight="1">
      <c r="A31" s="100" t="n"/>
      <c r="B31" s="124" t="inlineStr">
        <is>
          <t>Intrinsic Value</t>
        </is>
      </c>
      <c r="C31" s="125" t="n"/>
      <c r="D31" s="125" t="n"/>
      <c r="E31" s="100" t="n"/>
      <c r="G31" s="124" t="inlineStr">
        <is>
          <t>Market Value</t>
        </is>
      </c>
      <c r="H31" s="125" t="n"/>
      <c r="I31" s="125" t="n"/>
      <c r="J31" s="100" t="n"/>
      <c r="L31" s="145" t="inlineStr">
        <is>
          <t>CapEx % (FY1)</t>
        </is>
      </c>
      <c r="M31" s="220">
        <f>'3 Statement Model'!J18</f>
        <v/>
      </c>
      <c r="N31" s="144">
        <f>'3 Statement Model'!J18</f>
        <v/>
      </c>
      <c r="O31" s="143" t="inlineStr">
        <is>
          <t>CapEx% fade path → CF CapEx $</t>
        </is>
      </c>
      <c r="Q31" s="250" t="inlineStr">
        <is>
          <t>EV = XNPV(WACC, TransactionCF, mid-year dates)</t>
        </is>
      </c>
    </row>
    <row r="32" ht="16" customHeight="1">
      <c r="A32" s="100" t="n"/>
      <c r="B32" s="100" t="inlineStr">
        <is>
          <t>Enterprise Value (XNPV, mid-year EDATE dates)</t>
        </is>
      </c>
      <c r="C32" s="100" t="n"/>
      <c r="D32" s="254">
        <f>XNPV(D6,D28:J28,D18:J18)</f>
        <v/>
      </c>
      <c r="E32" s="100" t="n"/>
      <c r="G32" s="100" t="inlineStr">
        <is>
          <t>Market Cap</t>
        </is>
      </c>
      <c r="H32" s="100" t="n"/>
      <c r="I32" s="261">
        <f>D12*D11</f>
        <v/>
      </c>
      <c r="J32" s="100" t="n"/>
      <c r="L32" s="104" t="inlineStr">
        <is>
          <t>Revenue growth FY1</t>
        </is>
      </c>
      <c r="M32" s="220">
        <f>'3 Statement Model'!J7</f>
        <v/>
      </c>
      <c r="N32" s="146">
        <f>'3 Statement Model'!J7</f>
        <v/>
      </c>
      <c r="O32" s="143" t="inlineStr">
        <is>
          <t>Policy path on 3S assumption row 7</t>
        </is>
      </c>
      <c r="Q32" s="243" t="inlineStr">
        <is>
          <t>Excel</t>
        </is>
      </c>
      <c r="R32" s="250">
        <f>XNPV(D6,D28:J28,D18:J18)</f>
        <v/>
      </c>
      <c r="T32" s="232">
        <f>D32</f>
        <v/>
      </c>
    </row>
    <row r="33" ht="16" customHeight="1">
      <c r="A33" s="100" t="n"/>
      <c r="B33" s="100" t="inlineStr">
        <is>
          <t>Plus: Cash</t>
        </is>
      </c>
      <c r="C33" s="100" t="n"/>
      <c r="D33" s="261">
        <f>+D14</f>
        <v/>
      </c>
      <c r="E33" s="100" t="n"/>
      <c r="G33" s="100" t="inlineStr">
        <is>
          <t>Plus: Debt</t>
        </is>
      </c>
      <c r="H33" s="100" t="n"/>
      <c r="I33" s="261">
        <f>D13</f>
        <v/>
      </c>
      <c r="J33" s="100" t="n"/>
      <c r="L33" s="104" t="inlineStr">
        <is>
          <t>EBIT FY1 (DCF E21)</t>
        </is>
      </c>
      <c r="M33" s="220">
        <f>$E$21</f>
        <v/>
      </c>
      <c r="N33" s="232">
        <f>'3 Statement Model'!J33+'3 Statement Model'!J31</f>
        <v/>
      </c>
      <c r="O33" s="143" t="inlineStr">
        <is>
          <t>EBT + Interest = GP − SG&amp;A − R&amp;D − D&amp;A</t>
        </is>
      </c>
      <c r="Q33" s="250" t="inlineStr">
        <is>
          <t>Equity = EV + Cash − Debt</t>
        </is>
      </c>
      <c r="R33" s="232">
        <f>D35</f>
        <v/>
      </c>
      <c r="S33" s="243" t="inlineStr">
        <is>
          <t>Net debt from 10-Q bridge</t>
        </is>
      </c>
      <c r="U33" s="244" t="inlineStr">
        <is>
          <t>SEC 10-Q — cash, mkt secs, total debt</t>
        </is>
      </c>
      <c r="V33" s="244" t="inlineStr">
        <is>
          <t>SEC 10-K — FY debt footnote</t>
        </is>
      </c>
    </row>
    <row r="34" ht="16" customHeight="1">
      <c r="A34" s="100" t="n"/>
      <c r="B34" s="100" t="inlineStr">
        <is>
          <t>Less: Debt</t>
        </is>
      </c>
      <c r="C34" s="100" t="n"/>
      <c r="D34" s="261">
        <f>+D13</f>
        <v/>
      </c>
      <c r="E34" s="100" t="n"/>
      <c r="G34" s="100" t="inlineStr">
        <is>
          <t>Less: Cash</t>
        </is>
      </c>
      <c r="H34" s="100" t="n"/>
      <c r="I34" s="261">
        <f>+D14</f>
        <v/>
      </c>
      <c r="J34" s="100" t="n"/>
      <c r="L34" s="104" t="inlineStr">
        <is>
          <t>EBIT cross-check</t>
        </is>
      </c>
      <c r="M34" s="220">
        <f>'3 Statement Model'!J26-'3 Statement Model'!J28-'3 Statement Model'!J29-'3 Statement Model'!J30</f>
        <v/>
      </c>
      <c r="N34" s="142" t="inlineStr">
        <is>
          <t>GP−SGA−R&amp;D−DA</t>
        </is>
      </c>
      <c r="O34" s="143" t="inlineStr">
        <is>
          <t>Must equal E21 (live check)</t>
        </is>
      </c>
      <c r="Q34" s="250" t="inlineStr">
        <is>
          <t>$/share = Equity / Shares</t>
        </is>
      </c>
      <c r="R34" s="264">
        <f>D37</f>
        <v/>
      </c>
      <c r="S34" s="243" t="inlineStr">
        <is>
          <t>Shares outstanding (Yahoo)</t>
        </is>
      </c>
      <c r="U34" s="244" t="inlineStr">
        <is>
          <t>Yahoo Finance — shares outstanding</t>
        </is>
      </c>
      <c r="V34" s="244" t="inlineStr">
        <is>
          <t>Yahoo FICO quote (price)</t>
        </is>
      </c>
    </row>
    <row r="35" ht="16" customHeight="1">
      <c r="A35" s="100" t="n"/>
      <c r="B35" s="100" t="inlineStr">
        <is>
          <t>Equity Value</t>
        </is>
      </c>
      <c r="C35" s="100" t="n"/>
      <c r="D35" s="262">
        <f>D32+D33-D34</f>
        <v/>
      </c>
      <c r="E35" s="100" t="n"/>
      <c r="G35" s="100" t="inlineStr">
        <is>
          <t>Enterprise Value</t>
        </is>
      </c>
      <c r="H35" s="100" t="n"/>
      <c r="I35" s="262">
        <f>I32+I33-I34</f>
        <v/>
      </c>
      <c r="J35" s="100" t="n"/>
      <c r="L35" s="145" t="inlineStr">
        <is>
          <t>D&amp;A FY1</t>
        </is>
      </c>
      <c r="M35" s="220">
        <f>$E$23</f>
        <v/>
      </c>
      <c r="N35" s="232">
        <f>'3 Statement Model'!J30</f>
        <v/>
      </c>
      <c r="O35" s="143" t="inlineStr">
        <is>
          <t>Rev × DA% (total D&amp;A / sales) from 3S IS</t>
        </is>
      </c>
      <c r="Q35" s="243" t="inlineStr">
        <is>
          <t>Upside vs market</t>
        </is>
      </c>
      <c r="R35" s="227">
        <f>D37/D11-1</f>
        <v/>
      </c>
      <c r="S35" s="243" t="inlineStr">
        <is>
          <t>Intrinsic / Current Price − 1</t>
        </is>
      </c>
    </row>
    <row r="36" ht="16" customHeight="1">
      <c r="A36" s="100" t="n"/>
      <c r="B36" s="100" t="n"/>
      <c r="C36" s="100" t="n"/>
      <c r="D36" s="100" t="n"/>
      <c r="E36" s="100" t="n"/>
      <c r="G36" s="100" t="n"/>
      <c r="H36" s="100" t="n"/>
      <c r="I36" s="265" t="n"/>
      <c r="J36" s="100" t="n"/>
      <c r="L36" s="104" t="inlineStr">
        <is>
          <t>SBC FY1</t>
        </is>
      </c>
      <c r="M36" s="220">
        <f>'3 Statement Model'!J64</f>
        <v/>
      </c>
      <c r="N36" s="232">
        <f>'3 Statement Model'!J64</f>
        <v/>
      </c>
      <c r="O36" s="143" t="inlineStr">
        <is>
          <t>Rev × SBC%; added in FCFF</t>
        </is>
      </c>
    </row>
    <row r="37" ht="16" customHeight="1">
      <c r="A37" s="100" t="n"/>
      <c r="B37" s="100" t="inlineStr">
        <is>
          <t>Equity Value/Share (÷ Y5 buyback-adjusted shares I16)</t>
        </is>
      </c>
      <c r="C37" s="109" t="inlineStr">
        <is>
          <t>MODEL16: SBC add-back in FCFF; buybacks cut shares (no SBC dilution)</t>
        </is>
      </c>
      <c r="D37" s="254">
        <f>$D$35/$I$16</f>
        <v/>
      </c>
      <c r="E37" s="100" t="n"/>
      <c r="G37" s="100" t="inlineStr">
        <is>
          <t>Equity Value/Share</t>
        </is>
      </c>
      <c r="H37" s="100" t="n"/>
      <c r="I37" s="261">
        <f>D11</f>
        <v/>
      </c>
      <c r="J37" s="100" t="n"/>
      <c r="L37" s="104" t="inlineStr">
        <is>
          <t>CapEx FY1</t>
        </is>
      </c>
      <c r="M37" s="220">
        <f>$E$24</f>
        <v/>
      </c>
      <c r="N37" s="232">
        <f>'3 Statement Model'!J68</f>
        <v/>
      </c>
      <c r="O37" s="143" t="inlineStr">
        <is>
          <t>3S CF CapEx (also D15)</t>
        </is>
      </c>
      <c r="Q37" s="185" t="inlineStr">
        <is>
          <t>5) Op NWC + Deferred (feeds FCFF; AR ≠ Deferred)</t>
        </is>
      </c>
    </row>
    <row r="38" ht="16" customHeight="1">
      <c r="A38" s="100" t="n"/>
      <c r="B38" s="100" t="n"/>
      <c r="C38" s="100" t="n"/>
      <c r="D38" s="100" t="n"/>
      <c r="E38" s="100" t="n"/>
      <c r="G38" s="100" t="n"/>
      <c r="H38" s="100" t="n"/>
      <c r="I38" s="100" t="n"/>
      <c r="J38" s="100" t="n"/>
      <c r="L38" s="104" t="inlineStr">
        <is>
          <t>Net WC use FY1</t>
        </is>
      </c>
      <c r="M38" s="220">
        <f>$E$25</f>
        <v/>
      </c>
      <c r="N38" s="232">
        <f>'3 Statement Model'!J90-('3 Statement Model'!J88-'3 Statement Model'!I88)</f>
        <v/>
      </c>
      <c r="O38" s="143" t="inlineStr">
        <is>
          <t>ΔOpNWC − ΔDeferred (AR≠Deferred)</t>
        </is>
      </c>
      <c r="Q38" s="250" t="inlineStr">
        <is>
          <t>OpNWC = AR+Inv−AP; +ΔDeferred separate CFO source</t>
        </is>
      </c>
      <c r="U38" s="244" t="inlineStr">
        <is>
          <t>SEC 10-K — AR / AP / deferred revenue</t>
        </is>
      </c>
      <c r="V38" s="244" t="inlineStr">
        <is>
          <t>XBRL DeferredRevenueCurrent</t>
        </is>
      </c>
    </row>
    <row r="39" ht="16" customHeight="1">
      <c r="A39" s="100" t="n"/>
      <c r="C39" s="100" t="n"/>
      <c r="D39" s="102" t="n"/>
      <c r="E39" s="100" t="n"/>
      <c r="G39" s="100" t="n"/>
      <c r="H39" s="100" t="n"/>
      <c r="I39" s="101" t="n"/>
      <c r="J39" s="100" t="n"/>
      <c r="L39" s="104" t="inlineStr">
        <is>
          <t>EBITDA FY5 (TV base)</t>
        </is>
      </c>
      <c r="M39" s="220">
        <f>$I$21+$I$23</f>
        <v/>
      </c>
      <c r="N39" s="232">
        <f>'3 Statement Model'!N33+'3 Statement Model'!N31+'3 Statement Model'!N30</f>
        <v/>
      </c>
      <c r="O39" s="143" t="inlineStr">
        <is>
          <t>EBIT+D&amp;A; Exit TV = this × D8</t>
        </is>
      </c>
      <c r="Q39" s="250" t="inlineStr">
        <is>
          <t>Net WC use = ΔOpNWC − ΔDeferred</t>
        </is>
      </c>
      <c r="S39" s="243" t="inlineStr">
        <is>
          <t>3S row 90 − row 81 (Deferred growth = cash source)</t>
        </is>
      </c>
      <c r="T39" s="232">
        <f>I25</f>
        <v/>
      </c>
    </row>
    <row r="40" ht="16" customHeight="1">
      <c r="A40" s="100" t="n"/>
      <c r="C40" s="100" t="n"/>
      <c r="D40" s="102" t="n"/>
      <c r="E40" s="100" t="n"/>
      <c r="F40" s="100" t="n"/>
      <c r="G40" s="100" t="n"/>
      <c r="H40" s="101" t="n"/>
      <c r="I40" s="100" t="n"/>
      <c r="K40" s="100" t="n"/>
      <c r="L40" s="104" t="inlineStr">
        <is>
          <t>3S FY25 Cash (ref)</t>
        </is>
      </c>
      <c r="M40" s="220">
        <f>'3 Statement Model'!I41</f>
        <v/>
      </c>
      <c r="N40" s="232">
        <f>'3 Statement Model'!I41</f>
        <v/>
      </c>
      <c r="O40" s="143" t="inlineStr">
        <is>
          <t>FYE reference only — bridge uses 10-Q D14</t>
        </is>
      </c>
    </row>
    <row r="41" ht="16" customHeight="1">
      <c r="A41" s="100" t="n"/>
      <c r="B41" s="124" t="inlineStr">
        <is>
          <t>Instructions</t>
        </is>
      </c>
      <c r="C41" s="125" t="n"/>
      <c r="D41" s="150" t="n"/>
      <c r="E41" s="125" t="n"/>
      <c r="F41" s="125" t="n"/>
      <c r="G41" s="125" t="n"/>
      <c r="H41" s="125" t="n"/>
      <c r="I41" s="125" t="n"/>
      <c r="J41" s="125" t="n"/>
      <c r="K41" s="125" t="n"/>
      <c r="L41" s="145" t="inlineStr">
        <is>
          <t>3S FY25 Debt (ref)</t>
        </is>
      </c>
      <c r="M41" s="232">
        <f>'3 Statement Model'!I49</f>
        <v/>
      </c>
      <c r="N41" s="232">
        <f>'3 Statement Model'!I49</f>
        <v/>
      </c>
      <c r="O41" s="143" t="inlineStr">
        <is>
          <t>FYE reference only — bridge uses 10-Q D13</t>
        </is>
      </c>
      <c r="Q41" s="185" t="inlineStr">
        <is>
          <t>6) Full source index (all clickable)</t>
        </is>
      </c>
    </row>
    <row r="42" ht="16" customHeight="1">
      <c r="A42" s="100" t="n"/>
      <c r="B42" s="100" t="inlineStr">
        <is>
          <t>Step 1: Get EBIT and D&amp;A from the income statement</t>
        </is>
      </c>
      <c r="C42" s="100" t="n"/>
      <c r="D42" s="102" t="n"/>
      <c r="E42" s="100" t="n"/>
      <c r="F42" s="100" t="n"/>
      <c r="G42" s="100" t="n"/>
      <c r="H42" s="100" t="n"/>
      <c r="L42" s="151" t="inlineStr">
        <is>
          <t>EBIT link OK?</t>
        </is>
      </c>
      <c r="M42" s="152">
        <f>IF(ABS(M33-M34)&lt;1,"OK","MISMATCH")</f>
        <v/>
      </c>
      <c r="N42" s="153" t="inlineStr"/>
      <c r="O42" s="143" t="inlineStr">
        <is>
          <t>Flags if EBIT link ≠ GP−opex build</t>
        </is>
      </c>
      <c r="Q42" s="244" t="inlineStr">
        <is>
          <t>SEC 10-K FY2025</t>
        </is>
      </c>
      <c r="R42" s="187" t="n"/>
      <c r="S42" s="188" t="n"/>
      <c r="T42" s="243" t="inlineStr">
        <is>
          <t>Tax 18.8%, IS/BS/CF, senior notes</t>
        </is>
      </c>
    </row>
    <row r="43" ht="16" customHeight="1">
      <c r="A43" s="100" t="n"/>
      <c r="B43" s="100" t="inlineStr">
        <is>
          <t>Step 2: Calculate the net working capital</t>
        </is>
      </c>
      <c r="C43" s="100" t="n"/>
      <c r="D43" s="102" t="n"/>
      <c r="E43" s="100" t="n"/>
      <c r="F43" s="100" t="n"/>
      <c r="G43" s="100" t="n"/>
      <c r="H43" s="100" t="n"/>
      <c r="L43" s="154" t="inlineStr">
        <is>
          <t>Green cells are live links. FCFF = EBIT − cash tax + D&amp;A + SBC − CapEx − ΔOpNWC + ΔDeferred. D6 = CAPM WACC 9.27% (D6←R15). $/share uses I16 (Y5 buyback-adjusted shares). SBC add-back does NOT dilute.</t>
        </is>
      </c>
      <c r="Q43" s="244" t="inlineStr">
        <is>
          <t>SEC 10-Q Q3 FY2026</t>
        </is>
      </c>
      <c r="R43" s="187" t="n"/>
      <c r="S43" s="188" t="n"/>
      <c r="T43" s="243" t="inlineStr">
        <is>
          <t>Debt $5,582M, cash+mkt secs net-debt bridge</t>
        </is>
      </c>
    </row>
    <row r="44" ht="16" customHeight="1">
      <c r="A44" s="100" t="n"/>
      <c r="B44" s="155" t="inlineStr">
        <is>
          <t>There are two ways to find NWC:</t>
        </is>
      </c>
      <c r="C44" s="100" t="n"/>
      <c r="D44" s="102" t="n"/>
      <c r="E44" s="100" t="n"/>
      <c r="F44" s="100" t="n"/>
      <c r="G44" s="100" t="n"/>
      <c r="H44" s="100" t="n"/>
      <c r="N44" s="69" t="n"/>
      <c r="O44" s="100" t="n"/>
      <c r="Q44" s="244" t="inlineStr">
        <is>
          <t>SEC 8-K 6.250% notes</t>
        </is>
      </c>
      <c r="R44" s="187" t="n"/>
      <c r="S44" s="188" t="n"/>
      <c r="T44" s="243" t="inlineStr">
        <is>
          <t>Pre-tax Rd coupon 6.250% due 2034</t>
        </is>
      </c>
    </row>
    <row r="45" ht="16" customHeight="1">
      <c r="A45" s="100" t="n"/>
      <c r="B45" s="155" t="inlineStr">
        <is>
          <t>1. NWC = Current Assets (less cash) - Current Liabilities (less debt)</t>
        </is>
      </c>
      <c r="C45" s="100" t="n"/>
      <c r="D45" s="102" t="n"/>
      <c r="E45" s="100" t="n"/>
      <c r="F45" s="100" t="n"/>
      <c r="G45" s="100" t="n"/>
      <c r="H45" s="100" t="n"/>
      <c r="N45" s="69" t="n"/>
      <c r="O45" s="100" t="n"/>
      <c r="Q45" s="244" t="inlineStr">
        <is>
          <t>SEC EX-99.1 pricing</t>
        </is>
      </c>
      <c r="R45" s="187" t="n"/>
      <c r="S45" s="188" t="n"/>
      <c r="T45" s="243" t="inlineStr">
        <is>
          <t>Notes priced at par / offering terms</t>
        </is>
      </c>
    </row>
    <row r="46" ht="16" customHeight="1">
      <c r="A46" s="100" t="n"/>
      <c r="B46" s="155" t="inlineStr">
        <is>
          <t>2. NWC = Accounts Receivable + Inventory - Accounts Payable</t>
        </is>
      </c>
      <c r="C46" s="100" t="n"/>
      <c r="D46" s="102" t="n"/>
      <c r="E46" s="100" t="n"/>
      <c r="F46" s="100" t="n"/>
      <c r="G46" s="100" t="n"/>
      <c r="H46" s="100" t="n"/>
      <c r="N46" s="69" t="n"/>
      <c r="O46" s="100" t="n"/>
      <c r="Q46" s="244" t="inlineStr">
        <is>
          <t>SEC companyfacts XBRL</t>
        </is>
      </c>
      <c r="R46" s="187" t="n"/>
      <c r="S46" s="188" t="n"/>
      <c r="T46" s="243" t="inlineStr">
        <is>
          <t>Pipeline data source (CIK 0000814547)</t>
        </is>
      </c>
    </row>
    <row r="47" ht="16" customHeight="1">
      <c r="A47" s="100" t="n"/>
      <c r="B47" s="100" t="n"/>
      <c r="C47" s="100" t="n"/>
      <c r="D47" s="102" t="n"/>
      <c r="E47" s="100" t="n"/>
      <c r="F47" s="100" t="n"/>
      <c r="G47" s="100" t="n"/>
      <c r="H47" s="100" t="n"/>
      <c r="N47" s="69" t="n"/>
      <c r="O47" s="100" t="n"/>
      <c r="Q47" s="244" t="inlineStr">
        <is>
          <t>FRED DGS10</t>
        </is>
      </c>
      <c r="R47" s="187" t="n"/>
      <c r="S47" s="188" t="n"/>
      <c r="T47" s="243" t="inlineStr">
        <is>
          <t>Risk-free rate (US 10Y)</t>
        </is>
      </c>
    </row>
    <row r="48" ht="16" customHeight="1">
      <c r="A48" s="100" t="n"/>
      <c r="B48" s="100" t="n"/>
      <c r="C48" s="100" t="n"/>
      <c r="D48" s="102" t="n"/>
      <c r="E48" s="100" t="n"/>
      <c r="F48" s="100" t="n"/>
      <c r="G48" s="100" t="n"/>
      <c r="H48" s="100" t="n"/>
      <c r="N48" s="156" t="inlineStr">
        <is>
          <t xml:space="preserve">Corporate Finance Institute® </t>
        </is>
      </c>
      <c r="O48" s="100" t="n"/>
      <c r="Q48" s="244" t="inlineStr">
        <is>
          <t>US Treasury yield curve</t>
        </is>
      </c>
      <c r="R48" s="187" t="n"/>
      <c r="S48" s="188" t="n"/>
      <c r="T48" s="243" t="inlineStr">
        <is>
          <t>Official daily par yields</t>
        </is>
      </c>
    </row>
    <row r="49" ht="16" customHeight="1">
      <c r="A49" s="100" t="n"/>
      <c r="B49" s="100" t="n"/>
      <c r="C49" s="100" t="n"/>
      <c r="D49" s="102" t="n"/>
      <c r="E49" s="100" t="n"/>
      <c r="F49" s="100" t="n"/>
      <c r="G49" s="100" t="n"/>
      <c r="H49" s="100" t="n"/>
      <c r="N49" s="157" t="inlineStr">
        <is>
          <t>https://corporatefinanceinstitute.com/</t>
        </is>
      </c>
      <c r="O49" s="100" t="n"/>
      <c r="Q49" s="244" t="inlineStr">
        <is>
          <t>Damodaran Implied ERP</t>
        </is>
      </c>
      <c r="R49" s="187" t="n"/>
      <c r="S49" s="188" t="n"/>
      <c r="T49" s="243" t="inlineStr">
        <is>
          <t>Equity risk premium</t>
        </is>
      </c>
    </row>
    <row r="50" ht="16" customHeight="1">
      <c r="A50" s="100" t="n"/>
      <c r="B50" s="100" t="n"/>
      <c r="C50" s="100" t="n"/>
      <c r="D50" s="102" t="n"/>
      <c r="E50" s="100" t="n"/>
      <c r="F50" s="100" t="n"/>
      <c r="G50" s="100" t="n"/>
      <c r="H50" s="100" t="n"/>
      <c r="O50" s="100" t="n"/>
      <c r="Q50" s="244" t="inlineStr">
        <is>
          <t>Damodaran histimpl</t>
        </is>
      </c>
      <c r="R50" s="187" t="n"/>
      <c r="S50" s="188" t="n"/>
      <c r="T50" s="243" t="inlineStr">
        <is>
          <t>Historical implied ERP table</t>
        </is>
      </c>
    </row>
    <row r="51" ht="16" customHeight="1">
      <c r="A51" s="100" t="n"/>
      <c r="B51" s="100" t="n"/>
      <c r="C51" s="100" t="n"/>
      <c r="D51" s="102" t="n"/>
      <c r="E51" s="100" t="n"/>
      <c r="F51" s="100" t="n"/>
      <c r="G51" s="100" t="n"/>
      <c r="H51" s="100" t="n"/>
      <c r="M51" s="100" t="n"/>
      <c r="O51" s="100" t="n"/>
      <c r="Q51" s="244" t="inlineStr">
        <is>
          <t>Yahoo FICO stats</t>
        </is>
      </c>
      <c r="R51" s="187" t="n"/>
      <c r="S51" s="188" t="n"/>
      <c r="T51" s="243" t="inlineStr">
        <is>
          <t>Beta 5Y monthly + shares out</t>
        </is>
      </c>
    </row>
    <row r="52" ht="16" customHeight="1">
      <c r="A52" s="100" t="n"/>
      <c r="B52" s="100" t="n"/>
      <c r="C52" s="100" t="n"/>
      <c r="D52" s="102" t="n"/>
      <c r="E52" s="100" t="n"/>
      <c r="F52" s="100" t="n"/>
      <c r="G52" s="100" t="n"/>
      <c r="H52" s="100" t="n"/>
      <c r="I52" s="100" t="n"/>
      <c r="J52" s="100" t="n"/>
      <c r="K52" s="100" t="n"/>
      <c r="L52" s="100" t="n"/>
      <c r="M52" s="100" t="n"/>
      <c r="N52" s="100" t="n"/>
      <c r="O52" s="100" t="n"/>
    </row>
    <row r="53" ht="16" customHeight="1">
      <c r="A53" s="100" t="n"/>
      <c r="B53" s="100" t="n"/>
      <c r="C53" s="100" t="n"/>
      <c r="D53" s="102" t="n"/>
      <c r="E53" s="100" t="n"/>
      <c r="F53" s="100" t="n"/>
      <c r="G53" s="100" t="n"/>
      <c r="H53" s="100" t="n"/>
      <c r="I53" s="100" t="n"/>
      <c r="J53" s="100" t="n"/>
      <c r="K53" s="100" t="n"/>
      <c r="L53" s="100" t="n"/>
      <c r="M53" s="100" t="n"/>
      <c r="N53" s="100" t="n"/>
      <c r="O53" s="100" t="n"/>
    </row>
    <row r="54" ht="16" customHeight="1">
      <c r="A54" s="100" t="n"/>
      <c r="B54" s="100" t="n"/>
      <c r="C54" s="100" t="n"/>
      <c r="D54" s="102" t="n"/>
      <c r="E54" s="100" t="n"/>
      <c r="F54" s="100" t="n"/>
      <c r="G54" s="100" t="n"/>
      <c r="H54" s="100" t="n"/>
      <c r="I54" s="100" t="n"/>
      <c r="J54" s="100" t="n"/>
      <c r="K54" s="100" t="n"/>
      <c r="L54" s="100" t="n"/>
      <c r="M54" s="100" t="n"/>
      <c r="N54" s="100" t="n"/>
      <c r="O54" s="100" t="n"/>
    </row>
    <row r="55" ht="16" customHeight="1">
      <c r="A55" s="100" t="n"/>
      <c r="B55" s="100" t="n"/>
      <c r="C55" s="100" t="n"/>
      <c r="D55" s="102" t="n"/>
      <c r="E55" s="100" t="n"/>
      <c r="F55" s="100" t="n"/>
      <c r="G55" s="100" t="n"/>
      <c r="H55" s="100" t="n"/>
      <c r="I55" s="100" t="n"/>
      <c r="J55" s="100" t="n"/>
      <c r="K55" s="100" t="n"/>
      <c r="L55" s="139" t="inlineStr">
        <is>
          <t>SENSITIVITY — Enterprise Value ($000s)</t>
        </is>
      </c>
    </row>
    <row r="56" ht="16" customHeight="1">
      <c r="A56" s="100" t="n"/>
      <c r="B56" s="100" t="n"/>
      <c r="C56" s="100" t="n"/>
      <c r="D56" s="102" t="n"/>
      <c r="E56" s="100" t="n"/>
      <c r="F56" s="100" t="n"/>
      <c r="G56" s="100" t="n"/>
      <c r="H56" s="100" t="n"/>
      <c r="I56" s="100" t="n"/>
      <c r="J56" s="100" t="n"/>
      <c r="K56" s="100" t="n"/>
      <c r="L56" s="115" t="inlineStr">
        <is>
          <t>WACC \ Exit EV/EBITDA</t>
        </is>
      </c>
      <c r="M56" s="266" t="n">
        <v>15.5</v>
      </c>
      <c r="N56" s="266" t="n">
        <v>18</v>
      </c>
      <c r="O56" s="266" t="n">
        <v>21</v>
      </c>
      <c r="P56" s="266" t="n">
        <v>23.5</v>
      </c>
      <c r="Q56" s="266" t="n">
        <v>26</v>
      </c>
      <c r="R56" s="266" t="n">
        <v>28</v>
      </c>
    </row>
    <row r="57" ht="16" customHeight="1">
      <c r="A57" s="100" t="n"/>
      <c r="B57" s="100" t="n"/>
      <c r="C57" s="100" t="n"/>
      <c r="D57" s="102" t="n"/>
      <c r="E57" s="100" t="n"/>
      <c r="F57" s="100" t="n"/>
      <c r="G57" s="100" t="n"/>
      <c r="H57" s="100" t="n"/>
      <c r="I57" s="100" t="n"/>
      <c r="J57" s="100" t="n"/>
      <c r="K57" s="100" t="n"/>
      <c r="L57" s="159" t="n">
        <v>0.08</v>
      </c>
      <c r="M57" s="232">
        <f>XNPV($L57,$D$28:$I$28,$D$18:$I$18)+($I$26+($I$21+$I$23)*M$56)/((1+$L57)^(($J$18-$D$18)/365))</f>
        <v/>
      </c>
      <c r="N57" s="232">
        <f>XNPV($L57,$D$28:$I$28,$D$18:$I$18)+($I$26+($I$21+$I$23)*N$56)/((1+$L57)^(($J$18-$D$18)/365))</f>
        <v/>
      </c>
      <c r="O57" s="232">
        <f>XNPV($L57,$D$28:$I$28,$D$18:$I$18)+($I$26+($I$21+$I$23)*O$56)/((1+$L57)^(($J$18-$D$18)/365))</f>
        <v/>
      </c>
      <c r="P57" s="232">
        <f>XNPV($L57,$D$28:$I$28,$D$18:$I$18)+($I$26+($I$21+$I$23)*P$56)/((1+$L57)^(($J$18-$D$18)/365))</f>
        <v/>
      </c>
      <c r="Q57" s="232">
        <f>XNPV($L57,$D$28:$I$28,$D$18:$I$18)+($I$26+($I$21+$I$23)*Q$56)/((1+$L57)^(($J$18-$D$18)/365))</f>
        <v/>
      </c>
      <c r="R57" s="232">
        <f>XNPV($L57,$D$28:$I$28,$D$18:$I$18)+($I$26+($I$21+$I$23)*R$56)/((1+$L57)^(($J$18-$D$18)/365))</f>
        <v/>
      </c>
    </row>
    <row r="58" ht="16" customHeight="1">
      <c r="A58" s="100" t="n"/>
      <c r="B58" s="100" t="n"/>
      <c r="C58" s="100" t="n"/>
      <c r="D58" s="102" t="n"/>
      <c r="E58" s="100" t="n"/>
      <c r="F58" s="100" t="n"/>
      <c r="G58" s="100" t="n"/>
      <c r="H58" s="100" t="n"/>
      <c r="I58" s="100" t="n"/>
      <c r="J58" s="100" t="n"/>
      <c r="K58" s="100" t="n"/>
      <c r="L58" s="159" t="n">
        <v>0.08500000000000001</v>
      </c>
      <c r="M58" s="232">
        <f>XNPV($L58,$D$28:$I$28,$D$18:$I$18)+($I$26+($I$21+$I$23)*M$56)/((1+$L58)^(($J$18-$D$18)/365))</f>
        <v/>
      </c>
      <c r="N58" s="232">
        <f>XNPV($L58,$D$28:$I$28,$D$18:$I$18)+($I$26+($I$21+$I$23)*N$56)/((1+$L58)^(($J$18-$D$18)/365))</f>
        <v/>
      </c>
      <c r="O58" s="232">
        <f>XNPV($L58,$D$28:$I$28,$D$18:$I$18)+($I$26+($I$21+$I$23)*O$56)/((1+$L58)^(($J$18-$D$18)/365))</f>
        <v/>
      </c>
      <c r="P58" s="232">
        <f>XNPV($L58,$D$28:$I$28,$D$18:$I$18)+($I$26+($I$21+$I$23)*P$56)/((1+$L58)^(($J$18-$D$18)/365))</f>
        <v/>
      </c>
      <c r="Q58" s="232">
        <f>XNPV($L58,$D$28:$I$28,$D$18:$I$18)+($I$26+($I$21+$I$23)*Q$56)/((1+$L58)^(($J$18-$D$18)/365))</f>
        <v/>
      </c>
      <c r="R58" s="232">
        <f>XNPV($L58,$D$28:$I$28,$D$18:$I$18)+($I$26+($I$21+$I$23)*R$56)/((1+$L58)^(($J$18-$D$18)/365))</f>
        <v/>
      </c>
    </row>
    <row r="59" ht="16" customHeight="1">
      <c r="A59" s="100" t="n"/>
      <c r="B59" s="100" t="n"/>
      <c r="C59" s="100" t="n"/>
      <c r="D59" s="102" t="n"/>
      <c r="E59" s="100" t="n"/>
      <c r="F59" s="100" t="n"/>
      <c r="G59" s="100" t="n"/>
      <c r="H59" s="100" t="n"/>
      <c r="I59" s="100" t="n"/>
      <c r="J59" s="100" t="n"/>
      <c r="K59" s="100" t="n"/>
      <c r="L59" s="159" t="n">
        <v>0.09</v>
      </c>
      <c r="M59" s="232">
        <f>XNPV($L59,$D$28:$I$28,$D$18:$I$18)+($I$26+($I$21+$I$23)*M$56)/((1+$L59)^(($J$18-$D$18)/365))</f>
        <v/>
      </c>
      <c r="N59" s="232">
        <f>XNPV($L59,$D$28:$I$28,$D$18:$I$18)+($I$26+($I$21+$I$23)*N$56)/((1+$L59)^(($J$18-$D$18)/365))</f>
        <v/>
      </c>
      <c r="O59" s="232">
        <f>XNPV($L59,$D$28:$I$28,$D$18:$I$18)+($I$26+($I$21+$I$23)*O$56)/((1+$L59)^(($J$18-$D$18)/365))</f>
        <v/>
      </c>
      <c r="P59" s="232">
        <f>XNPV($L59,$D$28:$I$28,$D$18:$I$18)+($I$26+($I$21+$I$23)*P$56)/((1+$L59)^(($J$18-$D$18)/365))</f>
        <v/>
      </c>
      <c r="Q59" s="232">
        <f>XNPV($L59,$D$28:$I$28,$D$18:$I$18)+($I$26+($I$21+$I$23)*Q$56)/((1+$L59)^(($J$18-$D$18)/365))</f>
        <v/>
      </c>
      <c r="R59" s="232">
        <f>XNPV($L59,$D$28:$I$28,$D$18:$I$18)+($I$26+($I$21+$I$23)*R$56)/((1+$L59)^(($J$18-$D$18)/365))</f>
        <v/>
      </c>
    </row>
    <row r="60" ht="16" customHeight="1">
      <c r="A60" s="100" t="n"/>
      <c r="B60" s="100" t="n"/>
      <c r="C60" s="100" t="n"/>
      <c r="D60" s="102" t="n"/>
      <c r="E60" s="100" t="n"/>
      <c r="F60" s="100" t="n"/>
      <c r="G60" s="100" t="n"/>
      <c r="H60" s="100" t="n"/>
      <c r="I60" s="100" t="n"/>
      <c r="J60" s="100" t="n"/>
      <c r="K60" s="100" t="n"/>
      <c r="L60" s="159" t="n">
        <v>0.0927</v>
      </c>
      <c r="M60" s="232">
        <f>XNPV($L60,$D$28:$I$28,$D$18:$I$18)+($I$26+($I$21+$I$23)*M$56)/((1+$L60)^(($J$18-$D$18)/365))</f>
        <v/>
      </c>
      <c r="N60" s="232">
        <f>XNPV($L60,$D$28:$I$28,$D$18:$I$18)+($I$26+($I$21+$I$23)*N$56)/((1+$L60)^(($J$18-$D$18)/365))</f>
        <v/>
      </c>
      <c r="O60" s="267">
        <f>XNPV($L60,$D$28:$I$28,$D$18:$I$18)+($I$26+($I$21+$I$23)*O$56)/((1+$L60)^(($J$18-$D$18)/365))</f>
        <v/>
      </c>
      <c r="P60" s="232">
        <f>XNPV($L60,$D$28:$I$28,$D$18:$I$18)+($I$26+($I$21+$I$23)*P$56)/((1+$L60)^(($J$18-$D$18)/365))</f>
        <v/>
      </c>
      <c r="Q60" s="232">
        <f>XNPV($L60,$D$28:$I$28,$D$18:$I$18)+($I$26+($I$21+$I$23)*Q$56)/((1+$L60)^(($J$18-$D$18)/365))</f>
        <v/>
      </c>
      <c r="R60" s="232">
        <f>XNPV($L60,$D$28:$I$28,$D$18:$I$18)+($I$26+($I$21+$I$23)*R$56)/((1+$L60)^(($J$18-$D$18)/365))</f>
        <v/>
      </c>
    </row>
    <row r="61" ht="16" customHeight="1">
      <c r="B61" s="100" t="n"/>
      <c r="C61" s="100" t="n"/>
      <c r="D61" s="102" t="n"/>
      <c r="E61" s="100" t="n"/>
      <c r="F61" s="100" t="n"/>
      <c r="G61" s="100" t="n"/>
      <c r="H61" s="100" t="n"/>
      <c r="I61" s="100" t="n"/>
      <c r="J61" s="100" t="n"/>
      <c r="K61" s="100" t="n"/>
      <c r="L61" s="159" t="n">
        <v>0.1</v>
      </c>
      <c r="M61" s="232">
        <f>XNPV($L61,$D$28:$I$28,$D$18:$I$18)+($I$26+($I$21+$I$23)*M$56)/((1+$L61)^(($J$18-$D$18)/365))</f>
        <v/>
      </c>
      <c r="N61" s="232">
        <f>XNPV($L61,$D$28:$I$28,$D$18:$I$18)+($I$26+($I$21+$I$23)*N$56)/((1+$L61)^(($J$18-$D$18)/365))</f>
        <v/>
      </c>
      <c r="O61" s="232">
        <f>XNPV($L61,$D$28:$I$28,$D$18:$I$18)+($I$26+($I$21+$I$23)*O$56)/((1+$L61)^(($J$18-$D$18)/365))</f>
        <v/>
      </c>
      <c r="P61" s="232">
        <f>XNPV($L61,$D$28:$I$28,$D$18:$I$18)+($I$26+($I$21+$I$23)*P$56)/((1+$L61)^(($J$18-$D$18)/365))</f>
        <v/>
      </c>
      <c r="Q61" s="232">
        <f>XNPV($L61,$D$28:$I$28,$D$18:$I$18)+($I$26+($I$21+$I$23)*Q$56)/((1+$L61)^(($J$18-$D$18)/365))</f>
        <v/>
      </c>
      <c r="R61" s="232">
        <f>XNPV($L61,$D$28:$I$28,$D$18:$I$18)+($I$26+($I$21+$I$23)*R$56)/((1+$L61)^(($J$18-$D$18)/365))</f>
        <v/>
      </c>
    </row>
    <row r="62">
      <c r="L62" s="159" t="n">
        <v>0.105</v>
      </c>
      <c r="M62" s="232">
        <f>XNPV($L62,$D$28:$I$28,$D$18:$I$18)+($I$26+($I$21+$I$23)*M$56)/((1+$L62)^(($J$18-$D$18)/365))</f>
        <v/>
      </c>
      <c r="N62" s="232">
        <f>XNPV($L62,$D$28:$I$28,$D$18:$I$18)+($I$26+($I$21+$I$23)*N$56)/((1+$L62)^(($J$18-$D$18)/365))</f>
        <v/>
      </c>
      <c r="O62" s="232">
        <f>XNPV($L62,$D$28:$I$28,$D$18:$I$18)+($I$26+($I$21+$I$23)*O$56)/((1+$L62)^(($J$18-$D$18)/365))</f>
        <v/>
      </c>
      <c r="P62" s="232">
        <f>XNPV($L62,$D$28:$I$28,$D$18:$I$18)+($I$26+($I$21+$I$23)*P$56)/((1+$L62)^(($J$18-$D$18)/365))</f>
        <v/>
      </c>
      <c r="Q62" s="232">
        <f>XNPV($L62,$D$28:$I$28,$D$18:$I$18)+($I$26+($I$21+$I$23)*Q$56)/((1+$L62)^(($J$18-$D$18)/365))</f>
        <v/>
      </c>
      <c r="R62" s="232">
        <f>XNPV($L62,$D$28:$I$28,$D$18:$I$18)+($I$26+($I$21+$I$23)*R$56)/((1+$L62)^(($J$18-$D$18)/365))</f>
        <v/>
      </c>
    </row>
    <row r="64">
      <c r="L64" s="161" t="inlineStr">
        <is>
          <t>SENSITIVITY — Equity Value / Share ($)</t>
        </is>
      </c>
    </row>
    <row r="65">
      <c r="L65" s="162" t="inlineStr">
        <is>
          <t>WACC \ Exit EV/EBITDA</t>
        </is>
      </c>
      <c r="M65" s="268" t="n">
        <v>15.5</v>
      </c>
      <c r="N65" s="268" t="n">
        <v>18</v>
      </c>
      <c r="O65" s="268" t="n">
        <v>21</v>
      </c>
      <c r="P65" s="268" t="n">
        <v>23.5</v>
      </c>
      <c r="Q65" s="268" t="n">
        <v>26</v>
      </c>
      <c r="R65" s="268" t="n">
        <v>28</v>
      </c>
    </row>
    <row r="66">
      <c r="L66" s="159" t="n">
        <v>0.08</v>
      </c>
      <c r="M66" s="264">
        <f>(M57+$D$33-$D$34)/$I$16</f>
        <v/>
      </c>
      <c r="N66" s="264">
        <f>(N57+$D$33-$D$34)/$I$16</f>
        <v/>
      </c>
      <c r="O66" s="264">
        <f>(O57+$D$33-$D$34)/$I$16</f>
        <v/>
      </c>
      <c r="P66" s="264">
        <f>(P57+$D$33-$D$34)/$I$16</f>
        <v/>
      </c>
      <c r="Q66" s="264">
        <f>(Q57+$D$33-$D$34)/$I$16</f>
        <v/>
      </c>
      <c r="R66" s="264">
        <f>(R57+$D$33-$D$34)/$I$16</f>
        <v/>
      </c>
    </row>
    <row r="67">
      <c r="L67" s="159" t="n">
        <v>0.08500000000000001</v>
      </c>
      <c r="M67" s="264">
        <f>(M58+$D$33-$D$34)/$I$16</f>
        <v/>
      </c>
      <c r="N67" s="264">
        <f>(N58+$D$33-$D$34)/$I$16</f>
        <v/>
      </c>
      <c r="O67" s="264">
        <f>(O58+$D$33-$D$34)/$I$16</f>
        <v/>
      </c>
      <c r="P67" s="264">
        <f>(P58+$D$33-$D$34)/$I$16</f>
        <v/>
      </c>
      <c r="Q67" s="264">
        <f>(Q58+$D$33-$D$34)/$I$16</f>
        <v/>
      </c>
      <c r="R67" s="264">
        <f>(R58+$D$33-$D$34)/$I$16</f>
        <v/>
      </c>
    </row>
    <row r="68">
      <c r="L68" s="159" t="n">
        <v>0.09</v>
      </c>
      <c r="M68" s="264">
        <f>(M59+$D$33-$D$34)/$I$16</f>
        <v/>
      </c>
      <c r="N68" s="264">
        <f>(N59+$D$33-$D$34)/$I$16</f>
        <v/>
      </c>
      <c r="O68" s="264">
        <f>(O59+$D$33-$D$34)/$I$16</f>
        <v/>
      </c>
      <c r="P68" s="264">
        <f>(P59+$D$33-$D$34)/$I$16</f>
        <v/>
      </c>
      <c r="Q68" s="264">
        <f>(Q59+$D$33-$D$34)/$I$16</f>
        <v/>
      </c>
      <c r="R68" s="264">
        <f>(R59+$D$33-$D$34)/$I$16</f>
        <v/>
      </c>
    </row>
    <row r="69">
      <c r="L69" s="159" t="n">
        <v>0.0927</v>
      </c>
      <c r="M69" s="264">
        <f>(M60+$D$33-$D$34)/$I$16</f>
        <v/>
      </c>
      <c r="N69" s="264">
        <f>(N60+$D$33-$D$34)/$I$16</f>
        <v/>
      </c>
      <c r="O69" s="269">
        <f>(O60+$D$33-$D$34)/$I$16</f>
        <v/>
      </c>
      <c r="P69" s="264">
        <f>(P60+$D$33-$D$34)/$I$16</f>
        <v/>
      </c>
      <c r="Q69" s="264">
        <f>(Q60+$D$33-$D$34)/$I$16</f>
        <v/>
      </c>
      <c r="R69" s="264">
        <f>(R60+$D$33-$D$34)/$I$16</f>
        <v/>
      </c>
    </row>
    <row r="70">
      <c r="L70" s="159" t="n">
        <v>0.1</v>
      </c>
      <c r="M70" s="264">
        <f>(M61+$D$33-$D$34)/$I$16</f>
        <v/>
      </c>
      <c r="N70" s="264">
        <f>(N61+$D$33-$D$34)/$I$16</f>
        <v/>
      </c>
      <c r="O70" s="264">
        <f>(O61+$D$33-$D$34)/$I$16</f>
        <v/>
      </c>
      <c r="P70" s="264">
        <f>(P61+$D$33-$D$34)/$I$16</f>
        <v/>
      </c>
      <c r="Q70" s="264">
        <f>(Q61+$D$33-$D$34)/$I$16</f>
        <v/>
      </c>
      <c r="R70" s="264">
        <f>(R61+$D$33-$D$34)/$I$16</f>
        <v/>
      </c>
    </row>
    <row r="71">
      <c r="L71" s="159" t="n">
        <v>0.105</v>
      </c>
      <c r="M71" s="264">
        <f>(M62+$D$33-$D$34)/$I$16</f>
        <v/>
      </c>
      <c r="N71" s="264">
        <f>(N62+$D$33-$D$34)/$I$16</f>
        <v/>
      </c>
      <c r="O71" s="264">
        <f>(O62+$D$33-$D$34)/$I$16</f>
        <v/>
      </c>
      <c r="P71" s="264">
        <f>(P62+$D$33-$D$34)/$I$16</f>
        <v/>
      </c>
      <c r="Q71" s="264">
        <f>(Q62+$D$33-$D$34)/$I$16</f>
        <v/>
      </c>
      <c r="R71" s="264">
        <f>(R62+$D$33-$D$34)/$I$16</f>
        <v/>
      </c>
    </row>
    <row r="72">
      <c r="L72" s="154" t="inlineStr">
        <is>
          <t>Yellow = base (CAPM WACC=9.27%, Exit 21.0x; CAPM ref ≈9.27%). EV formula: XNPV(explicit FCFF) + (Y5 FCFF + Exit×EBITDA) / (1+WACC)^daycount. Peer median ~18.1x → base 21.0x; bull 26x; bear 15.5x.</t>
        </is>
      </c>
    </row>
  </sheetData>
  <mergeCells count="42">
    <mergeCell ref="T50:V50"/>
    <mergeCell ref="T44:V44"/>
    <mergeCell ref="Q5:V5"/>
    <mergeCell ref="Q23:V23"/>
    <mergeCell ref="Q50:S50"/>
    <mergeCell ref="Q26:S26"/>
    <mergeCell ref="L72:R72"/>
    <mergeCell ref="Q31:S31"/>
    <mergeCell ref="T51:V51"/>
    <mergeCell ref="Q44:S44"/>
    <mergeCell ref="Q49:S49"/>
    <mergeCell ref="Q46:S46"/>
    <mergeCell ref="Q30:V30"/>
    <mergeCell ref="Q17:V17"/>
    <mergeCell ref="T43:V43"/>
    <mergeCell ref="Q48:S48"/>
    <mergeCell ref="Q2:V2"/>
    <mergeCell ref="T46:V46"/>
    <mergeCell ref="Q45:S45"/>
    <mergeCell ref="Q41:V41"/>
    <mergeCell ref="L43:O43"/>
    <mergeCell ref="T48:V48"/>
    <mergeCell ref="L24:O24"/>
    <mergeCell ref="Q38:T38"/>
    <mergeCell ref="L17:N17"/>
    <mergeCell ref="Q43:S43"/>
    <mergeCell ref="Q3:V3"/>
    <mergeCell ref="Q47:S47"/>
    <mergeCell ref="T49:V49"/>
    <mergeCell ref="R19:T19"/>
    <mergeCell ref="Q37:V37"/>
    <mergeCell ref="Q24:S24"/>
    <mergeCell ref="L26:O26"/>
    <mergeCell ref="L55:R55"/>
    <mergeCell ref="Q18:S18"/>
    <mergeCell ref="Q42:S42"/>
    <mergeCell ref="L64:R64"/>
    <mergeCell ref="T42:V42"/>
    <mergeCell ref="T45:V45"/>
    <mergeCell ref="T47:V47"/>
    <mergeCell ref="L1:O1"/>
    <mergeCell ref="Q51:S51"/>
  </mergeCells>
  <hyperlinks>
    <hyperlink xmlns:r="http://schemas.openxmlformats.org/officeDocument/2006/relationships" ref="A4" r:id="rId1"/>
    <hyperlink xmlns:r="http://schemas.openxmlformats.org/officeDocument/2006/relationships" ref="C4" r:id="rId2"/>
    <hyperlink xmlns:r="http://schemas.openxmlformats.org/officeDocument/2006/relationships" ref="E5" r:id="rId3"/>
    <hyperlink xmlns:r="http://schemas.openxmlformats.org/officeDocument/2006/relationships" ref="E6" r:id="rId4"/>
    <hyperlink xmlns:r="http://schemas.openxmlformats.org/officeDocument/2006/relationships" ref="F6" r:id="rId5"/>
    <hyperlink xmlns:r="http://schemas.openxmlformats.org/officeDocument/2006/relationships" ref="G6" r:id="rId6"/>
    <hyperlink xmlns:r="http://schemas.openxmlformats.org/officeDocument/2006/relationships" ref="U6" r:id="rId7"/>
    <hyperlink xmlns:r="http://schemas.openxmlformats.org/officeDocument/2006/relationships" ref="V6" r:id="rId8"/>
    <hyperlink xmlns:r="http://schemas.openxmlformats.org/officeDocument/2006/relationships" ref="U7" r:id="rId9"/>
    <hyperlink xmlns:r="http://schemas.openxmlformats.org/officeDocument/2006/relationships" ref="V7" r:id="rId10"/>
    <hyperlink xmlns:r="http://schemas.openxmlformats.org/officeDocument/2006/relationships" ref="E8" r:id="rId11"/>
    <hyperlink xmlns:r="http://schemas.openxmlformats.org/officeDocument/2006/relationships" ref="F8" r:id="rId12"/>
    <hyperlink xmlns:r="http://schemas.openxmlformats.org/officeDocument/2006/relationships" ref="G8" r:id="rId13"/>
    <hyperlink xmlns:r="http://schemas.openxmlformats.org/officeDocument/2006/relationships" ref="U8" r:id="rId14"/>
    <hyperlink xmlns:r="http://schemas.openxmlformats.org/officeDocument/2006/relationships" ref="V8" r:id="rId15"/>
    <hyperlink xmlns:r="http://schemas.openxmlformats.org/officeDocument/2006/relationships" ref="L10" r:id="rId16"/>
    <hyperlink xmlns:r="http://schemas.openxmlformats.org/officeDocument/2006/relationships" ref="M10" r:id="rId17"/>
    <hyperlink xmlns:r="http://schemas.openxmlformats.org/officeDocument/2006/relationships" ref="U10" r:id="rId18"/>
    <hyperlink xmlns:r="http://schemas.openxmlformats.org/officeDocument/2006/relationships" ref="V10" r:id="rId19"/>
    <hyperlink xmlns:r="http://schemas.openxmlformats.org/officeDocument/2006/relationships" ref="U11" r:id="rId20"/>
    <hyperlink xmlns:r="http://schemas.openxmlformats.org/officeDocument/2006/relationships" ref="V11" r:id="rId21"/>
    <hyperlink xmlns:r="http://schemas.openxmlformats.org/officeDocument/2006/relationships" ref="U13" r:id="rId22"/>
    <hyperlink xmlns:r="http://schemas.openxmlformats.org/officeDocument/2006/relationships" ref="V13" r:id="rId23"/>
    <hyperlink xmlns:r="http://schemas.openxmlformats.org/officeDocument/2006/relationships" ref="U14" r:id="rId24"/>
    <hyperlink xmlns:r="http://schemas.openxmlformats.org/officeDocument/2006/relationships" ref="V14" r:id="rId25"/>
    <hyperlink xmlns:r="http://schemas.openxmlformats.org/officeDocument/2006/relationships" ref="U15" r:id="rId26"/>
    <hyperlink xmlns:r="http://schemas.openxmlformats.org/officeDocument/2006/relationships" ref="V15" r:id="rId27"/>
    <hyperlink xmlns:r="http://schemas.openxmlformats.org/officeDocument/2006/relationships" ref="U18" r:id="rId28"/>
    <hyperlink xmlns:r="http://schemas.openxmlformats.org/officeDocument/2006/relationships" ref="V18" r:id="rId29"/>
    <hyperlink xmlns:r="http://schemas.openxmlformats.org/officeDocument/2006/relationships" ref="U20" r:id="rId30"/>
    <hyperlink xmlns:r="http://schemas.openxmlformats.org/officeDocument/2006/relationships" ref="U25" r:id="rId31"/>
    <hyperlink xmlns:r="http://schemas.openxmlformats.org/officeDocument/2006/relationships" ref="U27" r:id="rId32"/>
    <hyperlink xmlns:r="http://schemas.openxmlformats.org/officeDocument/2006/relationships" ref="U33" r:id="rId33"/>
    <hyperlink xmlns:r="http://schemas.openxmlformats.org/officeDocument/2006/relationships" ref="V33" r:id="rId34"/>
    <hyperlink xmlns:r="http://schemas.openxmlformats.org/officeDocument/2006/relationships" ref="U34" r:id="rId35"/>
    <hyperlink xmlns:r="http://schemas.openxmlformats.org/officeDocument/2006/relationships" ref="V34" r:id="rId36"/>
    <hyperlink xmlns:r="http://schemas.openxmlformats.org/officeDocument/2006/relationships" ref="U38" r:id="rId37"/>
    <hyperlink xmlns:r="http://schemas.openxmlformats.org/officeDocument/2006/relationships" ref="V38" r:id="rId38"/>
    <hyperlink xmlns:r="http://schemas.openxmlformats.org/officeDocument/2006/relationships" ref="Q42" r:id="rId39"/>
    <hyperlink xmlns:r="http://schemas.openxmlformats.org/officeDocument/2006/relationships" ref="Q43" r:id="rId40"/>
    <hyperlink xmlns:r="http://schemas.openxmlformats.org/officeDocument/2006/relationships" ref="Q44" r:id="rId41"/>
    <hyperlink xmlns:r="http://schemas.openxmlformats.org/officeDocument/2006/relationships" ref="Q45" r:id="rId42"/>
    <hyperlink xmlns:r="http://schemas.openxmlformats.org/officeDocument/2006/relationships" ref="Q46" r:id="rId43"/>
    <hyperlink xmlns:r="http://schemas.openxmlformats.org/officeDocument/2006/relationships" ref="Q47" r:id="rId44"/>
    <hyperlink xmlns:r="http://schemas.openxmlformats.org/officeDocument/2006/relationships" ref="Q48" r:id="rId45"/>
    <hyperlink xmlns:r="http://schemas.openxmlformats.org/officeDocument/2006/relationships" ref="Q49" r:id="rId46"/>
    <hyperlink xmlns:r="http://schemas.openxmlformats.org/officeDocument/2006/relationships" ref="Q50" r:id="rId47"/>
    <hyperlink xmlns:r="http://schemas.openxmlformats.org/officeDocument/2006/relationships" ref="Q51" r:id="rId48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2026-08-06T17:32:19Z</dcterms:modified>
  <cp:lastModifiedBy>Katie Au Yeung</cp:lastModifiedBy>
  <cp:lastPrinted>2014-12-13T23:43:21Z</cp:lastPrinted>
</cp:coreProperties>
</file>