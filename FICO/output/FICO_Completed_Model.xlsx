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DCF_Capex">'DCF Model'!$D$15</definedName>
    <definedName name="DCF_EBIT_Start">'DCF Model'!$E$21</definedName>
    <definedName name="DCF_DA_Start">'DCF Model'!$E$23</definedName>
    <definedName name="DCF_DeltaNWC_Start">'DCF Model'!$E$25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0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_-* #,##0.00_-;\-* #,##0.00_-;_-* &quot;-&quot;??_-;_-@_-"/>
    <numFmt numFmtId="173" formatCode="_-* #,##0.00_-;\(#,##0.00\)_-;_-* &quot;-&quot;_-;_-@_-"/>
  </numFmts>
  <fonts count="3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FF"/>
    </font>
  </fonts>
  <fills count="8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FFF2CC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42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71" fontId="32" fillId="0" borderId="0" applyAlignment="1" pivotButton="0" quotePrefix="0" xfId="0">
      <alignment horizontal="right"/>
    </xf>
    <xf numFmtId="14" fontId="32" fillId="0" borderId="0" pivotButton="0" quotePrefix="0" xfId="0"/>
    <xf numFmtId="172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4" fontId="35" fillId="0" borderId="0" pivotButton="0" quotePrefix="0" xfId="0"/>
    <xf numFmtId="14" fontId="36" fillId="0" borderId="0" pivotButton="0" quotePrefix="0" xfId="0"/>
    <xf numFmtId="16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2" fontId="35" fillId="0" borderId="0" pivotButton="0" quotePrefix="0" xfId="0"/>
    <xf numFmtId="164" fontId="30" fillId="0" borderId="2" pivotButton="0" quotePrefix="0" xfId="0"/>
    <xf numFmtId="168" fontId="32" fillId="0" borderId="0" pivotButton="0" quotePrefix="0" xfId="0"/>
    <xf numFmtId="9" fontId="30" fillId="0" borderId="0" pivotButton="0" quotePrefix="0" xfId="0"/>
    <xf numFmtId="173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0" fontId="38" fillId="7" borderId="0" pivotButton="0" quotePrefix="0" xfId="1"/>
    <xf numFmtId="166" fontId="38" fillId="7" borderId="0" pivotButton="0" quotePrefix="0" xfId="2"/>
    <xf numFmtId="164" fontId="38" fillId="7" borderId="0" pivotButton="0" quotePrefix="0" xfId="1"/>
    <xf numFmtId="164" fontId="38" fillId="7" borderId="1" pivotButton="0" quotePrefix="0" xfId="1"/>
    <xf numFmtId="164" fontId="38" fillId="7" borderId="2" applyAlignment="1" pivotButton="0" quotePrefix="0" xfId="1">
      <alignment horizontal="center"/>
    </xf>
    <xf numFmtId="9" fontId="38" fillId="7" borderId="0" applyAlignment="1" pivotButton="0" quotePrefix="0" xfId="0">
      <alignment horizontal="right"/>
    </xf>
    <xf numFmtId="171" fontId="38" fillId="7" borderId="0" applyAlignment="1" pivotButton="0" quotePrefix="0" xfId="0">
      <alignment horizontal="right"/>
    </xf>
    <xf numFmtId="172" fontId="38" fillId="7" borderId="0" applyAlignment="1" pivotButton="0" quotePrefix="0" xfId="0">
      <alignment horizontal="right"/>
    </xf>
    <xf numFmtId="167" fontId="38" fillId="7" borderId="0" applyAlignment="1" pivotButton="0" quotePrefix="0" xfId="0">
      <alignment horizontal="right"/>
    </xf>
    <xf numFmtId="164" fontId="38" fillId="7" borderId="0" pivotButton="0" quotePrefix="0" xfId="0"/>
    <xf numFmtId="172" fontId="35" fillId="0" borderId="0" pivotButton="0" quotePrefix="0" xfId="0"/>
    <xf numFmtId="168" fontId="38" fillId="7" borderId="0" pivotButton="0" quotePrefix="0" xfId="0"/>
    <xf numFmtId="173" fontId="30" fillId="0" borderId="0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Open this file in Excel to recalculate formulas from injected SEC inputs. CSV sources live in FICO/output/*.csv — do not edit formula cells.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15.5546875" customWidth="1" style="19" min="2" max="3"/>
    <col width="15.5546875" customWidth="1" style="47" min="4" max="4"/>
    <col width="11.5546875" customWidth="1" style="19" min="5" max="9"/>
    <col width="12.5546875" customWidth="1" style="19" min="10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29" t="n">
        <v>2021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30" t="n">
        <v>0.143234</v>
      </c>
      <c r="K7" s="130" t="n">
        <v>0.1</v>
      </c>
      <c r="L7" s="130" t="n">
        <v>0.09</v>
      </c>
      <c r="M7" s="130" t="n">
        <v>0.08</v>
      </c>
      <c r="N7" s="130" t="n">
        <v>0.07000000000000001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30" t="n">
        <v>0.1776721622567833</v>
      </c>
      <c r="K8" s="130" t="n">
        <v>0.1776721622567833</v>
      </c>
      <c r="L8" s="130" t="n">
        <v>0.1776721622567833</v>
      </c>
      <c r="M8" s="130" t="n">
        <v>0.1776721622567833</v>
      </c>
      <c r="N8" s="130" t="n">
        <v>0.1776721622567833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131" t="n">
        <v>586511.1</v>
      </c>
      <c r="K9" s="131" t="n">
        <v>645162.2</v>
      </c>
      <c r="L9" s="131" t="n">
        <v>703226.8</v>
      </c>
      <c r="M9" s="131" t="n">
        <v>759484.9</v>
      </c>
      <c r="N9" s="131" t="n">
        <v>812648.8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131" t="n">
        <v>215324.7</v>
      </c>
      <c r="K10" s="131" t="n">
        <v>236857.2</v>
      </c>
      <c r="L10" s="131" t="n">
        <v>258174.3</v>
      </c>
      <c r="M10" s="131" t="n">
        <v>278828.3</v>
      </c>
      <c r="N10" s="131" t="n">
        <v>298346.2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30" t="n">
        <v>0.2208143192592265</v>
      </c>
      <c r="K11" s="130" t="n">
        <v>0.2208143192592265</v>
      </c>
      <c r="L11" s="130" t="n">
        <v>0.2208143192592265</v>
      </c>
      <c r="M11" s="130" t="n">
        <v>0.2208143192592265</v>
      </c>
      <c r="N11" s="130" t="n">
        <v>0.2208143192592265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30" t="n">
        <v>0.04373707943636971</v>
      </c>
      <c r="K12" s="130" t="n">
        <v>0.04373707943636971</v>
      </c>
      <c r="L12" s="130" t="n">
        <v>0.04373707943636971</v>
      </c>
      <c r="M12" s="130" t="n">
        <v>0.04373707943636971</v>
      </c>
      <c r="N12" s="130" t="n">
        <v>0.04373707943636971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30" t="n">
        <v>0.1877023903712333</v>
      </c>
      <c r="K13" s="130" t="n">
        <v>0.1877023903712333</v>
      </c>
      <c r="L13" s="130" t="n">
        <v>0.1877023903712333</v>
      </c>
      <c r="M13" s="130" t="n">
        <v>0.1877023903712333</v>
      </c>
      <c r="N13" s="130" t="n">
        <v>0.1877023903712333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131" t="n">
        <v>97</v>
      </c>
      <c r="K15" s="131" t="n">
        <v>97</v>
      </c>
      <c r="L15" s="131" t="n">
        <v>97</v>
      </c>
      <c r="M15" s="131" t="n">
        <v>97</v>
      </c>
      <c r="N15" s="131" t="n">
        <v>97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131" t="n">
        <v>0</v>
      </c>
      <c r="K16" s="131" t="n">
        <v>0</v>
      </c>
      <c r="L16" s="131" t="n">
        <v>0</v>
      </c>
      <c r="M16" s="131" t="n">
        <v>0</v>
      </c>
      <c r="N16" s="131" t="n">
        <v>0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131" t="n">
        <v>33</v>
      </c>
      <c r="K17" s="131" t="n">
        <v>33</v>
      </c>
      <c r="L17" s="131" t="n">
        <v>33</v>
      </c>
      <c r="M17" s="131" t="n">
        <v>33</v>
      </c>
      <c r="N17" s="131" t="n">
        <v>33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131" t="n">
        <v>45051.4</v>
      </c>
      <c r="K18" s="131" t="n">
        <v>49556.6</v>
      </c>
      <c r="L18" s="131" t="n">
        <v>54016.7</v>
      </c>
      <c r="M18" s="131" t="n">
        <v>58338</v>
      </c>
      <c r="N18" s="131" t="n">
        <v>62421.6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131" t="n">
        <v>0</v>
      </c>
      <c r="K19" s="131" t="n">
        <v>0</v>
      </c>
      <c r="L19" s="131" t="n">
        <v>0</v>
      </c>
      <c r="M19" s="131" t="n">
        <v>0</v>
      </c>
      <c r="N19" s="131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131" t="n">
        <v>0</v>
      </c>
      <c r="K20" s="131" t="n">
        <v>0</v>
      </c>
      <c r="L20" s="131" t="n">
        <v>0</v>
      </c>
      <c r="M20" s="131" t="n">
        <v>0</v>
      </c>
      <c r="N20" s="131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131" t="n">
        <v>1316536</v>
      </c>
      <c r="F24" s="131" t="n">
        <v>1377270</v>
      </c>
      <c r="G24" s="131" t="n">
        <v>1513557</v>
      </c>
      <c r="H24" s="131" t="n">
        <v>1717526</v>
      </c>
      <c r="I24" s="131" t="n">
        <v>1990869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131" t="n">
        <v>332462</v>
      </c>
      <c r="F25" s="131" t="n">
        <v>302174</v>
      </c>
      <c r="G25" s="131" t="n">
        <v>311053</v>
      </c>
      <c r="H25" s="131" t="n">
        <v>348206</v>
      </c>
      <c r="I25" s="131" t="n">
        <v>353722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131" t="n">
        <v>396281</v>
      </c>
      <c r="F28" s="131" t="n">
        <v>383863</v>
      </c>
      <c r="G28" s="131" t="n">
        <v>400565</v>
      </c>
      <c r="H28" s="131" t="n">
        <v>462834</v>
      </c>
      <c r="I28" s="131" t="n">
        <v>513028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131" t="n">
        <v>171231</v>
      </c>
      <c r="F29" s="131" t="n">
        <v>146758</v>
      </c>
      <c r="G29" s="131" t="n">
        <v>159950</v>
      </c>
      <c r="H29" s="131" t="n">
        <v>171940</v>
      </c>
      <c r="I29" s="131" t="n">
        <v>188347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131" t="n">
        <v>25592</v>
      </c>
      <c r="F30" s="131" t="n">
        <v>20465</v>
      </c>
      <c r="G30" s="131" t="n">
        <v>14638</v>
      </c>
      <c r="H30" s="131" t="n">
        <v>13827</v>
      </c>
      <c r="I30" s="131" t="n">
        <v>14952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132" t="n">
        <v>40092</v>
      </c>
      <c r="F31" s="132" t="n">
        <v>68967</v>
      </c>
      <c r="G31" s="132" t="n">
        <v>95546</v>
      </c>
      <c r="H31" s="132" t="n">
        <v>105638</v>
      </c>
      <c r="I31" s="132" t="n">
        <v>133647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131" t="n">
        <v>81058</v>
      </c>
      <c r="F35" s="131" t="n">
        <v>97768</v>
      </c>
      <c r="G35" s="131" t="n">
        <v>124249</v>
      </c>
      <c r="H35" s="131" t="n">
        <v>129214</v>
      </c>
      <c r="I35" s="131" t="n">
        <v>150649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131" t="n">
        <v>195354</v>
      </c>
      <c r="F41" s="131" t="n">
        <v>133202</v>
      </c>
      <c r="G41" s="131" t="n">
        <v>136778</v>
      </c>
      <c r="H41" s="131" t="n">
        <v>150667</v>
      </c>
      <c r="I41" s="131" t="n">
        <v>134136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131" t="n">
        <v>312107</v>
      </c>
      <c r="F42" s="131" t="n">
        <v>322410</v>
      </c>
      <c r="G42" s="131" t="n">
        <v>387947</v>
      </c>
      <c r="H42" s="131" t="n">
        <v>426642</v>
      </c>
      <c r="I42" s="131" t="n">
        <v>529148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131" t="n">
        <v>0</v>
      </c>
      <c r="F43" s="131" t="n">
        <v>0</v>
      </c>
      <c r="G43" s="131" t="n">
        <v>0</v>
      </c>
      <c r="H43" s="131" t="n">
        <v>0</v>
      </c>
      <c r="I43" s="131" t="n">
        <v>0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131" t="n">
        <v>27913</v>
      </c>
      <c r="F44" s="131" t="n">
        <v>17580</v>
      </c>
      <c r="G44" s="131" t="n">
        <v>10966</v>
      </c>
      <c r="H44" s="131" t="n">
        <v>38465</v>
      </c>
      <c r="I44" s="131" t="n">
        <v>67713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131" t="n">
        <v>20749</v>
      </c>
      <c r="F48" s="131" t="n">
        <v>17273</v>
      </c>
      <c r="G48" s="131" t="n">
        <v>19009</v>
      </c>
      <c r="H48" s="131" t="n">
        <v>22473</v>
      </c>
      <c r="I48" s="131" t="n">
        <v>32315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131" t="n">
        <v>1259018</v>
      </c>
      <c r="F49" s="131" t="n">
        <v>1853669</v>
      </c>
      <c r="G49" s="131" t="n">
        <v>1861658</v>
      </c>
      <c r="H49" s="131" t="n">
        <v>2209021</v>
      </c>
      <c r="I49" s="131" t="n">
        <v>3055691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131" t="n">
        <v>-744393</v>
      </c>
      <c r="F52" s="131" t="n">
        <v>-1397750</v>
      </c>
      <c r="G52" s="131" t="n">
        <v>-1344976</v>
      </c>
      <c r="H52" s="131" t="n">
        <v>-1615720</v>
      </c>
      <c r="I52" s="131" t="n">
        <v>-2357009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131" t="n">
        <v>0</v>
      </c>
      <c r="F53" s="131" t="n">
        <v>0</v>
      </c>
      <c r="G53" s="131" t="n">
        <v>0</v>
      </c>
      <c r="H53" s="131" t="n">
        <v>0</v>
      </c>
      <c r="I53" s="131" t="n">
        <v>0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131" t="n">
        <v>0</v>
      </c>
      <c r="F64" s="131" t="n">
        <v>13779</v>
      </c>
      <c r="G64" s="131" t="n">
        <v>63801</v>
      </c>
      <c r="H64" s="131" t="n">
        <v>35231</v>
      </c>
      <c r="I64" s="131" t="n">
        <v>92664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131" t="n">
        <v>7569</v>
      </c>
      <c r="F68" s="131" t="n">
        <v>6029</v>
      </c>
      <c r="G68" s="131" t="n">
        <v>4237</v>
      </c>
      <c r="H68" s="131" t="n">
        <v>25551</v>
      </c>
      <c r="I68" s="131" t="n">
        <v>39407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131" t="n">
        <v>0</v>
      </c>
      <c r="F72" s="131" t="n">
        <v>594651</v>
      </c>
      <c r="G72" s="131" t="n">
        <v>7989</v>
      </c>
      <c r="H72" s="131" t="n">
        <v>347363</v>
      </c>
      <c r="I72" s="131" t="n">
        <v>846670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131" t="n">
        <v>0</v>
      </c>
      <c r="F73" s="131" t="n">
        <v>0</v>
      </c>
      <c r="G73" s="131" t="n">
        <v>0</v>
      </c>
      <c r="H73" s="131" t="n">
        <v>0</v>
      </c>
      <c r="I73" s="131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 t="n">
        <v>167971.1792</v>
      </c>
      <c r="G77" s="33" t="n">
        <v>181209.912697878</v>
      </c>
      <c r="H77" s="33" t="n">
        <v>183715.2565830093</v>
      </c>
      <c r="I77" s="33" t="n">
        <v>211069.3356066046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133" t="n">
        <v>157394</v>
      </c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33" t="n">
        <v>5100.35</v>
      </c>
      <c r="F85" s="33" t="n">
        <v>5904.3</v>
      </c>
      <c r="G85" s="33" t="n">
        <v>6567.25</v>
      </c>
      <c r="H85" s="33" t="n">
        <v>7117.05</v>
      </c>
      <c r="I85" s="33" t="n">
        <v>7538.6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33" t="n">
        <v>7804.6</v>
      </c>
      <c r="F86" s="33" t="n">
        <v>9600.800000000001</v>
      </c>
      <c r="G86" s="33" t="n">
        <v>9824.6</v>
      </c>
      <c r="H86" s="33" t="n">
        <v>10530.8</v>
      </c>
      <c r="I86" s="33" t="n">
        <v>11342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33" t="n">
        <v>3902.3</v>
      </c>
      <c r="F87" s="33" t="n">
        <v>4800.400000000001</v>
      </c>
      <c r="G87" s="33" t="n">
        <v>4912.3</v>
      </c>
      <c r="H87" s="33" t="n">
        <v>5265.400000000001</v>
      </c>
      <c r="I87" s="33" t="n">
        <v>5671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33" t="n">
        <v>50000</v>
      </c>
      <c r="F92" s="33" t="n">
        <v>45500</v>
      </c>
      <c r="G92" s="33" t="n">
        <v>42350</v>
      </c>
      <c r="H92" s="33" t="n">
        <v>40145</v>
      </c>
      <c r="I92" s="33" t="n">
        <v>38601.5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33" t="n">
        <v>15000</v>
      </c>
      <c r="F93" s="33" t="n">
        <v>15000</v>
      </c>
      <c r="G93" s="33" t="n">
        <v>15000</v>
      </c>
      <c r="H93" s="33" t="n">
        <v>15000</v>
      </c>
      <c r="I93" s="33" t="n">
        <v>15000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33" t="n">
        <v>19500</v>
      </c>
      <c r="F94" s="33" t="n">
        <v>18150</v>
      </c>
      <c r="G94" s="33" t="n">
        <v>17205</v>
      </c>
      <c r="H94" s="33" t="n">
        <v>16543.5</v>
      </c>
      <c r="I94" s="33" t="n">
        <v>16080.45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33" t="n">
        <v>50000</v>
      </c>
      <c r="F98" s="33" t="n">
        <v>50000</v>
      </c>
      <c r="G98" s="33" t="n">
        <v>50000</v>
      </c>
      <c r="H98" s="33" t="n">
        <v>30000</v>
      </c>
      <c r="I98" s="33" t="n">
        <v>30000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33" t="n">
        <v>0</v>
      </c>
      <c r="F99" s="33" t="n">
        <v>0</v>
      </c>
      <c r="G99" s="33" t="n">
        <v>-20000</v>
      </c>
      <c r="H99" s="33" t="n">
        <v>0</v>
      </c>
      <c r="I99" s="33" t="n">
        <v>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33" t="n">
        <v>2500</v>
      </c>
      <c r="F101" s="33" t="n">
        <v>2500</v>
      </c>
      <c r="G101" s="33" t="n">
        <v>1500</v>
      </c>
      <c r="H101" s="33" t="n">
        <v>900</v>
      </c>
      <c r="I101" s="33" t="n">
        <v>900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12.6328125" customWidth="1" min="2" max="2"/>
    <col width="12.453125" customWidth="1" min="3" max="3"/>
    <col width="11.36328125" customWidth="1" min="4" max="4"/>
    <col width="11.54296875" customWidth="1" min="5" max="5"/>
    <col width="12.54296875" customWidth="1" min="10" max="10"/>
    <col width="9.08984375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4" t="n"/>
      <c r="M1" s="94" t="n"/>
      <c r="N1" s="94" t="n"/>
    </row>
    <row r="2" ht="18" customHeight="1">
      <c r="A2" s="93" t="n"/>
      <c r="B2" s="95" t="inlineStr">
        <is>
          <t>DCF Model</t>
        </is>
      </c>
      <c r="C2" s="96" t="n"/>
      <c r="D2" s="96" t="n"/>
      <c r="E2" s="96" t="n"/>
      <c r="F2" s="94" t="n"/>
      <c r="G2" s="94" t="n"/>
      <c r="H2" s="93" t="n"/>
      <c r="I2" s="95" t="n"/>
      <c r="J2" s="96" t="n"/>
      <c r="K2" s="96" t="n"/>
      <c r="L2" s="96" t="n"/>
      <c r="M2" s="94" t="n"/>
      <c r="N2" s="94" t="n"/>
    </row>
    <row r="3" ht="16" customHeight="1">
      <c r="A3" s="97" t="n"/>
      <c r="B3" s="98" t="n"/>
      <c r="C3" s="97" t="n"/>
      <c r="D3" s="99" t="n"/>
      <c r="E3" s="100" t="n"/>
      <c r="F3" s="100" t="n"/>
      <c r="G3" s="100" t="n"/>
      <c r="H3" s="100" t="n"/>
      <c r="I3" s="100" t="n"/>
      <c r="J3" s="97" t="n"/>
      <c r="K3" s="97" t="n"/>
      <c r="L3" s="97" t="n"/>
      <c r="M3" s="97" t="n"/>
      <c r="N3" s="97" t="n"/>
      <c r="O3" s="97" t="n"/>
    </row>
    <row r="4" ht="16" customHeight="1">
      <c r="A4" s="97" t="n"/>
      <c r="B4" s="101" t="inlineStr">
        <is>
          <t>Assumptions</t>
        </is>
      </c>
      <c r="C4" s="102" t="n"/>
      <c r="D4" s="102" t="n"/>
      <c r="E4" s="100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</row>
    <row r="5" ht="16" customHeight="1">
      <c r="A5" s="97" t="n"/>
      <c r="B5" s="103" t="inlineStr">
        <is>
          <t>Tax Rate</t>
        </is>
      </c>
      <c r="C5" s="100" t="n"/>
      <c r="D5" s="134" t="n">
        <v>0.1877023903712333</v>
      </c>
      <c r="E5" s="100" t="n"/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</row>
    <row r="6" ht="16" customHeight="1">
      <c r="A6" s="97" t="n"/>
      <c r="B6" s="103" t="inlineStr">
        <is>
          <t>Discount Rate</t>
        </is>
      </c>
      <c r="C6" s="97" t="n"/>
      <c r="D6" s="134" t="n">
        <v>0.096</v>
      </c>
      <c r="E6" s="97" t="n"/>
      <c r="F6" s="97" t="n"/>
      <c r="G6" s="97" t="n"/>
      <c r="H6" s="97" t="n"/>
      <c r="I6" s="97" t="n"/>
      <c r="J6" s="97" t="n"/>
      <c r="K6" s="97" t="n"/>
      <c r="L6" s="97" t="n"/>
      <c r="M6" s="97" t="n"/>
      <c r="N6" s="97" t="n"/>
      <c r="O6" s="97" t="n"/>
    </row>
    <row r="7" ht="16" customHeight="1">
      <c r="A7" s="97" t="n"/>
      <c r="B7" s="97" t="inlineStr">
        <is>
          <t>Perpetural Growth Rate</t>
        </is>
      </c>
      <c r="C7" s="97" t="n"/>
      <c r="D7" s="134" t="n">
        <v>0.03</v>
      </c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</row>
    <row r="8" ht="16" customHeight="1">
      <c r="A8" s="97" t="n"/>
      <c r="B8" s="97" t="inlineStr">
        <is>
          <t>EV/EBITDA Mulltiple</t>
        </is>
      </c>
      <c r="C8" s="97" t="n"/>
      <c r="D8" s="135" t="n">
        <v>22</v>
      </c>
      <c r="E8" s="97" t="n"/>
      <c r="F8" s="97" t="n"/>
      <c r="G8" s="97" t="n"/>
      <c r="H8" s="97" t="n"/>
      <c r="I8" s="97" t="n"/>
      <c r="J8" s="97" t="n"/>
      <c r="K8" s="97" t="n"/>
      <c r="L8" s="97" t="n"/>
      <c r="M8" s="97" t="n"/>
      <c r="N8" s="97" t="n"/>
      <c r="O8" s="97" t="n"/>
    </row>
    <row r="9" ht="16" customHeight="1">
      <c r="A9" s="97" t="n"/>
      <c r="B9" s="97" t="inlineStr">
        <is>
          <t>Transaction Date</t>
        </is>
      </c>
      <c r="C9" s="97" t="n"/>
      <c r="D9" s="106" t="n">
        <v>45930</v>
      </c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</row>
    <row r="10" ht="16" customHeight="1">
      <c r="A10" s="97" t="n"/>
      <c r="B10" s="97" t="inlineStr">
        <is>
          <t>Fiscal Year End</t>
        </is>
      </c>
      <c r="C10" s="97" t="n"/>
      <c r="D10" s="106" t="n">
        <v>46295</v>
      </c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</row>
    <row r="11" ht="16" customHeight="1">
      <c r="A11" s="97" t="n"/>
      <c r="B11" s="97" t="inlineStr">
        <is>
          <t>Current Price</t>
        </is>
      </c>
      <c r="C11" s="97" t="n"/>
      <c r="D11" s="136" t="n">
        <v>1046.23</v>
      </c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  <c r="N11" s="97" t="n"/>
      <c r="O11" s="97" t="n"/>
    </row>
    <row r="12" ht="16" customHeight="1">
      <c r="A12" s="97" t="n"/>
      <c r="B12" s="97" t="inlineStr">
        <is>
          <t>Shares Outstanding</t>
        </is>
      </c>
      <c r="C12" s="97" t="n"/>
      <c r="D12" s="137" t="n">
        <v>21597.635</v>
      </c>
      <c r="E12" s="97" t="n"/>
      <c r="F12" s="97" t="n"/>
      <c r="G12" s="97" t="n"/>
      <c r="H12" s="97" t="n"/>
      <c r="I12" s="97" t="n"/>
      <c r="J12" s="97" t="n"/>
      <c r="K12" s="97" t="n"/>
      <c r="L12" s="97" t="n"/>
      <c r="M12" s="97" t="n"/>
      <c r="N12" s="97" t="n"/>
      <c r="O12" s="97" t="n"/>
    </row>
    <row r="13" ht="16" customHeight="1">
      <c r="A13" s="97" t="n"/>
      <c r="B13" s="97" t="inlineStr">
        <is>
          <t>Debt</t>
        </is>
      </c>
      <c r="C13" s="97" t="n"/>
      <c r="D13" s="137" t="n">
        <v>5582389</v>
      </c>
      <c r="E13" s="97" t="n"/>
      <c r="F13" s="97" t="n"/>
      <c r="G13" s="97" t="n"/>
      <c r="H13" s="97" t="n"/>
      <c r="I13" s="97" t="n"/>
      <c r="J13" s="97" t="n"/>
      <c r="K13" s="97" t="n"/>
      <c r="L13" s="97" t="n"/>
      <c r="M13" s="97" t="n"/>
      <c r="N13" s="97" t="n"/>
      <c r="O13" s="97" t="n"/>
    </row>
    <row r="14" ht="16" customHeight="1">
      <c r="A14" s="97" t="n"/>
      <c r="B14" s="97" t="inlineStr">
        <is>
          <t>Cash</t>
        </is>
      </c>
      <c r="C14" s="97" t="n"/>
      <c r="D14" s="137" t="n">
        <v>304537</v>
      </c>
      <c r="E14" s="97" t="n"/>
      <c r="F14" s="97" t="n"/>
      <c r="G14" s="97" t="n"/>
      <c r="H14" s="97" t="n"/>
      <c r="I14" s="97" t="n"/>
      <c r="J14" s="97" t="n"/>
      <c r="K14" s="97" t="n"/>
      <c r="L14" s="97" t="n"/>
      <c r="M14" s="97" t="n"/>
      <c r="N14" s="97" t="n"/>
      <c r="O14" s="97" t="n"/>
    </row>
    <row r="15" ht="16" customHeight="1">
      <c r="A15" s="97" t="n"/>
      <c r="B15" s="97" t="inlineStr">
        <is>
          <t>Capex</t>
        </is>
      </c>
      <c r="C15" s="97" t="n"/>
      <c r="D15" s="138" t="n">
        <v>45051.43556656494</v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</row>
    <row r="16" ht="16" customHeight="1">
      <c r="A16" s="97" t="n"/>
      <c r="B16" s="97" t="n"/>
      <c r="C16" s="97" t="n"/>
      <c r="D16" s="106" t="n"/>
      <c r="J16" s="97" t="n"/>
      <c r="K16" s="97" t="n"/>
      <c r="L16" s="97" t="n"/>
      <c r="M16" s="97" t="n"/>
      <c r="N16" s="97" t="n"/>
      <c r="O16" s="97" t="n"/>
    </row>
    <row r="17" ht="16" customHeight="1">
      <c r="A17" s="97" t="n"/>
      <c r="B17" s="109" t="inlineStr">
        <is>
          <t>Discounted Cash Flow</t>
        </is>
      </c>
      <c r="C17" s="110" t="n"/>
      <c r="D17" s="111" t="inlineStr">
        <is>
          <t>Entry</t>
        </is>
      </c>
      <c r="E17" s="112">
        <f>YEAR(E18)</f>
        <v/>
      </c>
      <c r="F17" s="112">
        <f>YEAR(F18)</f>
        <v/>
      </c>
      <c r="G17" s="112">
        <f>YEAR(G18)</f>
        <v/>
      </c>
      <c r="H17" s="112">
        <f>YEAR(H18)</f>
        <v/>
      </c>
      <c r="I17" s="112">
        <f>YEAR(I18)</f>
        <v/>
      </c>
      <c r="J17" s="111" t="inlineStr">
        <is>
          <t>Exit</t>
        </is>
      </c>
      <c r="K17" s="97" t="n"/>
      <c r="L17" s="109" t="inlineStr">
        <is>
          <t>Terminal Value</t>
        </is>
      </c>
      <c r="M17" s="110" t="n"/>
      <c r="N17" s="110" t="n"/>
      <c r="O17" s="97" t="n"/>
    </row>
    <row r="18" ht="16" customHeight="1">
      <c r="A18" s="97" t="n"/>
      <c r="B18" s="97" t="inlineStr">
        <is>
          <t>Date</t>
        </is>
      </c>
      <c r="C18" s="97" t="n"/>
      <c r="D18" s="113">
        <f>D9</f>
        <v/>
      </c>
      <c r="E18" s="113">
        <f>DATE(YEAR($D$10)+E19,6,30)</f>
        <v/>
      </c>
      <c r="F18" s="113">
        <f>DATE(YEAR($D$10)+F19,6,30)</f>
        <v/>
      </c>
      <c r="G18" s="113">
        <f>DATE(YEAR($D$10)+G19,6,30)</f>
        <v/>
      </c>
      <c r="H18" s="113">
        <f>DATE(YEAR($D$10)+H19,6,30)</f>
        <v/>
      </c>
      <c r="I18" s="113">
        <f>DATE(YEAR($D$10)+I19,6,30)</f>
        <v/>
      </c>
      <c r="J18" s="114">
        <f>I18</f>
        <v/>
      </c>
      <c r="K18" s="97" t="n"/>
      <c r="L18" s="97" t="inlineStr">
        <is>
          <t>Perpetural Growth</t>
        </is>
      </c>
      <c r="M18" s="97" t="n"/>
      <c r="N18" s="97">
        <f>(I26*(1+D7))/(D6-D7)</f>
        <v/>
      </c>
      <c r="O18" s="97" t="n"/>
    </row>
    <row r="19" ht="16" customHeight="1">
      <c r="A19" s="97" t="n"/>
      <c r="B19" s="115" t="inlineStr">
        <is>
          <t>Time Periods</t>
        </is>
      </c>
      <c r="C19" s="115" t="n"/>
      <c r="D19" s="113" t="n"/>
      <c r="E19" s="116" t="n">
        <v>0</v>
      </c>
      <c r="F19" s="117">
        <f>E19+1</f>
        <v/>
      </c>
      <c r="G19" s="117">
        <f>F19+1</f>
        <v/>
      </c>
      <c r="H19" s="117">
        <f>G19+1</f>
        <v/>
      </c>
      <c r="I19" s="117">
        <f>H19+1</f>
        <v/>
      </c>
      <c r="J19" s="113" t="n"/>
      <c r="K19" s="97" t="n"/>
      <c r="L19" s="97" t="inlineStr">
        <is>
          <t>EV/EBITDA</t>
        </is>
      </c>
      <c r="M19" s="97" t="n"/>
      <c r="N19" s="118">
        <f>D8*(I21+I23)</f>
        <v/>
      </c>
      <c r="O19" s="97" t="n"/>
    </row>
    <row r="20" ht="16" customHeight="1">
      <c r="A20" s="97" t="n"/>
      <c r="B20" s="115" t="inlineStr">
        <is>
          <t>Year Fraction</t>
        </is>
      </c>
      <c r="C20" s="97" t="n"/>
      <c r="D20" s="97" t="n"/>
      <c r="E20" s="139">
        <f>YEARFRAC(D18,E18)</f>
        <v/>
      </c>
      <c r="F20" s="139">
        <f>YEARFRAC(E18,F18)</f>
        <v/>
      </c>
      <c r="G20" s="139">
        <f>YEARFRAC(F18,G18)</f>
        <v/>
      </c>
      <c r="H20" s="139">
        <f>YEARFRAC(G18,H18)</f>
        <v/>
      </c>
      <c r="I20" s="139">
        <f>YEARFRAC(H18,I18)</f>
        <v/>
      </c>
      <c r="J20" s="97" t="n"/>
      <c r="K20" s="97" t="n"/>
      <c r="L20" s="97" t="inlineStr">
        <is>
          <t>Average</t>
        </is>
      </c>
      <c r="M20" s="97" t="n"/>
      <c r="N20" s="120">
        <f>AVERAGE(N18:N19)</f>
        <v/>
      </c>
      <c r="O20" s="97" t="n"/>
    </row>
    <row r="21" ht="16" customHeight="1">
      <c r="A21" s="97" t="n"/>
      <c r="B21" s="97" t="inlineStr">
        <is>
          <t>EBIT</t>
        </is>
      </c>
      <c r="C21" s="97" t="n"/>
      <c r="D21" s="97" t="n"/>
      <c r="E21" s="138" t="n">
        <v>1052713.043327438</v>
      </c>
      <c r="F21" s="138" t="n">
        <v>1157984.347660181</v>
      </c>
      <c r="G21" s="138" t="n">
        <v>1262202.938949598</v>
      </c>
      <c r="H21" s="138" t="n">
        <v>1363179.174065566</v>
      </c>
      <c r="I21" s="138" t="n">
        <v>1458601.716250155</v>
      </c>
      <c r="J21" s="97" t="n"/>
      <c r="K21" s="97" t="n"/>
      <c r="L21" s="97" t="n"/>
      <c r="M21" s="97" t="n"/>
      <c r="N21" s="97" t="n"/>
      <c r="O21" s="97" t="n"/>
    </row>
    <row r="22" ht="16" customHeight="1">
      <c r="A22" s="97" t="n"/>
      <c r="B22" s="97" t="inlineStr">
        <is>
          <t>Less: Cash Taxes</t>
        </is>
      </c>
      <c r="C22" s="97" t="n"/>
      <c r="D22" s="97" t="n"/>
      <c r="E22" s="118">
        <f>E21*$D$5</f>
        <v/>
      </c>
      <c r="F22" s="118">
        <f>F21*$D$5</f>
        <v/>
      </c>
      <c r="G22" s="118">
        <f>G21*$D$5</f>
        <v/>
      </c>
      <c r="H22" s="118">
        <f>H21*$D$5</f>
        <v/>
      </c>
      <c r="I22" s="118">
        <f>I21*$D$5</f>
        <v/>
      </c>
      <c r="J22" s="97" t="n"/>
      <c r="K22" s="97" t="n"/>
      <c r="L22" s="97" t="n"/>
      <c r="M22" s="97" t="n"/>
      <c r="N22" s="97" t="n"/>
      <c r="O22" s="97" t="n"/>
    </row>
    <row r="23" ht="16" customHeight="1">
      <c r="A23" s="97" t="n"/>
      <c r="B23" s="97" t="inlineStr">
        <is>
          <t>Plus: D&amp;A</t>
        </is>
      </c>
      <c r="C23" s="97" t="n"/>
      <c r="D23" s="97" t="n"/>
      <c r="E23" s="140" t="n">
        <v>17093.63982519042</v>
      </c>
      <c r="F23" s="140" t="n">
        <v>18803.00380770947</v>
      </c>
      <c r="G23" s="140" t="n">
        <v>20495.27415040332</v>
      </c>
      <c r="H23" s="140" t="n">
        <v>22134.89608243559</v>
      </c>
      <c r="I23" s="140" t="n">
        <v>23684.33880820608</v>
      </c>
      <c r="J23" s="97" t="n"/>
      <c r="K23" s="97" t="n"/>
      <c r="L23" s="97" t="n"/>
      <c r="M23" s="97" t="n"/>
      <c r="N23" s="97" t="n"/>
      <c r="O23" s="97" t="n"/>
    </row>
    <row r="24" ht="16" customHeight="1">
      <c r="A24" s="97" t="n"/>
      <c r="B24" s="97" t="inlineStr">
        <is>
          <t>Less: Capex</t>
        </is>
      </c>
      <c r="C24" s="97" t="n"/>
      <c r="D24" s="97" t="n"/>
      <c r="E24" s="103">
        <f>$D$15</f>
        <v/>
      </c>
      <c r="F24" s="103">
        <f>$D$15</f>
        <v/>
      </c>
      <c r="G24" s="103">
        <f>$D$15</f>
        <v/>
      </c>
      <c r="H24" s="103">
        <f>$D$15</f>
        <v/>
      </c>
      <c r="I24" s="103">
        <f>$D$15</f>
        <v/>
      </c>
      <c r="J24" s="97" t="n"/>
      <c r="K24" s="97" t="n"/>
      <c r="L24" s="97" t="n"/>
      <c r="M24" s="97" t="n"/>
      <c r="N24" s="97" t="n"/>
      <c r="O24" s="97" t="n"/>
    </row>
    <row r="25" ht="16" customHeight="1">
      <c r="A25" s="97" t="n"/>
      <c r="B25" s="97" t="inlineStr">
        <is>
          <t>Less: Changes in NWC</t>
        </is>
      </c>
      <c r="C25" s="97" t="n"/>
      <c r="D25" s="97" t="n"/>
      <c r="E25" s="138" t="n">
        <v>71163.54596501018</v>
      </c>
      <c r="F25" s="138" t="n">
        <v>56799.65459650115</v>
      </c>
      <c r="G25" s="138" t="n">
        <v>56231.65805053606</v>
      </c>
      <c r="H25" s="138" t="n">
        <v>54482.22868896381</v>
      </c>
      <c r="I25" s="138" t="n">
        <v>51485.70611107082</v>
      </c>
      <c r="J25" s="97" t="n"/>
      <c r="K25" s="97" t="n"/>
      <c r="L25" s="97" t="n"/>
      <c r="M25" s="97" t="n"/>
      <c r="N25" s="97" t="n"/>
      <c r="O25" s="97" t="n"/>
    </row>
    <row r="26" ht="16" customHeight="1">
      <c r="A26" s="97" t="n"/>
      <c r="B26" s="97" t="inlineStr">
        <is>
          <t>Unlevered FCF</t>
        </is>
      </c>
      <c r="C26" s="97" t="n"/>
      <c r="D26" s="97" t="n"/>
      <c r="E26" s="120">
        <f>E21-E22+E23-E24-E25</f>
        <v/>
      </c>
      <c r="F26" s="120">
        <f>F21-F22+F23-F24-F25</f>
        <v/>
      </c>
      <c r="G26" s="120">
        <f>G21-G22+G23-G24-G25</f>
        <v/>
      </c>
      <c r="H26" s="120">
        <f>H21-H22+H23-H24-H25</f>
        <v/>
      </c>
      <c r="I26" s="120">
        <f>I21-I22+I23-I24-I25</f>
        <v/>
      </c>
      <c r="J26" s="97" t="n"/>
      <c r="K26" s="97" t="n"/>
      <c r="L26" s="97" t="n"/>
      <c r="M26" s="97" t="n"/>
      <c r="N26" s="97" t="n"/>
      <c r="O26" s="97" t="n"/>
    </row>
    <row r="27" ht="16" customHeight="1">
      <c r="A27" s="97" t="n"/>
      <c r="B27" s="97" t="inlineStr">
        <is>
          <t>(Entry)/Exit</t>
        </is>
      </c>
      <c r="C27" s="97" t="n"/>
      <c r="D27" s="97">
        <f>-I35</f>
        <v/>
      </c>
      <c r="E27" s="97" t="n"/>
      <c r="F27" s="97" t="n"/>
      <c r="G27" s="97" t="n"/>
      <c r="H27" s="97" t="n"/>
      <c r="I27" s="97" t="n"/>
      <c r="J27" s="97">
        <f>N20</f>
        <v/>
      </c>
      <c r="K27" s="97" t="n"/>
      <c r="L27" s="97" t="n"/>
      <c r="M27" s="97" t="n"/>
      <c r="N27" s="97" t="n"/>
      <c r="O27" s="97" t="n"/>
    </row>
    <row r="28" ht="16" customHeight="1">
      <c r="A28" s="97" t="n"/>
      <c r="B28" s="97" t="inlineStr">
        <is>
          <t>Transaction CF</t>
        </is>
      </c>
      <c r="C28" s="97" t="n"/>
      <c r="D28" s="120" t="n">
        <v>0</v>
      </c>
      <c r="E28" s="120">
        <f>(E27+E26)*E20</f>
        <v/>
      </c>
      <c r="F28" s="120">
        <f>(F27+F26)*F20</f>
        <v/>
      </c>
      <c r="G28" s="120">
        <f>(G27+G26)*G20</f>
        <v/>
      </c>
      <c r="H28" s="120">
        <f>(H27+H26)*H20</f>
        <v/>
      </c>
      <c r="I28" s="120">
        <f>(I27+I26)*I20</f>
        <v/>
      </c>
      <c r="J28" s="120">
        <f>J27+J26</f>
        <v/>
      </c>
      <c r="K28" s="97" t="n"/>
      <c r="L28" s="97" t="n"/>
      <c r="M28" s="97" t="n"/>
      <c r="N28" s="97" t="n"/>
      <c r="O28" s="97" t="n"/>
    </row>
    <row r="29" ht="16" customHeight="1">
      <c r="A29" s="97" t="n"/>
      <c r="B29" s="97" t="inlineStr">
        <is>
          <t>Transaction CF</t>
        </is>
      </c>
      <c r="C29" s="97" t="n"/>
      <c r="D29" s="97">
        <f>D27+D26</f>
        <v/>
      </c>
      <c r="E29" s="97">
        <f>(E27+E26)*E20</f>
        <v/>
      </c>
      <c r="F29" s="97">
        <f>(F27+F26)*F20</f>
        <v/>
      </c>
      <c r="G29" s="97">
        <f>(G27+G26)*G20</f>
        <v/>
      </c>
      <c r="H29" s="97">
        <f>(H27+H26)*H20</f>
        <v/>
      </c>
      <c r="I29" s="97">
        <f>(I27+I26)*I20</f>
        <v/>
      </c>
      <c r="J29" s="97">
        <f>J27</f>
        <v/>
      </c>
      <c r="K29" s="97" t="n"/>
      <c r="L29" s="97" t="n"/>
      <c r="M29" s="97" t="n"/>
      <c r="N29" s="97" t="n"/>
      <c r="O29" s="97" t="n"/>
    </row>
    <row r="30" ht="16" customHeight="1">
      <c r="A30" s="97" t="n"/>
      <c r="B30" s="97" t="n"/>
      <c r="C30" s="97" t="n"/>
      <c r="D30" s="99" t="n"/>
      <c r="E30" s="97" t="n"/>
      <c r="G30" s="97" t="n"/>
      <c r="H30" s="97" t="n"/>
      <c r="I30" s="97" t="n"/>
      <c r="J30" s="97" t="n"/>
      <c r="L30" s="97" t="n"/>
      <c r="M30" s="97" t="n"/>
      <c r="N30" s="97" t="n"/>
      <c r="O30" s="97" t="n"/>
    </row>
    <row r="31" ht="16" customHeight="1">
      <c r="A31" s="97" t="n"/>
      <c r="B31" s="109" t="inlineStr">
        <is>
          <t>Intrinsic Value</t>
        </is>
      </c>
      <c r="C31" s="110" t="n"/>
      <c r="D31" s="110" t="n"/>
      <c r="E31" s="97" t="n"/>
      <c r="G31" s="109" t="inlineStr">
        <is>
          <t>Market Value</t>
        </is>
      </c>
      <c r="H31" s="110" t="n"/>
      <c r="I31" s="110" t="n"/>
      <c r="J31" s="97" t="n"/>
      <c r="L31" s="109" t="inlineStr">
        <is>
          <t>Rate of Return</t>
        </is>
      </c>
      <c r="M31" s="110" t="n"/>
      <c r="N31" s="110" t="n"/>
      <c r="O31" s="97" t="n"/>
    </row>
    <row r="32" ht="16" customHeight="1">
      <c r="A32" s="97" t="n"/>
      <c r="B32" s="97" t="inlineStr">
        <is>
          <t>Enterprise Value</t>
        </is>
      </c>
      <c r="C32" s="97" t="n"/>
      <c r="D32" s="97">
        <f>XNPV(D6,D28:J28,D18:J18)</f>
        <v/>
      </c>
      <c r="E32" s="97" t="n"/>
      <c r="G32" s="97" t="inlineStr">
        <is>
          <t>Market Cap</t>
        </is>
      </c>
      <c r="H32" s="97" t="n"/>
      <c r="I32" s="97">
        <f>D12*D11</f>
        <v/>
      </c>
      <c r="J32" s="97" t="n"/>
      <c r="L32" s="97" t="inlineStr">
        <is>
          <t>Target Price Upside</t>
        </is>
      </c>
      <c r="M32" s="97" t="n"/>
      <c r="N32" s="122">
        <f>D37/I37-1</f>
        <v/>
      </c>
      <c r="O32" s="97" t="n"/>
    </row>
    <row r="33" ht="16" customHeight="1">
      <c r="A33" s="97" t="n"/>
      <c r="B33" s="97" t="inlineStr">
        <is>
          <t>Plus: Cash</t>
        </is>
      </c>
      <c r="C33" s="97" t="n"/>
      <c r="D33" s="97">
        <f>+D14</f>
        <v/>
      </c>
      <c r="E33" s="97" t="n"/>
      <c r="G33" s="97" t="inlineStr">
        <is>
          <t>Plus: Debt</t>
        </is>
      </c>
      <c r="H33" s="97" t="n"/>
      <c r="I33" s="97">
        <f>D13</f>
        <v/>
      </c>
      <c r="J33" s="97" t="n"/>
      <c r="L33" s="97" t="inlineStr">
        <is>
          <t>Internal Rate of Return (IRR)</t>
        </is>
      </c>
      <c r="M33" s="97" t="n"/>
      <c r="N33" s="122">
        <f>XIRR(D29:J29,D18:J18)</f>
        <v/>
      </c>
      <c r="O33" s="97" t="n"/>
    </row>
    <row r="34" ht="16" customHeight="1">
      <c r="A34" s="97" t="n"/>
      <c r="B34" s="97" t="inlineStr">
        <is>
          <t>Less: Debt</t>
        </is>
      </c>
      <c r="C34" s="97" t="n"/>
      <c r="D34" s="97">
        <f>+D13</f>
        <v/>
      </c>
      <c r="E34" s="97" t="n"/>
      <c r="G34" s="97" t="inlineStr">
        <is>
          <t>Less: Cash</t>
        </is>
      </c>
      <c r="H34" s="97" t="n"/>
      <c r="I34" s="97">
        <f>+D14</f>
        <v/>
      </c>
      <c r="J34" s="97" t="n"/>
      <c r="L34" s="97" t="n"/>
      <c r="M34" s="97" t="n"/>
      <c r="N34" s="97" t="n"/>
      <c r="O34" s="97" t="n"/>
    </row>
    <row r="35" ht="16" customHeight="1">
      <c r="A35" s="97" t="n"/>
      <c r="B35" s="97" t="inlineStr">
        <is>
          <t>Equity Value</t>
        </is>
      </c>
      <c r="C35" s="97" t="n"/>
      <c r="D35" s="120">
        <f>D32+D33-D34</f>
        <v/>
      </c>
      <c r="E35" s="97" t="n"/>
      <c r="G35" s="97" t="inlineStr">
        <is>
          <t>Enterprise Value</t>
        </is>
      </c>
      <c r="H35" s="97" t="n"/>
      <c r="I35" s="120">
        <f>I32+I33-I34</f>
        <v/>
      </c>
      <c r="J35" s="97" t="n"/>
      <c r="L35" s="109" t="inlineStr">
        <is>
          <t>Market Value vs Intrinsic Value</t>
        </is>
      </c>
      <c r="M35" s="110" t="n"/>
      <c r="N35" s="110" t="n"/>
      <c r="O35" s="97" t="n"/>
    </row>
    <row r="36" ht="16" customHeight="1">
      <c r="A36" s="97" t="n"/>
      <c r="B36" s="97" t="n"/>
      <c r="C36" s="97" t="n"/>
      <c r="D36" s="97" t="n"/>
      <c r="E36" s="97" t="n"/>
      <c r="G36" s="97" t="n"/>
      <c r="H36" s="97" t="n"/>
      <c r="I36" s="141" t="n"/>
      <c r="J36" s="97" t="n"/>
      <c r="L36" s="97" t="inlineStr">
        <is>
          <t>Market Value</t>
        </is>
      </c>
      <c r="M36" s="97" t="n"/>
      <c r="N36" s="141">
        <f>I37</f>
        <v/>
      </c>
      <c r="O36" s="97" t="n"/>
    </row>
    <row r="37" ht="16" customHeight="1">
      <c r="A37" s="97" t="n"/>
      <c r="B37" s="97" t="inlineStr">
        <is>
          <t>Equity Value/Share</t>
        </is>
      </c>
      <c r="C37" s="97" t="n"/>
      <c r="D37" s="141">
        <f>D35/D12</f>
        <v/>
      </c>
      <c r="E37" s="97" t="n"/>
      <c r="G37" s="97" t="inlineStr">
        <is>
          <t>Equity Value/Share</t>
        </is>
      </c>
      <c r="H37" s="97" t="n"/>
      <c r="I37" s="141">
        <f>D11</f>
        <v/>
      </c>
      <c r="J37" s="97" t="n"/>
      <c r="L37" s="97" t="inlineStr">
        <is>
          <t>Upside</t>
        </is>
      </c>
      <c r="M37" s="97" t="n"/>
      <c r="N37" s="141">
        <f>D37-I37</f>
        <v/>
      </c>
      <c r="O37" s="97" t="n"/>
    </row>
    <row r="38" ht="16" customHeight="1">
      <c r="A38" s="97" t="n"/>
      <c r="B38" s="97" t="n"/>
      <c r="C38" s="97" t="n"/>
      <c r="D38" s="97" t="n"/>
      <c r="E38" s="97" t="n"/>
      <c r="G38" s="97" t="n"/>
      <c r="H38" s="97" t="n"/>
      <c r="I38" s="97" t="n"/>
      <c r="J38" s="97" t="n"/>
      <c r="L38" s="97" t="inlineStr">
        <is>
          <t>Intrinsic Value</t>
        </is>
      </c>
      <c r="M38" s="97" t="n"/>
      <c r="N38" s="141">
        <f>SUM(N36:N37)</f>
        <v/>
      </c>
      <c r="O38" s="97" t="n"/>
    </row>
    <row r="39" ht="16" customHeight="1">
      <c r="A39" s="97" t="n"/>
      <c r="C39" s="97" t="n"/>
      <c r="D39" s="99" t="n"/>
      <c r="E39" s="97" t="n"/>
      <c r="G39" s="97" t="n"/>
      <c r="H39" s="97" t="n"/>
      <c r="I39" s="98" t="n"/>
      <c r="J39" s="97" t="n"/>
      <c r="L39" s="97" t="n"/>
      <c r="M39" s="97" t="n"/>
      <c r="N39" s="97" t="n"/>
      <c r="O39" s="97" t="n"/>
    </row>
    <row r="40" ht="16" customHeight="1">
      <c r="A40" s="97" t="n"/>
      <c r="C40" s="97" t="n"/>
      <c r="D40" s="99" t="n"/>
      <c r="E40" s="97" t="n"/>
      <c r="F40" s="97" t="n"/>
      <c r="G40" s="97" t="n"/>
      <c r="H40" s="98" t="n"/>
      <c r="I40" s="97" t="n"/>
      <c r="K40" s="97" t="n"/>
      <c r="L40" s="97" t="n"/>
      <c r="M40" s="97" t="n"/>
      <c r="N40" s="97" t="n"/>
      <c r="O40" s="97" t="n"/>
    </row>
    <row r="41" ht="16" customHeight="1">
      <c r="A41" s="97" t="n"/>
      <c r="B41" s="109" t="inlineStr">
        <is>
          <t>Instructions</t>
        </is>
      </c>
      <c r="C41" s="110" t="n"/>
      <c r="D41" s="124" t="n"/>
      <c r="E41" s="110" t="n"/>
      <c r="F41" s="110" t="n"/>
      <c r="G41" s="110" t="n"/>
      <c r="H41" s="110" t="n"/>
      <c r="I41" s="110" t="n"/>
      <c r="J41" s="110" t="n"/>
      <c r="K41" s="110" t="n"/>
      <c r="L41" s="110" t="n"/>
      <c r="M41" s="110" t="n"/>
      <c r="N41" s="110" t="n"/>
      <c r="O41" s="97" t="n"/>
    </row>
    <row r="42" ht="16" customHeight="1">
      <c r="A42" s="97" t="n"/>
      <c r="B42" s="97" t="inlineStr">
        <is>
          <t>Step 1: Get EBIT and D&amp;A from the income statement</t>
        </is>
      </c>
      <c r="C42" s="97" t="n"/>
      <c r="D42" s="99" t="n"/>
      <c r="E42" s="97" t="n"/>
      <c r="F42" s="97" t="n"/>
      <c r="G42" s="97" t="n"/>
      <c r="H42" s="97" t="n"/>
      <c r="N42" s="125" t="inlineStr">
        <is>
          <t>This file is for educational purposes only. E&amp;OE</t>
        </is>
      </c>
      <c r="O42" s="97" t="n"/>
    </row>
    <row r="43" ht="16" customHeight="1">
      <c r="A43" s="97" t="n"/>
      <c r="B43" s="97" t="inlineStr">
        <is>
          <t>Step 2: Calculate the net working capital</t>
        </is>
      </c>
      <c r="C43" s="97" t="n"/>
      <c r="D43" s="99" t="n"/>
      <c r="E43" s="97" t="n"/>
      <c r="F43" s="97" t="n"/>
      <c r="G43" s="97" t="n"/>
      <c r="H43" s="97" t="n"/>
      <c r="N43" s="69" t="n"/>
      <c r="O43" s="97" t="n"/>
    </row>
    <row r="44" ht="16" customHeight="1">
      <c r="A44" s="97" t="n"/>
      <c r="B44" s="126" t="inlineStr">
        <is>
          <t>There are two ways to find NWC:</t>
        </is>
      </c>
      <c r="C44" s="97" t="n"/>
      <c r="D44" s="99" t="n"/>
      <c r="E44" s="97" t="n"/>
      <c r="F44" s="97" t="n"/>
      <c r="G44" s="97" t="n"/>
      <c r="H44" s="97" t="n"/>
      <c r="N44" s="69" t="n"/>
      <c r="O44" s="97" t="n"/>
    </row>
    <row r="45" ht="16" customHeight="1">
      <c r="A45" s="97" t="n"/>
      <c r="B45" s="126" t="inlineStr">
        <is>
          <t>1. NWC = Current Assets (less cash) - Current Liabilities (less debt)</t>
        </is>
      </c>
      <c r="C45" s="97" t="n"/>
      <c r="D45" s="99" t="n"/>
      <c r="E45" s="97" t="n"/>
      <c r="F45" s="97" t="n"/>
      <c r="G45" s="97" t="n"/>
      <c r="H45" s="97" t="n"/>
      <c r="N45" s="69" t="n"/>
      <c r="O45" s="97" t="n"/>
    </row>
    <row r="46" ht="16" customHeight="1">
      <c r="A46" s="97" t="n"/>
      <c r="B46" s="126" t="inlineStr">
        <is>
          <t>2. NWC = Accounts Receivable + Inventory - Accounts Payable</t>
        </is>
      </c>
      <c r="C46" s="97" t="n"/>
      <c r="D46" s="99" t="n"/>
      <c r="E46" s="97" t="n"/>
      <c r="F46" s="97" t="n"/>
      <c r="G46" s="97" t="n"/>
      <c r="H46" s="97" t="n"/>
      <c r="N46" s="69" t="n"/>
      <c r="O46" s="97" t="n"/>
    </row>
    <row r="47" ht="16" customHeight="1">
      <c r="A47" s="97" t="n"/>
      <c r="B47" s="97" t="n"/>
      <c r="C47" s="97" t="n"/>
      <c r="D47" s="99" t="n"/>
      <c r="E47" s="97" t="n"/>
      <c r="F47" s="97" t="n"/>
      <c r="G47" s="97" t="n"/>
      <c r="H47" s="97" t="n"/>
      <c r="N47" s="69" t="n"/>
      <c r="O47" s="97" t="n"/>
    </row>
    <row r="48" ht="16" customHeight="1">
      <c r="A48" s="97" t="n"/>
      <c r="B48" s="97" t="n"/>
      <c r="C48" s="97" t="n"/>
      <c r="D48" s="99" t="n"/>
      <c r="E48" s="97" t="n"/>
      <c r="F48" s="97" t="n"/>
      <c r="G48" s="97" t="n"/>
      <c r="H48" s="97" t="n"/>
      <c r="N48" s="127" t="inlineStr">
        <is>
          <t xml:space="preserve">Corporate Finance Institute® </t>
        </is>
      </c>
      <c r="O48" s="97" t="n"/>
    </row>
    <row r="49" ht="16" customHeight="1">
      <c r="A49" s="97" t="n"/>
      <c r="B49" s="97" t="n"/>
      <c r="C49" s="97" t="n"/>
      <c r="D49" s="99" t="n"/>
      <c r="E49" s="97" t="n"/>
      <c r="F49" s="97" t="n"/>
      <c r="G49" s="97" t="n"/>
      <c r="H49" s="97" t="n"/>
      <c r="N49" s="128" t="inlineStr">
        <is>
          <t>https://corporatefinanceinstitute.com/</t>
        </is>
      </c>
      <c r="O49" s="97" t="n"/>
    </row>
    <row r="50" ht="16" customHeight="1">
      <c r="A50" s="97" t="n"/>
      <c r="B50" s="97" t="n"/>
      <c r="C50" s="97" t="n"/>
      <c r="D50" s="99" t="n"/>
      <c r="E50" s="97" t="n"/>
      <c r="F50" s="97" t="n"/>
      <c r="G50" s="97" t="n"/>
      <c r="H50" s="97" t="n"/>
      <c r="O50" s="97" t="n"/>
    </row>
    <row r="51" ht="16" customHeight="1">
      <c r="A51" s="97" t="n"/>
      <c r="B51" s="97" t="n"/>
      <c r="C51" s="97" t="n"/>
      <c r="D51" s="99" t="n"/>
      <c r="E51" s="97" t="n"/>
      <c r="F51" s="97" t="n"/>
      <c r="G51" s="97" t="n"/>
      <c r="H51" s="97" t="n"/>
      <c r="M51" s="97" t="n"/>
      <c r="O51" s="97" t="n"/>
    </row>
    <row r="52" ht="16" customHeight="1">
      <c r="A52" s="97" t="n"/>
      <c r="B52" s="97" t="n"/>
      <c r="C52" s="97" t="n"/>
      <c r="D52" s="99" t="n"/>
      <c r="E52" s="97" t="n"/>
      <c r="F52" s="97" t="n"/>
      <c r="G52" s="97" t="n"/>
      <c r="H52" s="97" t="n"/>
      <c r="I52" s="97" t="n"/>
      <c r="J52" s="97" t="n"/>
      <c r="K52" s="97" t="n"/>
      <c r="L52" s="97" t="n"/>
      <c r="M52" s="97" t="n"/>
      <c r="N52" s="97" t="n"/>
      <c r="O52" s="97" t="n"/>
    </row>
    <row r="53" ht="16" customHeight="1">
      <c r="A53" s="97" t="n"/>
      <c r="B53" s="97" t="n"/>
      <c r="C53" s="97" t="n"/>
      <c r="D53" s="99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</row>
    <row r="54" ht="16" customHeight="1">
      <c r="A54" s="97" t="n"/>
      <c r="B54" s="97" t="n"/>
      <c r="C54" s="97" t="n"/>
      <c r="D54" s="99" t="n"/>
      <c r="E54" s="97" t="n"/>
      <c r="F54" s="97" t="n"/>
      <c r="G54" s="97" t="n"/>
      <c r="H54" s="97" t="n"/>
      <c r="I54" s="97" t="n"/>
      <c r="J54" s="97" t="n"/>
      <c r="K54" s="97" t="n"/>
      <c r="L54" s="97" t="n"/>
      <c r="M54" s="97" t="n"/>
      <c r="N54" s="97" t="n"/>
      <c r="O54" s="97" t="n"/>
    </row>
    <row r="55" ht="16" customHeight="1">
      <c r="A55" s="97" t="n"/>
      <c r="B55" s="97" t="n"/>
      <c r="C55" s="97" t="n"/>
      <c r="D55" s="99" t="n"/>
      <c r="E55" s="97" t="n"/>
      <c r="F55" s="97" t="n"/>
      <c r="G55" s="97" t="n"/>
      <c r="H55" s="97" t="n"/>
      <c r="I55" s="97" t="n"/>
      <c r="J55" s="97" t="n"/>
      <c r="K55" s="97" t="n"/>
      <c r="L55" s="97" t="n"/>
      <c r="M55" s="97" t="n"/>
      <c r="N55" s="97" t="n"/>
      <c r="O55" s="97" t="n"/>
    </row>
    <row r="56" ht="16" customHeight="1">
      <c r="A56" s="97" t="n"/>
      <c r="B56" s="97" t="n"/>
      <c r="C56" s="97" t="n"/>
      <c r="D56" s="99" t="n"/>
      <c r="E56" s="97" t="n"/>
      <c r="F56" s="97" t="n"/>
      <c r="G56" s="97" t="n"/>
      <c r="H56" s="97" t="n"/>
      <c r="I56" s="97" t="n"/>
      <c r="J56" s="97" t="n"/>
      <c r="K56" s="97" t="n"/>
      <c r="L56" s="97" t="n"/>
      <c r="M56" s="97" t="n"/>
      <c r="N56" s="97" t="n"/>
      <c r="O56" s="97" t="n"/>
    </row>
    <row r="57" ht="16" customHeight="1">
      <c r="A57" s="97" t="n"/>
      <c r="B57" s="97" t="n"/>
      <c r="C57" s="97" t="n"/>
      <c r="D57" s="99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</row>
    <row r="58" ht="16" customHeight="1">
      <c r="A58" s="97" t="n"/>
      <c r="B58" s="97" t="n"/>
      <c r="C58" s="97" t="n"/>
      <c r="D58" s="99" t="n"/>
      <c r="E58" s="97" t="n"/>
      <c r="F58" s="97" t="n"/>
      <c r="G58" s="97" t="n"/>
      <c r="H58" s="97" t="n"/>
      <c r="I58" s="97" t="n"/>
      <c r="J58" s="97" t="n"/>
      <c r="K58" s="97" t="n"/>
      <c r="L58" s="97" t="n"/>
      <c r="M58" s="97" t="n"/>
      <c r="N58" s="97" t="n"/>
      <c r="O58" s="97" t="n"/>
    </row>
    <row r="59" ht="16" customHeight="1">
      <c r="A59" s="97" t="n"/>
      <c r="B59" s="97" t="n"/>
      <c r="C59" s="97" t="n"/>
      <c r="D59" s="99" t="n"/>
      <c r="E59" s="97" t="n"/>
      <c r="F59" s="97" t="n"/>
      <c r="G59" s="97" t="n"/>
      <c r="H59" s="97" t="n"/>
      <c r="I59" s="97" t="n"/>
      <c r="J59" s="97" t="n"/>
      <c r="K59" s="97" t="n"/>
      <c r="L59" s="97" t="n"/>
      <c r="M59" s="97" t="n"/>
      <c r="N59" s="97" t="n"/>
      <c r="O59" s="97" t="n"/>
    </row>
    <row r="60" ht="16" customHeight="1">
      <c r="A60" s="97" t="n"/>
      <c r="B60" s="97" t="n"/>
      <c r="C60" s="97" t="n"/>
      <c r="D60" s="99" t="n"/>
      <c r="E60" s="97" t="n"/>
      <c r="F60" s="97" t="n"/>
      <c r="G60" s="97" t="n"/>
      <c r="H60" s="97" t="n"/>
      <c r="I60" s="97" t="n"/>
      <c r="J60" s="97" t="n"/>
      <c r="K60" s="97" t="n"/>
      <c r="L60" s="97" t="n"/>
      <c r="M60" s="97" t="n"/>
      <c r="N60" s="97" t="n"/>
      <c r="O60" s="97" t="n"/>
    </row>
    <row r="61" ht="16" customHeight="1">
      <c r="B61" s="97" t="n"/>
      <c r="C61" s="97" t="n"/>
      <c r="D61" s="99" t="n"/>
      <c r="E61" s="97" t="n"/>
      <c r="F61" s="97" t="n"/>
      <c r="G61" s="97" t="n"/>
      <c r="H61" s="97" t="n"/>
      <c r="I61" s="97" t="n"/>
      <c r="J61" s="97" t="n"/>
      <c r="K61" s="97" t="n"/>
      <c r="L61" s="9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2026-08-04T16:49:31Z</dcterms:modified>
  <cp:lastModifiedBy>Katie Au Yeung</cp:lastModifiedBy>
  <cp:lastPrinted>2014-12-13T23:43:21Z</cp:lastPrinted>
</cp:coreProperties>
</file>