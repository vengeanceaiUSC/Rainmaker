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00"/>
    <numFmt numFmtId="176" formatCode="#,##0.0"/>
    <numFmt numFmtId="177" formatCode="_-* #,##0.00_-;\(#,##0.00\)_-;_-* &quot;-&quot;_-;_-@_-"/>
    <numFmt numFmtId="178" formatCode="$#,##0.00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7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40" fillId="8" borderId="5" pivotButton="0" quotePrefix="0" xfId="1"/>
    <xf numFmtId="180" fontId="38" fillId="7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80" fontId="38" fillId="7" borderId="2" pivotButton="0" quotePrefix="0" xfId="1"/>
    <xf numFmtId="180" fontId="38" fillId="7" borderId="0" pivotButton="0" quotePrefix="0" xfId="0"/>
    <xf numFmtId="180" fontId="40" fillId="8" borderId="5" pivotButton="0" quotePrefix="0" xfId="0"/>
    <xf numFmtId="0" fontId="49" fillId="0" borderId="0" pivotButton="0" quotePrefix="0" xfId="0"/>
    <xf numFmtId="180" fontId="38" fillId="7" borderId="5" pivotButton="0" quotePrefix="0" xfId="0"/>
    <xf numFmtId="166" fontId="40" fillId="8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applyAlignment="1" pivotButton="0" quotePrefix="0" xfId="0">
      <alignment vertical="center"/>
    </xf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6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4" fontId="60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8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8" fontId="40" fillId="8" borderId="5" pivotButton="0" quotePrefix="0" xfId="0"/>
    <xf numFmtId="177" fontId="30" fillId="0" borderId="0" pivotButton="0" quotePrefix="0" xfId="0"/>
    <xf numFmtId="173" fontId="43" fillId="10" borderId="5" applyAlignment="1" pivotButton="0" quotePrefix="0" xfId="0">
      <alignment horizontal="center"/>
    </xf>
    <xf numFmtId="176" fontId="40" fillId="7" borderId="5" pivotButton="0" quotePrefix="0" xfId="0"/>
    <xf numFmtId="173" fontId="43" fillId="10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vengeanceaiUSCMODEL11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https://raw.githubusercontent.com/vengeanceaiUSC/Rainmaker/cursor/vengeanceaiusmodel11-d3ac/FICO/output/MODEL11_FICO_ASSUMPTIONS_LIST.pdf</t>
      </text>
    </comment>
    <comment ref="B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8" authorId="0" shapeId="0">
      <text>
        <t>COGS % of Revenue
HOW: Excel equation: =$J$122 blended COGS from segment GMs (≈ 17.60%; calibrated near FY25 ~17.8%).
WHY: MODEL11: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5" authorId="0" shapeId="0">
      <text>
        <t>DSO — Accounts Receivable (Days)
HOW: Excel equation: ROUND($J$115,1) = blended segment DSO ≈ 31.9 days (SaaS 45d / B2C 2d / B2B 30d / PS 15d / On-prem 45d × FY25 mix).
WHY: 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20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5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5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5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5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5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6" authorId="0" shapeId="0">
      <text>
        <t>Cash from operations
WHY: Full CFO: NI + D&amp;A + SBC − organic ΔNWC written as one equation.
PATTERN: =NI+DA+SBC−ΔNWC
LINK: https://www.sec.gov/Archives/edgar/data/814547/000081454725000030/fico-20250930.htm</t>
      </text>
    </comment>
    <comment ref="J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K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L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M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N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 driven only by SaaS+on-prem mix (Scores/myFICO not double-counted).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 driven only by SaaS+on-prem mix (Scores/myFICO not double-counted).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 driven only by SaaS+on-prem mix (Scores/myFICO not double-counted).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 driven only by SaaS+on-prem mix (Scores/myFICO not double-counted).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 driven only by SaaS+on-prem mix (Scores/myFICO not double-counted).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 driven only by SaaS+on-prem mix (Scores/myFICO not double-counted).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4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15" authorId="0" shapeId="0">
      <text>
        <t>Blended DSO
WHY: Feeds assumption row 15; AR = Rev × blended DSO / 365.
PATTERN: Σ mix_i×DSO_i
LINK: https://www.sec.gov/Archives/edgar/data/814547/000081454725000030/fico-20250930.htm</t>
      </text>
    </comment>
    <comment ref="J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K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L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M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N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vengeanceaiUSCMODEL11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SBC-linked share dilution schedule.
HOW: D16 = starting shares (D12). Each forecast year adds SBC$000s (3S row 64 = Rev × 8.25%) ÷ Current Price (D11).
WHY: SBC is added back in FCFF; ignoring dilution overstates $/share.
Equity Value/Share (D37) and sensitivity use I16 (Year-5 diluted shares).
SOURCE: 3S SBC row 64; SEC 10-K ShareBasedCompensation.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" /><Relationship Type="http://schemas.openxmlformats.org/officeDocument/2006/relationships/hyperlink" Target="https://raw.githubusercontent.com/vengeanceaiUSC/Rainmaker/cursor/vengeanceaiusmodel11-d3ac/FICO/output/MODEL11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investors.fico.com/static-files/663245db-39a2-4db7-8f89-284034bbccbf" TargetMode="External" Id="rId23" /><Relationship Type="http://schemas.openxmlformats.org/officeDocument/2006/relationships/hyperlink" Target="https://investors.fico.com/static-files/663245db-39a2-4db7-8f89-284034bbccbf" TargetMode="External" Id="rId24" /><Relationship Type="http://schemas.openxmlformats.org/officeDocument/2006/relationships/hyperlink" Target="https://investors.fico.com/financial-information/sec-filings" TargetMode="External" Id="rId25" /><Relationship Type="http://schemas.openxmlformats.org/officeDocument/2006/relationships/hyperlink" Target="https://investors.fico.com/financial-information/sec-filings" TargetMode="External" Id="rId26" /><Relationship Type="http://schemas.openxmlformats.org/officeDocument/2006/relationships/hyperlink" Target="https://vcpscanner.com/valuation/fico/relative" TargetMode="External" Id="rId27" /><Relationship Type="http://schemas.openxmlformats.org/officeDocument/2006/relationships/hyperlink" Target="https://vcpscanner.com/valuation/fico/relative" TargetMode="External" Id="rId28" /><Relationship Type="http://schemas.openxmlformats.org/officeDocument/2006/relationships/hyperlink" Target="https://fred.stlouisfed.org/series/DGS10" TargetMode="External" Id="rId29" /><Relationship Type="http://schemas.openxmlformats.org/officeDocument/2006/relationships/hyperlink" Target="https://fred.stlouisfed.org/series/DGS10" TargetMode="External" Id="rId30" /><Relationship Type="http://schemas.openxmlformats.org/officeDocument/2006/relationships/hyperlink" Target="https://www.sec.gov/Archives/edgar/data/814547/000081454726000031/exhibit991erq32026.htm" TargetMode="External" Id="rId31" /><Relationship Type="http://schemas.openxmlformats.org/officeDocument/2006/relationships/hyperlink" Target="https://www.sec.gov/Archives/edgar/data/814547/000081454726000031/exhibit991erq32026.htm" TargetMode="External" Id="rId32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3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4" /><Relationship Type="http://schemas.openxmlformats.org/officeDocument/2006/relationships/hyperlink" Target="https://github.com/vengeanceaiUSC/Rainmaker/blob/cursor/vengeanceaiusmodel11-d3ac/FICO/output/MODEL11_FICO_ASSUMPTIONS_LIST.pdf" TargetMode="External" Id="rId35" /><Relationship Type="http://schemas.openxmlformats.org/officeDocument/2006/relationships/hyperlink" Target="https://github.com/vengeanceaiUSC/Rainmaker/blob/cursor/vengeanceaiusmodel11-d3ac/FICO/output/MODEL11_FICO_ASSUMPTIONS_LIST.pdf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0000814547-25-000030-index.htm" TargetMode="External" Id="rId39" /><Relationship Type="http://schemas.openxmlformats.org/officeDocument/2006/relationships/hyperlink" Target="https://www.sec.gov/Archives/edgar/data/814547/000081454725000030/0000814547-25-000030-index.htm" TargetMode="External" Id="rId40" /><Relationship Type="http://schemas.openxmlformats.org/officeDocument/2006/relationships/hyperlink" Target="https://data.sec.gov/api/xbrl/companyfacts/CIK0000814547.json" TargetMode="External" Id="rId41" /><Relationship Type="http://schemas.openxmlformats.org/officeDocument/2006/relationships/hyperlink" Target="https://data.sec.gov/api/xbrl/companyfacts/CIK0000814547.json" TargetMode="External" Id="rId42" /><Relationship Type="http://schemas.openxmlformats.org/officeDocument/2006/relationships/hyperlink" Target="https://home.treasury.gov/resource-center/data-chart-center/interest-rates/TextView?type=daily_treasury_yield_curve" TargetMode="External" Id="rId43" /><Relationship Type="http://schemas.openxmlformats.org/officeDocument/2006/relationships/hyperlink" Target="https://home.treasury.gov/resource-center/data-chart-center/interest-rates/TextView?type=daily_treasury_yield_curve" TargetMode="External" Id="rId44" /><Relationship Type="http://schemas.openxmlformats.org/officeDocument/2006/relationships/hyperlink" Target="https://finance.yahoo.com/quote/FICO/key-statistics/" TargetMode="External" Id="rId45" /><Relationship Type="http://schemas.openxmlformats.org/officeDocument/2006/relationships/hyperlink" Target="https://finance.yahoo.com/quote/FICO/key-statistics/" TargetMode="External" Id="rId46" /><Relationship Type="http://schemas.openxmlformats.org/officeDocument/2006/relationships/hyperlink" Target="https://finance.yahoo.com/quote/FICO/" TargetMode="External" Id="rId47" /><Relationship Type="http://schemas.openxmlformats.org/officeDocument/2006/relationships/hyperlink" Target="https://finance.yahoo.com/quote/FICO/" TargetMode="External" Id="rId48" /><Relationship Type="http://schemas.openxmlformats.org/officeDocument/2006/relationships/hyperlink" Target="https://data.sec.gov/api/xbrl/companyfacts/CIK0000814547.json" TargetMode="External" Id="rId49" /><Relationship Type="http://schemas.openxmlformats.org/officeDocument/2006/relationships/hyperlink" Target="https://data.sec.gov/api/xbrl/companyfacts/CIK0000814547.json" TargetMode="External" Id="rId50" /><Relationship Type="http://schemas.openxmlformats.org/officeDocument/2006/relationships/drawing" Target="/xl/drawings/drawing1.xm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www.sec.gov/Archives/edgar/data/814547/000081454725000030/fico-20250930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github.com/vengeanceaiUSC/Rainmaker/blob/cursor/vengeanceaiusmodel11-d3ac/FICO/output/MODEL11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vengeanceaiUSCMODEL11 (3-Statement + DCF)</t>
        </is>
      </c>
      <c r="D12" s="74" t="n"/>
      <c r="E12" s="165">
        <f>HYPERLINK("https://raw.githubusercontent.com/vengeanceaiUSC/Rainmaker/cursor/vengeanceaiusmodel11-d3ac/FICO/output/MODEL11_FICO_ASSUMPTIONS_LIST.pdf","⬇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6">
        <f>HYPERLINK("https://raw.githubusercontent.com/vengeanceaiUSC/Rainmaker/cursor/vengeanceaiusmodel11-d3ac/FICO/output/MODEL11_FICO_ASSUMPTIONS_LIST.pdf","⬇ CLICK HERE — DOWNLOAD ASSUMPTIONS LIST PDF (NO CHARTS)")</f>
        <v/>
      </c>
      <c r="D13" s="167" t="n"/>
      <c r="E13" s="167" t="n"/>
      <c r="F13" s="167" t="n"/>
      <c r="G13" s="167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vengeanceaiUSCMODEL11: segment WC (SaaS/B2C/B2B/PS); blended DSO≈32d; Deferred in NWC; SBC 8.3% + share dilution; DA=0.84%; CapEx=1.25% flat; cash tax=22.9%; exit 17.5x;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8">
        <f>HYPERLINK("https://raw.githubusercontent.com/vengeanceaiUSC/Rainmaker/cursor/vengeanceaiusmodel11-d3ac/FICO/output/MODEL11_FICO_ASSUMPTIONS_LIST.pdf","⬇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9">
        <f>HYPERLINK("https://raw.githubusercontent.com/vengeanceaiUSC/Rainmaker/cursor/vengeanceaiusmodel11-d3ac/FICO/output/MODEL11_FICO_ASSUMPTIONS_LIST.pdf","https://raw.githubusercontent.com/vengeanceaiUSC/Rainmaker/cursor/vengeanceaiusmodel11-d3ac/FICO/output/MODEL11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0" t="inlineStr">
        <is>
          <t>vengeanceaiUSCMODEL11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1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2" t="inlineStr">
        <is>
          <t>Source</t>
        </is>
      </c>
      <c r="F26" s="172" t="inlineStr">
        <is>
          <t>Clickable link</t>
        </is>
      </c>
      <c r="G26" s="172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3" t="inlineStr">
        <is>
          <t>10-K FY2025</t>
        </is>
      </c>
      <c r="F27" s="174" t="inlineStr">
        <is>
          <t>10-K FY2025</t>
        </is>
      </c>
      <c r="G27" s="174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3" t="inlineStr">
        <is>
          <t>10-Q Q3 FY2026</t>
        </is>
      </c>
      <c r="F28" s="174" t="inlineStr">
        <is>
          <t>10-Q Q3 FY2026</t>
        </is>
      </c>
      <c r="G28" s="174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5" t="inlineStr">
        <is>
          <t>8-K 6.250% notes</t>
        </is>
      </c>
      <c r="F29" s="176" t="inlineStr">
        <is>
          <t>8-K 6.250% notes</t>
        </is>
      </c>
      <c r="G29" s="176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7" t="inlineStr">
        <is>
          <t>Damodaran ERP</t>
        </is>
      </c>
      <c r="F30" s="178" t="inlineStr">
        <is>
          <t>Damodaran ERP</t>
        </is>
      </c>
      <c r="G30" s="178" t="inlineStr">
        <is>
          <t>https://pages.stern.nyu.edu/adamodar/New_Home_Page/home.htm</t>
        </is>
      </c>
    </row>
    <row r="31" ht="19.5" customHeight="1">
      <c r="E31" s="177" t="inlineStr">
        <is>
          <t>Damodaran EV/EBITDA by sector</t>
        </is>
      </c>
      <c r="F31" s="178" t="inlineStr">
        <is>
          <t>Damodaran EV/EBITDA by sector</t>
        </is>
      </c>
      <c r="G31" s="178" t="inlineStr">
        <is>
          <t>https://pages.stern.nyu.edu/adamodar/New_Home_Page/datafile/vebitda.htm</t>
        </is>
      </c>
    </row>
    <row r="32" ht="19.5" customHeight="1">
      <c r="E32" s="177" t="inlineStr">
        <is>
          <t>Damodaran FCFF</t>
        </is>
      </c>
      <c r="F32" s="178" t="inlineStr">
        <is>
          <t>Damodaran FCFF</t>
        </is>
      </c>
      <c r="G32" s="178" t="inlineStr">
        <is>
          <t>https://pages.stern.nyu.edu/~adamodar/New_Home_Page/datafile/histfcff.html</t>
        </is>
      </c>
    </row>
    <row r="33" ht="19.5" customHeight="1">
      <c r="E33" s="177" t="inlineStr">
        <is>
          <t>Damodaran implied ERP table</t>
        </is>
      </c>
      <c r="F33" s="178" t="inlineStr">
        <is>
          <t>Damodaran implied ERP table</t>
        </is>
      </c>
      <c r="G33" s="178" t="inlineStr">
        <is>
          <t>https://pages.stern.nyu.edu/~adamodar/New_Home_Page/datafile/histimpl.html</t>
        </is>
      </c>
    </row>
    <row r="34" ht="19.5" customHeight="1">
      <c r="E34" s="177" t="inlineStr">
        <is>
          <t>FICO EV/EBITDA (Alpha Spread)</t>
        </is>
      </c>
      <c r="F34" s="178" t="inlineStr">
        <is>
          <t>FICO EV/EBITDA (Alpha Spread)</t>
        </is>
      </c>
      <c r="G34" s="178" t="inlineStr">
        <is>
          <t>https://www.alphaspread.com/security/nyse/fico/relative-valuation/ratio/enterprise-value-to-ebitda</t>
        </is>
      </c>
    </row>
    <row r="35" ht="19.5" customHeight="1">
      <c r="E35" s="177" t="inlineStr">
        <is>
          <t>FICO IR</t>
        </is>
      </c>
      <c r="F35" s="178" t="inlineStr">
        <is>
          <t>FICO IR</t>
        </is>
      </c>
      <c r="G35" s="178" t="inlineStr">
        <is>
          <t>https://www.fico.com/en/investors</t>
        </is>
      </c>
    </row>
    <row r="36" ht="19.5" customHeight="1">
      <c r="E36" s="177" t="inlineStr">
        <is>
          <t>FICO IR — FY2025 10-K PDF</t>
        </is>
      </c>
      <c r="F36" s="178" t="inlineStr">
        <is>
          <t>FICO IR — FY2025 10-K PDF</t>
        </is>
      </c>
      <c r="G36" s="178" t="inlineStr">
        <is>
          <t>https://investors.fico.com/static-files/663245db-39a2-4db7-8f89-284034bbccbf</t>
        </is>
      </c>
    </row>
    <row r="37" ht="19.5" customHeight="1">
      <c r="E37" s="177" t="inlineStr">
        <is>
          <t>FICO IR — SEC filings hub</t>
        </is>
      </c>
      <c r="F37" s="178" t="inlineStr">
        <is>
          <t>FICO IR — SEC filings hub</t>
        </is>
      </c>
      <c r="G37" s="178" t="inlineStr">
        <is>
          <t>https://investors.fico.com/financial-information/sec-filings</t>
        </is>
      </c>
    </row>
    <row r="38" ht="19.5" customHeight="1">
      <c r="E38" s="177" t="inlineStr">
        <is>
          <t>FICO peer EV/EBITDA comps (VCP Scanner)</t>
        </is>
      </c>
      <c r="F38" s="178" t="inlineStr">
        <is>
          <t>FICO peer EV/EBITDA comps (VCP Scanner)</t>
        </is>
      </c>
      <c r="G38" s="178" t="inlineStr">
        <is>
          <t>https://vcpscanner.com/valuation/fico/relative</t>
        </is>
      </c>
    </row>
    <row r="39" ht="19.5" customHeight="1">
      <c r="E39" s="177" t="inlineStr">
        <is>
          <t>FRED DGS10</t>
        </is>
      </c>
      <c r="F39" s="178" t="inlineStr">
        <is>
          <t>FRED DGS10</t>
        </is>
      </c>
      <c r="G39" s="178" t="inlineStr">
        <is>
          <t>https://fred.stlouisfed.org/series/DGS10</t>
        </is>
      </c>
    </row>
    <row r="40" ht="19.5" customHeight="1">
      <c r="E40" s="177" t="inlineStr">
        <is>
          <t>FY2026 guidance EX-99.1</t>
        </is>
      </c>
      <c r="F40" s="178" t="inlineStr">
        <is>
          <t>FY2026 guidance EX-99.1</t>
        </is>
      </c>
      <c r="G40" s="178" t="inlineStr">
        <is>
          <t>https://www.sec.gov/Archives/edgar/data/814547/000081454726000031/exhibit991erq32026.htm</t>
        </is>
      </c>
    </row>
    <row r="41" ht="19.5" customHeight="1">
      <c r="E41" s="177" t="inlineStr">
        <is>
          <t>MODEL11 Assumptions List (PDF download)</t>
        </is>
      </c>
      <c r="F41" s="178" t="inlineStr">
        <is>
          <t>MODEL11 Assumptions List (PDF download)</t>
        </is>
      </c>
      <c r="G41" s="178" t="inlineStr">
        <is>
          <t>https://raw.githubusercontent.com/vengeanceaiUSC/Rainmaker/cursor/vengeanceaiusmodel11-d3ac/FICO/output/MODEL11_FICO_ASSUMPTIONS_LIST.pdf</t>
        </is>
      </c>
    </row>
    <row r="42" ht="19.5" customHeight="1">
      <c r="E42" s="177" t="inlineStr">
        <is>
          <t>MODEL11 Assumptions List (PDF view)</t>
        </is>
      </c>
      <c r="F42" s="178" t="inlineStr">
        <is>
          <t>MODEL11 Assumptions List (PDF view)</t>
        </is>
      </c>
      <c r="G42" s="178" t="inlineStr">
        <is>
          <t>https://github.com/vengeanceaiUSC/Rainmaker/blob/cursor/vengeanceaiusmodel11-d3ac/FICO/output/MODEL11_FICO_ASSUMPTIONS_LIST.pdf</t>
        </is>
      </c>
    </row>
    <row r="43" ht="19.5" customHeight="1">
      <c r="E43" s="177" t="inlineStr">
        <is>
          <t>SEC 10-K FY2025 (HTML)</t>
        </is>
      </c>
      <c r="F43" s="178" t="inlineStr">
        <is>
          <t>SEC 10-K FY2025 (HTML)</t>
        </is>
      </c>
      <c r="G43" s="178" t="inlineStr">
        <is>
          <t>https://www.sec.gov/Archives/edgar/data/814547/000081454725000030/fico-20250930.htm</t>
        </is>
      </c>
    </row>
    <row r="44" ht="19.5" customHeight="1">
      <c r="E44" s="177" t="inlineStr">
        <is>
          <t>SEC 10-K FY2025 filing index</t>
        </is>
      </c>
      <c r="F44" s="178" t="inlineStr">
        <is>
          <t>SEC 10-K FY2025 filing index</t>
        </is>
      </c>
      <c r="G44" s="178" t="inlineStr">
        <is>
          <t>https://www.sec.gov/Archives/edgar/data/814547/000081454725000030/0000814547-25-000030-index.htm</t>
        </is>
      </c>
    </row>
    <row r="45" ht="19.5" customHeight="1">
      <c r="E45" s="177" t="inlineStr">
        <is>
          <t>SEC companyfacts XBRL (SBC / cash tax / CapEx / buybacks)</t>
        </is>
      </c>
      <c r="F45" s="178" t="inlineStr">
        <is>
          <t>SEC companyfacts XBRL (SBC / cash tax / CapEx / buybacks)</t>
        </is>
      </c>
      <c r="G45" s="178" t="inlineStr">
        <is>
          <t>https://data.sec.gov/api/xbrl/companyfacts/CIK0000814547.json</t>
        </is>
      </c>
    </row>
    <row r="46" ht="19.5" customHeight="1">
      <c r="E46" s="177" t="inlineStr">
        <is>
          <t>US Treasury yield curve</t>
        </is>
      </c>
      <c r="F46" s="178" t="inlineStr">
        <is>
          <t>US Treasury yield curve</t>
        </is>
      </c>
      <c r="G46" s="178" t="inlineStr">
        <is>
          <t>https://home.treasury.gov/resource-center/data-chart-center/interest-rates/TextView?type=daily_treasury_yield_curve</t>
        </is>
      </c>
    </row>
    <row r="47">
      <c r="E47" s="177" t="inlineStr">
        <is>
          <t>Yahoo FICO</t>
        </is>
      </c>
      <c r="F47" s="178" t="inlineStr">
        <is>
          <t>Yahoo FICO</t>
        </is>
      </c>
      <c r="G47" s="178" t="inlineStr">
        <is>
          <t>https://finance.yahoo.com/quote/FICO/key-statistics/</t>
        </is>
      </c>
    </row>
    <row r="48">
      <c r="E48" s="177" t="inlineStr">
        <is>
          <t>Yahoo FICO quote</t>
        </is>
      </c>
      <c r="F48" s="178" t="inlineStr">
        <is>
          <t>Yahoo FICO quote</t>
        </is>
      </c>
      <c r="G48" s="178" t="inlineStr">
        <is>
          <t>https://finance.yahoo.com/quote/FICO/</t>
        </is>
      </c>
    </row>
    <row r="49">
      <c r="E49" s="177" t="inlineStr">
        <is>
          <t>companyfacts</t>
        </is>
      </c>
      <c r="F49" s="178" t="inlineStr">
        <is>
          <t>companyfacts</t>
        </is>
      </c>
      <c r="G49" s="178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</hyperlinks>
  <pageMargins left="0.7" right="0.7" top="0.75" bottom="0.75" header="0.3" footer="0.3"/>
  <pageSetup orientation="landscape" scale="64"/>
  <drawing xmlns:r="http://schemas.openxmlformats.org/officeDocument/2006/relationships" r:id="rId5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9" t="n">
        <v>2021</v>
      </c>
      <c r="F2" s="180">
        <f>+E2+1</f>
        <v/>
      </c>
      <c r="G2" s="180">
        <f>+F2+1</f>
        <v/>
      </c>
      <c r="H2" s="180">
        <f>+G2+1</f>
        <v/>
      </c>
      <c r="I2" s="180">
        <f>+H2+1</f>
        <v/>
      </c>
      <c r="J2" s="181">
        <f>+I2+1</f>
        <v/>
      </c>
      <c r="K2" s="181">
        <f>+J2+1</f>
        <v/>
      </c>
      <c r="L2" s="181">
        <f>+K2+1</f>
        <v/>
      </c>
      <c r="M2" s="181">
        <f>+L2+1</f>
        <v/>
      </c>
      <c r="N2" s="181">
        <f>+M2+1</f>
        <v/>
      </c>
    </row>
    <row r="3">
      <c r="B3" s="19" t="inlineStr">
        <is>
          <t>Balance Sheet Check</t>
        </is>
      </c>
      <c r="E3" s="182">
        <f>IFERROR(IF(ABS(E57)&gt;0.5,"ERROR","OK"),"OK")</f>
        <v/>
      </c>
      <c r="F3" s="182">
        <f>IFERROR(IF(ABS(F57)&gt;0.5,"ERROR","OK"),"OK")</f>
        <v/>
      </c>
      <c r="G3" s="182">
        <f>IFERROR(IF(ABS(G57)&gt;0.5,"ERROR","OK"),"OK")</f>
        <v/>
      </c>
      <c r="H3" s="182">
        <f>IFERROR(IF(ABS(H57)&gt;0.5,"ERROR","OK"),"OK")</f>
        <v/>
      </c>
      <c r="I3" s="182">
        <f>IFERROR(IF(ABS(I57)&gt;0.5,"ERROR","OK"),"OK")</f>
        <v/>
      </c>
      <c r="J3" s="182">
        <f>IFERROR(IF(ABS(J57)&gt;0.5,"ERROR","OK"),"OK")</f>
        <v/>
      </c>
      <c r="K3" s="182">
        <f>IFERROR(IF(ABS(K57)&gt;0.5,"ERROR","OK"),"OK")</f>
        <v/>
      </c>
      <c r="L3" s="182">
        <f>IFERROR(IF(ABS(L57)&gt;0.5,"ERROR","OK"),"OK")</f>
        <v/>
      </c>
      <c r="M3" s="182">
        <f>IFERROR(IF(ABS(M57)&gt;0.5,"ERROR","OK"),"OK")</f>
        <v/>
      </c>
      <c r="N3" s="182">
        <f>IFERROR(IF(ABS(N57)&gt;0.5,"ERROR","OK"),"OK")</f>
        <v/>
      </c>
    </row>
    <row r="4" ht="44" customHeight="1">
      <c r="A4" s="183">
        <f>HYPERLINK("https://raw.githubusercontent.com/vengeanceaiUSC/Rainmaker/cursor/vengeanceaiusmodel11-d3ac/FICO/output/MODEL11_FICO_ASSUMPTIONS_LIST.pdf","⬇ Download Assumptions List PDF")</f>
        <v/>
      </c>
      <c r="B4" s="184" t="inlineStr">
        <is>
          <t>vengeanceaiUSCMODEL11: hover J–N for WHY+SOURCE; col U = filing source; col W = download Assumptions List PDF (no charts)</t>
        </is>
      </c>
      <c r="P4" s="185">
        <f>HYPERLINK("https://raw.githubusercontent.com/vengeanceaiUSC/Rainmaker/cursor/vengeanceaiusmodel11-d3ac/FICO/output/MODEL11_FICO_ASSUMPTIONS_LIST.pdf","ASSUMPTIONS EXPLAINED — click blue Source (col U) for the filing/data")</f>
        <v/>
      </c>
      <c r="Q4" s="186" t="n"/>
      <c r="R4" s="186" t="n"/>
      <c r="S4" s="186" t="n"/>
      <c r="T4" s="186" t="n"/>
      <c r="U4" s="186" t="n"/>
      <c r="V4" s="187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8" t="inlineStr">
        <is>
          <t>Yellow = policy. Green = FY25-linked equations. Orange title above = click to download the Assumptions List PDF (no charts). PDF: https://raw.githubusercontent.com/vengeanceaiUSC/Rainmaker/cursor/vengeanceaiusmodel11-d3ac/FICO/output/MODEL11_FICO_ASSUMPTIONS_LIST.pdf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9" t="inlineStr">
        <is>
          <t>Row</t>
        </is>
      </c>
      <c r="Q6" s="189" t="inlineStr">
        <is>
          <t>Assumption</t>
        </is>
      </c>
      <c r="R6" s="189" t="inlineStr">
        <is>
          <t>What it is</t>
        </is>
      </c>
      <c r="S6" s="189" t="inlineStr">
        <is>
          <t>How set in model</t>
        </is>
      </c>
      <c r="T6" s="189" t="inlineStr">
        <is>
          <t>Why this choice</t>
        </is>
      </c>
      <c r="U6" s="189" t="inlineStr">
        <is>
          <t>Source (click)</t>
        </is>
      </c>
      <c r="V6" s="18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https://raw.githubusercontent.com/vengeanceaiUSC/Rainmaker/cursor/vengeanceaiusmodel11-d3ac/FICO/output/MODEL11_FICO_ASSUMPTIONS_LIST.pdf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0.27</v>
      </c>
      <c r="K7" s="191" t="n">
        <v>0.16</v>
      </c>
      <c r="L7" s="191" t="n">
        <v>0.13</v>
      </c>
      <c r="M7" s="191" t="n">
        <v>0.1</v>
      </c>
      <c r="N7" s="191" t="n">
        <v>0.07000000000000001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 input: 27% / 16% / 13% / 10% / 7%.</t>
        </is>
      </c>
      <c r="T7" s="19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4">
        <f>HYPERLINK("https://www.sec.gov/Archives/edgar/data/814547/000081454726000031/exhibit991erq32026.htm","SEC EX-99.1 Q3 FY2026 — updated FY2026 revenue guidance $2.53B")</f>
        <v/>
      </c>
      <c r="V7" s="194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(blended from segment GMs — schedule row 122)</t>
        </is>
      </c>
      <c r="C8" s="190" t="inlineStr">
        <is>
          <t>WHY: MODEL11: COGS reflects segment margin mix — B2B Scores high GM, SaaS/on-prem high GM, Professional Services much lowe… | SOURCE: SEC 10-K FY2025 — Note 9 / MD&amp;A disaggregated revenue + Cost of revenues | LINK: https://www.sec.gov/Archives/edgar/data/814547/000081454725000030/fico-20250930.htm | HOW: Excel equation: =$J$122 blended COGS from segment GMs (≈ 17.60%; calibrated near FY25 ~17.8%). | ASSUMPTIONS PDF: https://raw.githubusercontent.com/vengeanceaiUSC/Rainmaker/cursor/vengeanceaiusmodel11-d3ac/FICO/output/MODEL11_FICO_ASSUMPTIONS_LIST.pdf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5">
        <f>$J$122</f>
        <v/>
      </c>
      <c r="K8" s="195">
        <f>$J$122</f>
        <v/>
      </c>
      <c r="L8" s="195">
        <f>$J$122</f>
        <v/>
      </c>
      <c r="M8" s="195">
        <f>$J$122</f>
        <v/>
      </c>
      <c r="N8" s="195">
        <f>$J$122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 equation: =$J$122 blended COGS from segment GMs (≈ 17.60%; calibrated near FY25 ~17.8%).</t>
        </is>
      </c>
      <c r="T8" s="193" t="inlineStr">
        <is>
          <t>MODEL11: COGS reflects segment margin mix — B2B Scores high GM, SaaS/on-prem high GM, Professional Services much lower GM (~28%). Mix % offset within Total Revenue (not a second revenue stack).</t>
        </is>
      </c>
      <c r="U8" s="194">
        <f>HYPERLINK("https://www.sec.gov/Archives/edgar/data/814547/000081454725000030/fico-20250930.htm","SEC 10-K FY2025 — Note 9 / MD&amp;A disaggregated revenue + Cost of revenues")</f>
        <v/>
      </c>
      <c r="V8" s="194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90" t="inlineStr">
        <is>
          <t>WHY: MODEL11: restore software operating leverage. Floor 15%; grind −75 bps/yr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https://raw.githubusercontent.com/vengeanceaiUSC/Rainmaker/cursor/vengeanceaiusmodel11-d3ac/FICO/output/MODEL11_FICO_ASSUMPTIONS_LIST.pdf</t>
        </is>
      </c>
      <c r="D9" s="47" t="n"/>
      <c r="E9" s="196">
        <f>E28</f>
        <v/>
      </c>
      <c r="F9" s="196">
        <f>F28</f>
        <v/>
      </c>
      <c r="G9" s="196">
        <f>G28</f>
        <v/>
      </c>
      <c r="H9" s="196">
        <f>H28</f>
        <v/>
      </c>
      <c r="I9" s="196">
        <f>I28</f>
        <v/>
      </c>
      <c r="J9" s="197">
        <f>MAX(0.15,(($I$28-10922.0)/$I$24)-0.0075)</f>
        <v/>
      </c>
      <c r="K9" s="197">
        <f>MAX(0.15,(($I$28-10922.0)/$I$24)-0.015)</f>
        <v/>
      </c>
      <c r="L9" s="197">
        <f>MAX(0.15,(($I$28-10922.0)/$I$24)-0.0225)</f>
        <v/>
      </c>
      <c r="M9" s="197">
        <f>MAX(0.15,(($I$28-10922.0)/$I$24)-0.03)</f>
        <v/>
      </c>
      <c r="N9" s="197">
        <f>MAX(0.15,(($I$28-10922.0)/$I$24)-0.0375)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MAX(15%, (I28 − 10,922)/I24 − 75bps × year). Strips FY25 restructuring; then −0.75% of sales each year.</t>
        </is>
      </c>
      <c r="T9" s="193" t="inlineStr">
        <is>
          <t>MODEL11: restore software operating leverage. Floor 15%; grind −75 bps/yr so SG&amp;A can scale toward mid-teens as revenue expands (not stuck ~24–25%).</t>
        </is>
      </c>
      <c r="U9" s="194">
        <f>HYPERLINK("https://www.sec.gov/Archives/edgar/data/814547/000081454725000030/fico-20250930.htm","SEC 10-K FY2025 — SG&amp;A + restructuring note")</f>
        <v/>
      </c>
      <c r="V9" s="194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9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https://raw.githubusercontent.com/vengeanceaiUSC/Rainmaker/cursor/vengeanceaiusmodel11-d3ac/FICO/output/MODEL11_FICO_ASSUMPTIONS_LIST.pdf</t>
        </is>
      </c>
      <c r="D10" s="47" t="n"/>
      <c r="E10" s="196">
        <f>E29</f>
        <v/>
      </c>
      <c r="F10" s="196">
        <f>F29</f>
        <v/>
      </c>
      <c r="G10" s="196">
        <f>G29</f>
        <v/>
      </c>
      <c r="H10" s="196">
        <f>H29</f>
        <v/>
      </c>
      <c r="I10" s="196">
        <f>I29</f>
        <v/>
      </c>
      <c r="J10" s="197">
        <f>$I$29/$I$24</f>
        <v/>
      </c>
      <c r="K10" s="197">
        <f>$I$29/$I$24</f>
        <v/>
      </c>
      <c r="L10" s="197">
        <f>$I$29/$I$24</f>
        <v/>
      </c>
      <c r="M10" s="197">
        <f>$I$29/$I$24</f>
        <v/>
      </c>
      <c r="N10" s="197">
        <f>$I$29/$I$24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 equation: I29/I24 held flat (~9.46%).</t>
        </is>
      </c>
      <c r="T10" s="193" t="inlineStr">
        <is>
          <t>FICO reinvests steadily in analytics/software. Flat % grows dollars with revenue.</t>
        </is>
      </c>
      <c r="U10" s="194">
        <f>HYPERLINK("https://www.sec.gov/Archives/edgar/data/814547/000081454725000030/fico-20250930.htm","SEC 10-K FY2025 — Research and development")</f>
        <v/>
      </c>
      <c r="V10" s="194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(3yr avg total D&amp;A/Sales — software driver)</t>
        </is>
      </c>
      <c r="C11" s="190" t="inlineStr">
        <is>
          <t>WHY: MODEL11: D&amp;A is forecast as a % of Revenue (3yr FY23–25 average of total DepreciationDepletionAndAmortization / Reven… | SOURCE: SEC companyfacts — DepreciationDepletionAndAmortization / Revenue | LINK: https://data.sec.gov/api/xbrl/companyfacts/CIK0000814547.json | HOW: Yellow POLICY input: flat 0.84% (3yr FY23–25 avg). Forecast DA$ = Revenue × DA%. | ASSUMPTIONS PDF: https://raw.githubusercontent.com/vengeanceaiUSC/Rainmaker/cursor/vengeanceaiusmodel11-d3ac/FICO/output/MODEL11_FICO_ASSUMPTIONS_LIST.pdf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1" t="n">
        <v>0.008411</v>
      </c>
      <c r="K11" s="191" t="n">
        <v>0.008411</v>
      </c>
      <c r="L11" s="191" t="n">
        <v>0.008411</v>
      </c>
      <c r="M11" s="191" t="n">
        <v>0.008411</v>
      </c>
      <c r="N11" s="191" t="n">
        <v>0.008411</v>
      </c>
      <c r="P11" s="192" t="n">
        <v>11</v>
      </c>
      <c r="Q11" s="192" t="inlineStr">
        <is>
          <t>D&amp;A % of Revenue</t>
        </is>
      </c>
      <c r="R11" s="193" t="inlineStr">
        <is>
          <t>Total depreciation &amp; amortization as % of sales (software-industry driver).</t>
        </is>
      </c>
      <c r="S11" s="193" t="inlineStr">
        <is>
          <t>Yellow POLICY input: flat 0.84% (3yr FY23–25 avg). Forecast DA$ = Revenue × DA%.</t>
        </is>
      </c>
      <c r="T11" s="193" t="inlineStr">
        <is>
          <t>MODEL11: D&amp;A is forecast as a % of Revenue (3yr FY23–25 average of total DepreciationDepletionAndAmortization / Revenue ≈ 0.84%), not a PP&amp;E-only rate — capturing software amortization and intangibles.</t>
        </is>
      </c>
      <c r="U11" s="194">
        <f>HYPERLINK("https://data.sec.gov/api/xbrl/companyfacts/CIK0000814547.json","SEC companyfacts — DepreciationDepletionAndAmortization / Revenue")</f>
        <v/>
      </c>
      <c r="V11" s="194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https://raw.githubusercontent.com/vengeanceaiUSC/Rainmaker/cursor/vengeanceaiusmodel11-d3ac/FICO/output/MODEL11_FICO_ASSUMPTIONS_LIST.pdf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5">
        <f>IF($I$98=0,0.05,$I$101/$I$98)</f>
        <v/>
      </c>
      <c r="K12" s="195">
        <f>IF($I$98=0,0.05,$I$101/$I$98)</f>
        <v/>
      </c>
      <c r="L12" s="195">
        <f>IF($I$98=0,0.05,$I$101/$I$98)</f>
        <v/>
      </c>
      <c r="M12" s="195">
        <f>IF($I$98=0,0.05,$I$101/$I$98)</f>
        <v/>
      </c>
      <c r="N12" s="195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stock follows the net debt issuance assumption (row 19).</t>
        </is>
      </c>
      <c r="U12" s="194">
        <f>HYPERLINK("https://www.sec.gov/Archives/edgar/data/814547/000081454725000030/fico-20250930.htm","SEC 10-K FY2025 — Interest expense; see also 8-K 6.250% notes")</f>
        <v/>
      </c>
      <c r="V12" s="194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https://raw.githubusercontent.com/vengeanceaiUSC/Rainmaker/cursor/vengeanceaiusmodel11-d3ac/FICO/output/MODEL11_FICO_ASSUMPTIONS_LIST.pdf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5">
        <f>IF($I$33=0,0.21,$I$35/$I$33)</f>
        <v/>
      </c>
      <c r="K13" s="195">
        <f>IF($I$33=0,0.21,$I$35/$I$33)</f>
        <v/>
      </c>
      <c r="L13" s="195">
        <f>IF($I$33=0,0.21,$I$35/$I$33)</f>
        <v/>
      </c>
      <c r="M13" s="195">
        <f>IF($I$33=0,0.21,$I$35/$I$33)</f>
        <v/>
      </c>
      <c r="N13" s="195">
        <f>IF($I$33=0,0.21,$I$35/$I$33)</f>
        <v/>
      </c>
      <c r="P13" s="192" t="n">
        <v>13</v>
      </c>
      <c r="Q13" s="192" t="inlineStr">
        <is>
          <t>Book Tax Rate (% of EBT)</t>
        </is>
      </c>
      <c r="R13" s="193" t="inlineStr">
        <is>
          <t>Effective book tax rate applied to forecast EBT → Net Income.</t>
        </is>
      </c>
      <c r="S13" s="193" t="inlineStr">
        <is>
          <t>Excel equation: I35/I33 (FY25 tax ÷ simplified FY25 EBT in this template).</t>
        </is>
      </c>
      <c r="T13" s="193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4">
        <f>HYPERLINK("https://data.sec.gov/api/xbrl/companyfacts/CIK0000814547.json","SEC 10-K FY2025 — tax expense; cash taxes from IncomeTaxesPaidNet")</f>
        <v/>
      </c>
      <c r="V13" s="194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blended segment days ≈ 31.9  [AR = Rev × DSO/365; see mix schedule]</t>
        </is>
      </c>
      <c r="C15" s="198" t="inlineStr">
        <is>
          <t>WHY: MODEL11: Working Capital uses segment cash-conversion DSOs blended by FY2025 10-K revenue mix (SaaS, on-prem software… | SOURCE: SEC 10-K FY2025 — Note 9 disaggregated revenue; payment terms 30–60 days | LINK: https://www.sec.gov/Archives/edgar/data/814547/000081454725000030/fico-20250930.htm | HOW: Excel equation: ROUND($J$115,1) = blended segment DSO ≈ 31.9 days (SaaS 45d / B2C 2d / B2B 30d / PS 15d / On-prem 45d × FY25 mix). | ASSUMPTIONS PDF: https://raw.githubusercontent.com/vengeanceaiUSC/Rainmaker/cursor/vengeanceaiusmodel11-d3ac/FICO/output/MODEL11_FICO_ASSUMPTIONS_LIST.pdf</t>
        </is>
      </c>
      <c r="D15" s="32" t="n"/>
      <c r="E15" s="196">
        <f>E42/E24*365</f>
        <v/>
      </c>
      <c r="F15" s="196">
        <f>F42/F24*365</f>
        <v/>
      </c>
      <c r="G15" s="196">
        <f>G42/G24*365</f>
        <v/>
      </c>
      <c r="H15" s="196">
        <f>H42/H24*365</f>
        <v/>
      </c>
      <c r="I15" s="196">
        <f>I42/I24*365</f>
        <v/>
      </c>
      <c r="J15" s="199">
        <f>ROUND($J$115,1)</f>
        <v/>
      </c>
      <c r="K15" s="199">
        <f>ROUND($J$115,1)</f>
        <v/>
      </c>
      <c r="L15" s="199">
        <f>ROUND($J$115,1)</f>
        <v/>
      </c>
      <c r="M15" s="199">
        <f>ROUND($J$115,1)</f>
        <v/>
      </c>
      <c r="N15" s="199">
        <f>ROUND($J$115,1)</f>
        <v/>
      </c>
      <c r="P15" s="192" t="n">
        <v>15</v>
      </c>
      <c r="Q15" s="192" t="inlineStr">
        <is>
          <t>DSO — Accounts Receivable (Days)</t>
        </is>
      </c>
      <c r="R15" s="193" t="inlineStr">
        <is>
          <t>Days Sales Outstanding. AR = Revenue × DSO / 365.</t>
        </is>
      </c>
      <c r="S15" s="193" t="inlineStr">
        <is>
          <t>Excel equation: ROUND($J$115,1) = blended segment DSO ≈ 31.9 days (SaaS 45d / B2C 2d / B2B 30d / PS 15d / On-prem 45d × FY25 mix).</t>
        </is>
      </c>
      <c r="T15" s="193" t="inlineStr">
        <is>
          <t>MODEL11: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</t>
        </is>
      </c>
      <c r="U15" s="194">
        <f>HYPERLINK("https://www.sec.gov/Archives/edgar/data/814547/000081454725000030/fico-20250930.htm","SEC 10-K FY2025 — Note 9 disaggregated revenue; payment terms 30–60 days")</f>
        <v/>
      </c>
      <c r="V15" s="194">
        <f>HYPERLINK("https://www.sec.gov/Archives/edgar/data/814547/000081454725000030/fico-20250930.htm","https://www.sec.gov/Archives/edgar/data/814547/000081454725000030/fico-20250930.htm")</f>
        <v/>
      </c>
    </row>
    <row r="16" hidden="1" outlineLevel="1" ht="40" customHeight="1">
      <c r="B16" s="19" t="inlineStr">
        <is>
          <t>Inventory (Days)</t>
        </is>
      </c>
      <c r="C16" s="19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https://raw.githubusercontent.com/vengeanceaiUSC/Rainmaker/cursor/vengeanceaiusmodel11-d3ac/FICO/output/MODEL11_FICO_ASSUMPTIONS_LIST.pdf</t>
        </is>
      </c>
      <c r="D16" s="32" t="n"/>
      <c r="E16" s="196">
        <f>E43/E25*365</f>
        <v/>
      </c>
      <c r="F16" s="196">
        <f>F43/F25*365</f>
        <v/>
      </c>
      <c r="G16" s="196">
        <f>G43/G25*365</f>
        <v/>
      </c>
      <c r="H16" s="196">
        <f>H43/H25*365</f>
        <v/>
      </c>
      <c r="I16" s="196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94">
        <f>HYPERLINK("https://www.sec.gov/Archives/edgar/data/814547/000081454725000030/fico-20250930.htm","SEC 10-K FY2025 — Inventory ≈ $0")</f>
        <v/>
      </c>
      <c r="V16" s="194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8" t="inlineStr">
        <is>
          <t>WHY: MODEL11: DPO is an explicit WC driver paired with DSO. NWC = AR + Inventory − AP − Deferred (output); ΔNWC = NWCt − N…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https://raw.githubusercontent.com/vengeanceaiUSC/Rainmaker/cursor/vengeanceaiusmodel11-d3ac/FICO/output/MODEL11_FICO_ASSUMPTIONS_LIST.pdf</t>
        </is>
      </c>
      <c r="D17" s="32" t="n"/>
      <c r="E17" s="196">
        <f>E48/E25*365</f>
        <v/>
      </c>
      <c r="F17" s="196">
        <f>F48/F25*365</f>
        <v/>
      </c>
      <c r="G17" s="196">
        <f>G48/G25*365</f>
        <v/>
      </c>
      <c r="H17" s="196">
        <f>H48/H25*365</f>
        <v/>
      </c>
      <c r="I17" s="196">
        <f>I48/I25*365</f>
        <v/>
      </c>
      <c r="J17" s="199">
        <f>IF($I$25=0,0,ROUND($I$48/$I$25*365,0))</f>
        <v/>
      </c>
      <c r="K17" s="199">
        <f>IF($I$25=0,0,ROUND($I$48/$I$25*365,0))</f>
        <v/>
      </c>
      <c r="L17" s="199">
        <f>IF($I$25=0,0,ROUND($I$48/$I$25*365,0))</f>
        <v/>
      </c>
      <c r="M17" s="199">
        <f>IF($I$25=0,0,ROUND($I$48/$I$25*365,0))</f>
        <v/>
      </c>
      <c r="N17" s="199">
        <f>IF($I$25=0,0,ROUND($I$48/$I$25*365,0))</f>
        <v/>
      </c>
      <c r="P17" s="192" t="n">
        <v>17</v>
      </c>
      <c r="Q17" s="192" t="inlineStr">
        <is>
          <t>DPO — Accounts Payable (Days)</t>
        </is>
      </c>
      <c r="R17" s="193" t="inlineStr">
        <is>
          <t>Days Payable Outstanding. AP = COGS × DPO / 365.</t>
        </is>
      </c>
      <c r="S17" s="193" t="inlineStr">
        <is>
          <t>Excel equation: ROUND(I48/I25×365, 0) from FY25; held flat.</t>
        </is>
      </c>
      <c r="T17" s="193" t="inlineStr">
        <is>
          <t>MODEL11: DPO is an explicit WC driver paired with DSO. NWC = AR + Inventory − AP − Deferred (output); ΔNWC = NWCt − NWCt−1.</t>
        </is>
      </c>
      <c r="U17" s="194">
        <f>HYPERLINK("https://www.sec.gov/Archives/edgar/data/814547/000081454725000030/fico-20250930.htm","SEC 10-K FY2025 — Accounts payable")</f>
        <v/>
      </c>
      <c r="V17" s="194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(flat 3yr hist avg — no fade)</t>
        </is>
      </c>
      <c r="C18" s="198" t="inlineStr">
        <is>
          <t>WHY: MODEL11: CapEx uses a flat 3yr average of (PPE purchases + capitalized software) / Revenue (≈ 1.25%). The prior hardc… | SOURCE: SEC companyfacts — PPE purchases + PaymentsToDevelopSoftware | LINK: https://data.sec.gov/api/xbrl/companyfacts/CIK0000814547.json | HOW: Yellow POLICY input: flat 1.25% (3yr avg of PPE purchases + PaymentsToDevelopSoftware / Revenue). | ASSUMPTIONS PDF: https://raw.githubusercontent.com/vengeanceaiUSC/Rainmaker/cursor/vengeanceaiusmodel11-d3ac/FICO/output/MODEL11_FICO_ASSUMPTIONS_LIST.pdf</t>
        </is>
      </c>
      <c r="E18" s="196">
        <f>E68</f>
        <v/>
      </c>
      <c r="F18" s="196">
        <f>F68</f>
        <v/>
      </c>
      <c r="G18" s="196">
        <f>G68</f>
        <v/>
      </c>
      <c r="H18" s="196">
        <f>H68</f>
        <v/>
      </c>
      <c r="I18" s="196">
        <f>I68</f>
        <v/>
      </c>
      <c r="J18" s="201" t="n">
        <v>0.01249</v>
      </c>
      <c r="K18" s="201" t="n">
        <v>0.01249</v>
      </c>
      <c r="L18" s="201" t="n">
        <v>0.01249</v>
      </c>
      <c r="M18" s="201" t="n">
        <v>0.01249</v>
      </c>
      <c r="N18" s="201" t="n">
        <v>0.01249</v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Yellow POLICY input: flat 1.25% (3yr avg of PPE purchases + PaymentsToDevelopSoftware / Revenue).</t>
        </is>
      </c>
      <c r="T18" s="193" t="inlineStr">
        <is>
          <t>MODEL11: CapEx uses a flat 3yr average of (PPE purchases + capitalized software) / Revenue (≈ 1.25%). The prior hardcoded fade to 1% was removed so reinvestment reflects actual history rather than forcing CapEx ≈ D&amp;A by Year 5.</t>
        </is>
      </c>
      <c r="U18" s="194">
        <f>HYPERLINK("https://data.sec.gov/api/xbrl/companyfacts/CIK0000814547.json","SEC companyfacts — PPE purchases + PaymentsToDevelopSoftware")</f>
        <v/>
      </c>
      <c r="V18" s="194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8" t="inlineStr">
        <is>
          <t>WHY: MODEL11: Financing CF restores realism outside FCFF: debt uses the 3yr average net debt cash flow (senior-note procee…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https://raw.githubusercontent.com/vengeanceaiUSC/Rainmaker/cursor/vengeanceaiusmodel11-d3ac/FICO/output/MODEL11_FICO_ASSUMPTIONS_LIST.pdf</t>
        </is>
      </c>
      <c r="E19" s="196">
        <f>E99</f>
        <v/>
      </c>
      <c r="F19" s="196">
        <f>F99</f>
        <v/>
      </c>
      <c r="G19" s="196">
        <f>G99</f>
        <v/>
      </c>
      <c r="H19" s="196">
        <f>H99</f>
        <v/>
      </c>
      <c r="I19" s="196">
        <f>I99</f>
        <v/>
      </c>
      <c r="J19" s="200" t="n">
        <v>-290917</v>
      </c>
      <c r="K19" s="200" t="n">
        <v>-290917</v>
      </c>
      <c r="L19" s="200" t="n">
        <v>-290917</v>
      </c>
      <c r="M19" s="200" t="n">
        <v>-290917</v>
      </c>
      <c r="N19" s="200" t="n">
        <v>-290917</v>
      </c>
      <c r="P19" s="192" t="n">
        <v>19</v>
      </c>
      <c r="Q19" s="192" t="inlineStr">
        <is>
          <t>Debt Issuance (Repayment)</t>
        </is>
      </c>
      <c r="R19" s="193" t="inlineStr">
        <is>
          <t>New borrowing (+) or repayment (−) in the forecast ($000s).</t>
        </is>
      </c>
      <c r="S19" s="193" t="inlineStr">
        <is>
          <t>Yellow POLICY input: -290,917 each year (3yr avg senior-note proceeds − line-of-credit repayments).</t>
        </is>
      </c>
      <c r="T19" s="193" t="inlineStr">
        <is>
          <t>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</t>
        </is>
      </c>
      <c r="U19" s="194">
        <f>HYPERLINK("https://data.sec.gov/api/xbrl/companyfacts/CIK0000814547.json","SEC companyfacts — ProceedsFromIssuanceOfSeniorLongTermDebt / RepaymentsOfLinesOfCredit")</f>
        <v/>
      </c>
      <c r="V19" s="194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8" t="inlineStr">
        <is>
          <t>WHY: Restores financing realism so cash does not artificially stockpile. Buybacks are financing — excluded from FCFF. DCF … | SOURCE: SEC companyfacts — PaymentsForRepurchaseOfCommonStock | LINK: https://data.sec.gov/api/xbrl/companyfacts/CIK0000814547.json | HOW: Equation: −(CFO − CapEx) − DebtIssuance so residual levered FCF funds buybacks (hist 3yr avg buybacks ≈ $881M/yr). | ASSUMPTIONS PDF: https://raw.githubusercontent.com/vengeanceaiUSC/Rainmaker/cursor/vengeanceaiusmodel11-d3ac/FICO/output/MODEL11_FICO_ASSUMPTIONS_LIST.pdf</t>
        </is>
      </c>
      <c r="E20" s="196">
        <f>E73</f>
        <v/>
      </c>
      <c r="F20" s="196">
        <f>F73</f>
        <v/>
      </c>
      <c r="G20" s="196">
        <f>G73</f>
        <v/>
      </c>
      <c r="H20" s="196">
        <f>H73</f>
        <v/>
      </c>
      <c r="I20" s="196">
        <f>I73</f>
        <v/>
      </c>
      <c r="J20" s="199">
        <f>-(J66-J69)-J19</f>
        <v/>
      </c>
      <c r="K20" s="199">
        <f>-(K66-K69)-K19</f>
        <v/>
      </c>
      <c r="L20" s="199">
        <f>-(L66-L69)-L19</f>
        <v/>
      </c>
      <c r="M20" s="199">
        <f>-(M66-M69)-M19</f>
        <v/>
      </c>
      <c r="N20" s="199">
        <f>-(N66-N69)-N19</f>
        <v/>
      </c>
      <c r="P20" s="192" t="n">
        <v>20</v>
      </c>
      <c r="Q20" s="192" t="inlineStr">
        <is>
          <t>Equity Issued (Repaid)</t>
        </is>
      </c>
      <c r="R20" s="193" t="inlineStr">
        <is>
          <t>New equity issued (+) or buybacks (−) in the forecast BS/CF.</t>
        </is>
      </c>
      <c r="S20" s="193" t="inlineStr">
        <is>
          <t>Equation: −(CFO − CapEx) − DebtIssuance so residual levered FCF funds buybacks (hist 3yr avg buybacks ≈ $881M/yr).</t>
        </is>
      </c>
      <c r="T20" s="193" t="inlineStr">
        <is>
          <t>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</t>
        </is>
      </c>
      <c r="U20" s="194">
        <f>HYPERLINK("https://data.sec.gov/api/xbrl/companyfacts/CIK0000814547.json","SEC companyfacts — PaymentsForRepurchaseOfCommonStock")</f>
        <v/>
      </c>
      <c r="V20" s="194">
        <f>HYPERLINK("https://data.sec.gov/api/xbrl/companyfacts/CIK0000814547.json","https://data.sec.gov/api/xbrl/companyfacts/CIK0000814547.json")</f>
        <v/>
      </c>
    </row>
    <row r="21" hidden="1" outlineLevel="1" ht="40" customHeight="1">
      <c r="B21" t="inlineStr">
        <is>
          <t>SBC % of Revenue (3yr avg — CF / FCFF add-back + DCF dilution)</t>
        </is>
      </c>
      <c r="C21" s="198" t="inlineStr">
        <is>
          <t>WHY: MODEL11: Stock-Based Compensation is added back in CFO and FCFF at the 3yr average SBC/Revenue (≈ 8.25%) from ShareBa… | SOURCE: SEC 10-K cash flow — ShareBasedCompensation | LINK: https://data.sec.gov/api/xbrl/companyfacts/CIK0000814547.json | HOW: Yellow POLICY input: flat 8.25% (3yr FY23–25 avg ShareBasedCompensation / Revenue). | ASSUMPTIONS PDF: https://raw.githubusercontent.com/vengeanceaiUSC/Rainmaker/cursor/vengeanceaiusmodel11-d3ac/FICO/output/MODEL11_FICO_ASSUMPTIONS_LIST.pdf</t>
        </is>
      </c>
      <c r="E21" s="52" t="n"/>
      <c r="F21" s="52" t="n"/>
      <c r="G21" s="52" t="n"/>
      <c r="H21" s="52" t="n"/>
      <c r="I21" s="52" t="n"/>
      <c r="J21" s="200" t="n">
        <v>0.08251</v>
      </c>
      <c r="K21" s="200" t="n">
        <v>0.08251</v>
      </c>
      <c r="L21" s="200" t="n">
        <v>0.08251</v>
      </c>
      <c r="M21" s="200" t="n">
        <v>0.08251</v>
      </c>
      <c r="N21" s="200" t="n">
        <v>0.08251</v>
      </c>
      <c r="P21" s="192" t="n">
        <v>21</v>
      </c>
      <c r="Q21" s="192" t="inlineStr">
        <is>
          <t>SBC % of Revenue</t>
        </is>
      </c>
      <c r="R21" s="193" t="inlineStr">
        <is>
          <t>Stock-based compensation as % of sales; non-cash add-back in CFO and FCFF.</t>
        </is>
      </c>
      <c r="S21" s="193" t="inlineStr">
        <is>
          <t>Yellow POLICY input: flat 8.25% (3yr FY23–25 avg ShareBasedCompensation / Revenue).</t>
        </is>
      </c>
      <c r="T21" s="193" t="inlineStr">
        <is>
          <t>MODEL11: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</t>
        </is>
      </c>
      <c r="U21" s="194">
        <f>HYPERLINK("https://data.sec.gov/api/xbrl/companyfacts/CIK0000814547.json","SEC 10-K cash flow — ShareBasedCompensation")</f>
        <v/>
      </c>
      <c r="V21" s="194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2" t="inlineStr">
        <is>
          <t>eqn: PriorRev × (1 + growth)</t>
        </is>
      </c>
      <c r="D24" s="46" t="n"/>
      <c r="E24" s="203" t="n">
        <v>1316536</v>
      </c>
      <c r="F24" s="203" t="n">
        <v>1377270</v>
      </c>
      <c r="G24" s="203" t="n">
        <v>1513557</v>
      </c>
      <c r="H24" s="203" t="n">
        <v>1717526</v>
      </c>
      <c r="I24" s="203" t="n">
        <v>1990869</v>
      </c>
      <c r="J24" s="199">
        <f>I24*(1+J7)</f>
        <v/>
      </c>
      <c r="K24" s="199">
        <f>J24*(1+K7)</f>
        <v/>
      </c>
      <c r="L24" s="199">
        <f>K24*(1+L7)</f>
        <v/>
      </c>
      <c r="M24" s="199">
        <f>L24*(1+M7)</f>
        <v/>
      </c>
      <c r="N24" s="199">
        <f>M24*(1+N7)</f>
        <v/>
      </c>
    </row>
    <row r="25" hidden="1" outlineLevel="1">
      <c r="B25" s="19" t="inlineStr">
        <is>
          <t>Cost of Goods Sold (COGS)</t>
        </is>
      </c>
      <c r="C25" s="202" t="inlineStr">
        <is>
          <t>eqn: Rev × COGS%</t>
        </is>
      </c>
      <c r="D25" s="47" t="n"/>
      <c r="E25" s="203" t="n">
        <v>332462</v>
      </c>
      <c r="F25" s="203" t="n">
        <v>302174</v>
      </c>
      <c r="G25" s="203" t="n">
        <v>311053</v>
      </c>
      <c r="H25" s="203" t="n">
        <v>348206</v>
      </c>
      <c r="I25" s="203" t="n">
        <v>353722</v>
      </c>
      <c r="J25" s="199">
        <f>J24*J8</f>
        <v/>
      </c>
      <c r="K25" s="199">
        <f>K24*K8</f>
        <v/>
      </c>
      <c r="L25" s="199">
        <f>L24*L8</f>
        <v/>
      </c>
      <c r="M25" s="199">
        <f>M24*M8</f>
        <v/>
      </c>
      <c r="N25" s="199">
        <f>N24*N8</f>
        <v/>
      </c>
    </row>
    <row r="26" hidden="1" outlineLevel="1">
      <c r="B26" s="4" t="inlineStr">
        <is>
          <t>Gross Profit</t>
        </is>
      </c>
      <c r="C26" s="204" t="inlineStr">
        <is>
          <t>eqn: Rev − COGS</t>
        </is>
      </c>
      <c r="D26" s="22" t="n"/>
      <c r="E26" s="205">
        <f>E24-E25</f>
        <v/>
      </c>
      <c r="F26" s="205">
        <f>F24-F25</f>
        <v/>
      </c>
      <c r="G26" s="205">
        <f>G24-G25</f>
        <v/>
      </c>
      <c r="H26" s="205">
        <f>H24-H25</f>
        <v/>
      </c>
      <c r="I26" s="205">
        <f>I24-I25</f>
        <v/>
      </c>
      <c r="J26" s="199">
        <f>J24-J25</f>
        <v/>
      </c>
      <c r="K26" s="199">
        <f>K24-K25</f>
        <v/>
      </c>
      <c r="L26" s="199">
        <f>L24-L25</f>
        <v/>
      </c>
      <c r="M26" s="199">
        <f>M24-M25</f>
        <v/>
      </c>
      <c r="N26" s="19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6" t="inlineStr">
        <is>
          <t>eqn: Rev × SG&amp;A%</t>
        </is>
      </c>
      <c r="E28" s="203" t="n">
        <v>396281</v>
      </c>
      <c r="F28" s="203" t="n">
        <v>383863</v>
      </c>
      <c r="G28" s="203" t="n">
        <v>400565</v>
      </c>
      <c r="H28" s="203" t="n">
        <v>462834</v>
      </c>
      <c r="I28" s="203" t="n">
        <v>513028</v>
      </c>
      <c r="J28" s="199">
        <f>J24*J9</f>
        <v/>
      </c>
      <c r="K28" s="199">
        <f>K24*K9</f>
        <v/>
      </c>
      <c r="L28" s="199">
        <f>L24*L9</f>
        <v/>
      </c>
      <c r="M28" s="199">
        <f>M24*M9</f>
        <v/>
      </c>
      <c r="N28" s="199">
        <f>N24*N9</f>
        <v/>
      </c>
    </row>
    <row r="29" hidden="1" outlineLevel="1">
      <c r="B29" s="19" t="inlineStr">
        <is>
          <t>Research &amp; Development (R&amp;D)</t>
        </is>
      </c>
      <c r="C29" s="206" t="inlineStr">
        <is>
          <t>eqn: Rev × R&amp;D%</t>
        </is>
      </c>
      <c r="E29" s="203" t="n">
        <v>171231</v>
      </c>
      <c r="F29" s="203" t="n">
        <v>146758</v>
      </c>
      <c r="G29" s="203" t="n">
        <v>159950</v>
      </c>
      <c r="H29" s="203" t="n">
        <v>171940</v>
      </c>
      <c r="I29" s="203" t="n">
        <v>188347</v>
      </c>
      <c r="J29" s="199">
        <f>J24*J10</f>
        <v/>
      </c>
      <c r="K29" s="199">
        <f>K24*K10</f>
        <v/>
      </c>
      <c r="L29" s="199">
        <f>L24*L10</f>
        <v/>
      </c>
      <c r="M29" s="199">
        <f>M24*M10</f>
        <v/>
      </c>
      <c r="N29" s="199">
        <f>N24*N10</f>
        <v/>
      </c>
    </row>
    <row r="30" hidden="1" outlineLevel="1">
      <c r="B30" s="19" t="inlineStr">
        <is>
          <t>Depreciation &amp; Amortization</t>
        </is>
      </c>
      <c r="C30" s="206" t="inlineStr">
        <is>
          <t>eqn: Rev × DA% (total D&amp;A / sales)</t>
        </is>
      </c>
      <c r="E30" s="203" t="n">
        <v>25592</v>
      </c>
      <c r="F30" s="203" t="n">
        <v>20465</v>
      </c>
      <c r="G30" s="203" t="n">
        <v>14638</v>
      </c>
      <c r="H30" s="203" t="n">
        <v>13827</v>
      </c>
      <c r="I30" s="203" t="n">
        <v>14952</v>
      </c>
      <c r="J30" s="199">
        <f>J24*J11</f>
        <v/>
      </c>
      <c r="K30" s="199">
        <f>K24*K11</f>
        <v/>
      </c>
      <c r="L30" s="199">
        <f>L24*L11</f>
        <v/>
      </c>
      <c r="M30" s="199">
        <f>M24*M11</f>
        <v/>
      </c>
      <c r="N30" s="199">
        <f>N24*N11</f>
        <v/>
      </c>
    </row>
    <row r="31" hidden="1" outlineLevel="1">
      <c r="B31" s="2" t="inlineStr">
        <is>
          <t>Interest</t>
        </is>
      </c>
      <c r="C31" s="207" t="inlineStr">
        <is>
          <t>eqn: Debt_open × Int%</t>
        </is>
      </c>
      <c r="D31" s="24" t="n"/>
      <c r="E31" s="208" t="n">
        <v>40092</v>
      </c>
      <c r="F31" s="208" t="n">
        <v>68967</v>
      </c>
      <c r="G31" s="208" t="n">
        <v>95546</v>
      </c>
      <c r="H31" s="208" t="n">
        <v>105638</v>
      </c>
      <c r="I31" s="208" t="n">
        <v>133647</v>
      </c>
      <c r="J31" s="199">
        <f>J98*J12</f>
        <v/>
      </c>
      <c r="K31" s="199">
        <f>K98*K12</f>
        <v/>
      </c>
      <c r="L31" s="199">
        <f>L98*L12</f>
        <v/>
      </c>
      <c r="M31" s="199">
        <f>M98*M12</f>
        <v/>
      </c>
      <c r="N31" s="19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9">
        <f>SUM(E28:E31)</f>
        <v/>
      </c>
      <c r="F32" s="209">
        <f>SUM(F28:F31)</f>
        <v/>
      </c>
      <c r="G32" s="209">
        <f>SUM(G28:G31)</f>
        <v/>
      </c>
      <c r="H32" s="209">
        <f>SUM(H28:H31)</f>
        <v/>
      </c>
      <c r="I32" s="209">
        <f>SUM(I28:I31)</f>
        <v/>
      </c>
      <c r="J32" s="199">
        <f>SUM(J28:J31)</f>
        <v/>
      </c>
      <c r="K32" s="199">
        <f>SUM(K28:K31)</f>
        <v/>
      </c>
      <c r="L32" s="199">
        <f>SUM(L28:L31)</f>
        <v/>
      </c>
      <c r="M32" s="199">
        <f>SUM(M28:M31)</f>
        <v/>
      </c>
      <c r="N32" s="199">
        <f>SUM(N28:N31)</f>
        <v/>
      </c>
    </row>
    <row r="33" hidden="1" outlineLevel="1">
      <c r="B33" s="4" t="inlineStr">
        <is>
          <t>Earnings Before Tax</t>
        </is>
      </c>
      <c r="C33" s="204" t="inlineStr">
        <is>
          <t>eqn: GP − Expenses</t>
        </is>
      </c>
      <c r="D33" s="22" t="n"/>
      <c r="E33" s="205">
        <f>E26-E32</f>
        <v/>
      </c>
      <c r="F33" s="205">
        <f>F26-F32</f>
        <v/>
      </c>
      <c r="G33" s="205">
        <f>G26-G32</f>
        <v/>
      </c>
      <c r="H33" s="205">
        <f>H26-H32</f>
        <v/>
      </c>
      <c r="I33" s="205">
        <f>I26-I32</f>
        <v/>
      </c>
      <c r="J33" s="199">
        <f>J26-J32</f>
        <v/>
      </c>
      <c r="K33" s="199">
        <f>K26-K32</f>
        <v/>
      </c>
      <c r="L33" s="199">
        <f>L26-L32</f>
        <v/>
      </c>
      <c r="M33" s="199">
        <f>M26-M32</f>
        <v/>
      </c>
      <c r="N33" s="19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2" t="inlineStr">
        <is>
          <t>eqn: EBT × book tax%</t>
        </is>
      </c>
      <c r="D35" s="47" t="n"/>
      <c r="E35" s="203" t="n">
        <v>81058</v>
      </c>
      <c r="F35" s="203" t="n">
        <v>97768</v>
      </c>
      <c r="G35" s="203" t="n">
        <v>124249</v>
      </c>
      <c r="H35" s="203" t="n">
        <v>129214</v>
      </c>
      <c r="I35" s="203" t="n">
        <v>150649</v>
      </c>
      <c r="J35" s="199">
        <f>J33*J13</f>
        <v/>
      </c>
      <c r="K35" s="199">
        <f>K33*K13</f>
        <v/>
      </c>
      <c r="L35" s="199">
        <f>L33*L13</f>
        <v/>
      </c>
      <c r="M35" s="199">
        <f>M33*M13</f>
        <v/>
      </c>
      <c r="N35" s="199">
        <f>N33*N13</f>
        <v/>
      </c>
    </row>
    <row r="36" hidden="1" outlineLevel="1" ht="16.2" customHeight="1" thickBot="1">
      <c r="B36" s="39" t="inlineStr">
        <is>
          <t>Net Earnings</t>
        </is>
      </c>
      <c r="C36" s="210" t="inlineStr">
        <is>
          <t>eqn: EBT × (1 − book tax%)</t>
        </is>
      </c>
      <c r="D36" s="40" t="n"/>
      <c r="E36" s="211">
        <f>E33-E35</f>
        <v/>
      </c>
      <c r="F36" s="211">
        <f>F33-F35</f>
        <v/>
      </c>
      <c r="G36" s="211">
        <f>G33-G35</f>
        <v/>
      </c>
      <c r="H36" s="211">
        <f>H33-H35</f>
        <v/>
      </c>
      <c r="I36" s="211">
        <f>I33-I35</f>
        <v/>
      </c>
      <c r="J36" s="199">
        <f>J33*(1-J13)</f>
        <v/>
      </c>
      <c r="K36" s="199">
        <f>K33*(1-K13)</f>
        <v/>
      </c>
      <c r="L36" s="199">
        <f>L33*(1-L13)</f>
        <v/>
      </c>
      <c r="M36" s="199">
        <f>M33*(1-M13)</f>
        <v/>
      </c>
      <c r="N36" s="19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3" t="n">
        <v>195354</v>
      </c>
      <c r="F41" s="203" t="n">
        <v>133202</v>
      </c>
      <c r="G41" s="203" t="n">
        <v>136778</v>
      </c>
      <c r="H41" s="203" t="n">
        <v>150667</v>
      </c>
      <c r="I41" s="203" t="n">
        <v>134136</v>
      </c>
      <c r="J41" s="199">
        <f>J78</f>
        <v/>
      </c>
      <c r="K41" s="199">
        <f>K78</f>
        <v/>
      </c>
      <c r="L41" s="199">
        <f>L78</f>
        <v/>
      </c>
      <c r="M41" s="199">
        <f>M78</f>
        <v/>
      </c>
      <c r="N41" s="199">
        <f>N78</f>
        <v/>
      </c>
    </row>
    <row r="42" hidden="1" outlineLevel="1">
      <c r="B42" s="19" t="inlineStr">
        <is>
          <t>Accounts Receivable</t>
        </is>
      </c>
      <c r="C42" s="206" t="inlineStr">
        <is>
          <t>eqn: Rev × blended DSO / 365</t>
        </is>
      </c>
      <c r="E42" s="203" t="n">
        <v>312107</v>
      </c>
      <c r="F42" s="203" t="n">
        <v>322410</v>
      </c>
      <c r="G42" s="203" t="n">
        <v>387947</v>
      </c>
      <c r="H42" s="203" t="n">
        <v>426642</v>
      </c>
      <c r="I42" s="203" t="n">
        <v>529148</v>
      </c>
      <c r="J42" s="199">
        <f>J24*J15/365</f>
        <v/>
      </c>
      <c r="K42" s="199">
        <f>K24*K15/365</f>
        <v/>
      </c>
      <c r="L42" s="199">
        <f>L24*L15/365</f>
        <v/>
      </c>
      <c r="M42" s="199">
        <f>M24*M15/365</f>
        <v/>
      </c>
      <c r="N42" s="199">
        <f>N24*N15/365</f>
        <v/>
      </c>
    </row>
    <row r="43" hidden="1" outlineLevel="1">
      <c r="B43" s="19" t="inlineStr">
        <is>
          <t>Inventory</t>
        </is>
      </c>
      <c r="E43" s="203" t="n">
        <v>0</v>
      </c>
      <c r="F43" s="203" t="n">
        <v>0</v>
      </c>
      <c r="G43" s="203" t="n">
        <v>0</v>
      </c>
      <c r="H43" s="203" t="n">
        <v>0</v>
      </c>
      <c r="I43" s="203" t="n">
        <v>0</v>
      </c>
      <c r="J43" s="199">
        <f>J25*J16/365</f>
        <v/>
      </c>
      <c r="K43" s="199">
        <f>K25*K16/365</f>
        <v/>
      </c>
      <c r="L43" s="199">
        <f>L25*L16/365</f>
        <v/>
      </c>
      <c r="M43" s="199">
        <f>M25*M16/365</f>
        <v/>
      </c>
      <c r="N43" s="199">
        <f>N25*N16/365</f>
        <v/>
      </c>
    </row>
    <row r="44" hidden="1" outlineLevel="1">
      <c r="B44" s="19" t="inlineStr">
        <is>
          <t>Property &amp; Equipment</t>
        </is>
      </c>
      <c r="E44" s="203" t="n">
        <v>27913</v>
      </c>
      <c r="F44" s="203" t="n">
        <v>17580</v>
      </c>
      <c r="G44" s="203" t="n">
        <v>10966</v>
      </c>
      <c r="H44" s="203" t="n">
        <v>38465</v>
      </c>
      <c r="I44" s="203" t="n">
        <v>67713</v>
      </c>
      <c r="J44" s="199">
        <f>J95</f>
        <v/>
      </c>
      <c r="K44" s="199">
        <f>K95</f>
        <v/>
      </c>
      <c r="L44" s="199">
        <f>L95</f>
        <v/>
      </c>
      <c r="M44" s="199">
        <f>M95</f>
        <v/>
      </c>
      <c r="N44" s="19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1">
        <f>SUM(E41:E44)</f>
        <v/>
      </c>
      <c r="F45" s="211">
        <f>SUM(F41:F44)</f>
        <v/>
      </c>
      <c r="G45" s="211">
        <f>SUM(G41:G44)</f>
        <v/>
      </c>
      <c r="H45" s="211">
        <f>SUM(H41:H44)</f>
        <v/>
      </c>
      <c r="I45" s="211">
        <f>SUM(I41:I44)</f>
        <v/>
      </c>
      <c r="J45" s="199">
        <f>SUM(J41:J44)</f>
        <v/>
      </c>
      <c r="K45" s="199">
        <f>SUM(K41:K44)</f>
        <v/>
      </c>
      <c r="L45" s="199">
        <f>SUM(L41:L44)</f>
        <v/>
      </c>
      <c r="M45" s="199">
        <f>SUM(M41:M44)</f>
        <v/>
      </c>
      <c r="N45" s="19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6" t="inlineStr">
        <is>
          <t>eqn: COGS × DPO / 365</t>
        </is>
      </c>
      <c r="E48" s="203" t="n">
        <v>20749</v>
      </c>
      <c r="F48" s="203" t="n">
        <v>17273</v>
      </c>
      <c r="G48" s="203" t="n">
        <v>19009</v>
      </c>
      <c r="H48" s="203" t="n">
        <v>22473</v>
      </c>
      <c r="I48" s="203" t="n">
        <v>32315</v>
      </c>
      <c r="J48" s="199">
        <f>J25*J17/365</f>
        <v/>
      </c>
      <c r="K48" s="199">
        <f>K25*K17/365</f>
        <v/>
      </c>
      <c r="L48" s="199">
        <f>L25*L17/365</f>
        <v/>
      </c>
      <c r="M48" s="199">
        <f>M25*M17/365</f>
        <v/>
      </c>
      <c r="N48" s="199">
        <f>N25*N17/365</f>
        <v/>
      </c>
    </row>
    <row r="49" hidden="1" outlineLevel="1">
      <c r="B49" s="19" t="inlineStr">
        <is>
          <t>Debt</t>
        </is>
      </c>
      <c r="E49" s="203" t="n">
        <v>1259018</v>
      </c>
      <c r="F49" s="203" t="n">
        <v>1853669</v>
      </c>
      <c r="G49" s="203" t="n">
        <v>1861658</v>
      </c>
      <c r="H49" s="203" t="n">
        <v>2209021</v>
      </c>
      <c r="I49" s="203" t="n">
        <v>3055691</v>
      </c>
      <c r="J49" s="199">
        <f>J100</f>
        <v/>
      </c>
      <c r="K49" s="199">
        <f>K100</f>
        <v/>
      </c>
      <c r="L49" s="199">
        <f>L100</f>
        <v/>
      </c>
      <c r="M49" s="199">
        <f>M100</f>
        <v/>
      </c>
      <c r="N49" s="199">
        <f>N100</f>
        <v/>
      </c>
    </row>
    <row r="50" hidden="1" outlineLevel="1">
      <c r="B50" s="4" t="inlineStr">
        <is>
          <t>Total Liabilities (AP + Debt + Deferred Revenue)</t>
        </is>
      </c>
      <c r="C50" s="204" t="inlineStr">
        <is>
          <t>eqn: AP + Debt + DeferredRev(88)</t>
        </is>
      </c>
      <c r="D50" s="22" t="n"/>
      <c r="E50" s="212">
        <f>E48+E49+E88</f>
        <v/>
      </c>
      <c r="F50" s="212">
        <f>F48+F49+F88</f>
        <v/>
      </c>
      <c r="G50" s="212">
        <f>G48+G49+G88</f>
        <v/>
      </c>
      <c r="H50" s="212">
        <f>H48+H49+H88</f>
        <v/>
      </c>
      <c r="I50" s="212">
        <f>I48+I49+I88</f>
        <v/>
      </c>
      <c r="J50" s="199">
        <f>J48+J49+J88</f>
        <v/>
      </c>
      <c r="K50" s="199">
        <f>K48+K49+K88</f>
        <v/>
      </c>
      <c r="L50" s="199">
        <f>L48+L49+L88</f>
        <v/>
      </c>
      <c r="M50" s="199">
        <f>M48+M49+M88</f>
        <v/>
      </c>
      <c r="N50" s="199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6" t="inlineStr">
        <is>
          <t>eqn: Assets − Liabilities − RE  (forces BS balance)</t>
        </is>
      </c>
      <c r="E52" s="199">
        <f>E45-E50-E53</f>
        <v/>
      </c>
      <c r="F52" s="199">
        <f>F45-F50-F53</f>
        <v/>
      </c>
      <c r="G52" s="199">
        <f>G45-G50-G53</f>
        <v/>
      </c>
      <c r="H52" s="199">
        <f>H45-H50-H53</f>
        <v/>
      </c>
      <c r="I52" s="199">
        <f>I45-I50-I53</f>
        <v/>
      </c>
      <c r="J52" s="199">
        <f>J45-J50-J53</f>
        <v/>
      </c>
      <c r="K52" s="199">
        <f>K45-K50-K53</f>
        <v/>
      </c>
      <c r="L52" s="199">
        <f>L45-L50-L53</f>
        <v/>
      </c>
      <c r="M52" s="199">
        <f>M45-M50-M53</f>
        <v/>
      </c>
      <c r="N52" s="199">
        <f>N45-N50-N53</f>
        <v/>
      </c>
    </row>
    <row r="53" hidden="1" outlineLevel="1">
      <c r="B53" s="19" t="inlineStr">
        <is>
          <t>Retained Earnings</t>
        </is>
      </c>
      <c r="C53" s="206" t="inlineStr">
        <is>
          <t>eqn: PriorRE + EBT×(1−t)</t>
        </is>
      </c>
      <c r="E53" s="203" t="n">
        <v>0</v>
      </c>
      <c r="F53" s="203" t="n">
        <v>0</v>
      </c>
      <c r="G53" s="203" t="n">
        <v>0</v>
      </c>
      <c r="H53" s="203" t="n">
        <v>0</v>
      </c>
      <c r="I53" s="203" t="n">
        <v>0</v>
      </c>
      <c r="J53" s="199">
        <f>I53+J33*(1-J13)</f>
        <v/>
      </c>
      <c r="K53" s="199">
        <f>J53+K33*(1-K13)</f>
        <v/>
      </c>
      <c r="L53" s="199">
        <f>K53+L33*(1-L13)</f>
        <v/>
      </c>
      <c r="M53" s="199">
        <f>L53+M33*(1-M13)</f>
        <v/>
      </c>
      <c r="N53" s="19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99">
        <f>SUM(E52:E53)</f>
        <v/>
      </c>
      <c r="F54" s="199">
        <f>SUM(F52:F53)</f>
        <v/>
      </c>
      <c r="G54" s="199">
        <f>SUM(G52:G53)</f>
        <v/>
      </c>
      <c r="H54" s="199">
        <f>SUM(H52:H53)</f>
        <v/>
      </c>
      <c r="I54" s="199">
        <f>SUM(I52:I53)</f>
        <v/>
      </c>
      <c r="J54" s="199">
        <f>SUM(J52:J53)</f>
        <v/>
      </c>
      <c r="K54" s="199">
        <f>SUM(K52:K53)</f>
        <v/>
      </c>
      <c r="L54" s="199">
        <f>SUM(L52:L53)</f>
        <v/>
      </c>
      <c r="M54" s="199">
        <f>SUM(M52:M53)</f>
        <v/>
      </c>
      <c r="N54" s="19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99">
        <f>E50+E54</f>
        <v/>
      </c>
      <c r="F55" s="199">
        <f>F50+F54</f>
        <v/>
      </c>
      <c r="G55" s="199">
        <f>G50+G54</f>
        <v/>
      </c>
      <c r="H55" s="199">
        <f>H50+H54</f>
        <v/>
      </c>
      <c r="I55" s="199">
        <f>I50+I54</f>
        <v/>
      </c>
      <c r="J55" s="199">
        <f>J50+J54</f>
        <v/>
      </c>
      <c r="K55" s="199">
        <f>K50+K54</f>
        <v/>
      </c>
      <c r="L55" s="199">
        <f>L50+L54</f>
        <v/>
      </c>
      <c r="M55" s="199">
        <f>M50+M54</f>
        <v/>
      </c>
      <c r="N55" s="19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3" t="inlineStr">
        <is>
          <t>eqn: (L+E) − Assets   must be 0</t>
        </is>
      </c>
      <c r="D57" s="27" t="n"/>
      <c r="E57" s="199">
        <f>E55-E45</f>
        <v/>
      </c>
      <c r="F57" s="199">
        <f>F55-F45</f>
        <v/>
      </c>
      <c r="G57" s="199">
        <f>G55-G45</f>
        <v/>
      </c>
      <c r="H57" s="199">
        <f>H55-H45</f>
        <v/>
      </c>
      <c r="I57" s="199">
        <f>I55-I45</f>
        <v/>
      </c>
      <c r="J57" s="199">
        <f>J55-J45</f>
        <v/>
      </c>
      <c r="K57" s="199">
        <f>K55-K45</f>
        <v/>
      </c>
      <c r="L57" s="199">
        <f>L55-L45</f>
        <v/>
      </c>
      <c r="M57" s="199">
        <f>M55-M45</f>
        <v/>
      </c>
      <c r="N57" s="19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6" t="inlineStr">
        <is>
          <t>eqn: EBT × (1 − book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199">
        <f>J33*(1-J13)</f>
        <v/>
      </c>
      <c r="K62" s="199">
        <f>K33*(1-K13)</f>
        <v/>
      </c>
      <c r="L62" s="199">
        <f>L33*(1-L13)</f>
        <v/>
      </c>
      <c r="M62" s="199">
        <f>M33*(1-M13)</f>
        <v/>
      </c>
      <c r="N62" s="199">
        <f>N33*(1-N13)</f>
        <v/>
      </c>
    </row>
    <row r="63" hidden="1" outlineLevel="1">
      <c r="B63" s="19" t="inlineStr">
        <is>
          <t>Plus: Depreciation &amp; Amortization</t>
        </is>
      </c>
      <c r="C63" s="206" t="inlineStr">
        <is>
          <t>eqn: Rev × DA%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199">
        <f>J30</f>
        <v/>
      </c>
      <c r="K63" s="199">
        <f>K30</f>
        <v/>
      </c>
      <c r="L63" s="199">
        <f>L30</f>
        <v/>
      </c>
      <c r="M63" s="199">
        <f>M30</f>
        <v/>
      </c>
      <c r="N63" s="199">
        <f>N30</f>
        <v/>
      </c>
    </row>
    <row r="64" hidden="1" outlineLevel="1">
      <c r="B64" s="19" t="inlineStr">
        <is>
          <t>Plus: Stock-Based Compensation (SBC)</t>
        </is>
      </c>
      <c r="C64" s="206" t="inlineStr">
        <is>
          <t>eqn: Rev × SBC%  (non-cash add-back)</t>
        </is>
      </c>
      <c r="E64" s="200" t="n">
        <v>112457</v>
      </c>
      <c r="F64" s="200" t="n">
        <v>115355</v>
      </c>
      <c r="G64" s="200" t="n">
        <v>123847</v>
      </c>
      <c r="H64" s="200" t="n">
        <v>149439</v>
      </c>
      <c r="I64" s="200" t="n">
        <v>156667</v>
      </c>
      <c r="J64" s="199">
        <f>J24*J21</f>
        <v/>
      </c>
      <c r="K64" s="199">
        <f>K24*K21</f>
        <v/>
      </c>
      <c r="L64" s="199">
        <f>L24*L21</f>
        <v/>
      </c>
      <c r="M64" s="199">
        <f>M24*M21</f>
        <v/>
      </c>
      <c r="N64" s="199">
        <f>N24*N21</f>
        <v/>
      </c>
    </row>
    <row r="65" hidden="1" outlineLevel="1">
      <c r="B65" s="4" t="inlineStr">
        <is>
          <t>Less: Changes in Working Capital</t>
        </is>
      </c>
      <c r="C65" s="204" t="inlineStr">
        <is>
          <t>eqn: organic ΔNWC = NWCt − NWCt−1</t>
        </is>
      </c>
      <c r="D65" s="28" t="n"/>
      <c r="E65" s="199">
        <f>E90</f>
        <v/>
      </c>
      <c r="F65" s="199">
        <f>F90</f>
        <v/>
      </c>
      <c r="G65" s="199">
        <f>G90</f>
        <v/>
      </c>
      <c r="H65" s="199">
        <f>H90</f>
        <v/>
      </c>
      <c r="I65" s="199">
        <f>I90</f>
        <v/>
      </c>
      <c r="J65" s="199">
        <f>J90</f>
        <v/>
      </c>
      <c r="K65" s="199">
        <f>K90</f>
        <v/>
      </c>
      <c r="L65" s="199">
        <f>L90</f>
        <v/>
      </c>
      <c r="M65" s="199">
        <f>M90</f>
        <v/>
      </c>
      <c r="N65" s="199">
        <f>N90</f>
        <v/>
      </c>
    </row>
    <row r="66" hidden="1" outlineLevel="1">
      <c r="B66" s="18" t="inlineStr">
        <is>
          <t>Cash from Operations</t>
        </is>
      </c>
      <c r="C66" s="202" t="inlineStr">
        <is>
          <t>eqn: NI + DA + SBC − ΔNWC</t>
        </is>
      </c>
      <c r="D66" s="47" t="n"/>
      <c r="E66" s="199">
        <f>E62+E63+E64-E65</f>
        <v/>
      </c>
      <c r="F66" s="199">
        <f>F62+F63+F64-F65</f>
        <v/>
      </c>
      <c r="G66" s="199">
        <f>G62+G63+G64-G65</f>
        <v/>
      </c>
      <c r="H66" s="199">
        <f>H62+H63+H64-H65</f>
        <v/>
      </c>
      <c r="I66" s="199">
        <f>I62+I63+I64-I65</f>
        <v/>
      </c>
      <c r="J66" s="199">
        <f>J62+J63+J64-J65</f>
        <v/>
      </c>
      <c r="K66" s="199">
        <f>K62+K63+K64-K65</f>
        <v/>
      </c>
      <c r="L66" s="199">
        <f>L62+L63+L64-L65</f>
        <v/>
      </c>
      <c r="M66" s="199">
        <f>M62+M63+M64-M65</f>
        <v/>
      </c>
      <c r="N66" s="199">
        <f>N62+N63+N64-N65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6" t="inlineStr">
        <is>
          <t>eqn: Rev × CapEx% (flat hist avg)</t>
        </is>
      </c>
      <c r="E68" s="203" t="n">
        <v>7569</v>
      </c>
      <c r="F68" s="203" t="n">
        <v>6029</v>
      </c>
      <c r="G68" s="203" t="n">
        <v>4237</v>
      </c>
      <c r="H68" s="203" t="n">
        <v>25551</v>
      </c>
      <c r="I68" s="203" t="n">
        <v>39407</v>
      </c>
      <c r="J68" s="199">
        <f>J24*J18</f>
        <v/>
      </c>
      <c r="K68" s="199">
        <f>K24*K18</f>
        <v/>
      </c>
      <c r="L68" s="199">
        <f>L24*L18</f>
        <v/>
      </c>
      <c r="M68" s="199">
        <f>M24*M18</f>
        <v/>
      </c>
      <c r="N68" s="19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99">
        <f>E68</f>
        <v/>
      </c>
      <c r="F69" s="199">
        <f>F68</f>
        <v/>
      </c>
      <c r="G69" s="199">
        <f>G68</f>
        <v/>
      </c>
      <c r="H69" s="199">
        <f>H68</f>
        <v/>
      </c>
      <c r="I69" s="199">
        <f>I68</f>
        <v/>
      </c>
      <c r="J69" s="199">
        <f>J68</f>
        <v/>
      </c>
      <c r="K69" s="199">
        <f>K68</f>
        <v/>
      </c>
      <c r="L69" s="199">
        <f>L68</f>
        <v/>
      </c>
      <c r="M69" s="199">
        <f>M68</f>
        <v/>
      </c>
      <c r="N69" s="19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3" t="n">
        <v>519583</v>
      </c>
      <c r="F72" s="203" t="n">
        <v>594651</v>
      </c>
      <c r="G72" s="203" t="n">
        <v>7989</v>
      </c>
      <c r="H72" s="203" t="n">
        <v>347363</v>
      </c>
      <c r="I72" s="203" t="n">
        <v>846670</v>
      </c>
      <c r="J72" s="199">
        <f>J19</f>
        <v/>
      </c>
      <c r="K72" s="199">
        <f>K19</f>
        <v/>
      </c>
      <c r="L72" s="199">
        <f>L19</f>
        <v/>
      </c>
      <c r="M72" s="199">
        <f>M19</f>
        <v/>
      </c>
      <c r="N72" s="199">
        <f>N19</f>
        <v/>
      </c>
    </row>
    <row r="73" hidden="1" outlineLevel="1">
      <c r="B73" s="19" t="inlineStr">
        <is>
          <t>Issuance (repayment) of equity</t>
        </is>
      </c>
      <c r="E73" s="199">
        <f>E41-E77-E66+E69-E72</f>
        <v/>
      </c>
      <c r="F73" s="199">
        <f>F41-F77-F66+F69-F72</f>
        <v/>
      </c>
      <c r="G73" s="199">
        <f>G41-G77-G66+G69-G72</f>
        <v/>
      </c>
      <c r="H73" s="199">
        <f>H41-H77-H66+H69-H72</f>
        <v/>
      </c>
      <c r="I73" s="199">
        <f>I41-I77-I66+I69-I72</f>
        <v/>
      </c>
      <c r="J73" s="199">
        <f>J20</f>
        <v/>
      </c>
      <c r="K73" s="199">
        <f>K20</f>
        <v/>
      </c>
      <c r="L73" s="199">
        <f>L20</f>
        <v/>
      </c>
      <c r="M73" s="199">
        <f>M20</f>
        <v/>
      </c>
      <c r="N73" s="19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99">
        <f>E72+E73</f>
        <v/>
      </c>
      <c r="F74" s="199">
        <f>F72+F73</f>
        <v/>
      </c>
      <c r="G74" s="199">
        <f>G72+G73</f>
        <v/>
      </c>
      <c r="H74" s="199">
        <f>H72+H73</f>
        <v/>
      </c>
      <c r="I74" s="199">
        <f>I72+I73</f>
        <v/>
      </c>
      <c r="J74" s="199">
        <f>J19+J20</f>
        <v/>
      </c>
      <c r="K74" s="199">
        <f>K19+K20</f>
        <v/>
      </c>
      <c r="L74" s="199">
        <f>L19+L20</f>
        <v/>
      </c>
      <c r="M74" s="199">
        <f>M19+M20</f>
        <v/>
      </c>
      <c r="N74" s="19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6" t="inlineStr">
        <is>
          <t>eqn: CFO − CapEx + Financing</t>
        </is>
      </c>
      <c r="E76" s="199">
        <f>E66-E69+E74</f>
        <v/>
      </c>
      <c r="F76" s="199">
        <f>F66-F69+F74</f>
        <v/>
      </c>
      <c r="G76" s="199">
        <f>G66-G69+G74</f>
        <v/>
      </c>
      <c r="H76" s="199">
        <f>H66-H69+H74</f>
        <v/>
      </c>
      <c r="I76" s="199">
        <f>I66-I69+I74</f>
        <v/>
      </c>
      <c r="J76" s="199">
        <f>J66-J69+J74</f>
        <v/>
      </c>
      <c r="K76" s="199">
        <f>K66-K69+K74</f>
        <v/>
      </c>
      <c r="L76" s="199">
        <f>L66-L69+L74</f>
        <v/>
      </c>
      <c r="M76" s="199">
        <f>M66-M69+M74</f>
        <v/>
      </c>
      <c r="N76" s="199">
        <f>N66-N69+N74</f>
        <v/>
      </c>
    </row>
    <row r="77" hidden="1" outlineLevel="1">
      <c r="B77" s="19" t="inlineStr">
        <is>
          <t>Opening Cash Balance</t>
        </is>
      </c>
      <c r="E77" s="203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199">
        <f>I41</f>
        <v/>
      </c>
      <c r="K77" s="199">
        <f>J41</f>
        <v/>
      </c>
      <c r="L77" s="199">
        <f>K41</f>
        <v/>
      </c>
      <c r="M77" s="199">
        <f>L41</f>
        <v/>
      </c>
      <c r="N77" s="199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199">
        <f>E77+E76</f>
        <v/>
      </c>
      <c r="F78" s="199">
        <f>F77+F76</f>
        <v/>
      </c>
      <c r="G78" s="199">
        <f>G77+G76</f>
        <v/>
      </c>
      <c r="H78" s="199">
        <f>H77+H76</f>
        <v/>
      </c>
      <c r="I78" s="199">
        <f>I77+I76</f>
        <v/>
      </c>
      <c r="J78" s="199">
        <f>J77+J76</f>
        <v/>
      </c>
      <c r="K78" s="199">
        <f>K77+K76</f>
        <v/>
      </c>
      <c r="L78" s="199">
        <f>L77+L76</f>
        <v/>
      </c>
      <c r="M78" s="199">
        <f>M77+M76</f>
        <v/>
      </c>
      <c r="N78" s="19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7">
        <f>E78-E41</f>
        <v/>
      </c>
      <c r="F80" s="217">
        <f>F78-F41</f>
        <v/>
      </c>
      <c r="G80" s="217">
        <f>G78-G41</f>
        <v/>
      </c>
      <c r="H80" s="217">
        <f>H78-H41</f>
        <v/>
      </c>
      <c r="I80" s="217">
        <f>I78-I41</f>
        <v/>
      </c>
      <c r="J80" s="199">
        <f>J78-J41</f>
        <v/>
      </c>
      <c r="K80" s="199">
        <f>K78-K41</f>
        <v/>
      </c>
      <c r="L80" s="199">
        <f>L78-L41</f>
        <v/>
      </c>
      <c r="M80" s="199">
        <f>M78-M41</f>
        <v/>
      </c>
      <c r="N80" s="19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blended segment DSO)</t>
        </is>
      </c>
      <c r="E85" s="203" t="n">
        <v>312107</v>
      </c>
      <c r="F85" s="203" t="n">
        <v>322410</v>
      </c>
      <c r="G85" s="203" t="n">
        <v>387947</v>
      </c>
      <c r="H85" s="203" t="n">
        <v>426642</v>
      </c>
      <c r="I85" s="203" t="n">
        <v>529148</v>
      </c>
      <c r="J85" s="199">
        <f>J42</f>
        <v/>
      </c>
      <c r="K85" s="199">
        <f>K42</f>
        <v/>
      </c>
      <c r="L85" s="199">
        <f>L42</f>
        <v/>
      </c>
      <c r="M85" s="199">
        <f>M42</f>
        <v/>
      </c>
      <c r="N85" s="199">
        <f>N42</f>
        <v/>
      </c>
    </row>
    <row r="86" hidden="1" outlineLevel="1">
      <c r="B86" s="19" t="inlineStr">
        <is>
          <t>Inventory</t>
        </is>
      </c>
      <c r="E86" s="203" t="n">
        <v>0</v>
      </c>
      <c r="F86" s="203" t="n">
        <v>0</v>
      </c>
      <c r="G86" s="203" t="n">
        <v>0</v>
      </c>
      <c r="H86" s="203" t="n">
        <v>0</v>
      </c>
      <c r="I86" s="203" t="n">
        <v>0</v>
      </c>
      <c r="J86" s="199">
        <f>J43</f>
        <v/>
      </c>
      <c r="K86" s="199">
        <f>K43</f>
        <v/>
      </c>
      <c r="L86" s="199">
        <f>L43</f>
        <v/>
      </c>
      <c r="M86" s="199">
        <f>M43</f>
        <v/>
      </c>
      <c r="N86" s="199">
        <f>N43</f>
        <v/>
      </c>
    </row>
    <row r="87" hidden="1" outlineLevel="1">
      <c r="B87" s="19" t="inlineStr">
        <is>
          <t>Accounts Payable (from DPO)</t>
        </is>
      </c>
      <c r="E87" s="203" t="n">
        <v>20749</v>
      </c>
      <c r="F87" s="203" t="n">
        <v>17273</v>
      </c>
      <c r="G87" s="203" t="n">
        <v>19009</v>
      </c>
      <c r="H87" s="203" t="n">
        <v>22473</v>
      </c>
      <c r="I87" s="203" t="n">
        <v>32315</v>
      </c>
      <c r="J87" s="199">
        <f>J48</f>
        <v/>
      </c>
      <c r="K87" s="199">
        <f>K48</f>
        <v/>
      </c>
      <c r="L87" s="199">
        <f>L48</f>
        <v/>
      </c>
      <c r="M87" s="199">
        <f>M48</f>
        <v/>
      </c>
      <c r="N87" s="199">
        <f>N48</f>
        <v/>
      </c>
    </row>
    <row r="88" hidden="1" outlineLevel="1">
      <c r="B88" s="5" t="inlineStr">
        <is>
          <t>Deferred Revenue (BS contract liability — SaaS/on-prem driven)</t>
        </is>
      </c>
      <c r="C88" s="204" t="inlineStr">
        <is>
          <t>eqn: Rev × (SaaS%+OnPrem%) × (FY25 Def / FY25 software Rev)</t>
        </is>
      </c>
      <c r="D88" s="28" t="n"/>
      <c r="E88" s="218" t="n">
        <v>105417</v>
      </c>
      <c r="F88" s="218" t="n">
        <v>120045</v>
      </c>
      <c r="G88" s="218" t="n">
        <v>136730</v>
      </c>
      <c r="H88" s="218" t="n">
        <v>156897</v>
      </c>
      <c r="I88" s="218" t="n">
        <v>187372</v>
      </c>
      <c r="J88" s="199">
        <f>J24*($J$104+$J$108)*IF($I$24*($J$104+$J$108)=0,0,$I$88/($I$24*($J$104+$J$108)))</f>
        <v/>
      </c>
      <c r="K88" s="199">
        <f>K24*($J$104+$J$108)*IF($I$24*($J$104+$J$108)=0,0,$I$88/($I$24*($J$104+$J$108)))</f>
        <v/>
      </c>
      <c r="L88" s="199">
        <f>L24*($J$104+$J$108)*IF($I$24*($J$104+$J$108)=0,0,$I$88/($I$24*($J$104+$J$108)))</f>
        <v/>
      </c>
      <c r="M88" s="199">
        <f>M24*($J$104+$J$108)*IF($I$24*($J$104+$J$108)=0,0,$I$88/($I$24*($J$104+$J$108)))</f>
        <v/>
      </c>
      <c r="N88" s="199">
        <f>N24*($J$104+$J$108)*IF($I$24*($J$104+$J$108)=0,0,$I$88/($I$24*($J$104+$J$108)))</f>
        <v/>
      </c>
    </row>
    <row r="89" hidden="1" outlineLevel="1">
      <c r="B89" s="19" t="inlineStr">
        <is>
          <t>Net Working Capital (NWC = AR+Inv−AP−Deferred)</t>
        </is>
      </c>
      <c r="C89" s="206" t="inlineStr">
        <is>
          <t>eqn: AR + Inv − AP − Deferred   (NWC is OUTPUT)</t>
        </is>
      </c>
      <c r="D89" s="219" t="n">
        <v>205747</v>
      </c>
      <c r="E89" s="203" t="n">
        <v>185941</v>
      </c>
      <c r="F89" s="203" t="n">
        <v>185092</v>
      </c>
      <c r="G89" s="203" t="n">
        <v>232208</v>
      </c>
      <c r="H89" s="203" t="n">
        <v>247272</v>
      </c>
      <c r="I89" s="203" t="n">
        <v>309461</v>
      </c>
      <c r="J89" s="199">
        <f>J85+J86-J87-J88</f>
        <v/>
      </c>
      <c r="K89" s="199">
        <f>K85+K86-K87-K88</f>
        <v/>
      </c>
      <c r="L89" s="199">
        <f>L85+L86-L87-L88</f>
        <v/>
      </c>
      <c r="M89" s="199">
        <f>M85+M86-M87-M88</f>
        <v/>
      </c>
      <c r="N89" s="199">
        <f>N85+N86-N87-N88</f>
        <v/>
      </c>
    </row>
    <row r="90" hidden="1" outlineLevel="1">
      <c r="B90" t="inlineStr">
        <is>
          <t>Change in NWC</t>
        </is>
      </c>
      <c r="C90" s="206" t="inlineStr">
        <is>
          <t>eqn: NWCt − NWCt−1</t>
        </is>
      </c>
      <c r="E90" s="203" t="n">
        <v>-19806</v>
      </c>
      <c r="F90" s="203" t="n">
        <v>-849</v>
      </c>
      <c r="G90" s="203" t="n">
        <v>47116</v>
      </c>
      <c r="H90" s="203" t="n">
        <v>15064</v>
      </c>
      <c r="I90" s="203" t="n">
        <v>62189</v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3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199">
        <f>I44</f>
        <v/>
      </c>
      <c r="K92" s="199">
        <f>J95</f>
        <v/>
      </c>
      <c r="L92" s="199">
        <f>K95</f>
        <v/>
      </c>
      <c r="M92" s="199">
        <f>L95</f>
        <v/>
      </c>
      <c r="N92" s="199">
        <f>M95</f>
        <v/>
      </c>
    </row>
    <row r="93" hidden="1" outlineLevel="1">
      <c r="B93" s="19" t="inlineStr">
        <is>
          <t>Plus Capex</t>
        </is>
      </c>
      <c r="E93" s="203" t="n">
        <v>7569</v>
      </c>
      <c r="F93" s="203" t="n">
        <v>6029</v>
      </c>
      <c r="G93" s="203" t="n">
        <v>4237</v>
      </c>
      <c r="H93" s="203" t="n">
        <v>25551</v>
      </c>
      <c r="I93" s="203" t="n">
        <v>39407</v>
      </c>
      <c r="J93" s="199">
        <f>J24*J18</f>
        <v/>
      </c>
      <c r="K93" s="199">
        <f>K24*K18</f>
        <v/>
      </c>
      <c r="L93" s="199">
        <f>L24*L18</f>
        <v/>
      </c>
      <c r="M93" s="199">
        <f>M24*M18</f>
        <v/>
      </c>
      <c r="N93" s="199">
        <f>N24*N18</f>
        <v/>
      </c>
    </row>
    <row r="94" hidden="1" outlineLevel="1">
      <c r="B94" s="19" t="inlineStr">
        <is>
          <t>Less Depreciation</t>
        </is>
      </c>
      <c r="C94" s="206" t="inlineStr">
        <is>
          <t>eqn: Rev × DA% (same as IS D&amp;A)</t>
        </is>
      </c>
      <c r="E94" s="203" t="n">
        <v>25592</v>
      </c>
      <c r="F94" s="203" t="n">
        <v>20465</v>
      </c>
      <c r="G94" s="203" t="n">
        <v>14638</v>
      </c>
      <c r="H94" s="203" t="n">
        <v>13827</v>
      </c>
      <c r="I94" s="203" t="n">
        <v>14952</v>
      </c>
      <c r="J94" s="199">
        <f>J30</f>
        <v/>
      </c>
      <c r="K94" s="199">
        <f>K30</f>
        <v/>
      </c>
      <c r="L94" s="199">
        <f>L30</f>
        <v/>
      </c>
      <c r="M94" s="199">
        <f>M30</f>
        <v/>
      </c>
      <c r="N94" s="199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18" t="n">
        <v>27913</v>
      </c>
      <c r="F95" s="218" t="n">
        <v>17580</v>
      </c>
      <c r="G95" s="218" t="n">
        <v>10966</v>
      </c>
      <c r="H95" s="218" t="n">
        <v>38465</v>
      </c>
      <c r="I95" s="218" t="n">
        <v>67713</v>
      </c>
      <c r="J95" s="199">
        <f>J92+J93-J94</f>
        <v/>
      </c>
      <c r="K95" s="199">
        <f>K92+K93-K94</f>
        <v/>
      </c>
      <c r="L95" s="199">
        <f>L92+L93-L94</f>
        <v/>
      </c>
      <c r="M95" s="199">
        <f>M92+M93-M94</f>
        <v/>
      </c>
      <c r="N95" s="19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3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199">
        <f>I49</f>
        <v/>
      </c>
      <c r="K98" s="199">
        <f>J100</f>
        <v/>
      </c>
      <c r="L98" s="199">
        <f>K100</f>
        <v/>
      </c>
      <c r="M98" s="199">
        <f>L100</f>
        <v/>
      </c>
      <c r="N98" s="199">
        <f>M100</f>
        <v/>
      </c>
    </row>
    <row r="99" hidden="1" outlineLevel="1">
      <c r="B99" s="19" t="inlineStr">
        <is>
          <t>Issuance (repayment)</t>
        </is>
      </c>
      <c r="E99" s="203" t="n">
        <v>519583</v>
      </c>
      <c r="F99" s="203" t="n">
        <v>594651</v>
      </c>
      <c r="G99" s="203" t="n">
        <v>7989</v>
      </c>
      <c r="H99" s="203" t="n">
        <v>347363</v>
      </c>
      <c r="I99" s="203" t="n">
        <v>846670</v>
      </c>
      <c r="J99" s="199">
        <f>J19</f>
        <v/>
      </c>
      <c r="K99" s="199">
        <f>K19</f>
        <v/>
      </c>
      <c r="L99" s="199">
        <f>L19</f>
        <v/>
      </c>
      <c r="M99" s="199">
        <f>M19</f>
        <v/>
      </c>
      <c r="N99" s="19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8" t="n">
        <v>1259018</v>
      </c>
      <c r="F100" s="218" t="n">
        <v>1853669</v>
      </c>
      <c r="G100" s="218" t="n">
        <v>1861658</v>
      </c>
      <c r="H100" s="218" t="n">
        <v>2209021</v>
      </c>
      <c r="I100" s="218" t="n">
        <v>3055691</v>
      </c>
      <c r="J100" s="199">
        <f>J98+J99</f>
        <v/>
      </c>
      <c r="K100" s="199">
        <f>K98+K99</f>
        <v/>
      </c>
      <c r="L100" s="199">
        <f>L98+L99</f>
        <v/>
      </c>
      <c r="M100" s="199">
        <f>M98+M99</f>
        <v/>
      </c>
      <c r="N100" s="199">
        <f>N98+N99</f>
        <v/>
      </c>
    </row>
    <row r="101" hidden="1" outlineLevel="1">
      <c r="B101" s="19" t="inlineStr">
        <is>
          <t>Interest Expense</t>
        </is>
      </c>
      <c r="E101" s="203" t="n">
        <v>40092</v>
      </c>
      <c r="F101" s="203" t="n">
        <v>68967</v>
      </c>
      <c r="G101" s="203" t="n">
        <v>95546</v>
      </c>
      <c r="H101" s="203" t="n">
        <v>105638</v>
      </c>
      <c r="I101" s="203" t="n">
        <v>133647</v>
      </c>
      <c r="J101" s="199">
        <f>J98*J12</f>
        <v/>
      </c>
      <c r="K101" s="199">
        <f>K98*K12</f>
        <v/>
      </c>
      <c r="L101" s="199">
        <f>L98*L12</f>
        <v/>
      </c>
      <c r="M101" s="199">
        <f>M98*M12</f>
        <v/>
      </c>
      <c r="N101" s="199">
        <f>N98*N12</f>
        <v/>
      </c>
    </row>
    <row r="102" hidden="1" outlineLevel="1">
      <c r="B102" s="221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(cloud)</t>
        </is>
      </c>
      <c r="C104" s="198" t="inlineStr">
        <is>
          <t>WHY: SaaS is billed largely annually in advance → primary Deferred Revenue driver with on-prem maintenance. 30–60 day paym… | SOURCE: SEC 10-K FY2025 — Software SaaS disaggregation + Platform ARR MD&amp;A | LINK: https://www.sec.gov/Archives/edgar/data/814547/000081454725000030/fico-20250930.htm | HOW: Yellow POLICY = 21.08% (FY25 SaaS $419,720k / Total $1,990,869k). Platform ARR KPI was $263.6M (35% of software ARR) — ARR is not added on top of IS revenue. | ASSUMPTIONS PDF: https://raw.githubusercontent.com/vengeanceaiUSC/Rainmaker/cursor/vengeanceaiusmodel11-d3ac/FICO/output/MODEL11_FICO_ASSUMPTIONS_LIST.pdf</t>
        </is>
      </c>
      <c r="E104" s="33" t="n"/>
      <c r="F104" s="33" t="n"/>
      <c r="G104" s="33" t="n"/>
      <c r="H104" s="33" t="n"/>
      <c r="I104" s="33" t="n"/>
      <c r="J104" s="222" t="n">
        <v>0.210822510170182</v>
      </c>
      <c r="K104" s="223">
        <f>$J$104</f>
        <v/>
      </c>
      <c r="L104" s="223">
        <f>$J$104</f>
        <v/>
      </c>
      <c r="M104" s="223">
        <f>$J$104</f>
        <v/>
      </c>
      <c r="N104" s="223">
        <f>$J$104</f>
        <v/>
      </c>
      <c r="P104" s="192" t="n">
        <v>104</v>
      </c>
      <c r="Q104" s="192" t="inlineStr">
        <is>
          <t>Mix % — SaaS / Platform software</t>
        </is>
      </c>
      <c r="R104" s="193" t="inlineStr">
        <is>
          <t>Share of Total Revenue from SaaS / cloud software (incl. FICO Platform cloud).</t>
        </is>
      </c>
      <c r="S104" s="193" t="inlineStr">
        <is>
          <t>Yellow POLICY = 21.08% (FY25 SaaS $419,720k / Total $1,990,869k). Platform ARR KPI was $263.6M (35% of software ARR) — ARR is not added on top of IS revenue.</t>
        </is>
      </c>
      <c r="T104" s="193" t="inlineStr">
        <is>
          <t>SaaS is billed largely annually in advance → primary Deferred Revenue driver with on-prem maintenance. 30–60 day payment terms (model uses 45-day DSO). Mix offsets within Total Rev — does not create a second revenue line.</t>
        </is>
      </c>
      <c r="U104" s="194">
        <f>HYPERLINK("https://www.sec.gov/Archives/edgar/data/814547/000081454725000030/fico-20250930.htm","SEC 10-K FY2025 — Software SaaS disaggregation + Platform ARR MD&amp;A")</f>
        <v/>
      </c>
      <c r="V104" s="194">
        <f>HYPERLINK("https://www.sec.gov/Archives/edgar/data/814547/000081454725000030/fico-20250930.htm","https://www.sec.gov/Archives/edgar/data/814547/000081454725000030/fico-20250930.htm")</f>
        <v/>
      </c>
    </row>
    <row r="105" ht="40" customHeight="1">
      <c r="B105" s="65" t="inlineStr">
        <is>
          <t>Mix % — B2C Subscriptions (myFICO)</t>
        </is>
      </c>
      <c r="C105" s="224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https://raw.githubusercontent.com/vengeanceaiUSC/Rainmaker/cursor/vengeanceaiusmodel11-d3ac/FICO/output/MODEL11_FICO_ASSUMPTIONS_LIST.pdf</t>
        </is>
      </c>
      <c r="D105" s="65" t="n"/>
      <c r="E105" s="65" t="n"/>
      <c r="F105" s="65" t="n"/>
      <c r="G105" s="65" t="n"/>
      <c r="H105" s="65" t="n"/>
      <c r="I105" s="65" t="n"/>
      <c r="J105" s="225" t="n">
        <v>0.1104944624683995</v>
      </c>
      <c r="K105" s="226">
        <f>$J$105</f>
        <v/>
      </c>
      <c r="L105" s="226">
        <f>$J$105</f>
        <v/>
      </c>
      <c r="M105" s="226">
        <f>$J$105</f>
        <v/>
      </c>
      <c r="N105" s="226">
        <f>$J$105</f>
        <v/>
      </c>
      <c r="P105" s="192" t="n">
        <v>105</v>
      </c>
      <c r="Q105" s="192" t="inlineStr">
        <is>
          <t>Mix % — B2C Subscriptions (myFICO)</t>
        </is>
      </c>
      <c r="R105" s="193" t="inlineStr">
        <is>
          <t>Share of Total Revenue from B2C scoring / myFICO.com subscriptions.</t>
        </is>
      </c>
      <c r="S105" s="193" t="inlineStr">
        <is>
          <t>Yellow POLICY = 11.05% (FY25 B2C Scores $219,980k / Total $1,990,869k).</t>
        </is>
      </c>
      <c r="T105" s="193" t="inlineStr">
        <is>
          <t>Near-zero DSO (card-settled consumer subscriptions). Minimal Deferred Revenue vs annual SaaS invoices. High incremental margin; WC-light cash conversion.</t>
        </is>
      </c>
      <c r="U105" s="194">
        <f>HYPERLINK("https://www.sec.gov/Archives/edgar/data/814547/000081454725000030/fico-20250930.htm","SEC 10-K FY2025 — Scores segment B2C / myFICO disaggregation")</f>
        <v/>
      </c>
      <c r="V105" s="194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8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https://raw.githubusercontent.com/vengeanceaiUSC/Rainmaker/cursor/vengeanceaiusmodel11-d3ac/FICO/output/MODEL11_FICO_ASSUMPTIONS_LIST.pdf</t>
        </is>
      </c>
      <c r="J106" s="222" t="n">
        <v>0.4764728367361187</v>
      </c>
      <c r="K106" s="223">
        <f>$J$106</f>
        <v/>
      </c>
      <c r="L106" s="223">
        <f>$J$106</f>
        <v/>
      </c>
      <c r="M106" s="223">
        <f>$J$106</f>
        <v/>
      </c>
      <c r="N106" s="223">
        <f>$J$106</f>
        <v/>
      </c>
      <c r="P106" s="192" t="n">
        <v>106</v>
      </c>
      <c r="Q106" s="192" t="inlineStr">
        <is>
          <t>Mix % — B2B Scores</t>
        </is>
      </c>
      <c r="R106" s="193" t="inlineStr">
        <is>
          <t>Share of Total Revenue from B2B scoring (mortgage, auto, card via CRAs).</t>
        </is>
      </c>
      <c r="S106" s="193" t="inlineStr">
        <is>
          <t>Yellow POLICY = 47.65% (FY25 B2B Scores $948,595k / Total $1,990,869k).</t>
        </is>
      </c>
      <c r="T106" s="193" t="inlineStr">
        <is>
          <t>Transactional volume through Experian/TransUnion/Equifax; ~30-day DSO. Does not create SaaS-style Deferred Revenue (usage-based recognition).</t>
        </is>
      </c>
      <c r="U106" s="194">
        <f>HYPERLINK("https://www.sec.gov/Archives/edgar/data/814547/000081454725000030/fico-20250930.htm","SEC 10-K FY2025 — Scores segment B2B disaggregation")</f>
        <v/>
      </c>
      <c r="V106" s="194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8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https://raw.githubusercontent.com/vengeanceaiUSC/Rainmaker/cursor/vengeanceaiusmodel11-d3ac/FICO/output/MODEL11_FICO_ASSUMPTIONS_LIST.pdf</t>
        </is>
      </c>
      <c r="J107" s="222" t="n">
        <v>0.04126288570468474</v>
      </c>
      <c r="K107" s="223">
        <f>$J$107</f>
        <v/>
      </c>
      <c r="L107" s="223">
        <f>$J$107</f>
        <v/>
      </c>
      <c r="M107" s="223">
        <f>$J$107</f>
        <v/>
      </c>
      <c r="N107" s="223">
        <f>$J$107</f>
        <v/>
      </c>
      <c r="P107" s="192" t="n">
        <v>107</v>
      </c>
      <c r="Q107" s="192" t="inlineStr">
        <is>
          <t>Mix % — Professional Services</t>
        </is>
      </c>
      <c r="R107" s="193" t="inlineStr">
        <is>
          <t>Share of Total Revenue from implementation / consulting / training fees.</t>
        </is>
      </c>
      <c r="S107" s="193" t="inlineStr">
        <is>
          <t>Yellow POLICY = 4.13% (FY25 PS $82,149k / Total $1,990,869k).</t>
        </is>
      </c>
      <c r="T107" s="193" t="inlineStr">
        <is>
          <t>Upfront integration fees convert cash quickly (low DSO) but carry significantly lower gross margin than software/scores — pulls blended COGS up vs pure SaaS.</t>
        </is>
      </c>
      <c r="U107" s="194">
        <f>HYPERLINK("https://www.sec.gov/Archives/edgar/data/814547/000081454725000030/fico-20250930.htm","SEC 10-K FY2025 — Software segment Professional services line")</f>
        <v/>
      </c>
      <c r="V107" s="194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</t>
        </is>
      </c>
      <c r="C108" s="198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https://raw.githubusercontent.com/vengeanceaiUSC/Rainmaker/cursor/vengeanceaiusmodel11-d3ac/FICO/output/MODEL11_FICO_ASSUMPTIONS_LIST.pdf</t>
        </is>
      </c>
      <c r="J108" s="222" t="n">
        <v>0.1609473049206151</v>
      </c>
      <c r="K108" s="223">
        <f>$J$108</f>
        <v/>
      </c>
      <c r="L108" s="223">
        <f>$J$108</f>
        <v/>
      </c>
      <c r="M108" s="223">
        <f>$J$108</f>
        <v/>
      </c>
      <c r="N108" s="223">
        <f>$J$108</f>
        <v/>
      </c>
      <c r="P108" s="192" t="n">
        <v>108</v>
      </c>
      <c r="Q108" s="192" t="inlineStr">
        <is>
          <t>Mix % — On-Premises Software</t>
        </is>
      </c>
      <c r="R108" s="193" t="inlineStr">
        <is>
          <t>Share of Total Revenue from on-premises license + maintenance software.</t>
        </is>
      </c>
      <c r="S108" s="193" t="inlineStr">
        <is>
          <t>Yellow POLICY = 16.09% (FY25 on-prem $320,425k / Total $1,990,869k).</t>
        </is>
      </c>
      <c r="T108" s="193" t="inlineStr">
        <is>
          <t>With SaaS mix, drives Deferred Revenue (maintenance billed in advance). Same 45-day DSO policy as SaaS. Completes mix identity to 100% of Total Rev.</t>
        </is>
      </c>
      <c r="U108" s="194">
        <f>HYPERLINK("https://www.sec.gov/Archives/edgar/data/814547/000081454725000030/fico-20250930.htm","SEC 10-K FY2025 — Software on-premises vs SaaS deployment table")</f>
        <v/>
      </c>
      <c r="V108" s="194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6" t="inlineStr">
        <is>
          <t>eqn: Σ mix = 100%  (flag if ≠ 1)</t>
        </is>
      </c>
      <c r="J109" s="223">
        <f>SUM(J104:J108)</f>
        <v/>
      </c>
      <c r="K109" s="223">
        <f>K104+K105+K106+K107+K108</f>
        <v/>
      </c>
      <c r="L109" s="223">
        <f>L104+L105+L106+L107+L108</f>
        <v/>
      </c>
      <c r="M109" s="223">
        <f>M104+M105+M106+M107+M108</f>
        <v/>
      </c>
      <c r="N109" s="223">
        <f>N104+N105+N106+N107+N108</f>
        <v/>
      </c>
    </row>
    <row r="110" hidden="1" outlineLevel="1">
      <c r="B110" t="inlineStr">
        <is>
          <t>DSO days — SaaS / Platform (30–60 mid)</t>
        </is>
      </c>
      <c r="J110" s="222" t="n">
        <v>45</v>
      </c>
      <c r="K110" s="220">
        <f>$J$110</f>
        <v/>
      </c>
      <c r="L110" s="220">
        <f>$J$110</f>
        <v/>
      </c>
      <c r="M110" s="220">
        <f>$J$110</f>
        <v/>
      </c>
      <c r="N110" s="220">
        <f>$J$110</f>
        <v/>
      </c>
    </row>
    <row r="111" hidden="1" outlineLevel="1">
      <c r="B111" t="inlineStr">
        <is>
          <t>DSO days — B2C myFICO (≈0, card-settled)</t>
        </is>
      </c>
      <c r="J111" s="227" t="n">
        <v>2</v>
      </c>
      <c r="K111" s="228">
        <f>$J$111</f>
        <v/>
      </c>
      <c r="L111" s="228">
        <f>$J$111</f>
        <v/>
      </c>
      <c r="M111" s="228">
        <f>$J$111</f>
        <v/>
      </c>
      <c r="N111" s="228">
        <f>$J$111</f>
        <v/>
      </c>
    </row>
    <row r="112" hidden="1" outlineLevel="1">
      <c r="B112" t="inlineStr">
        <is>
          <t>DSO days — B2B Scores (≈30)</t>
        </is>
      </c>
      <c r="J112" s="227" t="n">
        <v>30</v>
      </c>
      <c r="K112" s="228">
        <f>$J$112</f>
        <v/>
      </c>
      <c r="L112" s="228">
        <f>$J$112</f>
        <v/>
      </c>
      <c r="M112" s="228">
        <f>$J$112</f>
        <v/>
      </c>
      <c r="N112" s="228">
        <f>$J$112</f>
        <v/>
      </c>
    </row>
    <row r="113" hidden="1" outlineLevel="1">
      <c r="B113" t="inlineStr">
        <is>
          <t>DSO days — Professional Services</t>
        </is>
      </c>
      <c r="J113" s="227" t="n">
        <v>15</v>
      </c>
      <c r="K113" s="228">
        <f>$J$113</f>
        <v/>
      </c>
      <c r="L113" s="228">
        <f>$J$113</f>
        <v/>
      </c>
      <c r="M113" s="228">
        <f>$J$113</f>
        <v/>
      </c>
      <c r="N113" s="228">
        <f>$J$113</f>
        <v/>
      </c>
    </row>
    <row r="114" hidden="1" outlineLevel="1">
      <c r="B114" t="inlineStr">
        <is>
          <t>DSO days — On-Premises Software</t>
        </is>
      </c>
      <c r="J114" s="227" t="n">
        <v>45</v>
      </c>
      <c r="K114" s="228">
        <f>$J$114</f>
        <v/>
      </c>
      <c r="L114" s="228">
        <f>$J$114</f>
        <v/>
      </c>
      <c r="M114" s="228">
        <f>$J$114</f>
        <v/>
      </c>
      <c r="N114" s="228">
        <f>$J$114</f>
        <v/>
      </c>
    </row>
    <row r="115" hidden="1" outlineLevel="1">
      <c r="B115" t="inlineStr">
        <is>
          <t>Blended DSO (feeds assumption row 15)</t>
        </is>
      </c>
      <c r="C115" s="206" t="inlineStr">
        <is>
          <t>eqn: Σ (mix_i × DSO_i)</t>
        </is>
      </c>
      <c r="J115" s="229">
        <f>J104*J110+J105*J111+J106*J112+J107*J113+J108*J114</f>
        <v/>
      </c>
      <c r="K115" s="229">
        <f>$J$115</f>
        <v/>
      </c>
      <c r="L115" s="229">
        <f>$J$115</f>
        <v/>
      </c>
      <c r="M115" s="229">
        <f>$J$115</f>
        <v/>
      </c>
      <c r="N115" s="229">
        <f>$J$115</f>
        <v/>
      </c>
    </row>
    <row r="116" hidden="1" outlineLevel="1">
      <c r="B116" t="inlineStr">
        <is>
          <t>Gross Margin — SaaS / Platform</t>
        </is>
      </c>
      <c r="J116" s="230" t="n">
        <v>0.8</v>
      </c>
      <c r="K116" s="140">
        <f>$J$116</f>
        <v/>
      </c>
      <c r="L116" s="140">
        <f>$J$116</f>
        <v/>
      </c>
      <c r="M116" s="140">
        <f>$J$116</f>
        <v/>
      </c>
      <c r="N116" s="140">
        <f>$J$116</f>
        <v/>
      </c>
    </row>
    <row r="117" hidden="1" outlineLevel="1">
      <c r="B117" t="inlineStr">
        <is>
          <t>Gross Margin — B2C myFICO</t>
        </is>
      </c>
      <c r="J117" s="230" t="n">
        <v>0.78</v>
      </c>
      <c r="K117" s="140">
        <f>$J$117</f>
        <v/>
      </c>
      <c r="L117" s="140">
        <f>$J$117</f>
        <v/>
      </c>
      <c r="M117" s="140">
        <f>$J$117</f>
        <v/>
      </c>
      <c r="N117" s="140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0" t="n">
        <v>0.9</v>
      </c>
      <c r="K118" s="140">
        <f>$J$118</f>
        <v/>
      </c>
      <c r="L118" s="140">
        <f>$J$118</f>
        <v/>
      </c>
      <c r="M118" s="140">
        <f>$J$118</f>
        <v/>
      </c>
      <c r="N118" s="140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0" t="n">
        <v>0.28</v>
      </c>
      <c r="K119" s="140">
        <f>$J$119</f>
        <v/>
      </c>
      <c r="L119" s="140">
        <f>$J$119</f>
        <v/>
      </c>
      <c r="M119" s="140">
        <f>$J$119</f>
        <v/>
      </c>
      <c r="N119" s="140">
        <f>$J$119</f>
        <v/>
      </c>
    </row>
    <row r="120" hidden="1" outlineLevel="1">
      <c r="B120" t="inlineStr">
        <is>
          <t>Gross Margin — On-Premises Software</t>
        </is>
      </c>
      <c r="J120" s="230" t="n">
        <v>0.8</v>
      </c>
      <c r="K120" s="140">
        <f>$J$120</f>
        <v/>
      </c>
      <c r="L120" s="140">
        <f>$J$120</f>
        <v/>
      </c>
      <c r="M120" s="140">
        <f>$J$120</f>
        <v/>
      </c>
      <c r="N120" s="140">
        <f>$J$120</f>
        <v/>
      </c>
    </row>
    <row r="121" hidden="1" outlineLevel="1">
      <c r="B121" s="19" t="inlineStr">
        <is>
          <t>Blended Gross Margin</t>
        </is>
      </c>
      <c r="E121" s="19" t="n"/>
      <c r="F121" s="19" t="n"/>
      <c r="G121" s="19" t="n"/>
      <c r="H121" s="19" t="n"/>
      <c r="I121" s="19" t="n"/>
      <c r="J121" s="140">
        <f>J104*J116+J105*J117+J106*J118+J107*J119+J108*J120</f>
        <v/>
      </c>
      <c r="K121" s="140">
        <f>$J$121</f>
        <v/>
      </c>
      <c r="L121" s="140">
        <f>$J$121</f>
        <v/>
      </c>
      <c r="M121" s="140">
        <f>$J$121</f>
        <v/>
      </c>
      <c r="N121" s="140">
        <f>$J$121</f>
        <v/>
      </c>
    </row>
    <row r="122" hidden="1" outlineLevel="1">
      <c r="B122" s="19" t="inlineStr">
        <is>
          <t>Blended COGS % (feeds assumption row 8)</t>
        </is>
      </c>
      <c r="C122" s="206" t="inlineStr">
        <is>
          <t>eqn: 1 − blended GM  (calibrated ≈ FY25 COGS%)</t>
        </is>
      </c>
      <c r="E122" s="19" t="n"/>
      <c r="F122" s="19" t="n"/>
      <c r="G122" s="19" t="n"/>
      <c r="H122" s="19" t="n"/>
      <c r="I122" s="19" t="n"/>
      <c r="J122" s="140">
        <f>1-J121</f>
        <v/>
      </c>
      <c r="K122" s="140">
        <f>$J$122</f>
        <v/>
      </c>
      <c r="L122" s="140">
        <f>$J$122</f>
        <v/>
      </c>
      <c r="M122" s="140">
        <f>$J$122</f>
        <v/>
      </c>
      <c r="N122" s="140">
        <f>$J$122</f>
        <v/>
      </c>
    </row>
    <row r="123" hidden="1" outlineLevel="1">
      <c r="B123" s="19" t="inlineStr">
        <is>
          <t>Software mix % (SaaS + On-Prem — Deferred driver)</t>
        </is>
      </c>
      <c r="E123" s="19" t="n"/>
      <c r="F123" s="19" t="n"/>
      <c r="G123" s="19" t="n"/>
      <c r="H123" s="19" t="n"/>
      <c r="I123" s="19" t="n"/>
      <c r="J123" s="140">
        <f>J104+J108</f>
        <v/>
      </c>
      <c r="K123" s="140">
        <f>$J$123</f>
        <v/>
      </c>
      <c r="L123" s="140">
        <f>$J$123</f>
        <v/>
      </c>
      <c r="M123" s="140">
        <f>$J$123</f>
        <v/>
      </c>
      <c r="N123" s="140">
        <f>$J$123</f>
        <v/>
      </c>
    </row>
    <row r="124" hidden="1" outlineLevel="1">
      <c r="B124" t="inlineStr">
        <is>
          <t>Segment $ — SaaS (illustrative = Rev × mix; not extra IS revenue)</t>
        </is>
      </c>
      <c r="C124" s="206" t="inlineStr">
        <is>
          <t>eqn: TotalRev × SaaS%  (offset, not additive)</t>
        </is>
      </c>
      <c r="J124" s="231">
        <f>J24*J104</f>
        <v/>
      </c>
      <c r="K124" s="231">
        <f>K24*K104</f>
        <v/>
      </c>
      <c r="L124" s="231">
        <f>L24*L104</f>
        <v/>
      </c>
      <c r="M124" s="231">
        <f>M24*M104</f>
        <v/>
      </c>
      <c r="N124" s="231">
        <f>N24*N104</f>
        <v/>
      </c>
    </row>
    <row r="125" hidden="1" outlineLevel="1">
      <c r="B125" s="19" t="inlineStr">
        <is>
          <t>Segment $ — B2C myFICO (illustrative)</t>
        </is>
      </c>
      <c r="C125" s="206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1">
        <f>J24*J105</f>
        <v/>
      </c>
      <c r="K125" s="231">
        <f>K24*K105</f>
        <v/>
      </c>
      <c r="L125" s="231">
        <f>L24*L105</f>
        <v/>
      </c>
      <c r="M125" s="231">
        <f>M24*M105</f>
        <v/>
      </c>
      <c r="N125" s="231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vengeanceaiUSCMODEL11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2" t="inlineStr">
        <is>
          <t>vengeanceaiUSCMODEL11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3" t="n">
        <v>13.88</v>
      </c>
      <c r="O3" s="104" t="inlineStr">
        <is>
          <t>VCP Scanner peer set</t>
        </is>
      </c>
      <c r="Q3" s="234" t="inlineStr">
        <is>
          <t>Yellow = inputs (edit). Green = formulas. Blue underlined = clickable sources.</t>
        </is>
      </c>
    </row>
    <row r="4" ht="16" customHeight="1">
      <c r="A4" s="235">
        <f>HYPERLINK("https://raw.githubusercontent.com/vengeanceaiUSC/Rainmaker/cursor/vengeanceaiusmodel11-d3ac/FICO/output/MODEL11_FICO_ASSUMPTIONS_LIST.pdf","⬇ Download Assumptions List PDF")</f>
        <v/>
      </c>
      <c r="B4" s="106" t="inlineStr">
        <is>
          <t>Assumptions — full list PDF (no charts): MODEL11_FICO_ASSUMPTIONS_LIST.pdf</t>
        </is>
      </c>
      <c r="C4" s="236" t="inlineStr">
        <is>
          <t>https://github.com/vengeanceaiUSC/Rainmaker/blob/cursor/vengeanceaiusmodel11-d3ac/FICO/output/MODEL11_FICO_ASSUMPTIONS_LIST.pdf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3" t="n">
        <v>17.42</v>
      </c>
      <c r="O4" s="104" t="inlineStr">
        <is>
          <t>VCP Scanner peer set</t>
        </is>
      </c>
      <c r="Q4" s="237" t="inlineStr">
        <is>
          <t>Input</t>
        </is>
      </c>
      <c r="R4" s="237" t="inlineStr">
        <is>
          <t>Value</t>
        </is>
      </c>
      <c r="S4" s="237" t="inlineStr">
        <is>
          <t>Description</t>
        </is>
      </c>
      <c r="T4" s="237" t="inlineStr">
        <is>
          <t>Role</t>
        </is>
      </c>
      <c r="U4" s="237" t="inlineStr">
        <is>
          <t>Primary source (click)</t>
        </is>
      </c>
      <c r="V4" s="237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MODEL11 — cash taxes ≠ book tax (3S J13 still book for NI)</t>
        </is>
      </c>
      <c r="D5" s="238" t="n">
        <v>0.22873</v>
      </c>
      <c r="E5" s="239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3" t="n">
        <v>18.11</v>
      </c>
      <c r="O5" s="104" t="inlineStr">
        <is>
          <t>VCP Scanner peer set</t>
        </is>
      </c>
      <c r="Q5" s="184" t="inlineStr">
        <is>
          <t>1) CAPM → WACC   (D6 = R15)</t>
        </is>
      </c>
    </row>
    <row r="6" ht="16" customHeight="1">
      <c r="A6" s="240" t="inlineStr">
        <is>
          <t>WACC sources → columns U–V</t>
        </is>
      </c>
      <c r="B6" s="108" t="inlineStr">
        <is>
          <t>Discount Rate (WACC = We×Ke + Wd×Rd(1−t))</t>
        </is>
      </c>
      <c r="C6" s="241" t="inlineStr">
        <is>
          <t>Sources →</t>
        </is>
      </c>
      <c r="D6" s="242">
        <f>R15</f>
        <v/>
      </c>
      <c r="E6" s="239" t="inlineStr">
        <is>
          <t>WACC sources → scroll to col U (Rf/ERP/β/Rd links)</t>
        </is>
      </c>
      <c r="F6" s="239" t="inlineStr">
        <is>
          <t>Damodaran ERP</t>
        </is>
      </c>
      <c r="G6" s="239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3" t="n">
        <v>22.2</v>
      </c>
      <c r="O6" s="104" t="inlineStr">
        <is>
          <t>VCP Scanner peer set</t>
        </is>
      </c>
      <c r="Q6" s="243" t="inlineStr">
        <is>
          <t>Risk-free rate (Rf)</t>
        </is>
      </c>
      <c r="R6" s="230" t="n">
        <v>0.0463</v>
      </c>
      <c r="S6" s="243" t="inlineStr">
        <is>
          <t>US 10Y Treasury yield</t>
        </is>
      </c>
      <c r="T6" s="243" t="inlineStr">
        <is>
          <t>CAPM input</t>
        </is>
      </c>
      <c r="U6" s="244" t="inlineStr">
        <is>
          <t>FRED DGS10 (US 10Y)</t>
        </is>
      </c>
      <c r="V6" s="244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8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3" t="n">
        <v>23.74</v>
      </c>
      <c r="O7" s="104" t="inlineStr">
        <is>
          <t>VCP Scanner peer set</t>
        </is>
      </c>
      <c r="Q7" s="243" t="inlineStr">
        <is>
          <t>Equity risk premium (ERP)</t>
        </is>
      </c>
      <c r="R7" s="230" t="n">
        <v>0.0428</v>
      </c>
      <c r="S7" s="243" t="inlineStr">
        <is>
          <t>Damodaran implied ERP</t>
        </is>
      </c>
      <c r="T7" s="243" t="inlineStr">
        <is>
          <t>CAPM input</t>
        </is>
      </c>
      <c r="U7" s="244" t="inlineStr">
        <is>
          <t>Damodaran Online — Implied ERP</t>
        </is>
      </c>
      <c r="V7" s="244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45" t="n">
        <v>17.5</v>
      </c>
      <c r="E8" s="239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46" t="n">
        <v>18.11</v>
      </c>
      <c r="O8" s="114" t="inlineStr">
        <is>
          <t>Sorted median (SPGI)</t>
        </is>
      </c>
      <c r="Q8" s="243" t="inlineStr">
        <is>
          <t>Beta (β)</t>
        </is>
      </c>
      <c r="R8" s="247" t="n">
        <v>1.32</v>
      </c>
      <c r="S8" s="243" t="inlineStr">
        <is>
          <t>Yahoo 5Y monthly beta</t>
        </is>
      </c>
      <c r="T8" s="243" t="inlineStr">
        <is>
          <t>CAPM input</t>
        </is>
      </c>
      <c r="U8" s="244" t="inlineStr">
        <is>
          <t>Yahoo Finance FICO Key Statistics</t>
        </is>
      </c>
      <c r="V8" s="244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8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49" t="n">
        <v>17.5</v>
      </c>
      <c r="O9" s="117" t="inlineStr">
        <is>
          <t>Near peer median; audit 17.5x</t>
        </is>
      </c>
      <c r="Q9" s="250" t="inlineStr">
        <is>
          <t>Ke = Rf + β × ERP</t>
        </is>
      </c>
      <c r="R9" s="140">
        <f>R6+R8*R7</f>
        <v/>
      </c>
      <c r="S9" s="243" t="inlineStr">
        <is>
          <t>Cost of equity (CAPM)</t>
        </is>
      </c>
      <c r="T9" s="250" t="inlineStr">
        <is>
          <t>→ WACC</t>
        </is>
      </c>
      <c r="U9" s="243" t="inlineStr">
        <is>
          <t>Derived: R6 + R8 × R7</t>
        </is>
      </c>
      <c r="V9" s="243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8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43" t="inlineStr">
        <is>
          <t>Pre-tax cost of debt (Rd)</t>
        </is>
      </c>
      <c r="R10" s="230" t="n">
        <v>0.0625</v>
      </c>
      <c r="S10" s="243" t="inlineStr">
        <is>
          <t>6.250% Senior Notes due 2034</t>
        </is>
      </c>
      <c r="T10" s="243" t="inlineStr">
        <is>
          <t>WACC input</t>
        </is>
      </c>
      <c r="U10" s="244" t="inlineStr">
        <is>
          <t>SEC 8-K — Notes closing (6.250%)</t>
        </is>
      </c>
      <c r="V10" s="244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1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3" t="inlineStr">
        <is>
          <t>Cash tax rate (t)</t>
        </is>
      </c>
      <c r="R11" s="140">
        <f>$D$5</f>
        <v/>
      </c>
      <c r="S11" s="243" t="inlineStr">
        <is>
          <t>D5 ← 3yr cash tax (IncomeTaxesPaid/EBT)</t>
        </is>
      </c>
      <c r="T11" s="243" t="inlineStr">
        <is>
          <t>Cash tax ≠ book J13</t>
        </is>
      </c>
      <c r="U11" s="244" t="inlineStr">
        <is>
          <t>SEC 10-K FY2025 (tax / EBT)</t>
        </is>
      </c>
      <c r="V11" s="244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(000s)</t>
        </is>
      </c>
      <c r="C12" s="109" t="inlineStr">
        <is>
          <t>Diluted forward via row 16 (SBC$ ÷ Price each year)</t>
        </is>
      </c>
      <c r="D12" s="252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50" t="inlineStr">
        <is>
          <t>Rd_aftertax = Rd × (1 − t)</t>
        </is>
      </c>
      <c r="R12" s="140">
        <f>R10*(1-R11)</f>
        <v/>
      </c>
      <c r="S12" s="243" t="inlineStr">
        <is>
          <t>After-tax cost of debt</t>
        </is>
      </c>
      <c r="T12" s="250" t="inlineStr">
        <is>
          <t>→ WACC</t>
        </is>
      </c>
      <c r="U12" s="243" t="inlineStr">
        <is>
          <t>Derived: R10 × (1 − R11)</t>
        </is>
      </c>
      <c r="V12" s="243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3" t="inlineStr">
        <is>
          <t>Equity weight (We)</t>
        </is>
      </c>
      <c r="R13" s="253" t="n">
        <v>0.8</v>
      </c>
      <c r="S13" s="243" t="inlineStr">
        <is>
          <t>Target ~80% equity at market</t>
        </is>
      </c>
      <c r="T13" s="243" t="inlineStr">
        <is>
          <t>WACC weight</t>
        </is>
      </c>
      <c r="U13" s="244" t="inlineStr">
        <is>
          <t>SEC 10-Q Q3 FY2026 (debt / capital)</t>
        </is>
      </c>
      <c r="V13" s="244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3" t="inlineStr">
        <is>
          <t>Debt weight (Wd)</t>
        </is>
      </c>
      <c r="R14" s="253" t="n">
        <v>0.2</v>
      </c>
      <c r="S14" s="243" t="inlineStr">
        <is>
          <t>Target ~20% debt (We+Wd=100%)</t>
        </is>
      </c>
      <c r="T14" s="243" t="inlineStr">
        <is>
          <t>WACC weight</t>
        </is>
      </c>
      <c r="U14" s="244" t="inlineStr">
        <is>
          <t>SEC 10-Q — total debt $5,582,389k</t>
        </is>
      </c>
      <c r="V14" s="244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50" t="inlineStr">
        <is>
          <t>WACC = We×Ke + Wd×Rd_aftertax</t>
        </is>
      </c>
      <c r="R15" s="140">
        <f>R13*R9+R14*R12</f>
        <v/>
      </c>
      <c r="S15" s="243" t="inlineStr">
        <is>
          <t>PRIMARY discount rate → cell D6</t>
        </is>
      </c>
      <c r="T15" s="250" t="inlineStr">
        <is>
          <t>→ D6</t>
        </is>
      </c>
      <c r="U15" s="244" t="inlineStr">
        <is>
          <t>SEC filings (tax, debt coupons)</t>
        </is>
      </c>
      <c r="V15" s="244" t="inlineStr">
        <is>
          <t>Damodaran (ERP methodology)</t>
        </is>
      </c>
    </row>
    <row r="16" ht="16" customHeight="1">
      <c r="A16" s="100" t="n"/>
      <c r="B16" s="100" t="inlineStr">
        <is>
          <t>Shares Outstanding — SBC-diluted (000s)</t>
        </is>
      </c>
      <c r="C16" s="109" t="inlineStr">
        <is>
          <t>Shares_t = Shares_t−1 + SBC_t($000s) / Price; SBC from 3S row 64</t>
        </is>
      </c>
      <c r="D16" s="254">
        <f>$D$12</f>
        <v/>
      </c>
      <c r="E16" s="254">
        <f>D16+'3 Statement Model'!J64/$D$11</f>
        <v/>
      </c>
      <c r="F16" s="254">
        <f>E16+'3 Statement Model'!K64/$D$11</f>
        <v/>
      </c>
      <c r="G16" s="254">
        <f>F16+'3 Statement Model'!L64/$D$11</f>
        <v/>
      </c>
      <c r="H16" s="254">
        <f>G16+'3 Statement Model'!M64/$D$11</f>
        <v/>
      </c>
      <c r="I16" s="254">
        <f>H16+'3 Statement Model'!N64/$D$11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255">
        <f>YEAR(E18)</f>
        <v/>
      </c>
      <c r="F17" s="255">
        <f>YEAR(F18)</f>
        <v/>
      </c>
      <c r="G17" s="255">
        <f>YEAR(G18)</f>
        <v/>
      </c>
      <c r="H17" s="255">
        <f>YEAR(H18)</f>
        <v/>
      </c>
      <c r="I17" s="255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(vengeanceaiUSCMODEL11)</t>
        </is>
      </c>
      <c r="O17" s="100" t="n"/>
      <c r="Q17" s="184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4">
        <f>$D$9</f>
        <v/>
      </c>
      <c r="E18" s="256">
        <f>EDATE($D$9,(E19+0.5)*12)</f>
        <v/>
      </c>
      <c r="F18" s="256">
        <f>EDATE($D$9,(F19+0.5)*12)</f>
        <v/>
      </c>
      <c r="G18" s="256">
        <f>EDATE($D$9,(G19+0.5)*12)</f>
        <v/>
      </c>
      <c r="H18" s="256">
        <f>EDATE($D$9,(H19+0.5)*12)</f>
        <v/>
      </c>
      <c r="I18" s="256">
        <f>EDATE($D$9,(I19+0.5)*12)</f>
        <v/>
      </c>
      <c r="J18" s="254">
        <f>I18</f>
        <v/>
      </c>
      <c r="K18" s="100" t="n"/>
      <c r="L18" s="100" t="inlineStr">
        <is>
          <t>Exit EV/EBITDA @ D8 (BASE 17.5x)</t>
        </is>
      </c>
      <c r="M18" s="254">
        <f>J27</f>
        <v/>
      </c>
      <c r="N18" s="100" t="inlineStr">
        <is>
          <t>← used in XNPV</t>
        </is>
      </c>
      <c r="O18" s="100" t="n"/>
      <c r="Q18" s="250" t="inlineStr">
        <is>
          <t>FCFF = EBIT − EBIT×t_cash + D&amp;A + SBC − CapEx − ΔNWC</t>
        </is>
      </c>
      <c r="U18" s="244" t="inlineStr">
        <is>
          <t>Drivers from SEC XBRL → 3-statement</t>
        </is>
      </c>
      <c r="V18" s="244" t="inlineStr">
        <is>
          <t>SEC 10-K historical IS/CF</t>
        </is>
      </c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257" t="n">
        <v>0</v>
      </c>
      <c r="F19" s="258">
        <f>E19+1</f>
        <v/>
      </c>
      <c r="G19" s="258">
        <f>F19+1</f>
        <v/>
      </c>
      <c r="H19" s="258">
        <f>G19+1</f>
        <v/>
      </c>
      <c r="I19" s="258">
        <f>H19+1</f>
        <v/>
      </c>
      <c r="J19" s="130" t="n"/>
      <c r="K19" s="100" t="n"/>
      <c r="L19" s="100" t="inlineStr">
        <is>
          <t>Gordon cross-check (g=D7)</t>
        </is>
      </c>
      <c r="M19" s="254">
        <f>IF(($D$6-$D$7)&lt;=0,"WACC must exceed g",$I$26*(1+$D$7)/($D$6-$D$7))</f>
        <v/>
      </c>
      <c r="N19" s="133" t="inlineStr">
        <is>
          <t>← sanity check</t>
        </is>
      </c>
      <c r="O19" s="100" t="n"/>
      <c r="Q19" s="243" t="inlineStr">
        <is>
          <t>Excel (col E example)</t>
        </is>
      </c>
      <c r="R19" s="250">
        <f>E21-E22+E23-E24-E25</f>
        <v/>
      </c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258">
        <f>YEARFRAC(D18,E18)</f>
        <v/>
      </c>
      <c r="F20" s="258">
        <f>YEARFRAC(E18,F18)</f>
        <v/>
      </c>
      <c r="G20" s="258">
        <f>YEARFRAC(F18,G18)</f>
        <v/>
      </c>
      <c r="H20" s="258">
        <f>YEARFRAC(G18,H18)</f>
        <v/>
      </c>
      <c r="I20" s="258">
        <f>YEARFRAC(H18,I18)</f>
        <v/>
      </c>
      <c r="J20" s="100" t="n"/>
      <c r="K20" s="100" t="n"/>
      <c r="L20" s="100" t="inlineStr">
        <is>
          <t>Implied Gordon exit multiple</t>
        </is>
      </c>
      <c r="M20" s="254">
        <f>IF(($I$21+$I$23)=0,0,M19/($I$21+$I$23))</f>
        <v/>
      </c>
      <c r="N20" s="135" t="inlineStr">
        <is>
          <t>← ~bear check</t>
        </is>
      </c>
      <c r="O20" s="100" t="n"/>
      <c r="Q20" s="243" t="inlineStr">
        <is>
          <t>Tax on EBIT (unlevered)</t>
        </is>
      </c>
      <c r="R20" s="250">
        <f>E21*$D$5</f>
        <v/>
      </c>
      <c r="S20" s="243" t="inlineStr">
        <is>
          <t>NOT levered IS tax dollars</t>
        </is>
      </c>
      <c r="U20" s="244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9" t="inlineStr">
        <is>
          <t>EBIT</t>
        </is>
      </c>
      <c r="D21" s="100" t="n"/>
      <c r="E21" s="254">
        <f>'3 Statement Model'!J33+'3 Statement Model'!J31</f>
        <v/>
      </c>
      <c r="F21" s="254">
        <f>'3 Statement Model'!K33+'3 Statement Model'!K31</f>
        <v/>
      </c>
      <c r="G21" s="254">
        <f>'3 Statement Model'!L33+'3 Statement Model'!L31</f>
        <v/>
      </c>
      <c r="H21" s="254">
        <f>'3 Statement Model'!M33+'3 Statement Model'!M31</f>
        <v/>
      </c>
      <c r="I21" s="254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54">
        <f>($I$21+$I$23)*17.5</f>
        <v/>
      </c>
      <c r="N21" s="100" t="inlineStr">
        <is>
          <t>← = D8 policy</t>
        </is>
      </c>
      <c r="O21" s="100" t="n"/>
      <c r="Q21" s="243" t="inlineStr">
        <is>
          <t>FCFF check (FY5 / col I)</t>
        </is>
      </c>
      <c r="R21" s="231">
        <f>I26</f>
        <v/>
      </c>
      <c r="S21" s="243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9" t="inlineStr">
        <is>
          <t>EBIT×t</t>
        </is>
      </c>
      <c r="D22" s="100" t="n"/>
      <c r="E22" s="254">
        <f>E21*$D$5</f>
        <v/>
      </c>
      <c r="F22" s="254">
        <f>F21*$D$5</f>
        <v/>
      </c>
      <c r="G22" s="254">
        <f>G21*$D$5</f>
        <v/>
      </c>
      <c r="H22" s="254">
        <f>H21*$D$5</f>
        <v/>
      </c>
      <c r="I22" s="254">
        <f>I21*$D$5</f>
        <v/>
      </c>
      <c r="J22" s="100" t="n"/>
      <c r="K22" s="100" t="n"/>
      <c r="L22" s="100" t="inlineStr">
        <is>
          <t>BULL TV @ 25.0x (spot/policy)</t>
        </is>
      </c>
      <c r="M22" s="254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9" t="inlineStr">
        <is>
          <t>+D&amp;A</t>
        </is>
      </c>
      <c r="D23" s="100" t="n"/>
      <c r="E23" s="254">
        <f>'3 Statement Model'!J30</f>
        <v/>
      </c>
      <c r="F23" s="254">
        <f>'3 Statement Model'!K30</f>
        <v/>
      </c>
      <c r="G23" s="254">
        <f>'3 Statement Model'!L30</f>
        <v/>
      </c>
      <c r="H23" s="254">
        <f>'3 Statement Model'!M30</f>
        <v/>
      </c>
      <c r="I23" s="254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54">
        <f>($I$21+$I$23)*12.8</f>
        <v/>
      </c>
      <c r="N23" s="100" t="inlineStr">
        <is>
          <t>← sensitivity only</t>
        </is>
      </c>
      <c r="O23" s="100" t="n"/>
      <c r="Q23" s="184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9" t="inlineStr">
        <is>
          <t>−CapEx</t>
        </is>
      </c>
      <c r="D24" s="100" t="n"/>
      <c r="E24" s="254">
        <f>'3 Statement Model'!J68</f>
        <v/>
      </c>
      <c r="F24" s="254">
        <f>'3 Statement Model'!K68</f>
        <v/>
      </c>
      <c r="G24" s="254">
        <f>'3 Statement Model'!L68</f>
        <v/>
      </c>
      <c r="H24" s="254">
        <f>'3 Statement Model'!M68</f>
        <v/>
      </c>
      <c r="I24" s="254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50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 = AR+Inv−AP−Deferred)</t>
        </is>
      </c>
      <c r="C25" s="259" t="inlineStr">
        <is>
          <t>−ΔNWC</t>
        </is>
      </c>
      <c r="D25" s="100" t="n"/>
      <c r="E25" s="254">
        <f>'3 Statement Model'!J90</f>
        <v/>
      </c>
      <c r="F25" s="254">
        <f>'3 Statement Model'!K90</f>
        <v/>
      </c>
      <c r="G25" s="254">
        <f>'3 Statement Model'!L90</f>
        <v/>
      </c>
      <c r="H25" s="254">
        <f>'3 Statement Model'!M90</f>
        <v/>
      </c>
      <c r="I25" s="254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43" t="inlineStr">
        <is>
          <t>Excel</t>
        </is>
      </c>
      <c r="R25" s="250">
        <f>($I$21+$I$23)*$D$8</f>
        <v/>
      </c>
      <c r="T25" s="231">
        <f>J27</f>
        <v/>
      </c>
      <c r="U25" s="244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(includes SBC add-back from 3S row 64)</t>
        </is>
      </c>
      <c r="C26" s="259" t="inlineStr">
        <is>
          <t>FCFF=EBIT−cashTax+DA+SBC−CapEx−ΔNWC</t>
        </is>
      </c>
      <c r="D26" s="100" t="n"/>
      <c r="E26" s="260">
        <f>E21-E22+E23+'3 Statement Model'!J64-E24-E25</f>
        <v/>
      </c>
      <c r="F26" s="260">
        <f>F21-F22+F23+'3 Statement Model'!K64-F24-F25</f>
        <v/>
      </c>
      <c r="G26" s="260">
        <f>G21-G22+G23+'3 Statement Model'!L64-G24-G25</f>
        <v/>
      </c>
      <c r="H26" s="260">
        <f>H21-H22+H23+'3 Statement Model'!M64-H24-H25</f>
        <v/>
      </c>
      <c r="I26" s="260">
        <f>I21-I22+I23+'3 Statement Model'!N64-I24-I25</f>
        <v/>
      </c>
      <c r="J26" s="100" t="n"/>
      <c r="K26" s="100" t="n"/>
      <c r="L26" s="138" t="inlineStr">
        <is>
          <t>vengeanceaiUSCMODEL11 — DCF ← 3-Statement linkage audit</t>
        </is>
      </c>
      <c r="Q26" s="250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61">
        <f>-I35</f>
        <v/>
      </c>
      <c r="E27" s="100" t="n"/>
      <c r="F27" s="100" t="n"/>
      <c r="G27" s="100" t="n"/>
      <c r="H27" s="100" t="n"/>
      <c r="I27" s="100" t="n"/>
      <c r="J27" s="254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  <c r="Q27" s="243" t="inlineStr">
        <is>
          <t>Excel</t>
        </is>
      </c>
      <c r="R27" s="250">
        <f>IF(($D$6-$D$7)&lt;=0,"err",$I$26*(1+$D$7)/($D$6-$D$7))</f>
        <v/>
      </c>
      <c r="T27" s="231">
        <f>M19</f>
        <v/>
      </c>
      <c r="U27" s="244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2" t="n">
        <v>0</v>
      </c>
      <c r="E28" s="260">
        <f>E27+E26</f>
        <v/>
      </c>
      <c r="F28" s="260">
        <f>F27+F26</f>
        <v/>
      </c>
      <c r="G28" s="260">
        <f>G27+G26</f>
        <v/>
      </c>
      <c r="H28" s="260">
        <f>H27+H26</f>
        <v/>
      </c>
      <c r="I28" s="260">
        <f>I27+I26</f>
        <v/>
      </c>
      <c r="J28" s="260">
        <f>J27+J26</f>
        <v/>
      </c>
      <c r="K28" s="100" t="n"/>
      <c r="L28" s="104" t="inlineStr">
        <is>
          <t>Cash tax rate (D5)</t>
        </is>
      </c>
      <c r="M28" s="22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  <c r="Q28" s="243" t="inlineStr">
        <is>
          <t>Implied Gordon exit multiple</t>
        </is>
      </c>
      <c r="R28" s="263">
        <f>IF(($I$21+$I$23)=0,0,T27/($I$21+$I$23))</f>
        <v/>
      </c>
      <c r="S28" s="243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1">
        <f>D27+D26</f>
        <v/>
      </c>
      <c r="E29" s="254">
        <f>E27+E26</f>
        <v/>
      </c>
      <c r="F29" s="254">
        <f>F27+F26</f>
        <v/>
      </c>
      <c r="G29" s="254">
        <f>G27+G26</f>
        <v/>
      </c>
      <c r="H29" s="254">
        <f>H27+H26</f>
        <v/>
      </c>
      <c r="I29" s="254">
        <f>I27+I26</f>
        <v/>
      </c>
      <c r="J29" s="254">
        <f>J27</f>
        <v/>
      </c>
      <c r="K29" s="100" t="n"/>
      <c r="L29" s="104" t="inlineStr">
        <is>
          <t>DSO (AR days)</t>
        </is>
      </c>
      <c r="M29" s="220">
        <f>'3 Statement Model'!J15</f>
        <v/>
      </c>
      <c r="N29" s="143">
        <f>'3 Statement Model'!J15</f>
        <v/>
      </c>
      <c r="O29" s="142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  <c r="Q30" s="184" t="inlineStr">
        <is>
          <t>4) Enterprise → Equity → $/share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220">
        <f>'3 Statement Model'!J18</f>
        <v/>
      </c>
      <c r="N31" s="143">
        <f>'3 Statement Model'!J18</f>
        <v/>
      </c>
      <c r="O31" s="142" t="inlineStr">
        <is>
          <t>Flat 3yr hist avg CapEx% → CF CapEx $</t>
        </is>
      </c>
      <c r="Q31" s="250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4">
        <f>XNPV(D6,D28:J28,D18:J18)</f>
        <v/>
      </c>
      <c r="E32" s="100" t="n"/>
      <c r="G32" s="100" t="inlineStr">
        <is>
          <t>Market Cap</t>
        </is>
      </c>
      <c r="H32" s="100" t="n"/>
      <c r="I32" s="261">
        <f>D12*D11</f>
        <v/>
      </c>
      <c r="J32" s="100" t="n"/>
      <c r="L32" s="104" t="inlineStr">
        <is>
          <t>Revenue growth FY1</t>
        </is>
      </c>
      <c r="M32" s="220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  <c r="Q32" s="243" t="inlineStr">
        <is>
          <t>Excel</t>
        </is>
      </c>
      <c r="R32" s="250">
        <f>XNPV(D6,D28:J28,D18:J18)</f>
        <v/>
      </c>
      <c r="T32" s="231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1">
        <f>+D14</f>
        <v/>
      </c>
      <c r="E33" s="100" t="n"/>
      <c r="G33" s="100" t="inlineStr">
        <is>
          <t>Plus: Debt</t>
        </is>
      </c>
      <c r="H33" s="100" t="n"/>
      <c r="I33" s="261">
        <f>D13</f>
        <v/>
      </c>
      <c r="J33" s="100" t="n"/>
      <c r="L33" s="104" t="inlineStr">
        <is>
          <t>EBIT FY1 (DCF E21)</t>
        </is>
      </c>
      <c r="M33" s="220">
        <f>$E$21</f>
        <v/>
      </c>
      <c r="N33" s="231">
        <f>'3 Statement Model'!J33+'3 Statement Model'!J31</f>
        <v/>
      </c>
      <c r="O33" s="142" t="inlineStr">
        <is>
          <t>EBT + Interest = GP − SG&amp;A − R&amp;D − D&amp;A</t>
        </is>
      </c>
      <c r="Q33" s="250" t="inlineStr">
        <is>
          <t>Equity = EV + Cash − Debt</t>
        </is>
      </c>
      <c r="R33" s="231">
        <f>D35</f>
        <v/>
      </c>
      <c r="S33" s="243" t="inlineStr">
        <is>
          <t>Net debt from 10-Q bridge</t>
        </is>
      </c>
      <c r="U33" s="244" t="inlineStr">
        <is>
          <t>SEC 10-Q — cash, mkt secs, total debt</t>
        </is>
      </c>
      <c r="V33" s="244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1">
        <f>+D13</f>
        <v/>
      </c>
      <c r="E34" s="100" t="n"/>
      <c r="G34" s="100" t="inlineStr">
        <is>
          <t>Less: Cash</t>
        </is>
      </c>
      <c r="H34" s="100" t="n"/>
      <c r="I34" s="261">
        <f>+D14</f>
        <v/>
      </c>
      <c r="J34" s="100" t="n"/>
      <c r="L34" s="104" t="inlineStr">
        <is>
          <t>EBIT cross-check</t>
        </is>
      </c>
      <c r="M34" s="220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  <c r="Q34" s="250" t="inlineStr">
        <is>
          <t>$/share = Equity / Shares</t>
        </is>
      </c>
      <c r="R34" s="264">
        <f>D37</f>
        <v/>
      </c>
      <c r="S34" s="243" t="inlineStr">
        <is>
          <t>Shares outstanding (Yahoo)</t>
        </is>
      </c>
      <c r="U34" s="244" t="inlineStr">
        <is>
          <t>Yahoo Finance — shares outstanding</t>
        </is>
      </c>
      <c r="V34" s="244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2">
        <f>D32+D33-D34</f>
        <v/>
      </c>
      <c r="E35" s="100" t="n"/>
      <c r="G35" s="100" t="inlineStr">
        <is>
          <t>Enterprise Value</t>
        </is>
      </c>
      <c r="H35" s="100" t="n"/>
      <c r="I35" s="262">
        <f>I32+I33-I34</f>
        <v/>
      </c>
      <c r="J35" s="100" t="n"/>
      <c r="L35" s="144" t="inlineStr">
        <is>
          <t>D&amp;A FY1</t>
        </is>
      </c>
      <c r="M35" s="220">
        <f>$E$23</f>
        <v/>
      </c>
      <c r="N35" s="231">
        <f>'3 Statement Model'!J30</f>
        <v/>
      </c>
      <c r="O35" s="142" t="inlineStr">
        <is>
          <t>Rev × DA% (total D&amp;A / sales) from 3S IS</t>
        </is>
      </c>
      <c r="Q35" s="243" t="inlineStr">
        <is>
          <t>Upside vs market</t>
        </is>
      </c>
      <c r="R35" s="223">
        <f>D37/D11-1</f>
        <v/>
      </c>
      <c r="S35" s="243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5" t="n"/>
      <c r="J36" s="100" t="n"/>
      <c r="L36" s="104" t="inlineStr">
        <is>
          <t>SBC FY1</t>
        </is>
      </c>
      <c r="M36" s="220">
        <f>'3 Statement Model'!J64</f>
        <v/>
      </c>
      <c r="N36" s="231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SBC-diluted shares I16)</t>
        </is>
      </c>
      <c r="C37" s="109" t="inlineStr">
        <is>
          <t>MODEL11: starting D12 grows with SBC add-back / price</t>
        </is>
      </c>
      <c r="D37" s="254">
        <f>$D$35/$I$16</f>
        <v/>
      </c>
      <c r="E37" s="100" t="n"/>
      <c r="G37" s="100" t="inlineStr">
        <is>
          <t>Equity Value/Share</t>
        </is>
      </c>
      <c r="H37" s="100" t="n"/>
      <c r="I37" s="261">
        <f>D11</f>
        <v/>
      </c>
      <c r="J37" s="100" t="n"/>
      <c r="L37" s="104" t="inlineStr">
        <is>
          <t>CapEx FY1</t>
        </is>
      </c>
      <c r="M37" s="220">
        <f>$E$24</f>
        <v/>
      </c>
      <c r="N37" s="231">
        <f>'3 Statement Model'!J68</f>
        <v/>
      </c>
      <c r="O37" s="142" t="inlineStr">
        <is>
          <t>3S CF CapEx (also D15)</t>
        </is>
      </c>
      <c r="Q37" s="184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220">
        <f>$E$25</f>
        <v/>
      </c>
      <c r="N38" s="231">
        <f>'3 Statement Model'!J90</f>
        <v/>
      </c>
      <c r="O38" s="142" t="inlineStr">
        <is>
          <t>WC schedule change (CF row 65 = J90)</t>
        </is>
      </c>
      <c r="Q38" s="250" t="inlineStr">
        <is>
          <t>NWC = AR + Inv − AP − Deferred (DSO/DPO drivers)</t>
        </is>
      </c>
      <c r="U38" s="244" t="inlineStr">
        <is>
          <t>SEC 10-K — AR / AP / deferred revenue</t>
        </is>
      </c>
      <c r="V38" s="244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0">
        <f>$I$21+$I$23</f>
        <v/>
      </c>
      <c r="N39" s="231">
        <f>'3 Statement Model'!N33+'3 Statement Model'!N31+'3 Statement Model'!N30</f>
        <v/>
      </c>
      <c r="O39" s="142" t="inlineStr">
        <is>
          <t>EBIT+D&amp;A; Exit TV = this × D8</t>
        </is>
      </c>
      <c r="Q39" s="250" t="inlineStr">
        <is>
          <t>ΔNWC_t = NWC_t − NWC_(t−1)</t>
        </is>
      </c>
      <c r="S39" s="243" t="inlineStr">
        <is>
          <t>Linked from 3-statement WC row 90 (organic ΔNWC)</t>
        </is>
      </c>
      <c r="T39" s="231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0">
        <f>'3 Statement Model'!I41</f>
        <v/>
      </c>
      <c r="N40" s="231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231">
        <f>'3 Statement Model'!I49</f>
        <v/>
      </c>
      <c r="N41" s="231">
        <f>'3 Statement Model'!I49</f>
        <v/>
      </c>
      <c r="O41" s="142" t="inlineStr">
        <is>
          <t>FYE reference only — bridge uses 10-Q D13</t>
        </is>
      </c>
      <c r="Q41" s="184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  <c r="Q42" s="244" t="inlineStr">
        <is>
          <t>SEC 10-K FY2025</t>
        </is>
      </c>
      <c r="R42" s="186" t="n"/>
      <c r="S42" s="187" t="n"/>
      <c r="T42" s="243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ΔNWC. D5 = cash tax (not book J13). $/share uses I16 (Y5 SBC-diluted shares), not static D12. D13/D14 stay 10-Q for the equity bridge.</t>
        </is>
      </c>
      <c r="Q43" s="244" t="inlineStr">
        <is>
          <t>SEC 10-Q Q3 FY2026</t>
        </is>
      </c>
      <c r="R43" s="186" t="n"/>
      <c r="S43" s="187" t="n"/>
      <c r="T43" s="243" t="inlineStr">
        <is>
          <t>Debt $5,582M, cash+mkt secs net-debt bridge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4" t="inlineStr">
        <is>
          <t>SEC 8-K 6.250% notes</t>
        </is>
      </c>
      <c r="R44" s="186" t="n"/>
      <c r="S44" s="187" t="n"/>
      <c r="T44" s="243" t="inlineStr">
        <is>
          <t>Pre-tax Rd coupon 6.250% due 2034</t>
        </is>
      </c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4" t="inlineStr">
        <is>
          <t>SEC EX-99.1 pricing</t>
        </is>
      </c>
      <c r="R45" s="186" t="n"/>
      <c r="S45" s="187" t="n"/>
      <c r="T45" s="243" t="inlineStr">
        <is>
          <t>Notes priced at par / offering terms</t>
        </is>
      </c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4" t="inlineStr">
        <is>
          <t>SEC companyfacts XBRL</t>
        </is>
      </c>
      <c r="R46" s="186" t="n"/>
      <c r="S46" s="187" t="n"/>
      <c r="T46" s="243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4" t="inlineStr">
        <is>
          <t>FRED DGS10</t>
        </is>
      </c>
      <c r="R47" s="186" t="n"/>
      <c r="S47" s="187" t="n"/>
      <c r="T47" s="243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  <c r="Q48" s="244" t="inlineStr">
        <is>
          <t>US Treasury yield curve</t>
        </is>
      </c>
      <c r="R48" s="186" t="n"/>
      <c r="S48" s="187" t="n"/>
      <c r="T48" s="243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  <c r="Q49" s="244" t="inlineStr">
        <is>
          <t>Damodaran Implied ERP</t>
        </is>
      </c>
      <c r="R49" s="186" t="n"/>
      <c r="S49" s="187" t="n"/>
      <c r="T49" s="243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4" t="inlineStr">
        <is>
          <t>Damodaran histimpl</t>
        </is>
      </c>
      <c r="R50" s="186" t="n"/>
      <c r="S50" s="187" t="n"/>
      <c r="T50" s="243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4" t="inlineStr">
        <is>
          <t>Yahoo FICO stats</t>
        </is>
      </c>
      <c r="R51" s="186" t="n"/>
      <c r="S51" s="187" t="n"/>
      <c r="T51" s="243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66" t="n">
        <v>12.5</v>
      </c>
      <c r="N56" s="266" t="n">
        <v>15</v>
      </c>
      <c r="O56" s="266" t="n">
        <v>17.5</v>
      </c>
      <c r="P56" s="266" t="n">
        <v>20</v>
      </c>
      <c r="Q56" s="266" t="n">
        <v>22.5</v>
      </c>
      <c r="R56" s="266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0.0824</v>
      </c>
      <c r="M57" s="231">
        <f>XNPV($L57,$D$28:$I$28,$D$18:$I$18)+($I$26+($I$21+$I$23)*M$56)/((1+$L57)^(($J$18-$D$18)/365))</f>
        <v/>
      </c>
      <c r="N57" s="231">
        <f>XNPV($L57,$D$28:$I$28,$D$18:$I$18)+($I$26+($I$21+$I$23)*N$56)/((1+$L57)^(($J$18-$D$18)/365))</f>
        <v/>
      </c>
      <c r="O57" s="231">
        <f>XNPV($L57,$D$28:$I$28,$D$18:$I$18)+($I$26+($I$21+$I$23)*O$56)/((1+$L57)^(($J$18-$D$18)/365))</f>
        <v/>
      </c>
      <c r="P57" s="231">
        <f>XNPV($L57,$D$28:$I$28,$D$18:$I$18)+($I$26+($I$21+$I$23)*P$56)/((1+$L57)^(($J$18-$D$18)/365))</f>
        <v/>
      </c>
      <c r="Q57" s="231">
        <f>XNPV($L57,$D$28:$I$28,$D$18:$I$18)+($I$26+($I$21+$I$23)*Q$56)/((1+$L57)^(($J$18-$D$18)/365))</f>
        <v/>
      </c>
      <c r="R57" s="231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0.08740000000000001</v>
      </c>
      <c r="M58" s="231">
        <f>XNPV($L58,$D$28:$I$28,$D$18:$I$18)+($I$26+($I$21+$I$23)*M$56)/((1+$L58)^(($J$18-$D$18)/365))</f>
        <v/>
      </c>
      <c r="N58" s="231">
        <f>XNPV($L58,$D$28:$I$28,$D$18:$I$18)+($I$26+($I$21+$I$23)*N$56)/((1+$L58)^(($J$18-$D$18)/365))</f>
        <v/>
      </c>
      <c r="O58" s="231">
        <f>XNPV($L58,$D$28:$I$28,$D$18:$I$18)+($I$26+($I$21+$I$23)*O$56)/((1+$L58)^(($J$18-$D$18)/365))</f>
        <v/>
      </c>
      <c r="P58" s="231">
        <f>XNPV($L58,$D$28:$I$28,$D$18:$I$18)+($I$26+($I$21+$I$23)*P$56)/((1+$L58)^(($J$18-$D$18)/365))</f>
        <v/>
      </c>
      <c r="Q58" s="231">
        <f>XNPV($L58,$D$28:$I$28,$D$18:$I$18)+($I$26+($I$21+$I$23)*Q$56)/((1+$L58)^(($J$18-$D$18)/365))</f>
        <v/>
      </c>
      <c r="R58" s="231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0.0924</v>
      </c>
      <c r="M59" s="231">
        <f>XNPV($L59,$D$28:$I$28,$D$18:$I$18)+($I$26+($I$21+$I$23)*M$56)/((1+$L59)^(($J$18-$D$18)/365))</f>
        <v/>
      </c>
      <c r="N59" s="231">
        <f>XNPV($L59,$D$28:$I$28,$D$18:$I$18)+($I$26+($I$21+$I$23)*N$56)/((1+$L59)^(($J$18-$D$18)/365))</f>
        <v/>
      </c>
      <c r="O59" s="267">
        <f>XNPV($L59,$D$28:$I$28,$D$18:$I$18)+($I$26+($I$21+$I$23)*O$56)/((1+$L59)^(($J$18-$D$18)/365))</f>
        <v/>
      </c>
      <c r="P59" s="231">
        <f>XNPV($L59,$D$28:$I$28,$D$18:$I$18)+($I$26+($I$21+$I$23)*P$56)/((1+$L59)^(($J$18-$D$18)/365))</f>
        <v/>
      </c>
      <c r="Q59" s="231">
        <f>XNPV($L59,$D$28:$I$28,$D$18:$I$18)+($I$26+($I$21+$I$23)*Q$56)/((1+$L59)^(($J$18-$D$18)/365))</f>
        <v/>
      </c>
      <c r="R59" s="231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0.0974</v>
      </c>
      <c r="M60" s="231">
        <f>XNPV($L60,$D$28:$I$28,$D$18:$I$18)+($I$26+($I$21+$I$23)*M$56)/((1+$L60)^(($J$18-$D$18)/365))</f>
        <v/>
      </c>
      <c r="N60" s="231">
        <f>XNPV($L60,$D$28:$I$28,$D$18:$I$18)+($I$26+($I$21+$I$23)*N$56)/((1+$L60)^(($J$18-$D$18)/365))</f>
        <v/>
      </c>
      <c r="O60" s="231">
        <f>XNPV($L60,$D$28:$I$28,$D$18:$I$18)+($I$26+($I$21+$I$23)*O$56)/((1+$L60)^(($J$18-$D$18)/365))</f>
        <v/>
      </c>
      <c r="P60" s="231">
        <f>XNPV($L60,$D$28:$I$28,$D$18:$I$18)+($I$26+($I$21+$I$23)*P$56)/((1+$L60)^(($J$18-$D$18)/365))</f>
        <v/>
      </c>
      <c r="Q60" s="231">
        <f>XNPV($L60,$D$28:$I$28,$D$18:$I$18)+($I$26+($I$21+$I$23)*Q$56)/((1+$L60)^(($J$18-$D$18)/365))</f>
        <v/>
      </c>
      <c r="R60" s="231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0.1024</v>
      </c>
      <c r="M61" s="231">
        <f>XNPV($L61,$D$28:$I$28,$D$18:$I$18)+($I$26+($I$21+$I$23)*M$56)/((1+$L61)^(($J$18-$D$18)/365))</f>
        <v/>
      </c>
      <c r="N61" s="231">
        <f>XNPV($L61,$D$28:$I$28,$D$18:$I$18)+($I$26+($I$21+$I$23)*N$56)/((1+$L61)^(($J$18-$D$18)/365))</f>
        <v/>
      </c>
      <c r="O61" s="231">
        <f>XNPV($L61,$D$28:$I$28,$D$18:$I$18)+($I$26+($I$21+$I$23)*O$56)/((1+$L61)^(($J$18-$D$18)/365))</f>
        <v/>
      </c>
      <c r="P61" s="231">
        <f>XNPV($L61,$D$28:$I$28,$D$18:$I$18)+($I$26+($I$21+$I$23)*P$56)/((1+$L61)^(($J$18-$D$18)/365))</f>
        <v/>
      </c>
      <c r="Q61" s="231">
        <f>XNPV($L61,$D$28:$I$28,$D$18:$I$18)+($I$26+($I$21+$I$23)*Q$56)/((1+$L61)^(($J$18-$D$18)/365))</f>
        <v/>
      </c>
      <c r="R61" s="231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268" t="n">
        <v>12.5</v>
      </c>
      <c r="N65" s="268" t="n">
        <v>15</v>
      </c>
      <c r="O65" s="268" t="n">
        <v>17.5</v>
      </c>
      <c r="P65" s="268" t="n">
        <v>20</v>
      </c>
      <c r="Q65" s="268" t="n">
        <v>22.5</v>
      </c>
      <c r="R65" s="268" t="n">
        <v>25</v>
      </c>
    </row>
    <row r="66">
      <c r="L66" s="158" t="n">
        <v>0.0824</v>
      </c>
      <c r="M66" s="264">
        <f>(M57+$D$33-$D$34)/$I$16</f>
        <v/>
      </c>
      <c r="N66" s="264">
        <f>(N57+$D$33-$D$34)/$I$16</f>
        <v/>
      </c>
      <c r="O66" s="264">
        <f>(O57+$D$33-$D$34)/$I$16</f>
        <v/>
      </c>
      <c r="P66" s="264">
        <f>(P57+$D$33-$D$34)/$I$16</f>
        <v/>
      </c>
      <c r="Q66" s="264">
        <f>(Q57+$D$33-$D$34)/$I$16</f>
        <v/>
      </c>
      <c r="R66" s="264">
        <f>(R57+$D$33-$D$34)/$I$16</f>
        <v/>
      </c>
    </row>
    <row r="67">
      <c r="L67" s="158" t="n">
        <v>0.08740000000000001</v>
      </c>
      <c r="M67" s="264">
        <f>(M58+$D$33-$D$34)/$I$16</f>
        <v/>
      </c>
      <c r="N67" s="264">
        <f>(N58+$D$33-$D$34)/$I$16</f>
        <v/>
      </c>
      <c r="O67" s="264">
        <f>(O58+$D$33-$D$34)/$I$16</f>
        <v/>
      </c>
      <c r="P67" s="264">
        <f>(P58+$D$33-$D$34)/$I$16</f>
        <v/>
      </c>
      <c r="Q67" s="264">
        <f>(Q58+$D$33-$D$34)/$I$16</f>
        <v/>
      </c>
      <c r="R67" s="264">
        <f>(R58+$D$33-$D$34)/$I$16</f>
        <v/>
      </c>
    </row>
    <row r="68">
      <c r="L68" s="158" t="n">
        <v>0.0924</v>
      </c>
      <c r="M68" s="264">
        <f>(M59+$D$33-$D$34)/$I$16</f>
        <v/>
      </c>
      <c r="N68" s="264">
        <f>(N59+$D$33-$D$34)/$I$16</f>
        <v/>
      </c>
      <c r="O68" s="269">
        <f>(O59+$D$33-$D$34)/$I$16</f>
        <v/>
      </c>
      <c r="P68" s="264">
        <f>(P59+$D$33-$D$34)/$I$16</f>
        <v/>
      </c>
      <c r="Q68" s="264">
        <f>(Q59+$D$33-$D$34)/$I$16</f>
        <v/>
      </c>
      <c r="R68" s="264">
        <f>(R59+$D$33-$D$34)/$I$16</f>
        <v/>
      </c>
    </row>
    <row r="69">
      <c r="L69" s="158" t="n">
        <v>0.0974</v>
      </c>
      <c r="M69" s="264">
        <f>(M60+$D$33-$D$34)/$I$16</f>
        <v/>
      </c>
      <c r="N69" s="264">
        <f>(N60+$D$33-$D$34)/$I$16</f>
        <v/>
      </c>
      <c r="O69" s="264">
        <f>(O60+$D$33-$D$34)/$I$16</f>
        <v/>
      </c>
      <c r="P69" s="264">
        <f>(P60+$D$33-$D$34)/$I$16</f>
        <v/>
      </c>
      <c r="Q69" s="264">
        <f>(Q60+$D$33-$D$34)/$I$16</f>
        <v/>
      </c>
      <c r="R69" s="264">
        <f>(R60+$D$33-$D$34)/$I$16</f>
        <v/>
      </c>
    </row>
    <row r="70">
      <c r="L70" s="158" t="n">
        <v>0.1024</v>
      </c>
      <c r="M70" s="264">
        <f>(M61+$D$33-$D$34)/$I$16</f>
        <v/>
      </c>
      <c r="N70" s="264">
        <f>(N61+$D$33-$D$34)/$I$16</f>
        <v/>
      </c>
      <c r="O70" s="264">
        <f>(O61+$D$33-$D$34)/$I$16</f>
        <v/>
      </c>
      <c r="P70" s="264">
        <f>(P61+$D$33-$D$34)/$I$16</f>
        <v/>
      </c>
      <c r="Q70" s="264">
        <f>(Q61+$D$33-$D$34)/$I$16</f>
        <v/>
      </c>
      <c r="R70" s="264">
        <f>(R61+$D$33-$D$34)/$I$16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2026-08-06T15:57:15Z</dcterms:modified>
  <cp:lastModifiedBy>Katie Au Yeung</cp:lastModifiedBy>
  <cp:lastPrinted>2014-12-13T23:43:21Z</cp:lastPrinted>
</cp:coreProperties>
</file>