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</numFmts>
  <fonts count="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</font>
    <font>
      <name val="Calibri"/>
      <i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08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" fontId="26" fillId="6" borderId="0" pivotButton="0" quotePrefix="0" xfId="1"/>
    <xf numFmtId="1" fontId="27" fillId="7" borderId="0" pivotButton="0" quotePrefix="0" xfId="1"/>
    <xf numFmtId="1" fontId="27" fillId="7" borderId="0" pivotButton="0" quotePrefix="0" xfId="0"/>
    <xf numFmtId="166" fontId="26" fillId="6" borderId="0" pivotButton="0" quotePrefix="0" xfId="2"/>
    <xf numFmtId="10" fontId="26" fillId="6" borderId="0" pivotButton="0" quotePrefix="0" xfId="2"/>
    <xf numFmtId="164" fontId="26" fillId="6" borderId="0" pivotButton="0" quotePrefix="0" xfId="1"/>
    <xf numFmtId="164" fontId="27" fillId="7" borderId="0" pivotButton="0" quotePrefix="0" xfId="1"/>
    <xf numFmtId="168" fontId="27" fillId="7" borderId="0" pivotButton="0" quotePrefix="0" xfId="1"/>
    <xf numFmtId="164" fontId="27" fillId="7" borderId="2" pivotButton="0" quotePrefix="0" xfId="1"/>
    <xf numFmtId="164" fontId="26" fillId="6" borderId="1" pivotButton="0" quotePrefix="0" xfId="1"/>
    <xf numFmtId="164" fontId="27" fillId="7" borderId="1" pivotButton="0" quotePrefix="0" xfId="1"/>
    <xf numFmtId="164" fontId="27" fillId="7" borderId="4" pivotButton="0" quotePrefix="0" xfId="1"/>
    <xf numFmtId="167" fontId="27" fillId="7" borderId="0" pivotButton="0" quotePrefix="0" xfId="1"/>
    <xf numFmtId="164" fontId="27" fillId="7" borderId="3" pivotButton="0" quotePrefix="0" xfId="1"/>
    <xf numFmtId="164" fontId="26" fillId="6" borderId="2" applyAlignment="1" pivotButton="0" quotePrefix="0" xfId="1">
      <alignment horizontal="center"/>
    </xf>
    <xf numFmtId="0" fontId="28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FICO Revenue FY2021–2030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 Statement Model'!$E$2:$N$2</f>
            </numRef>
          </cat>
          <val>
            <numRef>
              <f>'3 Statement Model'!$E$24:$N$24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FICO model</author>
  </authors>
  <commentList>
    <comment ref="F2" authorId="0" shapeId="0">
      <text>
        <t>Excel formula:
=E2+1</t>
      </text>
    </comment>
    <comment ref="G2" authorId="0" shapeId="0">
      <text>
        <t>Excel formula:
=F2+1</t>
      </text>
    </comment>
    <comment ref="H2" authorId="0" shapeId="0">
      <text>
        <t>Excel formula:
=G2+1</t>
      </text>
    </comment>
    <comment ref="I2" authorId="0" shapeId="0">
      <text>
        <t>Excel formula:
=H2+1</t>
      </text>
    </comment>
    <comment ref="J2" authorId="0" shapeId="0">
      <text>
        <t>Excel formula:
=I2+1</t>
      </text>
    </comment>
    <comment ref="K2" authorId="0" shapeId="0">
      <text>
        <t>Excel formula:
=J2+1</t>
      </text>
    </comment>
    <comment ref="L2" authorId="0" shapeId="0">
      <text>
        <t>Excel formula:
=K2+1</t>
      </text>
    </comment>
    <comment ref="M2" authorId="0" shapeId="0">
      <text>
        <t>Excel formula:
=L2+1</t>
      </text>
    </comment>
    <comment ref="N2" authorId="0" shapeId="0">
      <text>
        <t>Excel formula:
=M2+1</t>
      </text>
    </comment>
    <comment ref="J24" authorId="0" shapeId="0">
      <text>
        <t>Excel formula:
=I24*(1+J7)</t>
      </text>
    </comment>
    <comment ref="K24" authorId="0" shapeId="0">
      <text>
        <t>Excel formula:
=J24*(1+K7)</t>
      </text>
    </comment>
    <comment ref="L24" authorId="0" shapeId="0">
      <text>
        <t>Excel formula:
=K24*(1+L7)</t>
      </text>
    </comment>
    <comment ref="M24" authorId="0" shapeId="0">
      <text>
        <t>Excel formula:
=L24*(1+M7)</t>
      </text>
    </comment>
    <comment ref="N24" authorId="0" shapeId="0">
      <text>
        <t>Excel formula:
=M24*(1+N7)</t>
      </text>
    </comment>
    <comment ref="J25" authorId="0" shapeId="0">
      <text>
        <t>Excel formula:
=J24*J8</t>
      </text>
    </comment>
    <comment ref="K25" authorId="0" shapeId="0">
      <text>
        <t>Excel formula:
=K24*K8</t>
      </text>
    </comment>
    <comment ref="L25" authorId="0" shapeId="0">
      <text>
        <t>Excel formula:
=L24*L8</t>
      </text>
    </comment>
    <comment ref="M25" authorId="0" shapeId="0">
      <text>
        <t>Excel formula:
=M24*M8</t>
      </text>
    </comment>
    <comment ref="N25" authorId="0" shapeId="0">
      <text>
        <t>Excel formula:
=N24*N8</t>
      </text>
    </comment>
    <comment ref="E26" authorId="0" shapeId="0">
      <text>
        <t>Excel formula:
=E24-E25</t>
      </text>
    </comment>
    <comment ref="F26" authorId="0" shapeId="0">
      <text>
        <t>Excel formula:
=F24-F25</t>
      </text>
    </comment>
    <comment ref="G26" authorId="0" shapeId="0">
      <text>
        <t>Excel formula:
=G24-G25</t>
      </text>
    </comment>
    <comment ref="H26" authorId="0" shapeId="0">
      <text>
        <t>Excel formula:
=H24-H25</t>
      </text>
    </comment>
    <comment ref="I26" authorId="0" shapeId="0">
      <text>
        <t>Excel formula:
=I24-I25</t>
      </text>
    </comment>
    <comment ref="J26" authorId="0" shapeId="0">
      <text>
        <t>Excel formula:
=J24-J25</t>
      </text>
    </comment>
    <comment ref="K26" authorId="0" shapeId="0">
      <text>
        <t>Excel formula:
=K24-K25</t>
      </text>
    </comment>
    <comment ref="L26" authorId="0" shapeId="0">
      <text>
        <t>Excel formula:
=L24-L25</t>
      </text>
    </comment>
    <comment ref="M26" authorId="0" shapeId="0">
      <text>
        <t>Excel formula:
=M24-M25</t>
      </text>
    </comment>
    <comment ref="N26" authorId="0" shapeId="0">
      <text>
        <t>Excel formula:
=N24-N25</t>
      </text>
    </comment>
    <comment ref="J28" authorId="0" shapeId="0">
      <text>
        <t>Excel formula:
=J9</t>
      </text>
    </comment>
    <comment ref="K28" authorId="0" shapeId="0">
      <text>
        <t>Excel formula:
=K9</t>
      </text>
    </comment>
    <comment ref="L28" authorId="0" shapeId="0">
      <text>
        <t>Excel formula:
=L9</t>
      </text>
    </comment>
    <comment ref="M28" authorId="0" shapeId="0">
      <text>
        <t>Excel formula:
=M9</t>
      </text>
    </comment>
    <comment ref="N28" authorId="0" shapeId="0">
      <text>
        <t>Excel formula:
=N9</t>
      </text>
    </comment>
    <comment ref="J29" authorId="0" shapeId="0">
      <text>
        <t>Excel formula:
=J10</t>
      </text>
    </comment>
    <comment ref="K29" authorId="0" shapeId="0">
      <text>
        <t>Excel formula:
=K10</t>
      </text>
    </comment>
    <comment ref="L29" authorId="0" shapeId="0">
      <text>
        <t>Excel formula:
=L10</t>
      </text>
    </comment>
    <comment ref="M29" authorId="0" shapeId="0">
      <text>
        <t>Excel formula:
=M10</t>
      </text>
    </comment>
    <comment ref="N29" authorId="0" shapeId="0">
      <text>
        <t>Excel formula:
=N10</t>
      </text>
    </comment>
    <comment ref="J30" authorId="0" shapeId="0">
      <text>
        <t>Excel formula:
=J94 (DA schedule)</t>
      </text>
    </comment>
    <comment ref="K30" authorId="0" shapeId="0">
      <text>
        <t>Excel formula:
=K94 (DA schedule)</t>
      </text>
    </comment>
    <comment ref="L30" authorId="0" shapeId="0">
      <text>
        <t>Excel formula:
=L94 (DA schedule)</t>
      </text>
    </comment>
    <comment ref="M30" authorId="0" shapeId="0">
      <text>
        <t>Excel formula:
=M94 (DA schedule)</t>
      </text>
    </comment>
    <comment ref="N30" authorId="0" shapeId="0">
      <text>
        <t>Excel formula:
=N94 (DA schedule)</t>
      </text>
    </comment>
    <comment ref="J31" authorId="0" shapeId="0">
      <text>
        <t>Excel formula:
=J101</t>
      </text>
    </comment>
    <comment ref="K31" authorId="0" shapeId="0">
      <text>
        <t>Excel formula:
=K101</t>
      </text>
    </comment>
    <comment ref="L31" authorId="0" shapeId="0">
      <text>
        <t>Excel formula:
=L101</t>
      </text>
    </comment>
    <comment ref="M31" authorId="0" shapeId="0">
      <text>
        <t>Excel formula:
=M101</t>
      </text>
    </comment>
    <comment ref="N31" authorId="0" shapeId="0">
      <text>
        <t>Excel formula:
=N101</t>
      </text>
    </comment>
    <comment ref="E32" authorId="0" shapeId="0">
      <text>
        <t>Excel formula:
=SUM(E28:E31)</t>
      </text>
    </comment>
    <comment ref="F32" authorId="0" shapeId="0">
      <text>
        <t>Excel formula:
=SUM(F28:F31)</t>
      </text>
    </comment>
    <comment ref="G32" authorId="0" shapeId="0">
      <text>
        <t>Excel formula:
=SUM(G28:G31)</t>
      </text>
    </comment>
    <comment ref="H32" authorId="0" shapeId="0">
      <text>
        <t>Excel formula:
=SUM(H28:H31)</t>
      </text>
    </comment>
    <comment ref="I32" authorId="0" shapeId="0">
      <text>
        <t>Excel formula:
=SUM(I28:I31)</t>
      </text>
    </comment>
    <comment ref="J32" authorId="0" shapeId="0">
      <text>
        <t>Excel formula:
=SUM(J28:J31)</t>
      </text>
    </comment>
    <comment ref="K32" authorId="0" shapeId="0">
      <text>
        <t>Excel formula:
=SUM(K28:K31)</t>
      </text>
    </comment>
    <comment ref="L32" authorId="0" shapeId="0">
      <text>
        <t>Excel formula:
=SUM(L28:L31)</t>
      </text>
    </comment>
    <comment ref="M32" authorId="0" shapeId="0">
      <text>
        <t>Excel formula:
=SUM(M28:M31)</t>
      </text>
    </comment>
    <comment ref="N32" authorId="0" shapeId="0">
      <text>
        <t>Excel formula:
=SUM(N28:N31)</t>
      </text>
    </comment>
    <comment ref="E33" authorId="0" shapeId="0">
      <text>
        <t>Excel formula:
=E26-E32</t>
      </text>
    </comment>
    <comment ref="F33" authorId="0" shapeId="0">
      <text>
        <t>Excel formula:
=F26-F32</t>
      </text>
    </comment>
    <comment ref="G33" authorId="0" shapeId="0">
      <text>
        <t>Excel formula:
=G26-G32</t>
      </text>
    </comment>
    <comment ref="H33" authorId="0" shapeId="0">
      <text>
        <t>Excel formula:
=H26-H32</t>
      </text>
    </comment>
    <comment ref="I33" authorId="0" shapeId="0">
      <text>
        <t>Excel formula:
=I26-I32</t>
      </text>
    </comment>
    <comment ref="J33" authorId="0" shapeId="0">
      <text>
        <t>Excel formula:
=J26-J32</t>
      </text>
    </comment>
    <comment ref="K33" authorId="0" shapeId="0">
      <text>
        <t>Excel formula:
=K26-K32</t>
      </text>
    </comment>
    <comment ref="L33" authorId="0" shapeId="0">
      <text>
        <t>Excel formula:
=L26-L32</t>
      </text>
    </comment>
    <comment ref="M33" authorId="0" shapeId="0">
      <text>
        <t>Excel formula:
=M26-M32</t>
      </text>
    </comment>
    <comment ref="N33" authorId="0" shapeId="0">
      <text>
        <t>Excel formula:
=N26-N32</t>
      </text>
    </comment>
    <comment ref="J35" authorId="0" shapeId="0">
      <text>
        <t>Excel formula:
=J33*J13</t>
      </text>
    </comment>
    <comment ref="K35" authorId="0" shapeId="0">
      <text>
        <t>Excel formula:
=K33*K13</t>
      </text>
    </comment>
    <comment ref="L35" authorId="0" shapeId="0">
      <text>
        <t>Excel formula:
=L33*L13</t>
      </text>
    </comment>
    <comment ref="M35" authorId="0" shapeId="0">
      <text>
        <t>Excel formula:
=M33*M13</t>
      </text>
    </comment>
    <comment ref="N35" authorId="0" shapeId="0">
      <text>
        <t>Excel formula:
=N33*N13</t>
      </text>
    </comment>
    <comment ref="E36" authorId="0" shapeId="0">
      <text>
        <t>Excel formula:
=E33-E35</t>
      </text>
    </comment>
    <comment ref="F36" authorId="0" shapeId="0">
      <text>
        <t>Excel formula:
=F33-F35</t>
      </text>
    </comment>
    <comment ref="G36" authorId="0" shapeId="0">
      <text>
        <t>Excel formula:
=G33-G35</t>
      </text>
    </comment>
    <comment ref="H36" authorId="0" shapeId="0">
      <text>
        <t>Excel formula:
=H33-H35</t>
      </text>
    </comment>
    <comment ref="I36" authorId="0" shapeId="0">
      <text>
        <t>Excel formula:
=I33-I35</t>
      </text>
    </comment>
    <comment ref="J36" authorId="0" shapeId="0">
      <text>
        <t>Excel formula:
=J33-J35</t>
      </text>
    </comment>
    <comment ref="K36" authorId="0" shapeId="0">
      <text>
        <t>Excel formula:
=K33-K35</t>
      </text>
    </comment>
    <comment ref="L36" authorId="0" shapeId="0">
      <text>
        <t>Excel formula:
=L33-L35</t>
      </text>
    </comment>
    <comment ref="M36" authorId="0" shapeId="0">
      <text>
        <t>Excel formula:
=M33-M35</t>
      </text>
    </comment>
    <comment ref="N36" authorId="0" shapeId="0">
      <text>
        <t>Excel formula:
=N33-N35</t>
      </text>
    </comment>
    <comment ref="J42" authorId="0" shapeId="0">
      <text>
        <t>Excel formula:
=J24*J15/365</t>
      </text>
    </comment>
    <comment ref="K42" authorId="0" shapeId="0">
      <text>
        <t>Excel formula:
=K24*K15/365</t>
      </text>
    </comment>
    <comment ref="L42" authorId="0" shapeId="0">
      <text>
        <t>Excel formula:
=L24*L15/365</t>
      </text>
    </comment>
    <comment ref="M42" authorId="0" shapeId="0">
      <text>
        <t>Excel formula:
=M24*M15/365</t>
      </text>
    </comment>
    <comment ref="N42" authorId="0" shapeId="0">
      <text>
        <t>Excel formula:
=N24*N15/365</t>
      </text>
    </comment>
    <comment ref="J43" authorId="0" shapeId="0">
      <text>
        <t>Excel formula:
=J25*J16/365</t>
      </text>
    </comment>
    <comment ref="K43" authorId="0" shapeId="0">
      <text>
        <t>Excel formula:
=K25*K16/365</t>
      </text>
    </comment>
    <comment ref="L43" authorId="0" shapeId="0">
      <text>
        <t>Excel formula:
=L25*L16/365</t>
      </text>
    </comment>
    <comment ref="M43" authorId="0" shapeId="0">
      <text>
        <t>Excel formula:
=M25*M16/365</t>
      </text>
    </comment>
    <comment ref="N43" authorId="0" shapeId="0">
      <text>
        <t>Excel formula:
=N25*N16/365</t>
      </text>
    </comment>
    <comment ref="E45" authorId="0" shapeId="0">
      <text>
        <t>Excel formula:
=SUM(E41:E44)</t>
      </text>
    </comment>
    <comment ref="F45" authorId="0" shapeId="0">
      <text>
        <t>Excel formula:
=SUM(F41:F44)</t>
      </text>
    </comment>
    <comment ref="G45" authorId="0" shapeId="0">
      <text>
        <t>Excel formula:
=SUM(G41:G44)</t>
      </text>
    </comment>
    <comment ref="H45" authorId="0" shapeId="0">
      <text>
        <t>Excel formula:
=SUM(H41:H44)</t>
      </text>
    </comment>
    <comment ref="I45" authorId="0" shapeId="0">
      <text>
        <t>Excel formula:
=SUM(I41:I44)</t>
      </text>
    </comment>
    <comment ref="J48" authorId="0" shapeId="0">
      <text>
        <t>Excel formula:
=J25*J17/365</t>
      </text>
    </comment>
    <comment ref="K48" authorId="0" shapeId="0">
      <text>
        <t>Excel formula:
=K25*K17/365</t>
      </text>
    </comment>
    <comment ref="L48" authorId="0" shapeId="0">
      <text>
        <t>Excel formula:
=L25*L17/365</t>
      </text>
    </comment>
    <comment ref="M48" authorId="0" shapeId="0">
      <text>
        <t>Excel formula:
=M25*M17/365</t>
      </text>
    </comment>
    <comment ref="N48" authorId="0" shapeId="0">
      <text>
        <t>Excel formula:
=N25*N17/365</t>
      </text>
    </comment>
    <comment ref="E50" authorId="0" shapeId="0">
      <text>
        <t>Excel formula:
=SUM(E48:E49)</t>
      </text>
    </comment>
    <comment ref="F50" authorId="0" shapeId="0">
      <text>
        <t>Excel formula:
=SUM(F48:F49)</t>
      </text>
    </comment>
    <comment ref="G50" authorId="0" shapeId="0">
      <text>
        <t>Excel formula:
=SUM(G48:G49)</t>
      </text>
    </comment>
    <comment ref="H50" authorId="0" shapeId="0">
      <text>
        <t>Excel formula:
=SUM(H48:H49)</t>
      </text>
    </comment>
    <comment ref="I50" authorId="0" shapeId="0">
      <text>
        <t>Excel formula:
=SUM(I48:I49)</t>
      </text>
    </comment>
    <comment ref="E54" authorId="0" shapeId="0">
      <text>
        <t>Excel formula:
=SUM(E52:E53)</t>
      </text>
    </comment>
    <comment ref="F54" authorId="0" shapeId="0">
      <text>
        <t>Excel formula:
=SUM(F52:F53)</t>
      </text>
    </comment>
    <comment ref="G54" authorId="0" shapeId="0">
      <text>
        <t>Excel formula:
=SUM(G52:G53)</t>
      </text>
    </comment>
    <comment ref="H54" authorId="0" shapeId="0">
      <text>
        <t>Excel formula:
=SUM(H52:H53)</t>
      </text>
    </comment>
    <comment ref="I54" authorId="0" shapeId="0">
      <text>
        <t>Excel formula:
=SUM(I52:I53)</t>
      </text>
    </comment>
    <comment ref="E55" authorId="0" shapeId="0">
      <text>
        <t>Excel formula:
=E50+E54</t>
      </text>
    </comment>
    <comment ref="F55" authorId="0" shapeId="0">
      <text>
        <t>Excel formula:
=F50+F54</t>
      </text>
    </comment>
    <comment ref="G55" authorId="0" shapeId="0">
      <text>
        <t>Excel formula:
=G50+G54</t>
      </text>
    </comment>
    <comment ref="H55" authorId="0" shapeId="0">
      <text>
        <t>Excel formula:
=H50+H54</t>
      </text>
    </comment>
    <comment ref="I55" authorId="0" shapeId="0">
      <text>
        <t>Excel formula:
=I50+I54</t>
      </text>
    </comment>
    <comment ref="E62" authorId="0" shapeId="0">
      <text>
        <t>Excel formula:
=E36</t>
      </text>
    </comment>
    <comment ref="F62" authorId="0" shapeId="0">
      <text>
        <t>Excel formula:
=F36</t>
      </text>
    </comment>
    <comment ref="G62" authorId="0" shapeId="0">
      <text>
        <t>Excel formula:
=G36</t>
      </text>
    </comment>
    <comment ref="H62" authorId="0" shapeId="0">
      <text>
        <t>Excel formula:
=H36</t>
      </text>
    </comment>
    <comment ref="I62" authorId="0" shapeId="0">
      <text>
        <t>Excel formula:
=I36</t>
      </text>
    </comment>
    <comment ref="E63" authorId="0" shapeId="0">
      <text>
        <t>Excel formula:
=E30</t>
      </text>
    </comment>
    <comment ref="F63" authorId="0" shapeId="0">
      <text>
        <t>Excel formula:
=F30</t>
      </text>
    </comment>
    <comment ref="G63" authorId="0" shapeId="0">
      <text>
        <t>Excel formula:
=G30</t>
      </text>
    </comment>
    <comment ref="H63" authorId="0" shapeId="0">
      <text>
        <t>Excel formula:
=H30</t>
      </text>
    </comment>
    <comment ref="I63" authorId="0" shapeId="0">
      <text>
        <t>Excel formula:
=I30</t>
      </text>
    </comment>
    <comment ref="E65" authorId="0" shapeId="0">
      <text>
        <t>Excel formula:
=E62+E63-E64</t>
      </text>
    </comment>
    <comment ref="F65" authorId="0" shapeId="0">
      <text>
        <t>Excel formula:
=F62+F63-F64</t>
      </text>
    </comment>
    <comment ref="G65" authorId="0" shapeId="0">
      <text>
        <t>Excel formula:
=G62+G63-G64</t>
      </text>
    </comment>
    <comment ref="H65" authorId="0" shapeId="0">
      <text>
        <t>Excel formula:
=H62+H63-H64</t>
      </text>
    </comment>
    <comment ref="I65" authorId="0" shapeId="0">
      <text>
        <t>Excel formula:
=I62+I63-I64</t>
      </text>
    </comment>
    <comment ref="J68" authorId="0" shapeId="0">
      <text>
        <t>Excel formula:
=J18</t>
      </text>
    </comment>
    <comment ref="K68" authorId="0" shapeId="0">
      <text>
        <t>Excel formula:
=K18</t>
      </text>
    </comment>
    <comment ref="L68" authorId="0" shapeId="0">
      <text>
        <t>Excel formula:
=L18</t>
      </text>
    </comment>
    <comment ref="M68" authorId="0" shapeId="0">
      <text>
        <t>Excel formula:
=M18</t>
      </text>
    </comment>
    <comment ref="N68" authorId="0" shapeId="0">
      <text>
        <t>Excel formula:
=N18</t>
      </text>
    </comment>
    <comment ref="E69" authorId="0" shapeId="0">
      <text>
        <t>Excel formula:
=E68</t>
      </text>
    </comment>
    <comment ref="F69" authorId="0" shapeId="0">
      <text>
        <t>Excel formula:
=F68</t>
      </text>
    </comment>
    <comment ref="G69" authorId="0" shapeId="0">
      <text>
        <t>Excel formula:
=G68</t>
      </text>
    </comment>
    <comment ref="H69" authorId="0" shapeId="0">
      <text>
        <t>Excel formula:
=H68</t>
      </text>
    </comment>
    <comment ref="I69" authorId="0" shapeId="0">
      <text>
        <t>Excel formula:
=I68</t>
      </text>
    </comment>
    <comment ref="E74" authorId="0" shapeId="0">
      <text>
        <t>Excel formula:
=SUM(E72:E73)</t>
      </text>
    </comment>
    <comment ref="F74" authorId="0" shapeId="0">
      <text>
        <t>Excel formula:
=SUM(F72:F73)</t>
      </text>
    </comment>
    <comment ref="G74" authorId="0" shapeId="0">
      <text>
        <t>Excel formula:
=SUM(G72:G73)</t>
      </text>
    </comment>
    <comment ref="H74" authorId="0" shapeId="0">
      <text>
        <t>Excel formula:
=SUM(H72:H73)</t>
      </text>
    </comment>
    <comment ref="I74" authorId="0" shapeId="0">
      <text>
        <t>Excel formula:
=SUM(I72:I73)</t>
      </text>
    </comment>
    <comment ref="E77" authorId="0" shapeId="0">
      <text>
        <t>Excel formula:
=D78</t>
      </text>
    </comment>
    <comment ref="E78" authorId="0" shapeId="0">
      <text>
        <t>Excel formula:
=(E65-E69+E74)+E77</t>
      </text>
    </comment>
    <comment ref="F78" authorId="0" shapeId="0">
      <text>
        <t>Excel formula:
=(F65-F69+F74)+F77</t>
      </text>
    </comment>
    <comment ref="G78" authorId="0" shapeId="0">
      <text>
        <t>Excel formula:
=(G65-G69+G74)+G77</t>
      </text>
    </comment>
    <comment ref="H78" authorId="0" shapeId="0">
      <text>
        <t>Excel formula:
=(H65-H69+H74)+H77</t>
      </text>
    </comment>
    <comment ref="I78" authorId="0" shapeId="0">
      <text>
        <t>Excel formula:
=(I65-I69+I74)+I77</t>
      </text>
    </comment>
    <comment ref="J85" authorId="0" shapeId="0">
      <text>
        <t>Excel formula:
=J42</t>
      </text>
    </comment>
    <comment ref="K85" authorId="0" shapeId="0">
      <text>
        <t>Excel formula:
=K42</t>
      </text>
    </comment>
    <comment ref="L85" authorId="0" shapeId="0">
      <text>
        <t>Excel formula:
=L42</t>
      </text>
    </comment>
    <comment ref="M85" authorId="0" shapeId="0">
      <text>
        <t>Excel formula:
=M42</t>
      </text>
    </comment>
    <comment ref="N85" authorId="0" shapeId="0">
      <text>
        <t>Excel formula:
=N42</t>
      </text>
    </comment>
    <comment ref="J86" authorId="0" shapeId="0">
      <text>
        <t>Excel formula:
=J43</t>
      </text>
    </comment>
    <comment ref="K86" authorId="0" shapeId="0">
      <text>
        <t>Excel formula:
=K43</t>
      </text>
    </comment>
    <comment ref="L86" authorId="0" shapeId="0">
      <text>
        <t>Excel formula:
=L43</t>
      </text>
    </comment>
    <comment ref="M86" authorId="0" shapeId="0">
      <text>
        <t>Excel formula:
=M43</t>
      </text>
    </comment>
    <comment ref="N86" authorId="0" shapeId="0">
      <text>
        <t>Excel formula:
=N43</t>
      </text>
    </comment>
    <comment ref="J87" authorId="0" shapeId="0">
      <text>
        <t>Excel formula:
=J48</t>
      </text>
    </comment>
    <comment ref="K87" authorId="0" shapeId="0">
      <text>
        <t>Excel formula:
=K48</t>
      </text>
    </comment>
    <comment ref="L87" authorId="0" shapeId="0">
      <text>
        <t>Excel formula:
=L48</t>
      </text>
    </comment>
    <comment ref="M87" authorId="0" shapeId="0">
      <text>
        <t>Excel formula:
=M48</t>
      </text>
    </comment>
    <comment ref="N87" authorId="0" shapeId="0">
      <text>
        <t>Excel formula:
=N48</t>
      </text>
    </comment>
    <comment ref="E88" authorId="0" shapeId="0">
      <text>
        <t>Excel formula:
=E85+E86-E87</t>
      </text>
    </comment>
    <comment ref="F88" authorId="0" shapeId="0">
      <text>
        <t>Excel formula:
=F85+F86-F87</t>
      </text>
    </comment>
    <comment ref="G88" authorId="0" shapeId="0">
      <text>
        <t>Excel formula:
=G85+G86-G87</t>
      </text>
    </comment>
    <comment ref="H88" authorId="0" shapeId="0">
      <text>
        <t>Excel formula:
=H85+H86-H87</t>
      </text>
    </comment>
    <comment ref="I88" authorId="0" shapeId="0">
      <text>
        <t>Excel formula:
=I85+I86-I87</t>
      </text>
    </comment>
    <comment ref="J88" authorId="0" shapeId="0">
      <text>
        <t>Excel formula:
=J85+J86-J87</t>
      </text>
    </comment>
    <comment ref="K88" authorId="0" shapeId="0">
      <text>
        <t>Excel formula:
=K85+K86-K87</t>
      </text>
    </comment>
    <comment ref="L88" authorId="0" shapeId="0">
      <text>
        <t>Excel formula:
=L85+L86-L87</t>
      </text>
    </comment>
    <comment ref="M88" authorId="0" shapeId="0">
      <text>
        <t>Excel formula:
=M85+M86-M87</t>
      </text>
    </comment>
    <comment ref="N88" authorId="0" shapeId="0">
      <text>
        <t>Excel formula:
=N85+N86-N87</t>
      </text>
    </comment>
    <comment ref="E89" authorId="0" shapeId="0">
      <text>
        <t>Excel formula:
=E88 - prior NWC</t>
      </text>
    </comment>
    <comment ref="F89" authorId="0" shapeId="0">
      <text>
        <t>Excel formula:
=F88 - prior NWC</t>
      </text>
    </comment>
    <comment ref="G89" authorId="0" shapeId="0">
      <text>
        <t>Excel formula:
=G88 - prior NWC</t>
      </text>
    </comment>
    <comment ref="H89" authorId="0" shapeId="0">
      <text>
        <t>Excel formula:
=H88 - prior NWC</t>
      </text>
    </comment>
    <comment ref="I89" authorId="0" shapeId="0">
      <text>
        <t>Excel formula:
=I88 - prior NWC</t>
      </text>
    </comment>
    <comment ref="J89" authorId="0" shapeId="0">
      <text>
        <t>Excel formula:
=J88-I88</t>
      </text>
    </comment>
    <comment ref="K89" authorId="0" shapeId="0">
      <text>
        <t>Excel formula:
=K88-J88</t>
      </text>
    </comment>
    <comment ref="L89" authorId="0" shapeId="0">
      <text>
        <t>Excel formula:
=L88-K88</t>
      </text>
    </comment>
    <comment ref="M89" authorId="0" shapeId="0">
      <text>
        <t>Excel formula:
=M88-L88</t>
      </text>
    </comment>
    <comment ref="N89" authorId="0" shapeId="0">
      <text>
        <t>Excel formula:
=N88-M88</t>
      </text>
    </comment>
    <comment ref="E95" authorId="0" shapeId="0">
      <text>
        <t>Excel formula:
=E92+E93-E94</t>
      </text>
    </comment>
    <comment ref="F95" authorId="0" shapeId="0">
      <text>
        <t>Excel formula:
=F92+F93-F94</t>
      </text>
    </comment>
    <comment ref="G95" authorId="0" shapeId="0">
      <text>
        <t>Excel formula:
=G92+G93-G94</t>
      </text>
    </comment>
    <comment ref="H95" authorId="0" shapeId="0">
      <text>
        <t>Excel formula:
=H92+H93-H94</t>
      </text>
    </comment>
    <comment ref="I95" authorId="0" shapeId="0">
      <text>
        <t>Excel formula:
=I92+I93-I94</t>
      </text>
    </comment>
    <comment ref="E100" authorId="0" shapeId="0">
      <text>
        <t>Excel formula:
=E98+E99</t>
      </text>
    </comment>
    <comment ref="F100" authorId="0" shapeId="0">
      <text>
        <t>Excel formula:
=F98+F99</t>
      </text>
    </comment>
    <comment ref="G100" authorId="0" shapeId="0">
      <text>
        <t>Excel formula:
=G98+G99</t>
      </text>
    </comment>
    <comment ref="H100" authorId="0" shapeId="0">
      <text>
        <t>Excel formula:
=H98+H99</t>
      </text>
    </comment>
    <comment ref="I100" authorId="0" shapeId="0">
      <text>
        <t>Excel formula:
=I98+I99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3 Statement Model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This Excel model is for educational purposes only and should not be used for any other reason.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36" customWidth="1" style="19" min="2" max="3"/>
    <col width="14" customWidth="1" style="47" min="4" max="4"/>
    <col width="14" customWidth="1" style="19" min="5" max="9"/>
    <col width="14" customWidth="1" min="6" max="6"/>
    <col width="14" customWidth="1" min="7" max="7"/>
    <col width="14" customWidth="1" min="8" max="8"/>
    <col width="14" customWidth="1" min="9" max="9"/>
    <col width="14" customWidth="1" style="19" min="10" max="14"/>
    <col width="14" customWidth="1" min="11" max="11"/>
    <col width="14" customWidth="1" min="12" max="12"/>
    <col width="14" customWidth="1" min="13" max="13"/>
    <col width="14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92" t="n">
        <v>2021</v>
      </c>
      <c r="F2" s="93" t="n">
        <v>2022</v>
      </c>
      <c r="G2" s="93" t="n">
        <v>2023</v>
      </c>
      <c r="H2" s="93" t="n">
        <v>2024</v>
      </c>
      <c r="I2" s="93" t="n">
        <v>2025</v>
      </c>
      <c r="J2" s="94" t="n">
        <v>2026</v>
      </c>
      <c r="K2" s="94" t="n">
        <v>2027</v>
      </c>
      <c r="L2" s="94" t="n">
        <v>2028</v>
      </c>
      <c r="M2" s="94" t="n">
        <v>2029</v>
      </c>
      <c r="N2" s="94" t="n">
        <v>2030</v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95" t="n">
        <v>0.12</v>
      </c>
      <c r="K7" s="95" t="n">
        <v>0.1</v>
      </c>
      <c r="L7" s="95" t="n">
        <v>0.09</v>
      </c>
      <c r="M7" s="95" t="n">
        <v>0.08</v>
      </c>
      <c r="N7" s="95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96" t="n">
        <v>0.1777</v>
      </c>
      <c r="K8" s="96" t="n">
        <v>0.1777</v>
      </c>
      <c r="L8" s="96" t="n">
        <v>0.1777</v>
      </c>
      <c r="M8" s="96" t="n">
        <v>0.1777</v>
      </c>
      <c r="N8" s="96" t="n">
        <v>0.1777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97" t="n">
        <v>574591.4</v>
      </c>
      <c r="K9" s="97" t="n">
        <v>620763.9</v>
      </c>
      <c r="L9" s="97" t="n">
        <v>664386.1</v>
      </c>
      <c r="M9" s="97" t="n">
        <v>697968.9</v>
      </c>
      <c r="N9" s="97" t="n">
        <v>719548.3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97" t="n">
        <v>210948.6</v>
      </c>
      <c r="K10" s="97" t="n">
        <v>227899.9</v>
      </c>
      <c r="L10" s="97" t="n">
        <v>243914.8</v>
      </c>
      <c r="M10" s="97" t="n">
        <v>256244</v>
      </c>
      <c r="N10" s="97" t="n">
        <v>264166.4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96" t="n">
        <v>0.35</v>
      </c>
      <c r="K11" s="96" t="n">
        <v>0.35</v>
      </c>
      <c r="L11" s="96" t="n">
        <v>0.35</v>
      </c>
      <c r="M11" s="96" t="n">
        <v>0.35</v>
      </c>
      <c r="N11" s="96" t="n">
        <v>0.35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96" t="n">
        <v>0.0437</v>
      </c>
      <c r="K12" s="96" t="n">
        <v>0.0437</v>
      </c>
      <c r="L12" s="96" t="n">
        <v>0.0437</v>
      </c>
      <c r="M12" s="96" t="n">
        <v>0.0437</v>
      </c>
      <c r="N12" s="96" t="n">
        <v>0.0437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96" t="n">
        <v>0.1877</v>
      </c>
      <c r="K13" s="96" t="n">
        <v>0.1877</v>
      </c>
      <c r="L13" s="96" t="n">
        <v>0.1877</v>
      </c>
      <c r="M13" s="96" t="n">
        <v>0.1877</v>
      </c>
      <c r="N13" s="96" t="n">
        <v>0.1877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97" t="n">
        <v>97</v>
      </c>
      <c r="K15" s="97" t="n">
        <v>97</v>
      </c>
      <c r="L15" s="97" t="n">
        <v>97</v>
      </c>
      <c r="M15" s="97" t="n">
        <v>97</v>
      </c>
      <c r="N15" s="97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97" t="n">
        <v>0</v>
      </c>
      <c r="K16" s="97" t="n">
        <v>0</v>
      </c>
      <c r="L16" s="97" t="n">
        <v>0</v>
      </c>
      <c r="M16" s="97" t="n">
        <v>0</v>
      </c>
      <c r="N16" s="97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97" t="n">
        <v>33.3</v>
      </c>
      <c r="K17" s="97" t="n">
        <v>33.3</v>
      </c>
      <c r="L17" s="97" t="n">
        <v>33.3</v>
      </c>
      <c r="M17" s="97" t="n">
        <v>33.3</v>
      </c>
      <c r="N17" s="97" t="n">
        <v>33.3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97" t="n">
        <v>42559.6</v>
      </c>
      <c r="K18" s="97" t="n">
        <v>45964.3</v>
      </c>
      <c r="L18" s="97" t="n">
        <v>49641.5</v>
      </c>
      <c r="M18" s="97" t="n">
        <v>53612.8</v>
      </c>
      <c r="N18" s="97" t="n">
        <v>57901.8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97" t="n">
        <v>0</v>
      </c>
      <c r="K19" s="97" t="n">
        <v>0</v>
      </c>
      <c r="L19" s="97" t="n">
        <v>0</v>
      </c>
      <c r="M19" s="97" t="n">
        <v>0</v>
      </c>
      <c r="N19" s="97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97" t="n">
        <v>0</v>
      </c>
      <c r="K20" s="97" t="n">
        <v>0</v>
      </c>
      <c r="L20" s="97" t="n">
        <v>0</v>
      </c>
      <c r="M20" s="97" t="n">
        <v>0</v>
      </c>
      <c r="N20" s="97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Revenue (FICO Revenues)</t>
        </is>
      </c>
      <c r="C24" s="18" t="n"/>
      <c r="D24" s="46" t="n"/>
      <c r="E24" s="97" t="n">
        <v>1316536</v>
      </c>
      <c r="F24" s="97" t="n">
        <v>1377270</v>
      </c>
      <c r="G24" s="97" t="n">
        <v>1513557</v>
      </c>
      <c r="H24" s="97" t="n">
        <v>1717526</v>
      </c>
      <c r="I24" s="97" t="n">
        <v>1990869</v>
      </c>
      <c r="J24" s="98" t="n">
        <v>2229773.3</v>
      </c>
      <c r="K24" s="98" t="n">
        <v>2452750.6</v>
      </c>
      <c r="L24" s="98" t="n">
        <v>2673498.2</v>
      </c>
      <c r="M24" s="98" t="n">
        <v>2887378</v>
      </c>
      <c r="N24" s="98" t="n">
        <v>3089494.5</v>
      </c>
    </row>
    <row r="25" hidden="1" outlineLevel="1">
      <c r="B25" s="19" t="inlineStr">
        <is>
          <t>COGS (FICO Cost of revenues)</t>
        </is>
      </c>
      <c r="C25" s="19" t="n"/>
      <c r="D25" s="47" t="n"/>
      <c r="E25" s="97" t="n">
        <v>332462</v>
      </c>
      <c r="F25" s="97" t="n">
        <v>302174</v>
      </c>
      <c r="G25" s="97" t="n">
        <v>311053</v>
      </c>
      <c r="H25" s="97" t="n">
        <v>348206</v>
      </c>
      <c r="I25" s="97" t="n">
        <v>353722</v>
      </c>
      <c r="J25" s="99" t="n">
        <v>396230.7</v>
      </c>
      <c r="K25" s="99" t="n">
        <v>435853.8</v>
      </c>
      <c r="L25" s="99" t="n">
        <v>475080.6</v>
      </c>
      <c r="M25" s="99" t="n">
        <v>513087.1</v>
      </c>
      <c r="N25" s="99" t="n">
        <v>549003.2</v>
      </c>
    </row>
    <row r="26" hidden="1" outlineLevel="1">
      <c r="B26" s="4" t="inlineStr">
        <is>
          <t>Gross Profit</t>
        </is>
      </c>
      <c r="C26" s="4" t="n"/>
      <c r="D26" s="22" t="n"/>
      <c r="E26" s="100" t="n">
        <v>984074</v>
      </c>
      <c r="F26" s="100" t="n">
        <v>1075096</v>
      </c>
      <c r="G26" s="100" t="n">
        <v>1202504</v>
      </c>
      <c r="H26" s="100" t="n">
        <v>1369320</v>
      </c>
      <c r="I26" s="100" t="n">
        <v>1637147</v>
      </c>
      <c r="J26" s="100" t="n">
        <v>1833542.6</v>
      </c>
      <c r="K26" s="100" t="n">
        <v>2016896.8</v>
      </c>
      <c r="L26" s="100" t="n">
        <v>2198417.5</v>
      </c>
      <c r="M26" s="100" t="n">
        <v>2374290.9</v>
      </c>
      <c r="N26" s="100" t="n">
        <v>2540491.3</v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(CFI Salaries ← FICO SG&amp;A)</t>
        </is>
      </c>
      <c r="E28" s="97" t="n">
        <v>396281</v>
      </c>
      <c r="F28" s="97" t="n">
        <v>383863</v>
      </c>
      <c r="G28" s="97" t="n">
        <v>400565</v>
      </c>
      <c r="H28" s="97" t="n">
        <v>462834</v>
      </c>
      <c r="I28" s="97" t="n">
        <v>513028</v>
      </c>
      <c r="J28" s="98" t="n">
        <v>574591.4</v>
      </c>
      <c r="K28" s="98" t="n">
        <v>620763.9</v>
      </c>
      <c r="L28" s="98" t="n">
        <v>664386.1</v>
      </c>
      <c r="M28" s="98" t="n">
        <v>697968.9</v>
      </c>
      <c r="N28" s="98" t="n">
        <v>719548.3</v>
      </c>
    </row>
    <row r="29" hidden="1" outlineLevel="1">
      <c r="B29" s="19" t="inlineStr">
        <is>
          <t>R&amp;D (CFI Rent ← FICO R&amp;D)</t>
        </is>
      </c>
      <c r="E29" s="97" t="n">
        <v>171231</v>
      </c>
      <c r="F29" s="97" t="n">
        <v>146758</v>
      </c>
      <c r="G29" s="97" t="n">
        <v>159950</v>
      </c>
      <c r="H29" s="97" t="n">
        <v>171940</v>
      </c>
      <c r="I29" s="97" t="n">
        <v>188347</v>
      </c>
      <c r="J29" s="98" t="n">
        <v>210948.6</v>
      </c>
      <c r="K29" s="98" t="n">
        <v>227899.9</v>
      </c>
      <c r="L29" s="98" t="n">
        <v>243914.8</v>
      </c>
      <c r="M29" s="98" t="n">
        <v>256244</v>
      </c>
      <c r="N29" s="98" t="n">
        <v>264166.4</v>
      </c>
    </row>
    <row r="30" hidden="1" outlineLevel="1">
      <c r="B30" s="19" t="inlineStr">
        <is>
          <t>Depreciation &amp; Amortization</t>
        </is>
      </c>
      <c r="E30" s="97" t="n">
        <v>25592</v>
      </c>
      <c r="F30" s="97" t="n">
        <v>20465</v>
      </c>
      <c r="G30" s="97" t="n">
        <v>14638</v>
      </c>
      <c r="H30" s="97" t="n">
        <v>13827</v>
      </c>
      <c r="I30" s="97" t="n">
        <v>14952</v>
      </c>
      <c r="J30" s="98" t="n">
        <v>16746.2</v>
      </c>
      <c r="K30" s="98" t="n">
        <v>18420.9</v>
      </c>
      <c r="L30" s="98" t="n">
        <v>20078.7</v>
      </c>
      <c r="M30" s="98" t="n">
        <v>21685</v>
      </c>
      <c r="N30" s="98" t="n">
        <v>23203</v>
      </c>
    </row>
    <row r="31" hidden="1" outlineLevel="1">
      <c r="B31" s="2" t="inlineStr">
        <is>
          <t>Interest</t>
        </is>
      </c>
      <c r="C31" s="2" t="n"/>
      <c r="D31" s="24" t="n"/>
      <c r="E31" s="101" t="n">
        <v>40092</v>
      </c>
      <c r="F31" s="101" t="n">
        <v>68967</v>
      </c>
      <c r="G31" s="101" t="n">
        <v>95546</v>
      </c>
      <c r="H31" s="101" t="n">
        <v>105638</v>
      </c>
      <c r="I31" s="101" t="n">
        <v>133647</v>
      </c>
      <c r="J31" s="102" t="n">
        <v>133647</v>
      </c>
      <c r="K31" s="102" t="n">
        <v>133647</v>
      </c>
      <c r="L31" s="102" t="n">
        <v>133647</v>
      </c>
      <c r="M31" s="102" t="n">
        <v>133647</v>
      </c>
      <c r="N31" s="102" t="n">
        <v>133647</v>
      </c>
    </row>
    <row r="32" hidden="1" outlineLevel="1">
      <c r="B32" s="18" t="inlineStr">
        <is>
          <t>Total Expenses</t>
        </is>
      </c>
      <c r="C32" s="19" t="n"/>
      <c r="D32" s="47" t="n"/>
      <c r="E32" s="98" t="n">
        <v>633196</v>
      </c>
      <c r="F32" s="98" t="n">
        <v>620053</v>
      </c>
      <c r="G32" s="98" t="n">
        <v>670699</v>
      </c>
      <c r="H32" s="98" t="n">
        <v>754239</v>
      </c>
      <c r="I32" s="98" t="n">
        <v>849974</v>
      </c>
      <c r="J32" s="98" t="n">
        <v>935933.2</v>
      </c>
      <c r="K32" s="98" t="n">
        <v>1000731.6</v>
      </c>
      <c r="L32" s="98" t="n">
        <v>1062026.7</v>
      </c>
      <c r="M32" s="98" t="n">
        <v>1109545</v>
      </c>
      <c r="N32" s="98" t="n">
        <v>1140564.7</v>
      </c>
    </row>
    <row r="33" hidden="1" outlineLevel="1">
      <c r="B33" s="4" t="inlineStr">
        <is>
          <t>Earnings Before Tax</t>
        </is>
      </c>
      <c r="C33" s="4" t="n"/>
      <c r="D33" s="22" t="n"/>
      <c r="E33" s="100" t="n">
        <v>350878</v>
      </c>
      <c r="F33" s="100" t="n">
        <v>455043</v>
      </c>
      <c r="G33" s="100" t="n">
        <v>531805</v>
      </c>
      <c r="H33" s="100" t="n">
        <v>615081</v>
      </c>
      <c r="I33" s="100" t="n">
        <v>787173</v>
      </c>
      <c r="J33" s="100" t="n">
        <v>897609.3</v>
      </c>
      <c r="K33" s="100" t="n">
        <v>1016165.2</v>
      </c>
      <c r="L33" s="100" t="n">
        <v>1136390.8</v>
      </c>
      <c r="M33" s="100" t="n">
        <v>1264746</v>
      </c>
      <c r="N33" s="100" t="n">
        <v>1399926.6</v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7" t="n">
        <v>81058</v>
      </c>
      <c r="F35" s="97" t="n">
        <v>97768</v>
      </c>
      <c r="G35" s="97" t="n">
        <v>124249</v>
      </c>
      <c r="H35" s="97" t="n">
        <v>129214</v>
      </c>
      <c r="I35" s="97" t="n">
        <v>150649</v>
      </c>
      <c r="J35" s="99" t="n">
        <v>168481.3</v>
      </c>
      <c r="K35" s="99" t="n">
        <v>190734.2</v>
      </c>
      <c r="L35" s="99" t="n">
        <v>213300.6</v>
      </c>
      <c r="M35" s="99" t="n">
        <v>237392.8</v>
      </c>
      <c r="N35" s="99" t="n">
        <v>262766.2</v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03" t="n">
        <v>269820</v>
      </c>
      <c r="F36" s="103" t="n">
        <v>357275</v>
      </c>
      <c r="G36" s="103" t="n">
        <v>407556</v>
      </c>
      <c r="H36" s="103" t="n">
        <v>485867</v>
      </c>
      <c r="I36" s="103" t="n">
        <v>636524</v>
      </c>
      <c r="J36" s="103" t="n">
        <v>729128.1</v>
      </c>
      <c r="K36" s="103" t="n">
        <v>825431</v>
      </c>
      <c r="L36" s="103" t="n">
        <v>923090.3</v>
      </c>
      <c r="M36" s="103" t="n">
        <v>1027353.1</v>
      </c>
      <c r="N36" s="103" t="n">
        <v>1137160.4</v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7" t="n">
        <v>195354</v>
      </c>
      <c r="F41" s="97" t="n">
        <v>133202</v>
      </c>
      <c r="G41" s="97" t="n">
        <v>136778</v>
      </c>
      <c r="H41" s="97" t="n">
        <v>150667</v>
      </c>
      <c r="I41" s="97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7" t="n">
        <v>312107</v>
      </c>
      <c r="F42" s="97" t="n">
        <v>322410</v>
      </c>
      <c r="G42" s="97" t="n">
        <v>387947</v>
      </c>
      <c r="H42" s="97" t="n">
        <v>426642</v>
      </c>
      <c r="I42" s="97" t="n">
        <v>529148</v>
      </c>
      <c r="J42" s="104" t="n">
        <v>592645.8</v>
      </c>
      <c r="K42" s="104" t="n">
        <v>651910.3</v>
      </c>
      <c r="L42" s="104" t="n">
        <v>710582.3</v>
      </c>
      <c r="M42" s="104" t="n">
        <v>767428.8</v>
      </c>
      <c r="N42" s="104" t="n">
        <v>821148.9</v>
      </c>
    </row>
    <row r="43" hidden="1" outlineLevel="1">
      <c r="B43" s="19" t="inlineStr">
        <is>
          <t>Inventory</t>
        </is>
      </c>
      <c r="E43" s="97" t="n">
        <v>0</v>
      </c>
      <c r="F43" s="97" t="n">
        <v>0</v>
      </c>
      <c r="G43" s="97" t="n">
        <v>0</v>
      </c>
      <c r="H43" s="97" t="n">
        <v>0</v>
      </c>
      <c r="I43" s="97" t="n">
        <v>0</v>
      </c>
      <c r="J43" s="98" t="n">
        <v>0</v>
      </c>
      <c r="K43" s="98" t="n">
        <v>0</v>
      </c>
      <c r="L43" s="98" t="n">
        <v>0</v>
      </c>
      <c r="M43" s="98" t="n">
        <v>0</v>
      </c>
      <c r="N43" s="98" t="n">
        <v>0</v>
      </c>
    </row>
    <row r="44" hidden="1" outlineLevel="1">
      <c r="B44" s="19" t="inlineStr">
        <is>
          <t>Property &amp; Equipment</t>
        </is>
      </c>
      <c r="E44" s="97" t="n">
        <v>27913</v>
      </c>
      <c r="F44" s="97" t="n">
        <v>17580</v>
      </c>
      <c r="G44" s="97" t="n">
        <v>10966</v>
      </c>
      <c r="H44" s="97" t="n">
        <v>38465</v>
      </c>
      <c r="I44" s="97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03" t="n">
        <v>535374</v>
      </c>
      <c r="F45" s="103" t="n">
        <v>473192</v>
      </c>
      <c r="G45" s="103" t="n">
        <v>535691</v>
      </c>
      <c r="H45" s="103" t="n">
        <v>615774</v>
      </c>
      <c r="I45" s="103" t="n">
        <v>730997</v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7" t="n">
        <v>20749</v>
      </c>
      <c r="F48" s="97" t="n">
        <v>17273</v>
      </c>
      <c r="G48" s="97" t="n">
        <v>19009</v>
      </c>
      <c r="H48" s="97" t="n">
        <v>22473</v>
      </c>
      <c r="I48" s="97" t="n">
        <v>32315</v>
      </c>
      <c r="J48" s="98" t="n">
        <v>36198.5</v>
      </c>
      <c r="K48" s="98" t="n">
        <v>39818.3</v>
      </c>
      <c r="L48" s="98" t="n">
        <v>43402</v>
      </c>
      <c r="M48" s="98" t="n">
        <v>46874.1</v>
      </c>
      <c r="N48" s="98" t="n">
        <v>50155.3</v>
      </c>
    </row>
    <row r="49" hidden="1" outlineLevel="1">
      <c r="B49" s="19" t="inlineStr">
        <is>
          <t>Debt</t>
        </is>
      </c>
      <c r="E49" s="97" t="n">
        <v>1009018</v>
      </c>
      <c r="F49" s="97" t="n">
        <v>1823669</v>
      </c>
      <c r="G49" s="97" t="n">
        <v>1811658</v>
      </c>
      <c r="H49" s="97" t="n">
        <v>2209021</v>
      </c>
      <c r="I49" s="97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00" t="n">
        <v>1029767</v>
      </c>
      <c r="F50" s="100" t="n">
        <v>1840942</v>
      </c>
      <c r="G50" s="100" t="n">
        <v>1830667</v>
      </c>
      <c r="H50" s="100" t="n">
        <v>2231494</v>
      </c>
      <c r="I50" s="100" t="n">
        <v>3088006</v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7" t="n">
        <v>-3079536</v>
      </c>
      <c r="F52" s="97" t="n">
        <v>-4326434</v>
      </c>
      <c r="G52" s="97" t="n">
        <v>-4683035</v>
      </c>
      <c r="H52" s="97" t="n">
        <v>-5516590</v>
      </c>
      <c r="I52" s="97" t="n">
        <v>-6909825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7" t="n">
        <v>2585143</v>
      </c>
      <c r="F53" s="97" t="n">
        <v>2958684</v>
      </c>
      <c r="G53" s="97" t="n">
        <v>3388059</v>
      </c>
      <c r="H53" s="97" t="n">
        <v>3900870</v>
      </c>
      <c r="I53" s="97" t="n">
        <v>4552816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05" t="n">
        <v>-494393</v>
      </c>
      <c r="F54" s="105" t="n">
        <v>-1367750</v>
      </c>
      <c r="G54" s="105" t="n">
        <v>-1294976</v>
      </c>
      <c r="H54" s="105" t="n">
        <v>-1615720</v>
      </c>
      <c r="I54" s="105" t="n">
        <v>-2357009</v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03" t="n">
        <v>535374</v>
      </c>
      <c r="F55" s="103" t="n">
        <v>473192</v>
      </c>
      <c r="G55" s="103" t="n">
        <v>535691</v>
      </c>
      <c r="H55" s="103" t="n">
        <v>615774</v>
      </c>
      <c r="I55" s="103" t="n">
        <v>730997</v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98" t="n">
        <v>269820</v>
      </c>
      <c r="F62" s="98" t="n">
        <v>357275</v>
      </c>
      <c r="G62" s="98" t="n">
        <v>407556</v>
      </c>
      <c r="H62" s="98" t="n">
        <v>485867</v>
      </c>
      <c r="I62" s="98" t="n">
        <v>636524</v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98" t="n">
        <v>25592</v>
      </c>
      <c r="F63" s="98" t="n">
        <v>20465</v>
      </c>
      <c r="G63" s="98" t="n">
        <v>14638</v>
      </c>
      <c r="H63" s="98" t="n">
        <v>13827</v>
      </c>
      <c r="I63" s="98" t="n">
        <v>14952</v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7" t="n">
        <v>-19789</v>
      </c>
      <c r="F64" s="97" t="n">
        <v>13779</v>
      </c>
      <c r="G64" s="97" t="n">
        <v>63801</v>
      </c>
      <c r="H64" s="97" t="n">
        <v>35231</v>
      </c>
      <c r="I64" s="97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00" t="n">
        <v>315201</v>
      </c>
      <c r="F65" s="100" t="n">
        <v>363961</v>
      </c>
      <c r="G65" s="100" t="n">
        <v>358393</v>
      </c>
      <c r="H65" s="100" t="n">
        <v>464463</v>
      </c>
      <c r="I65" s="100" t="n">
        <v>558812</v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7" t="n">
        <v>7569</v>
      </c>
      <c r="F68" s="97" t="n">
        <v>6029</v>
      </c>
      <c r="G68" s="97" t="n">
        <v>4237</v>
      </c>
      <c r="H68" s="97" t="n">
        <v>25551</v>
      </c>
      <c r="I68" s="97" t="n">
        <v>39407</v>
      </c>
      <c r="J68" s="98" t="n">
        <v>42559.6</v>
      </c>
      <c r="K68" s="98" t="n">
        <v>45964.3</v>
      </c>
      <c r="L68" s="98" t="n">
        <v>49641.5</v>
      </c>
      <c r="M68" s="98" t="n">
        <v>53612.8</v>
      </c>
      <c r="N68" s="98" t="n">
        <v>57901.8</v>
      </c>
    </row>
    <row r="69" hidden="1" outlineLevel="1">
      <c r="B69" s="4" t="inlineStr">
        <is>
          <t>Cash from Investing</t>
        </is>
      </c>
      <c r="C69" s="5" t="n"/>
      <c r="D69" s="28" t="n"/>
      <c r="E69" s="100" t="n">
        <v>7569</v>
      </c>
      <c r="F69" s="100" t="n">
        <v>6029</v>
      </c>
      <c r="G69" s="100" t="n">
        <v>4237</v>
      </c>
      <c r="H69" s="100" t="n">
        <v>25551</v>
      </c>
      <c r="I69" s="100" t="n">
        <v>39407</v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7" t="n">
        <v>269583</v>
      </c>
      <c r="F72" s="97" t="n">
        <v>814651</v>
      </c>
      <c r="G72" s="97" t="n">
        <v>-12011</v>
      </c>
      <c r="H72" s="97" t="n">
        <v>397363</v>
      </c>
      <c r="I72" s="97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7" t="n">
        <v>-539255</v>
      </c>
      <c r="F73" s="97" t="n">
        <v>-1234735</v>
      </c>
      <c r="G73" s="97" t="n">
        <v>-338569</v>
      </c>
      <c r="H73" s="97" t="n">
        <v>-822386</v>
      </c>
      <c r="I73" s="97" t="n">
        <v>-1382606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00" t="n">
        <v>-269672</v>
      </c>
      <c r="F74" s="100" t="n">
        <v>-420084</v>
      </c>
      <c r="G74" s="100" t="n">
        <v>-350580</v>
      </c>
      <c r="H74" s="100" t="n">
        <v>-425023</v>
      </c>
      <c r="I74" s="100" t="n">
        <v>-535936</v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98" t="n">
        <v>157394</v>
      </c>
      <c r="F77" s="97" t="n">
        <v>195354</v>
      </c>
      <c r="G77" s="97" t="n">
        <v>133202</v>
      </c>
      <c r="H77" s="97" t="n">
        <v>136778</v>
      </c>
      <c r="I77" s="97" t="n">
        <v>150667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106" t="n">
        <v>157394</v>
      </c>
      <c r="E78" s="100" t="n">
        <v>195354</v>
      </c>
      <c r="F78" s="100" t="n">
        <v>133202</v>
      </c>
      <c r="G78" s="100" t="n">
        <v>136778</v>
      </c>
      <c r="H78" s="100" t="n">
        <v>150667</v>
      </c>
      <c r="I78" s="100" t="n">
        <v>134136</v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7" t="n">
        <v>312107</v>
      </c>
      <c r="F85" s="97" t="n">
        <v>322410</v>
      </c>
      <c r="G85" s="97" t="n">
        <v>387947</v>
      </c>
      <c r="H85" s="97" t="n">
        <v>426642</v>
      </c>
      <c r="I85" s="97" t="n">
        <v>529148</v>
      </c>
      <c r="J85" s="98" t="n">
        <v>592645.8</v>
      </c>
      <c r="K85" s="98" t="n">
        <v>651910.3</v>
      </c>
      <c r="L85" s="98" t="n">
        <v>710582.3</v>
      </c>
      <c r="M85" s="98" t="n">
        <v>767428.8</v>
      </c>
      <c r="N85" s="98" t="n">
        <v>821148.9</v>
      </c>
    </row>
    <row r="86" hidden="1" outlineLevel="1">
      <c r="B86" s="19" t="inlineStr">
        <is>
          <t>Inventory</t>
        </is>
      </c>
      <c r="E86" s="97" t="n">
        <v>0</v>
      </c>
      <c r="F86" s="97" t="n">
        <v>0</v>
      </c>
      <c r="G86" s="97" t="n">
        <v>0</v>
      </c>
      <c r="H86" s="97" t="n">
        <v>0</v>
      </c>
      <c r="I86" s="97" t="n">
        <v>0</v>
      </c>
      <c r="J86" s="98" t="n">
        <v>0</v>
      </c>
      <c r="K86" s="98" t="n">
        <v>0</v>
      </c>
      <c r="L86" s="98" t="n">
        <v>0</v>
      </c>
      <c r="M86" s="98" t="n">
        <v>0</v>
      </c>
      <c r="N86" s="98" t="n">
        <v>0</v>
      </c>
    </row>
    <row r="87" hidden="1" outlineLevel="1">
      <c r="B87" s="19" t="inlineStr">
        <is>
          <t>Accounts Payable</t>
        </is>
      </c>
      <c r="E87" s="97" t="n">
        <v>20749</v>
      </c>
      <c r="F87" s="97" t="n">
        <v>17273</v>
      </c>
      <c r="G87" s="97" t="n">
        <v>19009</v>
      </c>
      <c r="H87" s="97" t="n">
        <v>22473</v>
      </c>
      <c r="I87" s="97" t="n">
        <v>32315</v>
      </c>
      <c r="J87" s="98" t="n">
        <v>36198.5</v>
      </c>
      <c r="K87" s="98" t="n">
        <v>39818.3</v>
      </c>
      <c r="L87" s="98" t="n">
        <v>43402</v>
      </c>
      <c r="M87" s="98" t="n">
        <v>46874.1</v>
      </c>
      <c r="N87" s="98" t="n">
        <v>50155.3</v>
      </c>
    </row>
    <row r="88" hidden="1" outlineLevel="1">
      <c r="B88" s="5" t="inlineStr">
        <is>
          <t>Net Working Capital (NWC)</t>
        </is>
      </c>
      <c r="C88" s="5" t="n"/>
      <c r="D88" s="28" t="n"/>
      <c r="E88" s="100" t="n">
        <v>291358</v>
      </c>
      <c r="F88" s="100" t="n">
        <v>305137</v>
      </c>
      <c r="G88" s="100" t="n">
        <v>368938</v>
      </c>
      <c r="H88" s="100" t="n">
        <v>404169</v>
      </c>
      <c r="I88" s="100" t="n">
        <v>496833</v>
      </c>
      <c r="J88" s="100" t="n">
        <v>556447.3</v>
      </c>
      <c r="K88" s="100" t="n">
        <v>612092</v>
      </c>
      <c r="L88" s="100" t="n">
        <v>667180.3</v>
      </c>
      <c r="M88" s="100" t="n">
        <v>720554.7</v>
      </c>
      <c r="N88" s="100" t="n">
        <v>770993.6</v>
      </c>
    </row>
    <row r="89" hidden="1" outlineLevel="1">
      <c r="B89" s="19" t="inlineStr">
        <is>
          <t>Change in NWC</t>
        </is>
      </c>
      <c r="E89" s="98" t="n">
        <v>-19789</v>
      </c>
      <c r="F89" s="98" t="n">
        <v>13779</v>
      </c>
      <c r="G89" s="98" t="n">
        <v>63801</v>
      </c>
      <c r="H89" s="98" t="n">
        <v>35231</v>
      </c>
      <c r="I89" s="98" t="n">
        <v>92664</v>
      </c>
      <c r="J89" s="98" t="n">
        <v>59614.3</v>
      </c>
      <c r="K89" s="98" t="n">
        <v>55644.7</v>
      </c>
      <c r="L89" s="98" t="n">
        <v>55088.3</v>
      </c>
      <c r="M89" s="98" t="n">
        <v>53374.4</v>
      </c>
      <c r="N89" s="98" t="n">
        <v>50438.8</v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7" t="n">
        <v>46419</v>
      </c>
      <c r="F92" s="97" t="n">
        <v>27913</v>
      </c>
      <c r="G92" s="97" t="n">
        <v>17580</v>
      </c>
      <c r="H92" s="97" t="n">
        <v>10966</v>
      </c>
      <c r="I92" s="97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7" t="n">
        <v>7086</v>
      </c>
      <c r="F93" s="97" t="n">
        <v>10132</v>
      </c>
      <c r="G93" s="97" t="n">
        <v>8024</v>
      </c>
      <c r="H93" s="97" t="n">
        <v>41326</v>
      </c>
      <c r="I93" s="97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7" t="n">
        <v>25592</v>
      </c>
      <c r="F94" s="97" t="n">
        <v>20465</v>
      </c>
      <c r="G94" s="97" t="n">
        <v>14638</v>
      </c>
      <c r="H94" s="97" t="n">
        <v>13827</v>
      </c>
      <c r="I94" s="97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00" t="n">
        <v>27913</v>
      </c>
      <c r="F95" s="100" t="n">
        <v>17580</v>
      </c>
      <c r="G95" s="100" t="n">
        <v>10966</v>
      </c>
      <c r="H95" s="100" t="n">
        <v>38465</v>
      </c>
      <c r="I95" s="100" t="n">
        <v>67713</v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7" t="n">
        <v>739435</v>
      </c>
      <c r="F98" s="97" t="n">
        <v>1009018</v>
      </c>
      <c r="G98" s="97" t="n">
        <v>1823669</v>
      </c>
      <c r="H98" s="97" t="n">
        <v>1811658</v>
      </c>
      <c r="I98" s="97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7" t="n">
        <v>269583</v>
      </c>
      <c r="F99" s="97" t="n">
        <v>814651</v>
      </c>
      <c r="G99" s="97" t="n">
        <v>-12011</v>
      </c>
      <c r="H99" s="97" t="n">
        <v>397363</v>
      </c>
      <c r="I99" s="97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00" t="n">
        <v>1009018</v>
      </c>
      <c r="F100" s="100" t="n">
        <v>1823669</v>
      </c>
      <c r="G100" s="100" t="n">
        <v>1811658</v>
      </c>
      <c r="H100" s="100" t="n">
        <v>2209021</v>
      </c>
      <c r="I100" s="100" t="n">
        <v>3055691</v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7" t="n">
        <v>40092</v>
      </c>
      <c r="F101" s="97" t="n">
        <v>68967</v>
      </c>
      <c r="G101" s="97" t="n">
        <v>95546</v>
      </c>
      <c r="H101" s="97" t="n">
        <v>105638</v>
      </c>
      <c r="I101" s="97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107" t="inlineStr">
        <is>
          <t>Yellow=inputs. Green=calculated (hover for Excel formula). Years 2021–2030 fully populated from FICO 10-K.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2026-08-04T15:59:34Z</dcterms:modified>
  <cp:lastModifiedBy>Katie Au Yeung</cp:lastModifiedBy>
  <cp:lastPrinted>2014-12-13T23:43:21Z</cp:lastPrinted>
</cp:coreProperties>
</file>