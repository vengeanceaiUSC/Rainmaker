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Formula_Map" sheetId="1" state="visible" r:id="rId1"/>
    <sheet name="Cover Page" sheetId="2" state="visible" r:id="rId2"/>
    <sheet name="3 Statement Model" sheetId="3" state="visible" r:id="rId3"/>
  </sheets>
  <definedNames>
    <definedName name="asd">#REF!</definedName>
    <definedName name="CIQWBGuid" hidden="1">"2cd8126d-26c3-430c-b7fa-a069e3a1fc62"</definedName>
    <definedName name="Forecast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Step_1">#REF!</definedName>
    <definedName name="Step_2">#REF!</definedName>
    <definedName name="Step_3">#REF!</definedName>
    <definedName name="Step_4">#REF!</definedName>
    <definedName name="Step_5">#REF!</definedName>
    <definedName name="Step_6">#REF!</definedName>
    <definedName name="Step1">#REF!</definedName>
    <definedName name="Step2">#REF!</definedName>
    <definedName name="Step3">#REF!</definedName>
    <definedName name="Step4">#REF!</definedName>
    <definedName name="Step5">#REF!</definedName>
    <definedName name="Step6">#REF!</definedName>
    <definedName name="_xlnm.Print_Area" localSheetId="1">'Cover Page'!$A$1:$P$27</definedName>
    <definedName name="Forecast" localSheetId="2">#REF!</definedName>
    <definedName name="Step_1" localSheetId="2">#REF!</definedName>
    <definedName name="Step_2" localSheetId="2">#REF!</definedName>
    <definedName name="Step_3" localSheetId="2">#REF!</definedName>
    <definedName name="Step_4" localSheetId="2">#REF!</definedName>
    <definedName name="Step_5" localSheetId="2">#REF!</definedName>
    <definedName name="Step_6" localSheetId="2">#REF!</definedName>
    <definedName name="_xlnm.Print_Titles" localSheetId="2">'3 Statement Model'!$1:$3</definedName>
    <definedName name="_xlnm.Print_Area" localSheetId="2">'3 Statement Model'!$A$1:$N$104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</numFmts>
  <fonts count="3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  <i val="1"/>
      <color rgb="00C00000"/>
      <sz val="10"/>
    </font>
    <font>
      <name val="Calibri"/>
      <b val="1"/>
      <color rgb="001F4E79"/>
      <sz val="14"/>
    </font>
    <font>
      <name val="Calibri"/>
      <b val="1"/>
      <color rgb="00FFFFFF"/>
    </font>
    <font>
      <name val="Calibri"/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  <fill>
      <patternFill patternType="solid">
        <fgColor rgb="001F4E79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0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0" fontId="28" fillId="0" borderId="0" pivotButton="0" quotePrefix="0" xfId="0"/>
    <xf numFmtId="0" fontId="29" fillId="7" borderId="0" pivotButton="0" quotePrefix="0" xfId="0"/>
    <xf numFmtId="0" fontId="0" fillId="0" borderId="0" applyAlignment="1" pivotButton="0" quotePrefix="0" xfId="0">
      <alignment vertical="top" wrapText="1"/>
    </xf>
    <xf numFmtId="0" fontId="30" fillId="0" borderId="0" pivotButton="0" quotePrefix="0" xfId="0"/>
    <xf numFmtId="1" fontId="26" fillId="6" borderId="0" pivotButton="0" quotePrefix="0" xfId="1"/>
    <xf numFmtId="166" fontId="26" fillId="6" borderId="0" pivotButton="0" quotePrefix="0" xfId="2"/>
    <xf numFmtId="10" fontId="26" fillId="6" borderId="0" pivotButton="0" quotePrefix="0" xfId="2"/>
    <xf numFmtId="164" fontId="26" fillId="6" borderId="0" pivotButton="0" quotePrefix="0" xfId="1"/>
    <xf numFmtId="164" fontId="26" fillId="6" borderId="1" pivotButton="0" quotePrefix="0" xfId="1"/>
    <xf numFmtId="164" fontId="26" fillId="6" borderId="2" applyAlignment="1" pivotButton="0" quotePrefix="0" xfId="1">
      <alignment horizontal="center"/>
    </xf>
    <xf numFmtId="0" fontId="27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(formula forecast J24:N24)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 Statement Model'!$E$2:$N$2</f>
            </numRef>
          </cat>
          <val>
            <numRef>
              <f>'3 Statement Model'!$E$24:$N$24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0" customWidth="1" min="3" max="3"/>
    <col width="45" customWidth="1" min="4" max="4"/>
  </cols>
  <sheetData>
    <row r="1">
      <c r="A1" s="92" t="inlineStr">
        <is>
          <t>Updated math — Excel formula dependencies (not typed results)</t>
        </is>
      </c>
    </row>
    <row r="2">
      <c r="A2" t="inlineStr">
        <is>
          <t>Yellow cells = inputs. Green/white formula cells = depend on other rows/sheets.</t>
        </is>
      </c>
    </row>
    <row r="4">
      <c r="A4" s="93" t="inlineStr">
        <is>
          <t>Line item</t>
        </is>
      </c>
      <c r="B4" s="93" t="inlineStr">
        <is>
          <t>Cell</t>
        </is>
      </c>
      <c r="C4" s="93" t="inlineStr">
        <is>
          <t>Excel formula / dependency</t>
        </is>
      </c>
      <c r="D4" s="93" t="inlineStr">
        <is>
          <t>Meaning</t>
        </is>
      </c>
    </row>
    <row r="5">
      <c r="A5" s="94" t="inlineStr">
        <is>
          <t>Tax rate</t>
        </is>
      </c>
      <c r="B5" s="94" t="inlineStr">
        <is>
          <t>D5</t>
        </is>
      </c>
      <c r="C5" s="94" t="inlineStr">
        <is>
          <t>input (or ='03_Three_Statement'!J13 if joined)</t>
        </is>
      </c>
      <c r="D5" s="94" t="inlineStr">
        <is>
          <t>FY25 ETR</t>
        </is>
      </c>
    </row>
    <row r="6">
      <c r="A6" s="94" t="inlineStr">
        <is>
          <t>Years</t>
        </is>
      </c>
      <c r="B6" s="94" t="inlineStr">
        <is>
          <t>E17:I17</t>
        </is>
      </c>
      <c r="C6" s="94">
        <f>YEAR(E18) …</f>
        <v/>
      </c>
      <c r="D6" s="94" t="inlineStr">
        <is>
          <t>Depends on date row</t>
        </is>
      </c>
    </row>
    <row r="7">
      <c r="A7" s="94" t="inlineStr">
        <is>
          <t>Dates</t>
        </is>
      </c>
      <c r="B7" s="94" t="inlineStr">
        <is>
          <t>E18:I18</t>
        </is>
      </c>
      <c r="C7" s="94">
        <f>DATE(YEAR($D$10)+E19,9,30)</f>
        <v/>
      </c>
      <c r="D7" s="94" t="inlineStr">
        <is>
          <t>Depends on FYE + period</t>
        </is>
      </c>
    </row>
    <row r="8">
      <c r="A8" s="94" t="inlineStr">
        <is>
          <t>Periods</t>
        </is>
      </c>
      <c r="B8" s="94" t="inlineStr">
        <is>
          <t>F19:I19</t>
        </is>
      </c>
      <c r="C8" s="94">
        <f>E19+1 …</f>
        <v/>
      </c>
      <c r="D8" s="94" t="inlineStr">
        <is>
          <t>Depends on prior period</t>
        </is>
      </c>
    </row>
    <row r="9">
      <c r="A9" s="94" t="inlineStr">
        <is>
          <t>Year fraction</t>
        </is>
      </c>
      <c r="B9" s="94" t="inlineStr">
        <is>
          <t>E20:I20</t>
        </is>
      </c>
      <c r="C9" s="94">
        <f>YEARFRAC(prior_date, date)</f>
        <v/>
      </c>
      <c r="D9" s="94" t="inlineStr">
        <is>
          <t>Discount stub</t>
        </is>
      </c>
    </row>
    <row r="10">
      <c r="A10" s="94" t="inlineStr">
        <is>
          <t>EBIT</t>
        </is>
      </c>
      <c r="B10" s="94" t="inlineStr">
        <is>
          <t>E21:I21</t>
        </is>
      </c>
      <c r="C10" s="94" t="inlineStr">
        <is>
          <t>Standalone: =$D$3*(1+E4) then rolls; Joined: 3-stmt GP−opex−DA</t>
        </is>
      </c>
      <c r="D10" s="94" t="inlineStr">
        <is>
          <t>Operating income path</t>
        </is>
      </c>
    </row>
    <row r="11">
      <c r="A11" s="94" t="inlineStr">
        <is>
          <t>Cash Taxes</t>
        </is>
      </c>
      <c r="B11" s="94" t="inlineStr">
        <is>
          <t>E22:I22</t>
        </is>
      </c>
      <c r="C11" s="94">
        <f>E21*$D$5</f>
        <v/>
      </c>
      <c r="D11" s="94" t="inlineStr">
        <is>
          <t>Depends on EBIT and tax rate</t>
        </is>
      </c>
    </row>
    <row r="12">
      <c r="A12" s="94" t="inlineStr">
        <is>
          <t>D&amp;A</t>
        </is>
      </c>
      <c r="B12" s="94" t="inlineStr">
        <is>
          <t>E23:I23</t>
        </is>
      </c>
      <c r="C12" s="94" t="inlineStr">
        <is>
          <t>Standalone: =$E$3*E21/$D$3; Joined: ='03_Three_Statement'!J30</t>
        </is>
      </c>
      <c r="D12" s="94" t="inlineStr">
        <is>
          <t>Depends on EBIT or 3-stmt</t>
        </is>
      </c>
    </row>
    <row r="13">
      <c r="A13" s="94" t="inlineStr">
        <is>
          <t>Capex</t>
        </is>
      </c>
      <c r="B13" s="94" t="inlineStr">
        <is>
          <t>E24:I24</t>
        </is>
      </c>
      <c r="C13" s="94" t="inlineStr">
        <is>
          <t>Standalone: =$D$15*(1+$D$16)^E19; Joined: 3-stmt!J68</t>
        </is>
      </c>
      <c r="D13" s="94" t="inlineStr">
        <is>
          <t>Depends on base capex/growth or 3-stmt</t>
        </is>
      </c>
    </row>
    <row r="14">
      <c r="A14" s="94" t="inlineStr">
        <is>
          <t>ΔNWC</t>
        </is>
      </c>
      <c r="B14" s="94" t="inlineStr">
        <is>
          <t>E25:I25</t>
        </is>
      </c>
      <c r="C14" s="94" t="inlineStr">
        <is>
          <t>Standalone: =MAX(0,ΔEBIT)*5%; Joined: 3-stmt!J89</t>
        </is>
      </c>
      <c r="D14" s="94" t="inlineStr">
        <is>
          <t>WC investment</t>
        </is>
      </c>
    </row>
    <row r="15">
      <c r="A15" s="94" t="inlineStr">
        <is>
          <t>Unlevered FCF</t>
        </is>
      </c>
      <c r="B15" s="94" t="inlineStr">
        <is>
          <t>E26:I26</t>
        </is>
      </c>
      <c r="C15" s="94">
        <f>EBIT − Tax + D&amp;A − Capex − ΔNWC</f>
        <v/>
      </c>
      <c r="D15" s="94" t="inlineStr">
        <is>
          <t>Core FCF identity</t>
        </is>
      </c>
    </row>
    <row r="16">
      <c r="A16" s="94" t="inlineStr">
        <is>
          <t>TV (PG)</t>
        </is>
      </c>
      <c r="B16" s="94" t="inlineStr">
        <is>
          <t>N18</t>
        </is>
      </c>
      <c r="C16" s="94">
        <f>(I26*(1+D7))/(D6-D7)</f>
        <v/>
      </c>
      <c r="D16" s="94" t="inlineStr">
        <is>
          <t>Gordon growth on final UFCF</t>
        </is>
      </c>
    </row>
    <row r="17">
      <c r="A17" s="94" t="inlineStr">
        <is>
          <t>TV (EV/EBITDA)</t>
        </is>
      </c>
      <c r="B17" s="94" t="inlineStr">
        <is>
          <t>N19</t>
        </is>
      </c>
      <c r="C17" s="94">
        <f>D8*(I21+I23)</f>
        <v/>
      </c>
      <c r="D17" s="94" t="inlineStr">
        <is>
          <t>Exit multiple on final EBITDA</t>
        </is>
      </c>
    </row>
    <row r="18">
      <c r="A18" s="94" t="inlineStr">
        <is>
          <t>TV Average</t>
        </is>
      </c>
      <c r="B18" s="94" t="inlineStr">
        <is>
          <t>N20</t>
        </is>
      </c>
      <c r="C18" s="94">
        <f>AVERAGE(N18:N19)</f>
        <v/>
      </c>
      <c r="D18" s="94" t="inlineStr">
        <is>
          <t>Blended exit</t>
        </is>
      </c>
    </row>
    <row r="19">
      <c r="A19" s="94" t="inlineStr">
        <is>
          <t>Enterprise Value</t>
        </is>
      </c>
      <c r="B19" s="94" t="inlineStr">
        <is>
          <t>D32</t>
        </is>
      </c>
      <c r="C19" s="94">
        <f>XNPV(D6,D28:J28,D18:J18)</f>
        <v/>
      </c>
      <c r="D19" s="94" t="inlineStr">
        <is>
          <t>PV of transaction CFs</t>
        </is>
      </c>
    </row>
    <row r="20">
      <c r="A20" s="94" t="inlineStr">
        <is>
          <t>Equity Value</t>
        </is>
      </c>
      <c r="B20" s="94" t="inlineStr">
        <is>
          <t>D35</t>
        </is>
      </c>
      <c r="C20" s="94">
        <f>D32+D33−D34</f>
        <v/>
      </c>
      <c r="D20" s="94" t="inlineStr">
        <is>
          <t>EV + cash − debt</t>
        </is>
      </c>
    </row>
    <row r="21">
      <c r="A21" s="94" t="inlineStr">
        <is>
          <t>Equity / share</t>
        </is>
      </c>
      <c r="B21" s="94" t="inlineStr">
        <is>
          <t>D37</t>
        </is>
      </c>
      <c r="C21" s="94">
        <f>D35/D12</f>
        <v/>
      </c>
      <c r="D21" s="94" t="inlineStr">
        <is>
          <t>Depends on equity &amp; shares</t>
        </is>
      </c>
    </row>
    <row r="22">
      <c r="A22" s="94" t="inlineStr">
        <is>
          <t>3S Revenue fcst</t>
        </is>
      </c>
      <c r="B22" s="94" t="inlineStr">
        <is>
          <t>J24</t>
        </is>
      </c>
      <c r="C22" s="94">
        <f>I24*(1+J7)</f>
        <v/>
      </c>
      <c r="D22" s="94" t="inlineStr">
        <is>
          <t>Grows from prior year</t>
        </is>
      </c>
    </row>
    <row r="23">
      <c r="A23" s="94" t="inlineStr">
        <is>
          <t>3S COGS fcst</t>
        </is>
      </c>
      <c r="B23" s="94" t="inlineStr">
        <is>
          <t>J25</t>
        </is>
      </c>
      <c r="C23" s="94">
        <f>J24*J8</f>
        <v/>
      </c>
      <c r="D23" s="94" t="inlineStr">
        <is>
          <t>Depends on revenue &amp; COGS%</t>
        </is>
      </c>
    </row>
    <row r="24">
      <c r="A24" s="94" t="inlineStr">
        <is>
          <t>3S Gross Profit</t>
        </is>
      </c>
      <c r="B24" s="94" t="inlineStr">
        <is>
          <t>J26</t>
        </is>
      </c>
      <c r="C24" s="94">
        <f>J24-J25</f>
        <v/>
      </c>
      <c r="D24" s="94" t="inlineStr">
        <is>
          <t>Depends on Rev &amp; COGS</t>
        </is>
      </c>
    </row>
    <row r="25">
      <c r="A25" s="94" t="inlineStr">
        <is>
          <t>3S SG&amp;A fcst</t>
        </is>
      </c>
      <c r="B25" s="94" t="inlineStr">
        <is>
          <t>J28</t>
        </is>
      </c>
      <c r="C25" s="94">
        <f>J9</f>
        <v/>
      </c>
      <c r="D25" s="94" t="inlineStr">
        <is>
          <t>Depends on salaries driver</t>
        </is>
      </c>
    </row>
    <row r="26">
      <c r="A26" s="94" t="inlineStr">
        <is>
          <t>3S Capex fcst</t>
        </is>
      </c>
      <c r="B26" s="94" t="inlineStr">
        <is>
          <t>J68</t>
        </is>
      </c>
      <c r="C26" s="94">
        <f>J18</f>
        <v/>
      </c>
      <c r="D26" s="94" t="inlineStr">
        <is>
          <t>Depends on capex assumption</t>
        </is>
      </c>
    </row>
    <row r="27">
      <c r="A27" s="94" t="inlineStr">
        <is>
          <t>3S ΔNWC fcst</t>
        </is>
      </c>
      <c r="B27" s="94" t="inlineStr">
        <is>
          <t>J89</t>
        </is>
      </c>
      <c r="C27" s="94">
        <f>J88-I88</f>
        <v/>
      </c>
      <c r="D27" s="94" t="inlineStr">
        <is>
          <t>Depends on NWC schedule</t>
        </is>
      </c>
    </row>
    <row r="30">
      <c r="A30" t="inlineStr">
        <is>
          <t>10-K</t>
        </is>
      </c>
      <c r="B30" s="95" t="inlineStr">
        <is>
          <t>https://www.sec.gov/Archives/edgar/data/814547/000081454725000030/fico-20250930.htm</t>
        </is>
      </c>
    </row>
  </sheetData>
  <hyperlinks>
    <hyperlink xmlns:r="http://schemas.openxmlformats.org/officeDocument/2006/relationships" ref="B30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3 Statement Model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This Excel model is for educational purposes only and should not be used for any other reason.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36" customWidth="1" style="19" min="2" max="3"/>
    <col width="15.5546875" customWidth="1" style="47" min="4" max="4"/>
    <col width="15" customWidth="1" style="19" min="5" max="9"/>
    <col width="15" customWidth="1" min="6" max="6"/>
    <col width="15" customWidth="1" min="7" max="7"/>
    <col width="15" customWidth="1" min="8" max="8"/>
    <col width="15" customWidth="1" min="9" max="9"/>
    <col width="15" customWidth="1" style="19" min="10" max="14"/>
    <col width="15" customWidth="1" min="11" max="11"/>
    <col width="15" customWidth="1" min="12" max="12"/>
    <col width="15" customWidth="1" min="13" max="13"/>
    <col width="15" customWidth="1" min="14" max="14"/>
    <col width="1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96" t="n">
        <v>2021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97" t="n">
        <v>0.12</v>
      </c>
      <c r="K7" s="97" t="n">
        <v>0.1</v>
      </c>
      <c r="L7" s="97" t="n">
        <v>0.09</v>
      </c>
      <c r="M7" s="97" t="n">
        <v>0.08</v>
      </c>
      <c r="N7" s="97" t="n">
        <v>0.07000000000000001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98" t="n">
        <v>0.1777</v>
      </c>
      <c r="K8" s="98" t="n">
        <v>0.1777</v>
      </c>
      <c r="L8" s="98" t="n">
        <v>0.1777</v>
      </c>
      <c r="M8" s="98" t="n">
        <v>0.1777</v>
      </c>
      <c r="N8" s="98" t="n">
        <v>0.1777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99" t="n">
        <v>574591.4</v>
      </c>
      <c r="K9" s="99" t="n">
        <v>620763.9</v>
      </c>
      <c r="L9" s="99" t="n">
        <v>664386.1</v>
      </c>
      <c r="M9" s="99" t="n">
        <v>697968.9</v>
      </c>
      <c r="N9" s="99" t="n">
        <v>719548.3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99" t="n">
        <v>210948.6</v>
      </c>
      <c r="K10" s="99" t="n">
        <v>227899.9</v>
      </c>
      <c r="L10" s="99" t="n">
        <v>243914.8</v>
      </c>
      <c r="M10" s="99" t="n">
        <v>256244</v>
      </c>
      <c r="N10" s="99" t="n">
        <v>264166.4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98" t="n">
        <v>0.35</v>
      </c>
      <c r="K11" s="98" t="n">
        <v>0.35</v>
      </c>
      <c r="L11" s="98" t="n">
        <v>0.35</v>
      </c>
      <c r="M11" s="98" t="n">
        <v>0.35</v>
      </c>
      <c r="N11" s="98" t="n">
        <v>0.35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98" t="n">
        <v>0.0437</v>
      </c>
      <c r="K12" s="98" t="n">
        <v>0.0437</v>
      </c>
      <c r="L12" s="98" t="n">
        <v>0.0437</v>
      </c>
      <c r="M12" s="98" t="n">
        <v>0.0437</v>
      </c>
      <c r="N12" s="98" t="n">
        <v>0.0437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98" t="n">
        <v>0.1877</v>
      </c>
      <c r="K13" s="98" t="n">
        <v>0.1877</v>
      </c>
      <c r="L13" s="98" t="n">
        <v>0.1877</v>
      </c>
      <c r="M13" s="98" t="n">
        <v>0.1877</v>
      </c>
      <c r="N13" s="98" t="n">
        <v>0.1877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99" t="n">
        <v>97</v>
      </c>
      <c r="K15" s="99" t="n">
        <v>97</v>
      </c>
      <c r="L15" s="99" t="n">
        <v>97</v>
      </c>
      <c r="M15" s="99" t="n">
        <v>97</v>
      </c>
      <c r="N15" s="99" t="n">
        <v>97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99" t="n">
        <v>0</v>
      </c>
      <c r="K16" s="99" t="n">
        <v>0</v>
      </c>
      <c r="L16" s="99" t="n">
        <v>0</v>
      </c>
      <c r="M16" s="99" t="n">
        <v>0</v>
      </c>
      <c r="N16" s="99" t="n">
        <v>0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99" t="n">
        <v>33.3</v>
      </c>
      <c r="K17" s="99" t="n">
        <v>33.3</v>
      </c>
      <c r="L17" s="99" t="n">
        <v>33.3</v>
      </c>
      <c r="M17" s="99" t="n">
        <v>33.3</v>
      </c>
      <c r="N17" s="99" t="n">
        <v>33.3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99" t="n">
        <v>42559.6</v>
      </c>
      <c r="K18" s="99" t="n">
        <v>45964.3</v>
      </c>
      <c r="L18" s="99" t="n">
        <v>49641.5</v>
      </c>
      <c r="M18" s="99" t="n">
        <v>53612.8</v>
      </c>
      <c r="N18" s="99" t="n">
        <v>57901.8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99" t="n">
        <v>0</v>
      </c>
      <c r="K19" s="99" t="n">
        <v>0</v>
      </c>
      <c r="L19" s="99" t="n">
        <v>0</v>
      </c>
      <c r="M19" s="99" t="n">
        <v>0</v>
      </c>
      <c r="N19" s="99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99" t="n">
        <v>0</v>
      </c>
      <c r="K20" s="99" t="n">
        <v>0</v>
      </c>
      <c r="L20" s="99" t="n">
        <v>0</v>
      </c>
      <c r="M20" s="99" t="n">
        <v>0</v>
      </c>
      <c r="N20" s="99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Revenue (FICO: Revenues)</t>
        </is>
      </c>
      <c r="C24" s="18" t="n"/>
      <c r="D24" s="46" t="n"/>
      <c r="E24" s="99" t="n">
        <v>1316536</v>
      </c>
      <c r="F24" s="99" t="n">
        <v>1377270</v>
      </c>
      <c r="G24" s="99" t="n">
        <v>1513557</v>
      </c>
      <c r="H24" s="99" t="n">
        <v>1717526</v>
      </c>
      <c r="I24" s="99" t="n">
        <v>1990869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COGS (FICO: Cost of revenues)</t>
        </is>
      </c>
      <c r="C25" s="19" t="n"/>
      <c r="D25" s="47" t="n"/>
      <c r="E25" s="99" t="n">
        <v>332462</v>
      </c>
      <c r="F25" s="99" t="n">
        <v>302174</v>
      </c>
      <c r="G25" s="99" t="n">
        <v>311053</v>
      </c>
      <c r="H25" s="99" t="n">
        <v>348206</v>
      </c>
      <c r="I25" s="99" t="n">
        <v>353722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← Salaries (depends on row 9)</t>
        </is>
      </c>
      <c r="E28" s="99" t="n">
        <v>396281</v>
      </c>
      <c r="F28" s="99" t="n">
        <v>383863</v>
      </c>
      <c r="G28" s="99" t="n">
        <v>400565</v>
      </c>
      <c r="H28" s="99" t="n">
        <v>462834</v>
      </c>
      <c r="I28" s="99" t="n">
        <v>513028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R&amp;D ← Rent/Overhead (depends on row 10)</t>
        </is>
      </c>
      <c r="E29" s="99" t="n">
        <v>171231</v>
      </c>
      <c r="F29" s="99" t="n">
        <v>146758</v>
      </c>
      <c r="G29" s="99" t="n">
        <v>159950</v>
      </c>
      <c r="H29" s="99" t="n">
        <v>171940</v>
      </c>
      <c r="I29" s="99" t="n">
        <v>188347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99" t="n">
        <v>25592</v>
      </c>
      <c r="F30" s="99" t="n">
        <v>20465</v>
      </c>
      <c r="G30" s="99" t="n">
        <v>14638</v>
      </c>
      <c r="H30" s="99" t="n">
        <v>13827</v>
      </c>
      <c r="I30" s="99" t="n">
        <v>14952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00" t="n">
        <v>40092</v>
      </c>
      <c r="F31" s="100" t="n">
        <v>68967</v>
      </c>
      <c r="G31" s="100" t="n">
        <v>95546</v>
      </c>
      <c r="H31" s="100" t="n">
        <v>105638</v>
      </c>
      <c r="I31" s="100" t="n">
        <v>133647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99" t="n">
        <v>81058</v>
      </c>
      <c r="F35" s="99" t="n">
        <v>97768</v>
      </c>
      <c r="G35" s="99" t="n">
        <v>124249</v>
      </c>
      <c r="H35" s="99" t="n">
        <v>129214</v>
      </c>
      <c r="I35" s="99" t="n">
        <v>150649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99" t="n">
        <v>195354</v>
      </c>
      <c r="F41" s="99" t="n">
        <v>133202</v>
      </c>
      <c r="G41" s="99" t="n">
        <v>136778</v>
      </c>
      <c r="H41" s="99" t="n">
        <v>150667</v>
      </c>
      <c r="I41" s="99" t="n">
        <v>134136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99" t="n">
        <v>312107</v>
      </c>
      <c r="F42" s="99" t="n">
        <v>322410</v>
      </c>
      <c r="G42" s="99" t="n">
        <v>387947</v>
      </c>
      <c r="H42" s="99" t="n">
        <v>426642</v>
      </c>
      <c r="I42" s="99" t="n">
        <v>529148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99" t="n">
        <v>0</v>
      </c>
      <c r="F43" s="99" t="n">
        <v>0</v>
      </c>
      <c r="G43" s="99" t="n">
        <v>0</v>
      </c>
      <c r="H43" s="99" t="n">
        <v>0</v>
      </c>
      <c r="I43" s="99" t="n">
        <v>0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99" t="n">
        <v>27913</v>
      </c>
      <c r="F44" s="99" t="n">
        <v>17580</v>
      </c>
      <c r="G44" s="99" t="n">
        <v>10966</v>
      </c>
      <c r="H44" s="99" t="n">
        <v>38465</v>
      </c>
      <c r="I44" s="99" t="n">
        <v>67713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99" t="n">
        <v>20749</v>
      </c>
      <c r="F48" s="99" t="n">
        <v>17273</v>
      </c>
      <c r="G48" s="99" t="n">
        <v>19009</v>
      </c>
      <c r="H48" s="99" t="n">
        <v>22473</v>
      </c>
      <c r="I48" s="99" t="n">
        <v>32315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99" t="n">
        <v>1009018</v>
      </c>
      <c r="F49" s="99" t="n">
        <v>1823669</v>
      </c>
      <c r="G49" s="99" t="n">
        <v>1811658</v>
      </c>
      <c r="H49" s="99" t="n">
        <v>2209021</v>
      </c>
      <c r="I49" s="99" t="n">
        <v>3055691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99" t="n">
        <v>-3079536</v>
      </c>
      <c r="F52" s="99" t="n">
        <v>-4326434</v>
      </c>
      <c r="G52" s="99" t="n">
        <v>-4683035</v>
      </c>
      <c r="H52" s="99" t="n">
        <v>-5516590</v>
      </c>
      <c r="I52" s="99" t="n">
        <v>-6909825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99" t="n">
        <v>2585143</v>
      </c>
      <c r="F53" s="99" t="n">
        <v>2958684</v>
      </c>
      <c r="G53" s="99" t="n">
        <v>3388059</v>
      </c>
      <c r="H53" s="99" t="n">
        <v>3900870</v>
      </c>
      <c r="I53" s="99" t="n">
        <v>4552816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99" t="n">
        <v>-19789</v>
      </c>
      <c r="F64" s="99" t="n">
        <v>13779</v>
      </c>
      <c r="G64" s="99" t="n">
        <v>63801</v>
      </c>
      <c r="H64" s="99" t="n">
        <v>35231</v>
      </c>
      <c r="I64" s="99" t="n">
        <v>92664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99" t="n">
        <v>7569</v>
      </c>
      <c r="F68" s="99" t="n">
        <v>6029</v>
      </c>
      <c r="G68" s="99" t="n">
        <v>4237</v>
      </c>
      <c r="H68" s="99" t="n">
        <v>25551</v>
      </c>
      <c r="I68" s="99" t="n">
        <v>39407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99" t="n">
        <v>269583</v>
      </c>
      <c r="F72" s="99" t="n">
        <v>814651</v>
      </c>
      <c r="G72" s="99" t="n">
        <v>-12011</v>
      </c>
      <c r="H72" s="99" t="n">
        <v>397363</v>
      </c>
      <c r="I72" s="99" t="n">
        <v>846670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99" t="n">
        <v>-661519</v>
      </c>
      <c r="F73" s="99" t="n">
        <v>-1251001</v>
      </c>
      <c r="G73" s="99" t="n">
        <v>-360388</v>
      </c>
      <c r="H73" s="99" t="n">
        <v>-849330</v>
      </c>
      <c r="I73" s="99" t="n">
        <v>-1398028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99" t="n">
        <v>195354</v>
      </c>
      <c r="G77" s="99" t="n">
        <v>133202</v>
      </c>
      <c r="H77" s="99" t="n">
        <v>136778</v>
      </c>
      <c r="I77" s="99" t="n">
        <v>150667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101" t="n">
        <v>157394</v>
      </c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99" t="n">
        <v>312107</v>
      </c>
      <c r="F85" s="99" t="n">
        <v>322410</v>
      </c>
      <c r="G85" s="99" t="n">
        <v>387947</v>
      </c>
      <c r="H85" s="99" t="n">
        <v>426642</v>
      </c>
      <c r="I85" s="99" t="n">
        <v>529148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99" t="n">
        <v>0</v>
      </c>
      <c r="F86" s="99" t="n">
        <v>0</v>
      </c>
      <c r="G86" s="99" t="n">
        <v>0</v>
      </c>
      <c r="H86" s="99" t="n">
        <v>0</v>
      </c>
      <c r="I86" s="99" t="n">
        <v>0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99" t="n">
        <v>20749</v>
      </c>
      <c r="F87" s="99" t="n">
        <v>17273</v>
      </c>
      <c r="G87" s="99" t="n">
        <v>19009</v>
      </c>
      <c r="H87" s="99" t="n">
        <v>22473</v>
      </c>
      <c r="I87" s="99" t="n">
        <v>32315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99" t="n">
        <v>46419</v>
      </c>
      <c r="F92" s="99" t="n">
        <v>27913</v>
      </c>
      <c r="G92" s="99" t="n">
        <v>17580</v>
      </c>
      <c r="H92" s="99" t="n">
        <v>10966</v>
      </c>
      <c r="I92" s="99" t="n">
        <v>38465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99" t="n">
        <v>7086</v>
      </c>
      <c r="F93" s="99" t="n">
        <v>10132</v>
      </c>
      <c r="G93" s="99" t="n">
        <v>8024</v>
      </c>
      <c r="H93" s="99" t="n">
        <v>41326</v>
      </c>
      <c r="I93" s="99" t="n">
        <v>44200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99" t="n">
        <v>25592</v>
      </c>
      <c r="F94" s="99" t="n">
        <v>20465</v>
      </c>
      <c r="G94" s="99" t="n">
        <v>14638</v>
      </c>
      <c r="H94" s="99" t="n">
        <v>13827</v>
      </c>
      <c r="I94" s="99" t="n">
        <v>14952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99" t="n">
        <v>739435</v>
      </c>
      <c r="F98" s="99" t="n">
        <v>1009018</v>
      </c>
      <c r="G98" s="99" t="n">
        <v>1823669</v>
      </c>
      <c r="H98" s="99" t="n">
        <v>1811658</v>
      </c>
      <c r="I98" s="99" t="n">
        <v>2209021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99" t="n">
        <v>269583</v>
      </c>
      <c r="F99" s="99" t="n">
        <v>814651</v>
      </c>
      <c r="G99" s="99" t="n">
        <v>-12011</v>
      </c>
      <c r="H99" s="99" t="n">
        <v>397363</v>
      </c>
      <c r="I99" s="99" t="n">
        <v>846670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99" t="n">
        <v>40092</v>
      </c>
      <c r="F101" s="99" t="n">
        <v>68967</v>
      </c>
      <c r="G101" s="99" t="n">
        <v>95546</v>
      </c>
      <c r="H101" s="99" t="n">
        <v>105638</v>
      </c>
      <c r="I101" s="99" t="n">
        <v>133647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102" t="inlineStr">
        <is>
          <t>Yellow = inputs. All Gross Profit / totals / forecast Revenue(=prior*(1+g)) / COGS(=Rev*COGS%) / Capex(=row18) / ΔNWC(=schedule) are Excel formulas.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2026-08-03T23:28:24Z</dcterms:modified>
  <cp:lastModifiedBy>Katie Au Yeung</cp:lastModifiedBy>
  <cp:lastPrinted>2014-12-13T23:43:21Z</cp:lastPrinted>
</cp:coreProperties>
</file>