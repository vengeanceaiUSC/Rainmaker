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Audit_Fixes" sheetId="1" state="visible" r:id="rId1"/>
    <sheet name="Cover Page" sheetId="2" state="visible" r:id="rId2"/>
    <sheet name="3 Statement Model" sheetId="3" state="visible" r:id="rId3"/>
  </sheets>
  <definedNames>
    <definedName name="asd">#REF!</definedName>
    <definedName name="CIQWBGuid" hidden="1">"2cd8126d-26c3-430c-b7fa-a069e3a1fc62"</definedName>
    <definedName name="Forecas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_xlnm.Print_Area" localSheetId="1">'Cover Page'!$A$1:$P$27</definedName>
    <definedName name="Forecast" localSheetId="2">#REF!</definedName>
    <definedName name="Step_1" localSheetId="2">#REF!</definedName>
    <definedName name="Step_2" localSheetId="2">#REF!</definedName>
    <definedName name="Step_3" localSheetId="2">#REF!</definedName>
    <definedName name="Step_4" localSheetId="2">#REF!</definedName>
    <definedName name="Step_5" localSheetId="2">#REF!</definedName>
    <definedName name="Step_6" localSheetId="2">#REF!</definedName>
    <definedName name="_xlnm.Print_Titles" localSheetId="2">'3 Statement Model'!$1:$3</definedName>
    <definedName name="_xlnm.Print_Area" localSheetId="2">'3 Statement Model'!$A$1:$N$104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  <font>
      <name val="Calibri"/>
      <color rgb="000000FF"/>
    </font>
    <font>
      <name val="Calibri"/>
      <i val="1"/>
      <color rgb="00C00000"/>
      <sz val="10"/>
    </font>
    <font>
      <name val="Calibri"/>
      <b val="1"/>
      <color rgb="001F4E79"/>
      <sz val="14"/>
    </font>
    <font>
      <name val="Calibri"/>
      <b val="1"/>
      <color rgb="00FFFFFF"/>
    </font>
    <font>
      <name val="Calibri"/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02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  <xf numFmtId="0" fontId="28" fillId="0" borderId="0" pivotButton="0" quotePrefix="0" xfId="0"/>
    <xf numFmtId="0" fontId="29" fillId="8" borderId="0" pivotButton="0" quotePrefix="0" xfId="0"/>
    <xf numFmtId="0" fontId="30" fillId="0" borderId="0" pivotButton="0" quotePrefix="0" xfId="0"/>
    <xf numFmtId="1" fontId="3" fillId="6" borderId="0" pivotButton="0" quotePrefix="0" xfId="1"/>
    <xf numFmtId="1" fontId="13" fillId="6" borderId="0" pivotButton="0" quotePrefix="0" xfId="0"/>
    <xf numFmtId="166" fontId="26" fillId="7" borderId="0" pivotButton="0" quotePrefix="0" xfId="2"/>
    <xf numFmtId="164" fontId="26" fillId="7" borderId="0" pivotButton="0" quotePrefix="0" xfId="1"/>
    <xf numFmtId="164" fontId="26" fillId="7" borderId="1" pivotButton="0" quotePrefix="0" xfId="1"/>
    <xf numFmtId="164" fontId="26" fillId="7" borderId="2" applyAlignment="1" pivotButton="0" quotePrefix="0" xfId="1">
      <alignment horizontal="center"/>
    </xf>
    <xf numFmtId="0" fontId="27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FICO Revenue FY2021–2030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 Statement Model'!$E$2:$N$2</f>
            </numRef>
          </cat>
          <val>
            <numRef>
              <f>'3 Statement Model'!$E$24:$N$24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814547/000081454725000030/fico-20250930.ht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</cols>
  <sheetData>
    <row r="1">
      <c r="A1" s="92" t="inlineStr">
        <is>
          <t>Errors found and fixed</t>
        </is>
      </c>
    </row>
    <row r="3">
      <c r="A3" s="93" t="inlineStr">
        <is>
          <t>Area</t>
        </is>
      </c>
      <c r="B3" s="93" t="inlineStr">
        <is>
          <t>Error</t>
        </is>
      </c>
      <c r="C3" s="93" t="inlineStr">
        <is>
          <t>Fix</t>
        </is>
      </c>
    </row>
    <row r="4">
      <c r="A4" t="inlineStr">
        <is>
          <t>3S forecast COGS%</t>
        </is>
      </c>
      <c r="B4" t="inlineStr">
        <is>
          <t>Was 37% (CFI sample)</t>
        </is>
      </c>
      <c r="C4" t="inlineStr">
        <is>
          <t>Now 17.77% from FY25</t>
        </is>
      </c>
    </row>
    <row r="5">
      <c r="A5" t="inlineStr">
        <is>
          <t>3S forecast SG&amp;A/R&amp;D</t>
        </is>
      </c>
      <c r="B5" t="inlineStr">
        <is>
          <t>Was $25k / $10k</t>
        </is>
      </c>
      <c r="C5" t="inlineStr">
        <is>
          <t>Now FY25 SG&amp;A/R&amp;D grown with revenue</t>
        </is>
      </c>
    </row>
    <row r="6">
      <c r="A6" t="inlineStr">
        <is>
          <t>3S forecast tax</t>
        </is>
      </c>
      <c r="B6" t="inlineStr">
        <is>
          <t>Was 28%</t>
        </is>
      </c>
      <c r="C6" t="inlineStr">
        <is>
          <t>Now 18.77% FY25 ETR</t>
        </is>
      </c>
    </row>
    <row r="7">
      <c r="A7" t="inlineStr">
        <is>
          <t>3S AR / Inv days</t>
        </is>
      </c>
      <c r="B7" t="inlineStr">
        <is>
          <t>Was 18 / 73</t>
        </is>
      </c>
      <c r="C7" t="inlineStr">
        <is>
          <t>Now ~97 / 0</t>
        </is>
      </c>
    </row>
    <row r="8">
      <c r="A8" t="inlineStr">
        <is>
          <t>3S Capex forecast</t>
        </is>
      </c>
      <c r="B8" t="inlineStr">
        <is>
          <t>Was ~15k sample</t>
        </is>
      </c>
      <c r="C8" t="inlineStr">
        <is>
          <t>Now from FY25 39,407 growing 8%/yr</t>
        </is>
      </c>
    </row>
    <row r="9">
      <c r="A9" t="inlineStr">
        <is>
          <t>3S year headers</t>
        </is>
      </c>
      <c r="B9" t="inlineStr">
        <is>
          <t>Formulas blank pre-calc</t>
        </is>
      </c>
      <c r="C9" t="inlineStr">
        <is>
          <t>Hardcoded 2021–2030</t>
        </is>
      </c>
    </row>
    <row r="10">
      <c r="A10" t="inlineStr">
        <is>
          <t>DCF Year-1 EBIT</t>
        </is>
      </c>
      <c r="B10" t="inlineStr">
        <is>
          <t>Started ~1,048,623 (&gt;FY25 OpInc)</t>
        </is>
      </c>
      <c r="C10" t="inlineStr">
        <is>
          <t>Path anchored to FY25 OpInc 924,850</t>
        </is>
      </c>
    </row>
    <row r="11">
      <c r="A11" t="inlineStr">
        <is>
          <t>DCF D&amp;A</t>
        </is>
      </c>
      <c r="B11" t="inlineStr">
        <is>
          <t>Used ~18k (0.8% rev)</t>
        </is>
      </c>
      <c r="C11" t="inlineStr">
        <is>
          <t>Anchored to FY25 D&amp;A 14,952</t>
        </is>
      </c>
    </row>
    <row r="12">
      <c r="A12" t="inlineStr">
        <is>
          <t>DCF years</t>
        </is>
      </c>
      <c r="B12" t="inlineStr">
        <is>
          <t>Unclear / missing FY25 base</t>
        </is>
      </c>
      <c r="C12" t="inlineStr">
        <is>
          <t>FY25 actuals in row 16; forecast 2026–2030</t>
        </is>
      </c>
    </row>
    <row r="13">
      <c r="A13" t="inlineStr">
        <is>
          <t>DCF Capex</t>
        </is>
      </c>
      <c r="B13" t="inlineStr">
        <is>
          <t>Flat 39,407</t>
        </is>
      </c>
      <c r="C13" t="inlineStr">
        <is>
          <t>Grows 8%/yr with investment</t>
        </is>
      </c>
    </row>
    <row r="14">
      <c r="A14" t="inlineStr">
        <is>
          <t>DCF EV/EBITDA</t>
        </is>
      </c>
      <c r="B14" t="inlineStr">
        <is>
          <t>25x → huge TV vs PG</t>
        </is>
      </c>
      <c r="C14" t="inlineStr">
        <is>
          <t>Set 22x; still show PG / multiple / average</t>
        </is>
      </c>
    </row>
    <row r="15">
      <c r="A15" t="inlineStr">
        <is>
          <t>DCF blanks</t>
        </is>
      </c>
      <c r="B15" t="inlineStr">
        <is>
          <t>Taxes/Capex/UFCF/TV formulas blank in viewer</t>
        </is>
      </c>
      <c r="C15" t="inlineStr">
        <is>
          <t>Written as computed values + chart</t>
        </is>
      </c>
    </row>
    <row r="18">
      <c r="A18" t="inlineStr">
        <is>
          <t>FY2025 10-K</t>
        </is>
      </c>
      <c r="B18" s="94" t="inlineStr">
        <is>
          <t>https://www.sec.gov/Archives/edgar/data/814547/000081454725000030/fico-20250930.htm</t>
        </is>
      </c>
    </row>
    <row r="20">
      <c r="A20" t="inlineStr">
        <is>
          <t>Year</t>
        </is>
      </c>
      <c r="B20" t="inlineStr">
        <is>
          <t>EBIT</t>
        </is>
      </c>
      <c r="C20" t="inlineStr">
        <is>
          <t>UFCF</t>
        </is>
      </c>
      <c r="D20" t="inlineStr">
        <is>
          <t>Capex</t>
        </is>
      </c>
    </row>
    <row r="21">
      <c r="A21" t="n">
        <v>2026</v>
      </c>
      <c r="B21" t="n">
        <v>1031318</v>
      </c>
      <c r="C21" t="n">
        <v>752304</v>
      </c>
      <c r="D21" t="n">
        <v>42560</v>
      </c>
    </row>
    <row r="22">
      <c r="A22" t="n">
        <v>2027</v>
      </c>
      <c r="B22" t="n">
        <v>1149880</v>
      </c>
      <c r="C22" t="n">
        <v>850856</v>
      </c>
      <c r="D22" t="n">
        <v>45964</v>
      </c>
    </row>
    <row r="23">
      <c r="A23" t="n">
        <v>2028</v>
      </c>
      <c r="B23" t="n">
        <v>1270112</v>
      </c>
      <c r="C23" t="n">
        <v>947058</v>
      </c>
      <c r="D23" t="n">
        <v>49641</v>
      </c>
    </row>
    <row r="24">
      <c r="A24" t="n">
        <v>2029</v>
      </c>
      <c r="B24" t="n">
        <v>1398473</v>
      </c>
      <c r="C24" t="n">
        <v>1050674</v>
      </c>
      <c r="D24" t="n">
        <v>53613</v>
      </c>
    </row>
    <row r="25">
      <c r="A25" t="n">
        <v>2030</v>
      </c>
      <c r="B25" t="n">
        <v>1533660</v>
      </c>
      <c r="C25" t="n">
        <v>1160650</v>
      </c>
      <c r="D25" t="n">
        <v>57902</v>
      </c>
    </row>
  </sheetData>
  <hyperlinks>
    <hyperlink xmlns:r="http://schemas.openxmlformats.org/officeDocument/2006/relationships" ref="B1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FICO 3-Statement — corrected forecast drivers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3 Statement Model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This Excel model is for educational purposes only and should not be used for any other reason.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All content is Copyright material of CFI Education Inc.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34" customWidth="1" style="19" min="2" max="3"/>
    <col width="15.5546875" customWidth="1" style="47" min="4" max="4"/>
    <col width="15" customWidth="1" style="19" min="5" max="9"/>
    <col width="15" customWidth="1" min="6" max="6"/>
    <col width="15" customWidth="1" min="7" max="7"/>
    <col width="15" customWidth="1" min="8" max="8"/>
    <col width="15" customWidth="1" min="9" max="9"/>
    <col width="15" customWidth="1" style="19" min="10" max="14"/>
    <col width="15" customWidth="1" min="11" max="11"/>
    <col width="15" customWidth="1" min="12" max="12"/>
    <col width="15" customWidth="1" min="13" max="13"/>
    <col width="15" customWidth="1" min="14" max="14"/>
    <col width="1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FINANCIAL STATEMENTS</t>
        </is>
      </c>
      <c r="C2" s="62" t="n"/>
      <c r="D2" s="63" t="n"/>
      <c r="E2" s="95" t="n">
        <v>2021</v>
      </c>
      <c r="F2" s="95" t="n">
        <v>2022</v>
      </c>
      <c r="G2" s="95" t="n">
        <v>2023</v>
      </c>
      <c r="H2" s="95" t="n">
        <v>2024</v>
      </c>
      <c r="I2" s="95" t="n">
        <v>2025</v>
      </c>
      <c r="J2" s="96" t="n">
        <v>2026</v>
      </c>
      <c r="K2" s="96" t="n">
        <v>2027</v>
      </c>
      <c r="L2" s="96" t="n">
        <v>2028</v>
      </c>
      <c r="M2" s="96" t="n">
        <v>2029</v>
      </c>
      <c r="N2" s="96" t="n">
        <v>2030</v>
      </c>
    </row>
    <row r="3">
      <c r="B3" s="19" t="inlineStr">
        <is>
          <t>Balance Sheet Check</t>
        </is>
      </c>
      <c r="E3" s="45">
        <f>IFERROR(IF(ABS(E57)&gt;1,"ERROR","OK"),"OK")</f>
        <v/>
      </c>
      <c r="F3" s="45">
        <f>IFERROR(IF(ABS(F57)&gt;1,"ERROR","OK"),"OK")</f>
        <v/>
      </c>
      <c r="G3" s="45">
        <f>IFERROR(IF(ABS(G57)&gt;1,"ERROR","OK"),"OK")</f>
        <v/>
      </c>
      <c r="H3" s="45">
        <f>IFERROR(IF(ABS(H57)&gt;1,"ERROR","OK"),"OK")</f>
        <v/>
      </c>
      <c r="I3" s="45">
        <f>IFERROR(IF(ABS(I57)&gt;1,"ERROR","OK"),"OK")</f>
        <v/>
      </c>
      <c r="J3" s="45">
        <f>IFERROR(IF(ABS(J57)&gt;1,"ERROR","OK"),"OK")</f>
        <v/>
      </c>
      <c r="K3" s="45">
        <f>IFERROR(IF(ABS(K57)&gt;1,"ERROR","OK"),"OK")</f>
        <v/>
      </c>
      <c r="L3" s="45">
        <f>IFERROR(IF(ABS(L57)&gt;1,"ERROR","OK"),"OK")</f>
        <v/>
      </c>
      <c r="M3" s="45">
        <f>IFERROR(IF(ABS(M57)&gt;1,"ERROR","OK"),"OK")</f>
        <v/>
      </c>
      <c r="N3" s="45">
        <f>IFERROR(IF(ABS(N57)&gt;1,"ERROR","OK"),"OK")</f>
        <v/>
      </c>
    </row>
    <row r="4"/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97" t="n">
        <v>0.12</v>
      </c>
      <c r="K7" s="97" t="n">
        <v>0.1</v>
      </c>
      <c r="L7" s="97" t="n">
        <v>0.09</v>
      </c>
      <c r="M7" s="97" t="n">
        <v>0.08</v>
      </c>
      <c r="N7" s="97" t="n">
        <v>0.07000000000000001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97" t="n">
        <v>0.1777</v>
      </c>
      <c r="K8" s="97" t="n">
        <v>0.1777</v>
      </c>
      <c r="L8" s="97" t="n">
        <v>0.1777</v>
      </c>
      <c r="M8" s="97" t="n">
        <v>0.1777</v>
      </c>
      <c r="N8" s="97" t="n">
        <v>0.1777</v>
      </c>
    </row>
    <row r="9" hidden="1" outlineLevel="1">
      <c r="B9" s="19" t="inlineStr">
        <is>
          <t>Salaries and Benefits ($000's)</t>
        </is>
      </c>
      <c r="C9" s="19" t="n"/>
      <c r="D9" s="47" t="n"/>
      <c r="E9" s="52">
        <f>E28</f>
        <v/>
      </c>
      <c r="F9" s="52">
        <f>F28</f>
        <v/>
      </c>
      <c r="G9" s="52">
        <f>G28</f>
        <v/>
      </c>
      <c r="H9" s="52">
        <f>H28</f>
        <v/>
      </c>
      <c r="I9" s="52">
        <f>I28</f>
        <v/>
      </c>
      <c r="J9" s="98" t="n">
        <v>574591.4</v>
      </c>
      <c r="K9" s="98" t="n">
        <v>620763.9</v>
      </c>
      <c r="L9" s="98" t="n">
        <v>664386.1</v>
      </c>
      <c r="M9" s="98" t="n">
        <v>697968.9</v>
      </c>
      <c r="N9" s="98" t="n">
        <v>719548.3</v>
      </c>
    </row>
    <row r="10" hidden="1" outlineLevel="1">
      <c r="B10" s="19" t="inlineStr">
        <is>
          <t>Rent and Overhead ($000's)</t>
        </is>
      </c>
      <c r="C10" s="19" t="n"/>
      <c r="D10" s="47" t="n"/>
      <c r="E10" s="52">
        <f>E29</f>
        <v/>
      </c>
      <c r="F10" s="52">
        <f>F29</f>
        <v/>
      </c>
      <c r="G10" s="52">
        <f>G29</f>
        <v/>
      </c>
      <c r="H10" s="52">
        <f>H29</f>
        <v/>
      </c>
      <c r="I10" s="52">
        <f>I29</f>
        <v/>
      </c>
      <c r="J10" s="98" t="n">
        <v>210948.6</v>
      </c>
      <c r="K10" s="98" t="n">
        <v>227899.9</v>
      </c>
      <c r="L10" s="98" t="n">
        <v>243914.8</v>
      </c>
      <c r="M10" s="98" t="n">
        <v>256244</v>
      </c>
      <c r="N10" s="98" t="n">
        <v>264166.4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97" t="n">
        <v>0.35</v>
      </c>
      <c r="K11" s="97" t="n">
        <v>0.35</v>
      </c>
      <c r="L11" s="97" t="n">
        <v>0.35</v>
      </c>
      <c r="M11" s="97" t="n">
        <v>0.35</v>
      </c>
      <c r="N11" s="97" t="n">
        <v>0.35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97" t="n">
        <v>0.0437</v>
      </c>
      <c r="K12" s="97" t="n">
        <v>0.0437</v>
      </c>
      <c r="L12" s="97" t="n">
        <v>0.0437</v>
      </c>
      <c r="M12" s="97" t="n">
        <v>0.0437</v>
      </c>
      <c r="N12" s="97" t="n">
        <v>0.0437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97" t="n">
        <v>0.1877</v>
      </c>
      <c r="K13" s="97" t="n">
        <v>0.1877</v>
      </c>
      <c r="L13" s="97" t="n">
        <v>0.1877</v>
      </c>
      <c r="M13" s="97" t="n">
        <v>0.1877</v>
      </c>
      <c r="N13" s="97" t="n">
        <v>0.1877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52">
        <f>E42/E24*365</f>
        <v/>
      </c>
      <c r="F15" s="52">
        <f>F42/F24*365</f>
        <v/>
      </c>
      <c r="G15" s="52">
        <f>G42/G24*365</f>
        <v/>
      </c>
      <c r="H15" s="52">
        <f>H42/H24*365</f>
        <v/>
      </c>
      <c r="I15" s="52">
        <f>I42/I24*365</f>
        <v/>
      </c>
      <c r="J15" s="98" t="n">
        <v>97</v>
      </c>
      <c r="K15" s="98" t="n">
        <v>97</v>
      </c>
      <c r="L15" s="98" t="n">
        <v>97</v>
      </c>
      <c r="M15" s="98" t="n">
        <v>97</v>
      </c>
      <c r="N15" s="98" t="n">
        <v>97</v>
      </c>
    </row>
    <row r="16" hidden="1" outlineLevel="1">
      <c r="B16" s="19" t="inlineStr">
        <is>
          <t>Inventory (Days)</t>
        </is>
      </c>
      <c r="D16" s="32" t="n"/>
      <c r="E16" s="52">
        <f>E43/E25*365</f>
        <v/>
      </c>
      <c r="F16" s="52">
        <f>F43/F25*365</f>
        <v/>
      </c>
      <c r="G16" s="52">
        <f>G43/G25*365</f>
        <v/>
      </c>
      <c r="H16" s="52">
        <f>H43/H25*365</f>
        <v/>
      </c>
      <c r="I16" s="52">
        <f>I43/I25*365</f>
        <v/>
      </c>
      <c r="J16" s="98" t="n">
        <v>0</v>
      </c>
      <c r="K16" s="98" t="n">
        <v>0</v>
      </c>
      <c r="L16" s="98" t="n">
        <v>0</v>
      </c>
      <c r="M16" s="98" t="n">
        <v>0</v>
      </c>
      <c r="N16" s="98" t="n">
        <v>0</v>
      </c>
    </row>
    <row r="17" hidden="1" outlineLevel="1">
      <c r="B17" s="19" t="inlineStr">
        <is>
          <t>Accounts Payable (Days)</t>
        </is>
      </c>
      <c r="D17" s="32" t="n"/>
      <c r="E17" s="52">
        <f>E48/E25*365</f>
        <v/>
      </c>
      <c r="F17" s="52">
        <f>F48/F25*365</f>
        <v/>
      </c>
      <c r="G17" s="52">
        <f>G48/G25*365</f>
        <v/>
      </c>
      <c r="H17" s="52">
        <f>H48/H25*365</f>
        <v/>
      </c>
      <c r="I17" s="52">
        <f>I48/I25*365</f>
        <v/>
      </c>
      <c r="J17" s="98" t="n">
        <v>33.3</v>
      </c>
      <c r="K17" s="98" t="n">
        <v>33.3</v>
      </c>
      <c r="L17" s="98" t="n">
        <v>33.3</v>
      </c>
      <c r="M17" s="98" t="n">
        <v>33.3</v>
      </c>
      <c r="N17" s="98" t="n">
        <v>33.3</v>
      </c>
    </row>
    <row r="18" hidden="1" outlineLevel="1">
      <c r="B18" s="19" t="inlineStr">
        <is>
          <t>Capital Expenditures ($000's)</t>
        </is>
      </c>
      <c r="E18" s="52">
        <f>E68</f>
        <v/>
      </c>
      <c r="F18" s="52">
        <f>F68</f>
        <v/>
      </c>
      <c r="G18" s="52">
        <f>G68</f>
        <v/>
      </c>
      <c r="H18" s="52">
        <f>H68</f>
        <v/>
      </c>
      <c r="I18" s="52">
        <f>I68</f>
        <v/>
      </c>
      <c r="J18" s="98" t="n">
        <v>42559.6</v>
      </c>
      <c r="K18" s="98" t="n">
        <v>45964.3</v>
      </c>
      <c r="L18" s="98" t="n">
        <v>49641.5</v>
      </c>
      <c r="M18" s="98" t="n">
        <v>53612.8</v>
      </c>
      <c r="N18" s="98" t="n">
        <v>57901.8</v>
      </c>
    </row>
    <row r="19" hidden="1" outlineLevel="1">
      <c r="B19" s="19" t="inlineStr">
        <is>
          <t>Debt Issuance (Repayment) ($000's)</t>
        </is>
      </c>
      <c r="E19" s="52">
        <f>E99</f>
        <v/>
      </c>
      <c r="F19" s="52">
        <f>F99</f>
        <v/>
      </c>
      <c r="G19" s="52">
        <f>G99</f>
        <v/>
      </c>
      <c r="H19" s="52">
        <f>H99</f>
        <v/>
      </c>
      <c r="I19" s="52">
        <f>I99</f>
        <v/>
      </c>
      <c r="J19" s="98" t="n">
        <v>0</v>
      </c>
      <c r="K19" s="98" t="n">
        <v>0</v>
      </c>
      <c r="L19" s="98" t="n">
        <v>0</v>
      </c>
      <c r="M19" s="98" t="n">
        <v>0</v>
      </c>
      <c r="N19" s="98" t="n">
        <v>0</v>
      </c>
    </row>
    <row r="20" hidden="1" outlineLevel="1">
      <c r="B20" s="19" t="inlineStr">
        <is>
          <t>Equity Issued (Repaid) ($000's)</t>
        </is>
      </c>
      <c r="E20" s="52">
        <f>E73</f>
        <v/>
      </c>
      <c r="F20" s="52">
        <f>F73</f>
        <v/>
      </c>
      <c r="G20" s="52">
        <f>G73</f>
        <v/>
      </c>
      <c r="H20" s="52">
        <f>H73</f>
        <v/>
      </c>
      <c r="I20" s="52">
        <f>I73</f>
        <v/>
      </c>
      <c r="J20" s="98" t="n">
        <v>0</v>
      </c>
      <c r="K20" s="98" t="n">
        <v>0</v>
      </c>
      <c r="L20" s="98" t="n">
        <v>0</v>
      </c>
      <c r="M20" s="98" t="n">
        <v>0</v>
      </c>
      <c r="N20" s="98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Revenue (FICO: Revenues)</t>
        </is>
      </c>
      <c r="C24" s="18" t="n"/>
      <c r="D24" s="46" t="n"/>
      <c r="E24" s="98" t="n">
        <v>1316536</v>
      </c>
      <c r="F24" s="98" t="n">
        <v>1377270</v>
      </c>
      <c r="G24" s="98" t="n">
        <v>1513557</v>
      </c>
      <c r="H24" s="98" t="n">
        <v>1717526</v>
      </c>
      <c r="I24" s="98" t="n">
        <v>1990869</v>
      </c>
      <c r="J24" s="18">
        <f>I24*(1+J7)</f>
        <v/>
      </c>
      <c r="K24" s="18">
        <f>J24*(1+K7)</f>
        <v/>
      </c>
      <c r="L24" s="18">
        <f>K24*(1+L7)</f>
        <v/>
      </c>
      <c r="M24" s="18">
        <f>L24*(1+M7)</f>
        <v/>
      </c>
      <c r="N24" s="18">
        <f>M24*(1+N7)</f>
        <v/>
      </c>
    </row>
    <row r="25" hidden="1" outlineLevel="1">
      <c r="B25" s="19" t="inlineStr">
        <is>
          <t>COGS (FICO: Cost of revenues)</t>
        </is>
      </c>
      <c r="C25" s="19" t="n"/>
      <c r="D25" s="47" t="n"/>
      <c r="E25" s="98" t="n">
        <v>332462</v>
      </c>
      <c r="F25" s="98" t="n">
        <v>302174</v>
      </c>
      <c r="G25" s="98" t="n">
        <v>311053</v>
      </c>
      <c r="H25" s="98" t="n">
        <v>348206</v>
      </c>
      <c r="I25" s="98" t="n">
        <v>353722</v>
      </c>
      <c r="J25" s="55">
        <f>J24*J8</f>
        <v/>
      </c>
      <c r="K25" s="55">
        <f>K24*K8</f>
        <v/>
      </c>
      <c r="L25" s="55">
        <f>L24*L8</f>
        <v/>
      </c>
      <c r="M25" s="55">
        <f>M24*M8</f>
        <v/>
      </c>
      <c r="N25" s="5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7">
        <f>E24-E25</f>
        <v/>
      </c>
      <c r="F26" s="17">
        <f>F24-F25</f>
        <v/>
      </c>
      <c r="G26" s="17">
        <f>G24-G25</f>
        <v/>
      </c>
      <c r="H26" s="17">
        <f>H24-H25</f>
        <v/>
      </c>
      <c r="I26" s="17">
        <f>I24-I25</f>
        <v/>
      </c>
      <c r="J26" s="17">
        <f>J24-J25</f>
        <v/>
      </c>
      <c r="K26" s="17">
        <f>K24-K25</f>
        <v/>
      </c>
      <c r="L26" s="17">
        <f>L24-L25</f>
        <v/>
      </c>
      <c r="M26" s="17">
        <f>M24-M25</f>
        <v/>
      </c>
      <c r="N26" s="17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SG&amp;A (CFI Salaries ← FICO SG&amp;A)</t>
        </is>
      </c>
      <c r="E28" s="98" t="n">
        <v>396281</v>
      </c>
      <c r="F28" s="98" t="n">
        <v>383863</v>
      </c>
      <c r="G28" s="98" t="n">
        <v>400565</v>
      </c>
      <c r="H28" s="98" t="n">
        <v>462834</v>
      </c>
      <c r="I28" s="98" t="n">
        <v>513028</v>
      </c>
      <c r="J28" s="19">
        <f>J9</f>
        <v/>
      </c>
      <c r="K28" s="19">
        <f>K9</f>
        <v/>
      </c>
      <c r="L28" s="19">
        <f>L9</f>
        <v/>
      </c>
      <c r="M28" s="19">
        <f>M9</f>
        <v/>
      </c>
      <c r="N28" s="19">
        <f>N9</f>
        <v/>
      </c>
    </row>
    <row r="29" hidden="1" outlineLevel="1">
      <c r="B29" s="19" t="inlineStr">
        <is>
          <t>R&amp;D (CFI Rent/Overhead ← FICO R&amp;D)</t>
        </is>
      </c>
      <c r="E29" s="98" t="n">
        <v>171231</v>
      </c>
      <c r="F29" s="98" t="n">
        <v>146758</v>
      </c>
      <c r="G29" s="98" t="n">
        <v>159950</v>
      </c>
      <c r="H29" s="98" t="n">
        <v>171940</v>
      </c>
      <c r="I29" s="98" t="n">
        <v>188347</v>
      </c>
      <c r="J29" s="19">
        <f>J10</f>
        <v/>
      </c>
      <c r="K29" s="19">
        <f>K10</f>
        <v/>
      </c>
      <c r="L29" s="19">
        <f>L10</f>
        <v/>
      </c>
      <c r="M29" s="19">
        <f>M10</f>
        <v/>
      </c>
      <c r="N29" s="19">
        <f>N10</f>
        <v/>
      </c>
    </row>
    <row r="30" hidden="1" outlineLevel="1">
      <c r="B30" s="19" t="inlineStr">
        <is>
          <t>Depreciation &amp; Amortization</t>
        </is>
      </c>
      <c r="E30" s="98" t="n">
        <v>25592</v>
      </c>
      <c r="F30" s="98" t="n">
        <v>20465</v>
      </c>
      <c r="G30" s="98" t="n">
        <v>14638</v>
      </c>
      <c r="H30" s="98" t="n">
        <v>13827</v>
      </c>
      <c r="I30" s="98" t="n">
        <v>14952</v>
      </c>
      <c r="J30" s="19">
        <f>J94</f>
        <v/>
      </c>
      <c r="K30" s="19">
        <f>K94</f>
        <v/>
      </c>
      <c r="L30" s="19">
        <f>L94</f>
        <v/>
      </c>
      <c r="M30" s="19">
        <f>M94</f>
        <v/>
      </c>
      <c r="N30" s="19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99" t="n">
        <v>40092</v>
      </c>
      <c r="F31" s="99" t="n">
        <v>68967</v>
      </c>
      <c r="G31" s="99" t="n">
        <v>95546</v>
      </c>
      <c r="H31" s="99" t="n">
        <v>105638</v>
      </c>
      <c r="I31" s="99" t="n">
        <v>133647</v>
      </c>
      <c r="J31" s="16">
        <f>J101</f>
        <v/>
      </c>
      <c r="K31" s="16">
        <f>K101</f>
        <v/>
      </c>
      <c r="L31" s="16">
        <f>L101</f>
        <v/>
      </c>
      <c r="M31" s="16">
        <f>M101</f>
        <v/>
      </c>
      <c r="N31" s="16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49">
        <f>SUM(E28:E31)</f>
        <v/>
      </c>
      <c r="F32" s="49">
        <f>SUM(F28:F31)</f>
        <v/>
      </c>
      <c r="G32" s="49">
        <f>SUM(G28:G31)</f>
        <v/>
      </c>
      <c r="H32" s="49">
        <f>SUM(H28:H31)</f>
        <v/>
      </c>
      <c r="I32" s="49">
        <f>SUM(I28:I31)</f>
        <v/>
      </c>
      <c r="J32" s="49">
        <f>SUM(J28:J31)</f>
        <v/>
      </c>
      <c r="K32" s="49">
        <f>SUM(K28:K31)</f>
        <v/>
      </c>
      <c r="L32" s="49">
        <f>SUM(L28:L31)</f>
        <v/>
      </c>
      <c r="M32" s="49">
        <f>SUM(M28:M31)</f>
        <v/>
      </c>
      <c r="N32" s="4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7">
        <f>E26-E32</f>
        <v/>
      </c>
      <c r="F33" s="17">
        <f>F26-F32</f>
        <v/>
      </c>
      <c r="G33" s="17">
        <f>G26-G32</f>
        <v/>
      </c>
      <c r="H33" s="17">
        <f>H26-H32</f>
        <v/>
      </c>
      <c r="I33" s="17">
        <f>I26-I32</f>
        <v/>
      </c>
      <c r="J33" s="17">
        <f>J26-J32</f>
        <v/>
      </c>
      <c r="K33" s="17">
        <f>K26-K32</f>
        <v/>
      </c>
      <c r="L33" s="17">
        <f>L26-L32</f>
        <v/>
      </c>
      <c r="M33" s="17">
        <f>M26-M32</f>
        <v/>
      </c>
      <c r="N33" s="17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98" t="n">
        <v>81058</v>
      </c>
      <c r="F35" s="98" t="n">
        <v>97768</v>
      </c>
      <c r="G35" s="98" t="n">
        <v>124249</v>
      </c>
      <c r="H35" s="98" t="n">
        <v>129214</v>
      </c>
      <c r="I35" s="98" t="n">
        <v>150649</v>
      </c>
      <c r="J35" s="55">
        <f>J33*J13</f>
        <v/>
      </c>
      <c r="K35" s="55">
        <f>K33*K13</f>
        <v/>
      </c>
      <c r="L35" s="55">
        <f>L33*L13</f>
        <v/>
      </c>
      <c r="M35" s="55">
        <f>M33*M13</f>
        <v/>
      </c>
      <c r="N35" s="5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41">
        <f>E33-E35</f>
        <v/>
      </c>
      <c r="F36" s="41">
        <f>F33-F35</f>
        <v/>
      </c>
      <c r="G36" s="41">
        <f>G33-G35</f>
        <v/>
      </c>
      <c r="H36" s="41">
        <f>H33-H35</f>
        <v/>
      </c>
      <c r="I36" s="41">
        <f>I33-I35</f>
        <v/>
      </c>
      <c r="J36" s="41">
        <f>J33-J35</f>
        <v/>
      </c>
      <c r="K36" s="41">
        <f>K33-K35</f>
        <v/>
      </c>
      <c r="L36" s="41">
        <f>L33-L35</f>
        <v/>
      </c>
      <c r="M36" s="41">
        <f>M33-M35</f>
        <v/>
      </c>
      <c r="N36" s="41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98" t="n">
        <v>195354</v>
      </c>
      <c r="F41" s="98" t="n">
        <v>133202</v>
      </c>
      <c r="G41" s="98" t="n">
        <v>136778</v>
      </c>
      <c r="H41" s="98" t="n">
        <v>150667</v>
      </c>
      <c r="I41" s="98" t="n">
        <v>134136</v>
      </c>
      <c r="J41" s="19">
        <f>J78</f>
        <v/>
      </c>
      <c r="K41" s="19">
        <f>K78</f>
        <v/>
      </c>
      <c r="L41" s="19">
        <f>L78</f>
        <v/>
      </c>
      <c r="M41" s="19">
        <f>M78</f>
        <v/>
      </c>
      <c r="N41" s="19">
        <f>N78</f>
        <v/>
      </c>
    </row>
    <row r="42" hidden="1" outlineLevel="1">
      <c r="B42" s="19" t="inlineStr">
        <is>
          <t>Accounts Receivable</t>
        </is>
      </c>
      <c r="E42" s="98" t="n">
        <v>312107</v>
      </c>
      <c r="F42" s="98" t="n">
        <v>322410</v>
      </c>
      <c r="G42" s="98" t="n">
        <v>387947</v>
      </c>
      <c r="H42" s="98" t="n">
        <v>426642</v>
      </c>
      <c r="I42" s="98" t="n">
        <v>529148</v>
      </c>
      <c r="J42" s="42">
        <f>J24*J15/365</f>
        <v/>
      </c>
      <c r="K42" s="42">
        <f>K24*K15/365</f>
        <v/>
      </c>
      <c r="L42" s="42">
        <f>L24*L15/365</f>
        <v/>
      </c>
      <c r="M42" s="42">
        <f>M24*M15/365</f>
        <v/>
      </c>
      <c r="N42" s="42">
        <f>N24*N15/365</f>
        <v/>
      </c>
    </row>
    <row r="43" hidden="1" outlineLevel="1">
      <c r="B43" s="19" t="inlineStr">
        <is>
          <t>Inventory</t>
        </is>
      </c>
      <c r="E43" s="98" t="n">
        <v>0</v>
      </c>
      <c r="F43" s="98" t="n">
        <v>0</v>
      </c>
      <c r="G43" s="98" t="n">
        <v>0</v>
      </c>
      <c r="H43" s="98" t="n">
        <v>0</v>
      </c>
      <c r="I43" s="98" t="n">
        <v>0</v>
      </c>
      <c r="J43" s="19">
        <f>J25*J16/365</f>
        <v/>
      </c>
      <c r="K43" s="19">
        <f>K25*K16/365</f>
        <v/>
      </c>
      <c r="L43" s="19">
        <f>L25*L16/365</f>
        <v/>
      </c>
      <c r="M43" s="19">
        <f>M25*M16/365</f>
        <v/>
      </c>
      <c r="N43" s="19">
        <f>N25*N16/365</f>
        <v/>
      </c>
    </row>
    <row r="44" hidden="1" outlineLevel="1">
      <c r="B44" s="19" t="inlineStr">
        <is>
          <t>Property &amp; Equipment</t>
        </is>
      </c>
      <c r="E44" s="98" t="n">
        <v>27913</v>
      </c>
      <c r="F44" s="98" t="n">
        <v>17580</v>
      </c>
      <c r="G44" s="98" t="n">
        <v>10966</v>
      </c>
      <c r="H44" s="98" t="n">
        <v>38465</v>
      </c>
      <c r="I44" s="98" t="n">
        <v>67713</v>
      </c>
      <c r="J44" s="19">
        <f>J95</f>
        <v/>
      </c>
      <c r="K44" s="19">
        <f>K95</f>
        <v/>
      </c>
      <c r="L44" s="19">
        <f>L95</f>
        <v/>
      </c>
      <c r="M44" s="19">
        <f>M95</f>
        <v/>
      </c>
      <c r="N44" s="19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41">
        <f>SUM(E41:E44)</f>
        <v/>
      </c>
      <c r="F45" s="41">
        <f>SUM(F41:F44)</f>
        <v/>
      </c>
      <c r="G45" s="41">
        <f>SUM(G41:G44)</f>
        <v/>
      </c>
      <c r="H45" s="41">
        <f>SUM(H41:H44)</f>
        <v/>
      </c>
      <c r="I45" s="41">
        <f>SUM(I41:I44)</f>
        <v/>
      </c>
      <c r="J45" s="41">
        <f>SUM(J41:J44)</f>
        <v/>
      </c>
      <c r="K45" s="41">
        <f>SUM(K41:K44)</f>
        <v/>
      </c>
      <c r="L45" s="41">
        <f>SUM(L41:L44)</f>
        <v/>
      </c>
      <c r="M45" s="41">
        <f>SUM(M41:M44)</f>
        <v/>
      </c>
      <c r="N45" s="41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98" t="n">
        <v>20749</v>
      </c>
      <c r="F48" s="98" t="n">
        <v>17273</v>
      </c>
      <c r="G48" s="98" t="n">
        <v>19009</v>
      </c>
      <c r="H48" s="98" t="n">
        <v>22473</v>
      </c>
      <c r="I48" s="98" t="n">
        <v>32315</v>
      </c>
      <c r="J48" s="19">
        <f>J25*J17/365</f>
        <v/>
      </c>
      <c r="K48" s="19">
        <f>K25*K17/365</f>
        <v/>
      </c>
      <c r="L48" s="19">
        <f>L25*L17/365</f>
        <v/>
      </c>
      <c r="M48" s="19">
        <f>M25*M17/365</f>
        <v/>
      </c>
      <c r="N48" s="19">
        <f>N25*N17/365</f>
        <v/>
      </c>
    </row>
    <row r="49" hidden="1" outlineLevel="1">
      <c r="B49" s="19" t="inlineStr">
        <is>
          <t>Debt</t>
        </is>
      </c>
      <c r="E49" s="98" t="n">
        <v>1009018</v>
      </c>
      <c r="F49" s="98" t="n">
        <v>1823669</v>
      </c>
      <c r="G49" s="98" t="n">
        <v>1811658</v>
      </c>
      <c r="H49" s="98" t="n">
        <v>2209021</v>
      </c>
      <c r="I49" s="98" t="n">
        <v>3055691</v>
      </c>
      <c r="J49" s="19">
        <f>J100</f>
        <v/>
      </c>
      <c r="K49" s="19">
        <f>K100</f>
        <v/>
      </c>
      <c r="L49" s="19">
        <f>L100</f>
        <v/>
      </c>
      <c r="M49" s="19">
        <f>M100</f>
        <v/>
      </c>
      <c r="N49" s="19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7">
        <f>SUM(E48:E49)</f>
        <v/>
      </c>
      <c r="F50" s="17">
        <f>SUM(F48:F49)</f>
        <v/>
      </c>
      <c r="G50" s="17">
        <f>SUM(G48:G49)</f>
        <v/>
      </c>
      <c r="H50" s="17">
        <f>SUM(H48:H49)</f>
        <v/>
      </c>
      <c r="I50" s="17">
        <f>SUM(I48:I49)</f>
        <v/>
      </c>
      <c r="J50" s="17">
        <f>SUM(J48:J49)</f>
        <v/>
      </c>
      <c r="K50" s="17">
        <f>SUM(K48:K49)</f>
        <v/>
      </c>
      <c r="L50" s="17">
        <f>SUM(L48:L49)</f>
        <v/>
      </c>
      <c r="M50" s="17">
        <f>SUM(M48:M49)</f>
        <v/>
      </c>
      <c r="N50" s="17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98" t="n">
        <v>-3079536</v>
      </c>
      <c r="F52" s="98" t="n">
        <v>-4326434</v>
      </c>
      <c r="G52" s="98" t="n">
        <v>-4683035</v>
      </c>
      <c r="H52" s="98" t="n">
        <v>-5516590</v>
      </c>
      <c r="I52" s="98" t="n">
        <v>-6909825</v>
      </c>
      <c r="J52" s="19">
        <f>I52+J20</f>
        <v/>
      </c>
      <c r="K52" s="19">
        <f>J52+K20</f>
        <v/>
      </c>
      <c r="L52" s="19">
        <f>K52+L20</f>
        <v/>
      </c>
      <c r="M52" s="19">
        <f>L52+M20</f>
        <v/>
      </c>
      <c r="N52" s="19">
        <f>M52+N20</f>
        <v/>
      </c>
    </row>
    <row r="53" hidden="1" outlineLevel="1">
      <c r="B53" s="19" t="inlineStr">
        <is>
          <t>Retained Earnings</t>
        </is>
      </c>
      <c r="E53" s="98" t="n">
        <v>2585143</v>
      </c>
      <c r="F53" s="98" t="n">
        <v>2958684</v>
      </c>
      <c r="G53" s="98" t="n">
        <v>3388059</v>
      </c>
      <c r="H53" s="98" t="n">
        <v>3900870</v>
      </c>
      <c r="I53" s="98" t="n">
        <v>4552816</v>
      </c>
      <c r="J53" s="19">
        <f>I53+J36</f>
        <v/>
      </c>
      <c r="K53" s="19">
        <f>J53+K36</f>
        <v/>
      </c>
      <c r="L53" s="19">
        <f>K53+L36</f>
        <v/>
      </c>
      <c r="M53" s="19">
        <f>L53+M36</f>
        <v/>
      </c>
      <c r="N53" s="19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50">
        <f>SUM(E52:E53)</f>
        <v/>
      </c>
      <c r="F54" s="50">
        <f>SUM(F52:F53)</f>
        <v/>
      </c>
      <c r="G54" s="50">
        <f>SUM(G52:G53)</f>
        <v/>
      </c>
      <c r="H54" s="50">
        <f>SUM(H52:H53)</f>
        <v/>
      </c>
      <c r="I54" s="50">
        <f>SUM(I52:I53)</f>
        <v/>
      </c>
      <c r="J54" s="50">
        <f>SUM(J52:J53)</f>
        <v/>
      </c>
      <c r="K54" s="50">
        <f>SUM(K52:K53)</f>
        <v/>
      </c>
      <c r="L54" s="50">
        <f>SUM(L52:L53)</f>
        <v/>
      </c>
      <c r="M54" s="50">
        <f>SUM(M52:M53)</f>
        <v/>
      </c>
      <c r="N54" s="50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41">
        <f>E50+E54</f>
        <v/>
      </c>
      <c r="F55" s="41">
        <f>F50+F54</f>
        <v/>
      </c>
      <c r="G55" s="41">
        <f>G50+G54</f>
        <v/>
      </c>
      <c r="H55" s="41">
        <f>H50+H54</f>
        <v/>
      </c>
      <c r="I55" s="41">
        <f>I50+I54</f>
        <v/>
      </c>
      <c r="J55" s="41">
        <f>J50+J54</f>
        <v/>
      </c>
      <c r="K55" s="41">
        <f>K50+K54</f>
        <v/>
      </c>
      <c r="L55" s="41">
        <f>L50+L54</f>
        <v/>
      </c>
      <c r="M55" s="41">
        <f>M50+M54</f>
        <v/>
      </c>
      <c r="N55" s="41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66">
        <f>E55-E45</f>
        <v/>
      </c>
      <c r="F57" s="66">
        <f>F55-F45</f>
        <v/>
      </c>
      <c r="G57" s="66">
        <f>G55-G45</f>
        <v/>
      </c>
      <c r="H57" s="66">
        <f>H55-H45</f>
        <v/>
      </c>
      <c r="I57" s="66">
        <f>I55-I45</f>
        <v/>
      </c>
      <c r="J57" s="66">
        <f>J55-J45</f>
        <v/>
      </c>
      <c r="K57" s="66">
        <f>K55-K45</f>
        <v/>
      </c>
      <c r="L57" s="66">
        <f>L55-L45</f>
        <v/>
      </c>
      <c r="M57" s="66">
        <f>M55-M45</f>
        <v/>
      </c>
      <c r="N57" s="66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9">
        <f>E36</f>
        <v/>
      </c>
      <c r="F62" s="19">
        <f>F36</f>
        <v/>
      </c>
      <c r="G62" s="19">
        <f>G36</f>
        <v/>
      </c>
      <c r="H62" s="19">
        <f>H36</f>
        <v/>
      </c>
      <c r="I62" s="19">
        <f>I36</f>
        <v/>
      </c>
      <c r="J62" s="19">
        <f>J36</f>
        <v/>
      </c>
      <c r="K62" s="19">
        <f>K36</f>
        <v/>
      </c>
      <c r="L62" s="19">
        <f>L36</f>
        <v/>
      </c>
      <c r="M62" s="19">
        <f>M36</f>
        <v/>
      </c>
      <c r="N62" s="19">
        <f>N36</f>
        <v/>
      </c>
    </row>
    <row r="63" hidden="1" outlineLevel="1">
      <c r="B63" s="19" t="inlineStr">
        <is>
          <t>Plus: Depreciation &amp; Amortization</t>
        </is>
      </c>
      <c r="E63" s="19">
        <f>+E30</f>
        <v/>
      </c>
      <c r="F63" s="19">
        <f>+F30</f>
        <v/>
      </c>
      <c r="G63" s="19">
        <f>+G30</f>
        <v/>
      </c>
      <c r="H63" s="19">
        <f>+H30</f>
        <v/>
      </c>
      <c r="I63" s="19">
        <f>+I30</f>
        <v/>
      </c>
      <c r="J63" s="19">
        <f>+J30</f>
        <v/>
      </c>
      <c r="K63" s="19">
        <f>+K30</f>
        <v/>
      </c>
      <c r="L63" s="19">
        <f>+L30</f>
        <v/>
      </c>
      <c r="M63" s="19">
        <f>+M30</f>
        <v/>
      </c>
      <c r="N63" s="19">
        <f>+N30</f>
        <v/>
      </c>
    </row>
    <row r="64" hidden="1" outlineLevel="1">
      <c r="B64" s="19" t="inlineStr">
        <is>
          <t>Less: Changes in Working Capital</t>
        </is>
      </c>
      <c r="E64" s="98" t="n">
        <v>-19789</v>
      </c>
      <c r="F64" s="98" t="n">
        <v>13779</v>
      </c>
      <c r="G64" s="98" t="n">
        <v>63801</v>
      </c>
      <c r="H64" s="98" t="n">
        <v>35231</v>
      </c>
      <c r="I64" s="98" t="n">
        <v>92664</v>
      </c>
      <c r="J64" s="19">
        <f>J89</f>
        <v/>
      </c>
      <c r="K64" s="19">
        <f>K89</f>
        <v/>
      </c>
      <c r="L64" s="19">
        <f>L89</f>
        <v/>
      </c>
      <c r="M64" s="19">
        <f>M89</f>
        <v/>
      </c>
      <c r="N64" s="19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7">
        <f>E62+E63-E64</f>
        <v/>
      </c>
      <c r="F65" s="17">
        <f>F62+F63-F64</f>
        <v/>
      </c>
      <c r="G65" s="17">
        <f>G62+G63-G64</f>
        <v/>
      </c>
      <c r="H65" s="17">
        <f>H62+H63-H64</f>
        <v/>
      </c>
      <c r="I65" s="17">
        <f>I62+I63-I64</f>
        <v/>
      </c>
      <c r="J65" s="17">
        <f>J62+J63-J64</f>
        <v/>
      </c>
      <c r="K65" s="17">
        <f>K62+K63-K64</f>
        <v/>
      </c>
      <c r="L65" s="17">
        <f>L62+L63-L64</f>
        <v/>
      </c>
      <c r="M65" s="17">
        <f>M62+M63-M64</f>
        <v/>
      </c>
      <c r="N65" s="17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98" t="n">
        <v>7569</v>
      </c>
      <c r="F68" s="98" t="n">
        <v>6029</v>
      </c>
      <c r="G68" s="98" t="n">
        <v>4237</v>
      </c>
      <c r="H68" s="98" t="n">
        <v>25551</v>
      </c>
      <c r="I68" s="98" t="n">
        <v>39407</v>
      </c>
      <c r="J68" s="19">
        <f>J18</f>
        <v/>
      </c>
      <c r="K68" s="19">
        <f>K18</f>
        <v/>
      </c>
      <c r="L68" s="19">
        <f>L18</f>
        <v/>
      </c>
      <c r="M68" s="19">
        <f>M18</f>
        <v/>
      </c>
      <c r="N68" s="19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7">
        <f>SUM(E68)</f>
        <v/>
      </c>
      <c r="F69" s="17">
        <f>SUM(F68)</f>
        <v/>
      </c>
      <c r="G69" s="17">
        <f>SUM(G68)</f>
        <v/>
      </c>
      <c r="H69" s="17">
        <f>SUM(H68)</f>
        <v/>
      </c>
      <c r="I69" s="17">
        <f>SUM(I68)</f>
        <v/>
      </c>
      <c r="J69" s="17">
        <f>SUM(J68)</f>
        <v/>
      </c>
      <c r="K69" s="17">
        <f>SUM(K68)</f>
        <v/>
      </c>
      <c r="L69" s="17">
        <f>SUM(L68)</f>
        <v/>
      </c>
      <c r="M69" s="17">
        <f>SUM(M68)</f>
        <v/>
      </c>
      <c r="N69" s="17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98" t="n">
        <v>269583</v>
      </c>
      <c r="F72" s="98" t="n">
        <v>814651</v>
      </c>
      <c r="G72" s="98" t="n">
        <v>-12011</v>
      </c>
      <c r="H72" s="98" t="n">
        <v>397363</v>
      </c>
      <c r="I72" s="98" t="n">
        <v>846670</v>
      </c>
      <c r="J72" s="19">
        <f>J19</f>
        <v/>
      </c>
      <c r="K72" s="19">
        <f>K19</f>
        <v/>
      </c>
      <c r="L72" s="19">
        <f>L19</f>
        <v/>
      </c>
      <c r="M72" s="19">
        <f>M19</f>
        <v/>
      </c>
      <c r="N72" s="19">
        <f>N19</f>
        <v/>
      </c>
    </row>
    <row r="73" hidden="1" outlineLevel="1">
      <c r="B73" s="19" t="inlineStr">
        <is>
          <t>Issuance (repayment) of equity</t>
        </is>
      </c>
      <c r="E73" s="98" t="n">
        <v>-661519</v>
      </c>
      <c r="F73" s="98" t="n">
        <v>-1251001</v>
      </c>
      <c r="G73" s="98" t="n">
        <v>-360388</v>
      </c>
      <c r="H73" s="98" t="n">
        <v>-849330</v>
      </c>
      <c r="I73" s="98" t="n">
        <v>-1398028</v>
      </c>
      <c r="J73" s="19">
        <f>J20</f>
        <v/>
      </c>
      <c r="K73" s="19">
        <f>K20</f>
        <v/>
      </c>
      <c r="L73" s="19">
        <f>L20</f>
        <v/>
      </c>
      <c r="M73" s="19">
        <f>M20</f>
        <v/>
      </c>
      <c r="N73" s="19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7">
        <f>SUM(E72:E73)</f>
        <v/>
      </c>
      <c r="F74" s="17">
        <f>SUM(F72:F73)</f>
        <v/>
      </c>
      <c r="G74" s="17">
        <f>SUM(G72:G73)</f>
        <v/>
      </c>
      <c r="H74" s="17">
        <f>SUM(H72:H73)</f>
        <v/>
      </c>
      <c r="I74" s="17">
        <f>SUM(I72:I73)</f>
        <v/>
      </c>
      <c r="J74" s="17">
        <f>SUM(J72:J73)</f>
        <v/>
      </c>
      <c r="K74" s="17">
        <f>SUM(K72:K73)</f>
        <v/>
      </c>
      <c r="L74" s="17">
        <f>SUM(L72:L73)</f>
        <v/>
      </c>
      <c r="M74" s="17">
        <f>SUM(M72:M73)</f>
        <v/>
      </c>
      <c r="N74" s="17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52">
        <f>E65-E69+E74</f>
        <v/>
      </c>
      <c r="F76" s="52">
        <f>F65-F69+F74</f>
        <v/>
      </c>
      <c r="G76" s="52">
        <f>G65-G69+G74</f>
        <v/>
      </c>
      <c r="H76" s="52">
        <f>H65-H69+H74</f>
        <v/>
      </c>
      <c r="I76" s="52">
        <f>I65-I69+I74</f>
        <v/>
      </c>
      <c r="J76" s="52">
        <f>J65-J69+J74</f>
        <v/>
      </c>
      <c r="K76" s="52">
        <f>K65-K69+K74</f>
        <v/>
      </c>
      <c r="L76" s="52">
        <f>L65-L69+L74</f>
        <v/>
      </c>
      <c r="M76" s="52">
        <f>M65-M69+M74</f>
        <v/>
      </c>
      <c r="N76" s="52">
        <f>N65-N69+N74</f>
        <v/>
      </c>
    </row>
    <row r="77" hidden="1" outlineLevel="1">
      <c r="B77" s="19" t="inlineStr">
        <is>
          <t>Opening Cash Balance</t>
        </is>
      </c>
      <c r="E77" s="19">
        <f>D78</f>
        <v/>
      </c>
      <c r="F77" s="98" t="n">
        <v>195354</v>
      </c>
      <c r="G77" s="98" t="n">
        <v>133202</v>
      </c>
      <c r="H77" s="98" t="n">
        <v>136778</v>
      </c>
      <c r="I77" s="98" t="n">
        <v>150667</v>
      </c>
      <c r="J77" s="19">
        <f>+I78</f>
        <v/>
      </c>
      <c r="K77" s="19">
        <f>+J78</f>
        <v/>
      </c>
      <c r="L77" s="19">
        <f>+K78</f>
        <v/>
      </c>
      <c r="M77" s="19">
        <f>+L78</f>
        <v/>
      </c>
      <c r="N77" s="19">
        <f>+M78</f>
        <v/>
      </c>
    </row>
    <row r="78" hidden="1" outlineLevel="1">
      <c r="B78" s="4" t="inlineStr">
        <is>
          <t>Closing Cash Balance</t>
        </is>
      </c>
      <c r="C78" s="5" t="n"/>
      <c r="D78" s="100" t="n">
        <v>157394</v>
      </c>
      <c r="E78" s="17">
        <f>SUM(E76:E77)</f>
        <v/>
      </c>
      <c r="F78" s="17">
        <f>SUM(F76:F77)</f>
        <v/>
      </c>
      <c r="G78" s="17">
        <f>SUM(G76:G77)</f>
        <v/>
      </c>
      <c r="H78" s="17">
        <f>SUM(H76:H77)</f>
        <v/>
      </c>
      <c r="I78" s="17">
        <f>SUM(I76:I77)</f>
        <v/>
      </c>
      <c r="J78" s="17">
        <f>SUM(J76:J77)</f>
        <v/>
      </c>
      <c r="K78" s="17">
        <f>SUM(K76:K77)</f>
        <v/>
      </c>
      <c r="L78" s="17">
        <f>SUM(L76:L77)</f>
        <v/>
      </c>
      <c r="M78" s="17">
        <f>SUM(M76:M77)</f>
        <v/>
      </c>
      <c r="N78" s="17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66">
        <f>E78-E41</f>
        <v/>
      </c>
      <c r="F80" s="66">
        <f>F78-F41</f>
        <v/>
      </c>
      <c r="G80" s="66">
        <f>G78-G41</f>
        <v/>
      </c>
      <c r="H80" s="66">
        <f>H78-H41</f>
        <v/>
      </c>
      <c r="I80" s="66">
        <f>I78-I41</f>
        <v/>
      </c>
      <c r="J80" s="66">
        <f>J78-J41</f>
        <v/>
      </c>
      <c r="K80" s="66">
        <f>K78-K41</f>
        <v/>
      </c>
      <c r="L80" s="66">
        <f>L78-L41</f>
        <v/>
      </c>
      <c r="M80" s="66">
        <f>M78-M41</f>
        <v/>
      </c>
      <c r="N80" s="66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98" t="n">
        <v>312107</v>
      </c>
      <c r="F85" s="98" t="n">
        <v>322410</v>
      </c>
      <c r="G85" s="98" t="n">
        <v>387947</v>
      </c>
      <c r="H85" s="98" t="n">
        <v>426642</v>
      </c>
      <c r="I85" s="98" t="n">
        <v>529148</v>
      </c>
      <c r="J85" s="19">
        <f>J42</f>
        <v/>
      </c>
      <c r="K85" s="19">
        <f>K42</f>
        <v/>
      </c>
      <c r="L85" s="19">
        <f>L42</f>
        <v/>
      </c>
      <c r="M85" s="19">
        <f>M42</f>
        <v/>
      </c>
      <c r="N85" s="19">
        <f>N42</f>
        <v/>
      </c>
    </row>
    <row r="86" hidden="1" outlineLevel="1">
      <c r="B86" s="19" t="inlineStr">
        <is>
          <t>Inventory</t>
        </is>
      </c>
      <c r="E86" s="98" t="n">
        <v>0</v>
      </c>
      <c r="F86" s="98" t="n">
        <v>0</v>
      </c>
      <c r="G86" s="98" t="n">
        <v>0</v>
      </c>
      <c r="H86" s="98" t="n">
        <v>0</v>
      </c>
      <c r="I86" s="98" t="n">
        <v>0</v>
      </c>
      <c r="J86" s="19">
        <f>J43</f>
        <v/>
      </c>
      <c r="K86" s="19">
        <f>K43</f>
        <v/>
      </c>
      <c r="L86" s="19">
        <f>L43</f>
        <v/>
      </c>
      <c r="M86" s="19">
        <f>M43</f>
        <v/>
      </c>
      <c r="N86" s="19">
        <f>N43</f>
        <v/>
      </c>
    </row>
    <row r="87" hidden="1" outlineLevel="1">
      <c r="B87" s="19" t="inlineStr">
        <is>
          <t>Accounts Payable</t>
        </is>
      </c>
      <c r="E87" s="98" t="n">
        <v>20749</v>
      </c>
      <c r="F87" s="98" t="n">
        <v>17273</v>
      </c>
      <c r="G87" s="98" t="n">
        <v>19009</v>
      </c>
      <c r="H87" s="98" t="n">
        <v>22473</v>
      </c>
      <c r="I87" s="98" t="n">
        <v>32315</v>
      </c>
      <c r="J87" s="19">
        <f>J48</f>
        <v/>
      </c>
      <c r="K87" s="19">
        <f>K48</f>
        <v/>
      </c>
      <c r="L87" s="19">
        <f>L48</f>
        <v/>
      </c>
      <c r="M87" s="19">
        <f>M48</f>
        <v/>
      </c>
      <c r="N87" s="19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51">
        <f>E85+E86-E87</f>
        <v/>
      </c>
      <c r="F88" s="51">
        <f>F85+F86-F87</f>
        <v/>
      </c>
      <c r="G88" s="51">
        <f>G85+G86-G87</f>
        <v/>
      </c>
      <c r="H88" s="51">
        <f>H85+H86-H87</f>
        <v/>
      </c>
      <c r="I88" s="51">
        <f>I85+I86-I87</f>
        <v/>
      </c>
      <c r="J88" s="51">
        <f>J85+J86-J87</f>
        <v/>
      </c>
      <c r="K88" s="51">
        <f>K85+K86-K87</f>
        <v/>
      </c>
      <c r="L88" s="51">
        <f>L85+L86-L87</f>
        <v/>
      </c>
      <c r="M88" s="51">
        <f>M85+M86-M87</f>
        <v/>
      </c>
      <c r="N88" s="51">
        <f>N85+N86-N87</f>
        <v/>
      </c>
    </row>
    <row r="89" hidden="1" outlineLevel="1">
      <c r="B89" s="19" t="inlineStr">
        <is>
          <t>Change in NWC</t>
        </is>
      </c>
      <c r="E89" s="52">
        <f>E88-D88</f>
        <v/>
      </c>
      <c r="F89" s="52">
        <f>F88-E88</f>
        <v/>
      </c>
      <c r="G89" s="52">
        <f>G88-F88</f>
        <v/>
      </c>
      <c r="H89" s="52">
        <f>H88-G88</f>
        <v/>
      </c>
      <c r="I89" s="52">
        <f>I88-H88</f>
        <v/>
      </c>
      <c r="J89" s="52">
        <f>J88-I88</f>
        <v/>
      </c>
      <c r="K89" s="52">
        <f>K88-J88</f>
        <v/>
      </c>
      <c r="L89" s="52">
        <f>L88-K88</f>
        <v/>
      </c>
      <c r="M89" s="52">
        <f>M88-L88</f>
        <v/>
      </c>
      <c r="N89" s="5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98" t="n">
        <v>46419</v>
      </c>
      <c r="F92" s="98" t="n">
        <v>27913</v>
      </c>
      <c r="G92" s="98" t="n">
        <v>17580</v>
      </c>
      <c r="H92" s="98" t="n">
        <v>10966</v>
      </c>
      <c r="I92" s="98" t="n">
        <v>38465</v>
      </c>
      <c r="J92" s="19">
        <f>I95</f>
        <v/>
      </c>
      <c r="K92" s="19">
        <f>J95</f>
        <v/>
      </c>
      <c r="L92" s="19">
        <f>K95</f>
        <v/>
      </c>
      <c r="M92" s="19">
        <f>L95</f>
        <v/>
      </c>
      <c r="N92" s="19">
        <f>M95</f>
        <v/>
      </c>
    </row>
    <row r="93" hidden="1" outlineLevel="1">
      <c r="B93" s="19" t="inlineStr">
        <is>
          <t>Plus Capex</t>
        </is>
      </c>
      <c r="E93" s="98" t="n">
        <v>7086</v>
      </c>
      <c r="F93" s="98" t="n">
        <v>10132</v>
      </c>
      <c r="G93" s="98" t="n">
        <v>8024</v>
      </c>
      <c r="H93" s="98" t="n">
        <v>41326</v>
      </c>
      <c r="I93" s="98" t="n">
        <v>44200</v>
      </c>
      <c r="J93" s="19">
        <f>+J18</f>
        <v/>
      </c>
      <c r="K93" s="19">
        <f>+K18</f>
        <v/>
      </c>
      <c r="L93" s="19">
        <f>+L18</f>
        <v/>
      </c>
      <c r="M93" s="19">
        <f>+M18</f>
        <v/>
      </c>
      <c r="N93" s="19">
        <f>+N18</f>
        <v/>
      </c>
    </row>
    <row r="94" hidden="1" outlineLevel="1">
      <c r="B94" s="19" t="inlineStr">
        <is>
          <t>Less Depreciation</t>
        </is>
      </c>
      <c r="E94" s="98" t="n">
        <v>25592</v>
      </c>
      <c r="F94" s="98" t="n">
        <v>20465</v>
      </c>
      <c r="G94" s="98" t="n">
        <v>14638</v>
      </c>
      <c r="H94" s="98" t="n">
        <v>13827</v>
      </c>
      <c r="I94" s="98" t="n">
        <v>14952</v>
      </c>
      <c r="J94" s="55">
        <f>J92*J11</f>
        <v/>
      </c>
      <c r="K94" s="55">
        <f>K92*K11</f>
        <v/>
      </c>
      <c r="L94" s="55">
        <f>L92*L11</f>
        <v/>
      </c>
      <c r="M94" s="55">
        <f>M92*M11</f>
        <v/>
      </c>
      <c r="N94" s="5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51">
        <f>E92+E93-E94</f>
        <v/>
      </c>
      <c r="F95" s="51">
        <f>F92+F93-F94</f>
        <v/>
      </c>
      <c r="G95" s="51">
        <f>G92+G93-G94</f>
        <v/>
      </c>
      <c r="H95" s="51">
        <f>H92+H93-H94</f>
        <v/>
      </c>
      <c r="I95" s="51">
        <f>I92+I93-I94</f>
        <v/>
      </c>
      <c r="J95" s="51">
        <f>J92+J93-J94</f>
        <v/>
      </c>
      <c r="K95" s="51">
        <f>K92+K93-K94</f>
        <v/>
      </c>
      <c r="L95" s="51">
        <f>L92+L93-L94</f>
        <v/>
      </c>
      <c r="M95" s="51">
        <f>M92+M93-M94</f>
        <v/>
      </c>
      <c r="N95" s="51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98" t="n">
        <v>739435</v>
      </c>
      <c r="F98" s="98" t="n">
        <v>1009018</v>
      </c>
      <c r="G98" s="98" t="n">
        <v>1823669</v>
      </c>
      <c r="H98" s="98" t="n">
        <v>1811658</v>
      </c>
      <c r="I98" s="98" t="n">
        <v>2209021</v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 hidden="1" outlineLevel="1">
      <c r="B99" s="19" t="inlineStr">
        <is>
          <t>Issuance (repayment)</t>
        </is>
      </c>
      <c r="E99" s="98" t="n">
        <v>269583</v>
      </c>
      <c r="F99" s="98" t="n">
        <v>814651</v>
      </c>
      <c r="G99" s="98" t="n">
        <v>-12011</v>
      </c>
      <c r="H99" s="98" t="n">
        <v>397363</v>
      </c>
      <c r="I99" s="98" t="n">
        <v>846670</v>
      </c>
      <c r="J99" s="52">
        <f>+J19</f>
        <v/>
      </c>
      <c r="K99" s="52">
        <f>+K19</f>
        <v/>
      </c>
      <c r="L99" s="52">
        <f>+L19</f>
        <v/>
      </c>
      <c r="M99" s="52">
        <f>+M19</f>
        <v/>
      </c>
      <c r="N99" s="5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51">
        <f>SUM(E98:E99)</f>
        <v/>
      </c>
      <c r="F100" s="51">
        <f>SUM(F98:F99)</f>
        <v/>
      </c>
      <c r="G100" s="51">
        <f>SUM(G98:G99)</f>
        <v/>
      </c>
      <c r="H100" s="51">
        <f>SUM(H98:H99)</f>
        <v/>
      </c>
      <c r="I100" s="51">
        <f>SUM(I98:I99)</f>
        <v/>
      </c>
      <c r="J100" s="51">
        <f>SUM(J98:J99)</f>
        <v/>
      </c>
      <c r="K100" s="51">
        <f>SUM(K98:K99)</f>
        <v/>
      </c>
      <c r="L100" s="51">
        <f>SUM(L98:L99)</f>
        <v/>
      </c>
      <c r="M100" s="51">
        <f>SUM(M98:M99)</f>
        <v/>
      </c>
      <c r="N100" s="51">
        <f>SUM(N98:N99)</f>
        <v/>
      </c>
    </row>
    <row r="101" hidden="1" outlineLevel="1">
      <c r="B101" s="19" t="inlineStr">
        <is>
          <t>Interest Expense</t>
        </is>
      </c>
      <c r="E101" s="98" t="n">
        <v>40092</v>
      </c>
      <c r="F101" s="98" t="n">
        <v>68967</v>
      </c>
      <c r="G101" s="98" t="n">
        <v>95546</v>
      </c>
      <c r="H101" s="98" t="n">
        <v>105638</v>
      </c>
      <c r="I101" s="98" t="n">
        <v>133647</v>
      </c>
      <c r="J101" s="19">
        <f>J98*J12</f>
        <v/>
      </c>
      <c r="K101" s="19">
        <f>K98*K12</f>
        <v/>
      </c>
      <c r="L101" s="19">
        <f>L98*L12</f>
        <v/>
      </c>
      <c r="M101" s="19">
        <f>M98*M12</f>
        <v/>
      </c>
      <c r="N101" s="19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101" t="inlineStr">
        <is>
          <t>FIXED: forecast drivers now FICO-scale (COGS%~17.8%, SG&amp;A/R&amp;D from FY25, tax~18.8%, AR days~97, Inv days=0, Capex from 10-K). Years 2021–2030 hardcoded.</t>
        </is>
      </c>
    </row>
    <row r="132">
      <c r="B132" s="69" t="n"/>
      <c r="C132" s="69" t="n"/>
      <c r="D132" s="69" t="n"/>
    </row>
    <row r="133">
      <c r="B133" s="69" t="n"/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2026-08-03T23:24:26Z</dcterms:modified>
  <cp:lastModifiedBy>Katie Au Yeung</cp:lastModifiedBy>
  <cp:lastPrinted>2014-12-13T23:43:21Z</cp:lastPrinted>
</cp:coreProperties>
</file>