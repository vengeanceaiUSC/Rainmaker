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Formula_Map" sheetId="1" state="visible" r:id="rId1"/>
    <sheet name="Cover Page" sheetId="2" state="visible" r:id="rId2"/>
    <sheet name="DCF Model" sheetId="3" state="visible" r:id="rId3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1">'Cover Page'!$A$1:$P$25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  <numFmt numFmtId="170" formatCode="0.0%"/>
    <numFmt numFmtId="171" formatCode="0.0"/>
    <numFmt numFmtId="172" formatCode="yyyy-mm-dd"/>
    <numFmt numFmtId="173" formatCode="#,##0.000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color rgb="00000000"/>
    </font>
    <font>
      <name val="Calibri"/>
      <i val="1"/>
      <color rgb="00C00000"/>
      <sz val="10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95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0" fontId="28" fillId="0" borderId="0" pivotButton="0" quotePrefix="0" xfId="0"/>
    <xf numFmtId="0" fontId="29" fillId="8" borderId="0" pivotButton="0" quotePrefix="0" xfId="0"/>
    <xf numFmtId="0" fontId="0" fillId="0" borderId="0" applyAlignment="1" pivotButton="0" quotePrefix="0" xfId="0">
      <alignment vertical="top" wrapText="1"/>
    </xf>
    <xf numFmtId="0" fontId="30" fillId="0" borderId="0" pivotButton="0" quotePrefix="0" xfId="0"/>
    <xf numFmtId="0" fontId="27" fillId="2" borderId="0" pivotButton="0" quotePrefix="0" xfId="0"/>
    <xf numFmtId="3" fontId="25" fillId="6" borderId="0" applyAlignment="1" pivotButton="0" quotePrefix="0" xfId="1">
      <alignment horizontal="center"/>
    </xf>
    <xf numFmtId="3" fontId="25" fillId="6" borderId="0" pivotButton="0" quotePrefix="0" xfId="1"/>
    <xf numFmtId="170" fontId="25" fillId="6" borderId="0" pivotButton="0" quotePrefix="0" xfId="1"/>
    <xf numFmtId="10" fontId="25" fillId="6" borderId="0" applyAlignment="1" pivotButton="0" quotePrefix="0" xfId="2">
      <alignment horizontal="right"/>
    </xf>
    <xf numFmtId="170" fontId="25" fillId="6" borderId="0" applyAlignment="1" pivotButton="0" quotePrefix="0" xfId="2">
      <alignment horizontal="right"/>
    </xf>
    <xf numFmtId="171" fontId="25" fillId="6" borderId="0" applyAlignment="1" pivotButton="0" quotePrefix="0" xfId="1">
      <alignment horizontal="right"/>
    </xf>
    <xf numFmtId="172" fontId="25" fillId="6" borderId="0" pivotButton="0" quotePrefix="0" xfId="1"/>
    <xf numFmtId="4" fontId="25" fillId="6" borderId="0" applyAlignment="1" pivotButton="0" quotePrefix="0" xfId="1">
      <alignment horizontal="right"/>
    </xf>
    <xf numFmtId="173" fontId="25" fillId="6" borderId="0" applyAlignment="1" pivotButton="0" quotePrefix="0" xfId="1">
      <alignment horizontal="right"/>
    </xf>
    <xf numFmtId="3" fontId="25" fillId="6" borderId="0" applyAlignment="1" pivotButton="0" quotePrefix="0" xfId="1">
      <alignment horizontal="right"/>
    </xf>
    <xf numFmtId="1" fontId="26" fillId="0" borderId="0" pivotButton="0" quotePrefix="0" xfId="1"/>
    <xf numFmtId="172" fontId="26" fillId="0" borderId="0" pivotButton="0" quotePrefix="0" xfId="1"/>
    <xf numFmtId="3" fontId="26" fillId="0" borderId="0" pivotButton="0" quotePrefix="0" xfId="1"/>
    <xf numFmtId="1" fontId="25" fillId="6" borderId="0" pivotButton="0" quotePrefix="0" xfId="1"/>
    <xf numFmtId="2" fontId="26" fillId="0" borderId="0" pivotButton="0" quotePrefix="0" xfId="1"/>
    <xf numFmtId="3" fontId="26" fillId="0" borderId="1" pivotButton="0" quotePrefix="0" xfId="1"/>
    <xf numFmtId="3" fontId="26" fillId="7" borderId="0" pivotButton="0" quotePrefix="0" xfId="1"/>
    <xf numFmtId="164" fontId="25" fillId="6" borderId="1" pivotButton="0" quotePrefix="0" xfId="1"/>
    <xf numFmtId="170" fontId="26" fillId="0" borderId="0" pivotButton="0" quotePrefix="0" xfId="2"/>
    <xf numFmtId="169" fontId="7" fillId="0" borderId="0" pivotButton="0" quotePrefix="0" xfId="1"/>
    <xf numFmtId="4" fontId="26" fillId="0" borderId="0" pivotButton="0" quotePrefix="0" xfId="1"/>
    <xf numFmtId="164" fontId="27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Unlevered FCF (formula-driven)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Model'!$E$17:$I$17</f>
            </numRef>
          </cat>
          <val>
            <numRef>
              <f>'DCF Model'!$E$26:$I$26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0" customWidth="1" min="3" max="3"/>
    <col width="45" customWidth="1" min="4" max="4"/>
  </cols>
  <sheetData>
    <row r="1">
      <c r="A1" s="68" t="inlineStr">
        <is>
          <t>Updated math — Excel formula dependencies (not typed results)</t>
        </is>
      </c>
    </row>
    <row r="2">
      <c r="A2" t="inlineStr">
        <is>
          <t>Yellow cells = inputs. Green/white formula cells = depend on other rows/sheets.</t>
        </is>
      </c>
    </row>
    <row r="4">
      <c r="A4" s="69" t="inlineStr">
        <is>
          <t>Line item</t>
        </is>
      </c>
      <c r="B4" s="69" t="inlineStr">
        <is>
          <t>Cell</t>
        </is>
      </c>
      <c r="C4" s="69" t="inlineStr">
        <is>
          <t>Excel formula / dependency</t>
        </is>
      </c>
      <c r="D4" s="69" t="inlineStr">
        <is>
          <t>Meaning</t>
        </is>
      </c>
    </row>
    <row r="5">
      <c r="A5" s="70" t="inlineStr">
        <is>
          <t>Tax rate</t>
        </is>
      </c>
      <c r="B5" s="70" t="inlineStr">
        <is>
          <t>D5</t>
        </is>
      </c>
      <c r="C5" s="70" t="inlineStr">
        <is>
          <t>input (or ='03_Three_Statement'!J13 if joined)</t>
        </is>
      </c>
      <c r="D5" s="70" t="inlineStr">
        <is>
          <t>FY25 ETR</t>
        </is>
      </c>
    </row>
    <row r="6">
      <c r="A6" s="70" t="inlineStr">
        <is>
          <t>Years</t>
        </is>
      </c>
      <c r="B6" s="70" t="inlineStr">
        <is>
          <t>E17:I17</t>
        </is>
      </c>
      <c r="C6" s="70">
        <f>YEAR(E18) …</f>
        <v/>
      </c>
      <c r="D6" s="70" t="inlineStr">
        <is>
          <t>Depends on date row</t>
        </is>
      </c>
    </row>
    <row r="7">
      <c r="A7" s="70" t="inlineStr">
        <is>
          <t>Dates</t>
        </is>
      </c>
      <c r="B7" s="70" t="inlineStr">
        <is>
          <t>E18:I18</t>
        </is>
      </c>
      <c r="C7" s="70">
        <f>DATE(YEAR($D$10)+E19,9,30)</f>
        <v/>
      </c>
      <c r="D7" s="70" t="inlineStr">
        <is>
          <t>Depends on FYE + period</t>
        </is>
      </c>
    </row>
    <row r="8">
      <c r="A8" s="70" t="inlineStr">
        <is>
          <t>Periods</t>
        </is>
      </c>
      <c r="B8" s="70" t="inlineStr">
        <is>
          <t>F19:I19</t>
        </is>
      </c>
      <c r="C8" s="70">
        <f>E19+1 …</f>
        <v/>
      </c>
      <c r="D8" s="70" t="inlineStr">
        <is>
          <t>Depends on prior period</t>
        </is>
      </c>
    </row>
    <row r="9">
      <c r="A9" s="70" t="inlineStr">
        <is>
          <t>Year fraction</t>
        </is>
      </c>
      <c r="B9" s="70" t="inlineStr">
        <is>
          <t>E20:I20</t>
        </is>
      </c>
      <c r="C9" s="70">
        <f>YEARFRAC(prior_date, date)</f>
        <v/>
      </c>
      <c r="D9" s="70" t="inlineStr">
        <is>
          <t>Discount stub</t>
        </is>
      </c>
    </row>
    <row r="10">
      <c r="A10" s="70" t="inlineStr">
        <is>
          <t>EBIT</t>
        </is>
      </c>
      <c r="B10" s="70" t="inlineStr">
        <is>
          <t>E21:I21</t>
        </is>
      </c>
      <c r="C10" s="70" t="inlineStr">
        <is>
          <t>Standalone: =$D$3*(1+E4) then rolls; Joined: 3-stmt GP−opex−DA</t>
        </is>
      </c>
      <c r="D10" s="70" t="inlineStr">
        <is>
          <t>Operating income path</t>
        </is>
      </c>
    </row>
    <row r="11">
      <c r="A11" s="70" t="inlineStr">
        <is>
          <t>Cash Taxes</t>
        </is>
      </c>
      <c r="B11" s="70" t="inlineStr">
        <is>
          <t>E22:I22</t>
        </is>
      </c>
      <c r="C11" s="70">
        <f>E21*$D$5</f>
        <v/>
      </c>
      <c r="D11" s="70" t="inlineStr">
        <is>
          <t>Depends on EBIT and tax rate</t>
        </is>
      </c>
    </row>
    <row r="12">
      <c r="A12" s="70" t="inlineStr">
        <is>
          <t>D&amp;A</t>
        </is>
      </c>
      <c r="B12" s="70" t="inlineStr">
        <is>
          <t>E23:I23</t>
        </is>
      </c>
      <c r="C12" s="70" t="inlineStr">
        <is>
          <t>Standalone: =$E$3*E21/$D$3; Joined: ='03_Three_Statement'!J30</t>
        </is>
      </c>
      <c r="D12" s="70" t="inlineStr">
        <is>
          <t>Depends on EBIT or 3-stmt</t>
        </is>
      </c>
    </row>
    <row r="13">
      <c r="A13" s="70" t="inlineStr">
        <is>
          <t>Capex</t>
        </is>
      </c>
      <c r="B13" s="70" t="inlineStr">
        <is>
          <t>E24:I24</t>
        </is>
      </c>
      <c r="C13" s="70" t="inlineStr">
        <is>
          <t>Standalone: =$D$15*(1+$D$16)^E19; Joined: 3-stmt!J68</t>
        </is>
      </c>
      <c r="D13" s="70" t="inlineStr">
        <is>
          <t>Depends on base capex/growth or 3-stmt</t>
        </is>
      </c>
    </row>
    <row r="14">
      <c r="A14" s="70" t="inlineStr">
        <is>
          <t>ΔNWC</t>
        </is>
      </c>
      <c r="B14" s="70" t="inlineStr">
        <is>
          <t>E25:I25</t>
        </is>
      </c>
      <c r="C14" s="70" t="inlineStr">
        <is>
          <t>Standalone: =MAX(0,ΔEBIT)*5%; Joined: 3-stmt!J89</t>
        </is>
      </c>
      <c r="D14" s="70" t="inlineStr">
        <is>
          <t>WC investment</t>
        </is>
      </c>
    </row>
    <row r="15">
      <c r="A15" s="70" t="inlineStr">
        <is>
          <t>Unlevered FCF</t>
        </is>
      </c>
      <c r="B15" s="70" t="inlineStr">
        <is>
          <t>E26:I26</t>
        </is>
      </c>
      <c r="C15" s="70">
        <f>EBIT − Tax + D&amp;A − Capex − ΔNWC</f>
        <v/>
      </c>
      <c r="D15" s="70" t="inlineStr">
        <is>
          <t>Core FCF identity</t>
        </is>
      </c>
    </row>
    <row r="16">
      <c r="A16" s="70" t="inlineStr">
        <is>
          <t>TV (PG)</t>
        </is>
      </c>
      <c r="B16" s="70" t="inlineStr">
        <is>
          <t>N18</t>
        </is>
      </c>
      <c r="C16" s="70">
        <f>(I26*(1+D7))/(D6-D7)</f>
        <v/>
      </c>
      <c r="D16" s="70" t="inlineStr">
        <is>
          <t>Gordon growth on final UFCF</t>
        </is>
      </c>
    </row>
    <row r="17">
      <c r="A17" s="70" t="inlineStr">
        <is>
          <t>TV (EV/EBITDA)</t>
        </is>
      </c>
      <c r="B17" s="70" t="inlineStr">
        <is>
          <t>N19</t>
        </is>
      </c>
      <c r="C17" s="70">
        <f>D8*(I21+I23)</f>
        <v/>
      </c>
      <c r="D17" s="70" t="inlineStr">
        <is>
          <t>Exit multiple on final EBITDA</t>
        </is>
      </c>
    </row>
    <row r="18">
      <c r="A18" s="70" t="inlineStr">
        <is>
          <t>TV Average</t>
        </is>
      </c>
      <c r="B18" s="70" t="inlineStr">
        <is>
          <t>N20</t>
        </is>
      </c>
      <c r="C18" s="70">
        <f>AVERAGE(N18:N19)</f>
        <v/>
      </c>
      <c r="D18" s="70" t="inlineStr">
        <is>
          <t>Blended exit</t>
        </is>
      </c>
    </row>
    <row r="19">
      <c r="A19" s="70" t="inlineStr">
        <is>
          <t>Enterprise Value</t>
        </is>
      </c>
      <c r="B19" s="70" t="inlineStr">
        <is>
          <t>D32</t>
        </is>
      </c>
      <c r="C19" s="70">
        <f>XNPV(D6,D28:J28,D18:J18)</f>
        <v/>
      </c>
      <c r="D19" s="70" t="inlineStr">
        <is>
          <t>PV of transaction CFs</t>
        </is>
      </c>
    </row>
    <row r="20">
      <c r="A20" s="70" t="inlineStr">
        <is>
          <t>Equity Value</t>
        </is>
      </c>
      <c r="B20" s="70" t="inlineStr">
        <is>
          <t>D35</t>
        </is>
      </c>
      <c r="C20" s="70">
        <f>D32+D33−D34</f>
        <v/>
      </c>
      <c r="D20" s="70" t="inlineStr">
        <is>
          <t>EV + cash − debt</t>
        </is>
      </c>
    </row>
    <row r="21">
      <c r="A21" s="70" t="inlineStr">
        <is>
          <t>Equity / share</t>
        </is>
      </c>
      <c r="B21" s="70" t="inlineStr">
        <is>
          <t>D37</t>
        </is>
      </c>
      <c r="C21" s="70">
        <f>D35/D12</f>
        <v/>
      </c>
      <c r="D21" s="70" t="inlineStr">
        <is>
          <t>Depends on equity &amp; shares</t>
        </is>
      </c>
    </row>
    <row r="22">
      <c r="A22" s="70" t="inlineStr">
        <is>
          <t>3S Revenue fcst</t>
        </is>
      </c>
      <c r="B22" s="70" t="inlineStr">
        <is>
          <t>J24</t>
        </is>
      </c>
      <c r="C22" s="70">
        <f>I24*(1+J7)</f>
        <v/>
      </c>
      <c r="D22" s="70" t="inlineStr">
        <is>
          <t>Grows from prior year</t>
        </is>
      </c>
    </row>
    <row r="23">
      <c r="A23" s="70" t="inlineStr">
        <is>
          <t>3S COGS fcst</t>
        </is>
      </c>
      <c r="B23" s="70" t="inlineStr">
        <is>
          <t>J25</t>
        </is>
      </c>
      <c r="C23" s="70">
        <f>J24*J8</f>
        <v/>
      </c>
      <c r="D23" s="70" t="inlineStr">
        <is>
          <t>Depends on revenue &amp; COGS%</t>
        </is>
      </c>
    </row>
    <row r="24">
      <c r="A24" s="70" t="inlineStr">
        <is>
          <t>3S Gross Profit</t>
        </is>
      </c>
      <c r="B24" s="70" t="inlineStr">
        <is>
          <t>J26</t>
        </is>
      </c>
      <c r="C24" s="70">
        <f>J24-J25</f>
        <v/>
      </c>
      <c r="D24" s="70" t="inlineStr">
        <is>
          <t>Depends on Rev &amp; COGS</t>
        </is>
      </c>
    </row>
    <row r="25">
      <c r="A25" s="70" t="inlineStr">
        <is>
          <t>3S SG&amp;A fcst</t>
        </is>
      </c>
      <c r="B25" s="70" t="inlineStr">
        <is>
          <t>J28</t>
        </is>
      </c>
      <c r="C25" s="70">
        <f>J9</f>
        <v/>
      </c>
      <c r="D25" s="70" t="inlineStr">
        <is>
          <t>Depends on salaries driver</t>
        </is>
      </c>
    </row>
    <row r="26">
      <c r="A26" s="70" t="inlineStr">
        <is>
          <t>3S Capex fcst</t>
        </is>
      </c>
      <c r="B26" s="70" t="inlineStr">
        <is>
          <t>J68</t>
        </is>
      </c>
      <c r="C26" s="70">
        <f>J18</f>
        <v/>
      </c>
      <c r="D26" s="70" t="inlineStr">
        <is>
          <t>Depends on capex assumption</t>
        </is>
      </c>
    </row>
    <row r="27">
      <c r="A27" s="70" t="inlineStr">
        <is>
          <t>3S ΔNWC fcst</t>
        </is>
      </c>
      <c r="B27" s="70" t="inlineStr">
        <is>
          <t>J89</t>
        </is>
      </c>
      <c r="C27" s="70">
        <f>J88-I88</f>
        <v/>
      </c>
      <c r="D27" s="70" t="inlineStr">
        <is>
          <t>Depends on NWC schedule</t>
        </is>
      </c>
    </row>
    <row r="30">
      <c r="A30" t="inlineStr">
        <is>
          <t>10-K</t>
        </is>
      </c>
      <c r="B30" s="71" t="inlineStr">
        <is>
          <t>https://www.sec.gov/Archives/edgar/data/814547/000081454725000030/fico-20250930.htm</t>
        </is>
      </c>
    </row>
  </sheetData>
  <hyperlinks>
    <hyperlink xmlns:r="http://schemas.openxmlformats.org/officeDocument/2006/relationships" ref="B30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>
        <f>'DCF Model'!B2</f>
        <v/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This Excel model is for educational purposes only and should not be used for any other reason.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All content is Copyright material of CFI Education Inc.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36" customWidth="1" style="1" min="2" max="2"/>
    <col width="12.453125" customWidth="1" style="1" min="3" max="3"/>
    <col width="15" customWidth="1" style="2" min="4" max="4"/>
    <col width="15" customWidth="1" style="1" min="5" max="9"/>
    <col width="15" customWidth="1" min="6" max="6"/>
    <col width="15" customWidth="1" min="7" max="7"/>
    <col width="15" customWidth="1" min="8" max="8"/>
    <col width="15" customWidth="1" min="9" max="9"/>
    <col width="15" customWidth="1" style="1" min="10" max="14"/>
    <col width="15" customWidth="1" min="11" max="11"/>
    <col width="15" customWidth="1" min="12" max="12"/>
    <col width="15" customWidth="1" min="13" max="13"/>
    <col width="15" customWidth="1" min="14" max="14"/>
    <col width="1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(formula-driven)</t>
        </is>
      </c>
      <c r="C2" s="7" t="n"/>
      <c r="D2" s="72" t="inlineStr">
        <is>
          <t>Yellow=inputs. All taxes/UFCF/TV/EV/dates are Excel formulas.</t>
        </is>
      </c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inlineStr">
        <is>
          <t>FY25 OpInc (base)</t>
        </is>
      </c>
      <c r="C3" s="23" t="inlineStr">
        <is>
          <t>FY25 D&amp;A</t>
        </is>
      </c>
      <c r="D3" s="73" t="n">
        <v>924850</v>
      </c>
      <c r="E3" s="74" t="n">
        <v>14952</v>
      </c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EBIT growth (explicit)</t>
        </is>
      </c>
      <c r="C4" s="33" t="n"/>
      <c r="D4" s="33" t="n"/>
      <c r="E4" s="75" t="n">
        <v>0.12</v>
      </c>
      <c r="F4" s="75" t="n">
        <v>0.1</v>
      </c>
      <c r="G4" s="75" t="n">
        <v>0.09</v>
      </c>
      <c r="H4" s="75" t="n">
        <v>0.08</v>
      </c>
      <c r="I4" s="75" t="n">
        <v>0.07000000000000001</v>
      </c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76" t="n">
        <v>0.1877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77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77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78" t="n">
        <v>22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9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9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80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81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82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82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4" t="n">
        <v>39407</v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inlineStr">
        <is>
          <t>Capex growth</t>
        </is>
      </c>
      <c r="C16" s="23" t="n"/>
      <c r="D16" s="75" t="n">
        <v>0.08</v>
      </c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44" t="inlineStr">
        <is>
          <t>Entry</t>
        </is>
      </c>
      <c r="E17" s="83">
        <f>YEAR(E18)</f>
        <v/>
      </c>
      <c r="F17" s="83">
        <f>YEAR(F18)</f>
        <v/>
      </c>
      <c r="G17" s="83">
        <f>YEAR(G18)</f>
        <v/>
      </c>
      <c r="H17" s="83">
        <f>YEAR(H18)</f>
        <v/>
      </c>
      <c r="I17" s="83">
        <f>YEAR(I18)</f>
        <v/>
      </c>
      <c r="J17" s="44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84">
        <f>D9</f>
        <v/>
      </c>
      <c r="E18" s="84">
        <f>DATE(YEAR($D$10)+E19,9,30)</f>
        <v/>
      </c>
      <c r="F18" s="84">
        <f>DATE(YEAR($D$10)+F19,9,30)</f>
        <v/>
      </c>
      <c r="G18" s="84">
        <f>DATE(YEAR($D$10)+G19,9,30)</f>
        <v/>
      </c>
      <c r="H18" s="84">
        <f>DATE(YEAR($D$10)+H19,9,30)</f>
        <v/>
      </c>
      <c r="I18" s="84">
        <f>DATE(YEAR($D$10)+I19,9,30)</f>
        <v/>
      </c>
      <c r="J18" s="84">
        <f>I18</f>
        <v/>
      </c>
      <c r="K18" s="23" t="n"/>
      <c r="L18" s="23" t="inlineStr">
        <is>
          <t>Perpetual Growth</t>
        </is>
      </c>
      <c r="M18" s="23" t="n"/>
      <c r="N18" s="85">
        <f>(I26*(1+D7))/(D6-D7)</f>
        <v/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86" t="n">
        <v>1</v>
      </c>
      <c r="F19" s="83">
        <f>E19+1</f>
        <v/>
      </c>
      <c r="G19" s="83">
        <f>F19+1</f>
        <v/>
      </c>
      <c r="H19" s="83">
        <f>G19+1</f>
        <v/>
      </c>
      <c r="I19" s="83">
        <f>H19+1</f>
        <v/>
      </c>
      <c r="J19" s="37" t="n"/>
      <c r="K19" s="23" t="n"/>
      <c r="L19" s="23" t="inlineStr">
        <is>
          <t>EV/EBITDA</t>
        </is>
      </c>
      <c r="M19" s="23" t="n"/>
      <c r="N19" s="85">
        <f>D8*(I21+I23)</f>
        <v/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87">
        <f>YEARFRAC(D18,E18)</f>
        <v/>
      </c>
      <c r="F20" s="87">
        <f>YEARFRAC(E18,F18)</f>
        <v/>
      </c>
      <c r="G20" s="87">
        <f>YEARFRAC(F18,G18)</f>
        <v/>
      </c>
      <c r="H20" s="87">
        <f>YEARFRAC(G18,H18)</f>
        <v/>
      </c>
      <c r="I20" s="87">
        <f>YEARFRAC(H18,I18)</f>
        <v/>
      </c>
      <c r="J20" s="23" t="n"/>
      <c r="K20" s="23" t="n"/>
      <c r="L20" s="23" t="inlineStr">
        <is>
          <t>Average</t>
        </is>
      </c>
      <c r="M20" s="23" t="n"/>
      <c r="N20" s="88">
        <f>AVERAGE(N18:N19)</f>
        <v/>
      </c>
      <c r="O20" s="23" t="n"/>
    </row>
    <row r="21" ht="16" customHeight="1">
      <c r="A21" s="23" t="n"/>
      <c r="B21" s="23" t="inlineStr">
        <is>
          <t>EBIT (formula from D3 &amp; growth row 4)</t>
        </is>
      </c>
      <c r="C21" s="23" t="n"/>
      <c r="D21" s="23" t="n"/>
      <c r="E21" s="89">
        <f>$D$3*(1+E4)</f>
        <v/>
      </c>
      <c r="F21" s="89">
        <f>E21*(1+F4)</f>
        <v/>
      </c>
      <c r="G21" s="89">
        <f>F21*(1+G4)</f>
        <v/>
      </c>
      <c r="H21" s="89">
        <f>G21*(1+H4)</f>
        <v/>
      </c>
      <c r="I21" s="89">
        <f>H21*(1+I4)</f>
        <v/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 (=EBIT × tax rate)</t>
        </is>
      </c>
      <c r="C22" s="23" t="n"/>
      <c r="D22" s="23" t="n"/>
      <c r="E22" s="85">
        <f>E21*$D$5</f>
        <v/>
      </c>
      <c r="F22" s="85">
        <f>F21*$D$5</f>
        <v/>
      </c>
      <c r="G22" s="85">
        <f>G21*$D$5</f>
        <v/>
      </c>
      <c r="H22" s="85">
        <f>H21*$D$5</f>
        <v/>
      </c>
      <c r="I22" s="85">
        <f>I21*$D$5</f>
        <v/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 (scales with EBIT)</t>
        </is>
      </c>
      <c r="C23" s="23" t="n"/>
      <c r="D23" s="23" t="n"/>
      <c r="E23" s="89">
        <f>$E$3*E21/$D$3</f>
        <v/>
      </c>
      <c r="F23" s="89">
        <f>$E$3*F21/$D$3</f>
        <v/>
      </c>
      <c r="G23" s="89">
        <f>$E$3*G21/$D$3</f>
        <v/>
      </c>
      <c r="H23" s="89">
        <f>$E$3*H21/$D$3</f>
        <v/>
      </c>
      <c r="I23" s="89">
        <f>$E$3*I21/$D$3</f>
        <v/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 (=D15×(1+D16)^period)</t>
        </is>
      </c>
      <c r="C24" s="23" t="n"/>
      <c r="D24" s="23" t="n"/>
      <c r="E24" s="85">
        <f>$D$15*(1+$D$16)^E19</f>
        <v/>
      </c>
      <c r="F24" s="85">
        <f>$D$15*(1+$D$16)^F19</f>
        <v/>
      </c>
      <c r="G24" s="85">
        <f>$D$15*(1+$D$16)^G19</f>
        <v/>
      </c>
      <c r="H24" s="85">
        <f>$D$15*(1+$D$16)^H19</f>
        <v/>
      </c>
      <c r="I24" s="85">
        <f>$D$15*(1+$D$16)^I19</f>
        <v/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ΔNWC (formula on EBIT change)</t>
        </is>
      </c>
      <c r="C25" s="23" t="n"/>
      <c r="D25" s="23" t="n"/>
      <c r="E25" s="89">
        <f>MAX(0,E21-$D$3)*0.05</f>
        <v/>
      </c>
      <c r="F25" s="89">
        <f>MAX(0,F21-E21)*0.05</f>
        <v/>
      </c>
      <c r="G25" s="89">
        <f>MAX(0,G21-F21)*0.05</f>
        <v/>
      </c>
      <c r="H25" s="89">
        <f>MAX(0,H21-G21)*0.05</f>
        <v/>
      </c>
      <c r="I25" s="89">
        <f>MAX(0,I21-H21)*0.05</f>
        <v/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 (=EBIT-Tax+D&amp;A-Capex-ΔNWC)</t>
        </is>
      </c>
      <c r="C26" s="23" t="n"/>
      <c r="D26" s="23" t="n"/>
      <c r="E26" s="88">
        <f>E21-E22+E23-E24-E25</f>
        <v/>
      </c>
      <c r="F26" s="88">
        <f>F21-F22+F23-F24-F25</f>
        <v/>
      </c>
      <c r="G26" s="88">
        <f>G21-G22+G23-G24-G25</f>
        <v/>
      </c>
      <c r="H26" s="88">
        <f>H21-H22+H23-H24-H25</f>
        <v/>
      </c>
      <c r="I26" s="88">
        <f>I21-I22+I23-I24-I25</f>
        <v/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85">
        <f>-I35</f>
        <v/>
      </c>
      <c r="E27" s="23" t="n"/>
      <c r="F27" s="23" t="n"/>
      <c r="G27" s="23" t="n"/>
      <c r="H27" s="23" t="n"/>
      <c r="I27" s="23" t="n"/>
      <c r="J27" s="85">
        <f>N20</f>
        <v/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90" t="n">
        <v>0</v>
      </c>
      <c r="E28" s="88">
        <f>(E27+E26)*E20</f>
        <v/>
      </c>
      <c r="F28" s="88">
        <f>(F27+F26)*F20</f>
        <v/>
      </c>
      <c r="G28" s="88">
        <f>(G27+G26)*G20</f>
        <v/>
      </c>
      <c r="H28" s="88">
        <f>(H27+H26)*H20</f>
        <v/>
      </c>
      <c r="I28" s="88">
        <f>(I27+I26)*I20</f>
        <v/>
      </c>
      <c r="J28" s="88">
        <f>J27+J26</f>
        <v/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85">
        <f>D27+D26</f>
        <v/>
      </c>
      <c r="E29" s="85">
        <f>(E27+E26)*E20</f>
        <v/>
      </c>
      <c r="F29" s="85">
        <f>(F27+F26)*F20</f>
        <v/>
      </c>
      <c r="G29" s="85">
        <f>(G27+G26)*G20</f>
        <v/>
      </c>
      <c r="H29" s="85">
        <f>(H27+H26)*H20</f>
        <v/>
      </c>
      <c r="I29" s="85">
        <f>(I27+I26)*I20</f>
        <v/>
      </c>
      <c r="J29" s="85">
        <f>J27</f>
        <v/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85">
        <f>XNPV(D6,D28:J28,D18:J18)</f>
        <v/>
      </c>
      <c r="E32" s="23" t="n"/>
      <c r="G32" s="23" t="inlineStr">
        <is>
          <t>Market Cap</t>
        </is>
      </c>
      <c r="H32" s="23" t="n"/>
      <c r="I32" s="85">
        <f>D12*D11</f>
        <v/>
      </c>
      <c r="J32" s="23" t="n"/>
      <c r="L32" s="23" t="inlineStr">
        <is>
          <t>Target Price Upside</t>
        </is>
      </c>
      <c r="M32" s="23" t="n"/>
      <c r="N32" s="91">
        <f>D37/I37-1</f>
        <v/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85">
        <f>+D14</f>
        <v/>
      </c>
      <c r="E33" s="23" t="n"/>
      <c r="G33" s="23" t="inlineStr">
        <is>
          <t>Plus: Debt</t>
        </is>
      </c>
      <c r="H33" s="23" t="n"/>
      <c r="I33" s="85">
        <f>D13</f>
        <v/>
      </c>
      <c r="J33" s="23" t="n"/>
      <c r="L33" s="23" t="inlineStr">
        <is>
          <t>Internal Rate of Return (IRR)</t>
        </is>
      </c>
      <c r="M33" s="23" t="n"/>
      <c r="N33" s="91">
        <f>XIRR(D29:J29,D18:J18)</f>
        <v/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85">
        <f>+D13</f>
        <v/>
      </c>
      <c r="E34" s="23" t="n"/>
      <c r="G34" s="23" t="inlineStr">
        <is>
          <t>Less: Cash</t>
        </is>
      </c>
      <c r="H34" s="23" t="n"/>
      <c r="I34" s="85">
        <f>+D14</f>
        <v/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88">
        <f>D32+D33-D34</f>
        <v/>
      </c>
      <c r="E35" s="23" t="n"/>
      <c r="G35" s="23" t="inlineStr">
        <is>
          <t>Enterprise Value</t>
        </is>
      </c>
      <c r="H35" s="23" t="n"/>
      <c r="I35" s="88">
        <f>I32+I33-I34</f>
        <v/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92" t="n"/>
      <c r="J36" s="23" t="n"/>
      <c r="L36" s="23" t="inlineStr">
        <is>
          <t>Market Value</t>
        </is>
      </c>
      <c r="M36" s="23" t="n"/>
      <c r="N36" s="93">
        <f>I37</f>
        <v/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93">
        <f>D35/D12</f>
        <v/>
      </c>
      <c r="E37" s="23" t="n"/>
      <c r="G37" s="23" t="inlineStr">
        <is>
          <t>Equity Value/Share</t>
        </is>
      </c>
      <c r="H37" s="23" t="n"/>
      <c r="I37" s="93">
        <f>D11</f>
        <v/>
      </c>
      <c r="J37" s="23" t="n"/>
      <c r="L37" s="23" t="inlineStr">
        <is>
          <t>Upside</t>
        </is>
      </c>
      <c r="M37" s="23" t="n"/>
      <c r="N37" s="93">
        <f>D37-I37</f>
        <v/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93">
        <f>SUM(N36:N37)</f>
        <v/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94" t="inlineStr">
        <is>
          <t>Open Formula_Map sheet for the dependency list. Press F9 if needed.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23" t="n"/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23" t="n"/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23" t="n"/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2026-08-03T23:28:24Z</dcterms:modified>
  <cp:lastModifiedBy>Katie Au Yeung</cp:lastModifiedBy>
  <cp:lastPrinted>2014-12-13T23:43:21Z</cp:lastPrinted>
</cp:coreProperties>
</file>