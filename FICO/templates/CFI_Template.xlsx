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2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(MODEL7)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via EDATE from transaction)</t>
        </is>
      </c>
      <c r="C18" s="97" t="n"/>
      <c r="D18" s="115">
        <f>D9</f>
        <v/>
      </c>
      <c r="E18" s="116">
        <f>EDATE($D$9,(E19-0.5)*12)</f>
        <v/>
      </c>
      <c r="F18" s="116">
        <f>EDATE($D$9,(F19-0.5)*12)</f>
        <v/>
      </c>
      <c r="G18" s="116">
        <f>EDATE($D$9,(G19-0.5)*12)</f>
        <v/>
      </c>
      <c r="H18" s="116">
        <f>EDATE($D$9,(H19-0.5)*12)</f>
        <v/>
      </c>
      <c r="I18" s="116">
        <f>EDATE($D$9,(I19-0.5)*12)</f>
        <v/>
      </c>
      <c r="J18" s="116">
        <f>I18</f>
        <v/>
      </c>
      <c r="K18" s="97" t="n"/>
      <c r="L18" s="97" t="inlineStr">
        <is>
          <t>Exit EV/EBITDA @ D8 (primary 16x)</t>
        </is>
      </c>
      <c r="M18" s="109">
        <f>J27</f>
        <v/>
      </c>
      <c r="N18" s="97" t="inlineStr">
        <is>
          <t>← used in XNPV</t>
        </is>
      </c>
      <c r="O18" s="97" t="n"/>
    </row>
    <row r="19" ht="16" customHeight="1">
      <c r="A19" s="97" t="n"/>
      <c r="B19" s="117" t="inlineStr">
        <is>
          <t>Time Periods</t>
        </is>
      </c>
      <c r="C19" s="117" t="n"/>
      <c r="D19" s="115" t="n"/>
      <c r="E19" s="118" t="n">
        <v>0</v>
      </c>
      <c r="F19" s="119">
        <f>E19+1</f>
        <v/>
      </c>
      <c r="G19" s="119">
        <f>F19+1</f>
        <v/>
      </c>
      <c r="H19" s="119">
        <f>G19+1</f>
        <v/>
      </c>
      <c r="I19" s="119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0" t="inlineStr">
        <is>
          <t>← sanity check</t>
        </is>
      </c>
      <c r="O19" s="97" t="n"/>
    </row>
    <row r="20" ht="16" customHeight="1">
      <c r="A20" s="97" t="n"/>
      <c r="B20" s="117" t="inlineStr">
        <is>
          <t>Year Fraction (display only; XNPV uses exact dates below)</t>
        </is>
      </c>
      <c r="C20" s="97" t="n"/>
      <c r="D20" s="97" t="n"/>
      <c r="E20" s="121">
        <f>YEARFRAC(D18,E18)</f>
        <v/>
      </c>
      <c r="F20" s="121">
        <f>YEARFRAC(E18,F18)</f>
        <v/>
      </c>
      <c r="G20" s="121">
        <f>YEARFRAC(F18,G18)</f>
        <v/>
      </c>
      <c r="H20" s="121">
        <f>YEARFRAC(G18,H18)</f>
        <v/>
      </c>
      <c r="I20" s="121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2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inlineStr">
        <is>
          <t>Bull case TV @ 25x (sensitivity only)</t>
        </is>
      </c>
      <c r="M21" s="109">
        <f>($I$21+$I$23)*25.0</f>
        <v/>
      </c>
      <c r="N21" s="97" t="inlineStr">
        <is>
          <t>← not in base case</t>
        </is>
      </c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3">
        <f>E21*$D$5</f>
        <v/>
      </c>
      <c r="F22" s="123">
        <f>F21*$D$5</f>
        <v/>
      </c>
      <c r="G22" s="123">
        <f>G21*$D$5</f>
        <v/>
      </c>
      <c r="H22" s="123">
        <f>H21*$D$5</f>
        <v/>
      </c>
      <c r="I22" s="123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3">
        <f>'3 Statement Model'!J30</f>
        <v/>
      </c>
      <c r="F23" s="123">
        <f>'3 Statement Model'!K30</f>
        <v/>
      </c>
      <c r="G23" s="123">
        <f>'3 Statement Model'!L30</f>
        <v/>
      </c>
      <c r="H23" s="123">
        <f>'3 Statement Model'!M30</f>
        <v/>
      </c>
      <c r="I23" s="123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2">
        <f>E21-E22+E23-E24-E25</f>
        <v/>
      </c>
      <c r="F26" s="122">
        <f>F21-F22+F23-F24-F25</f>
        <v/>
      </c>
      <c r="G26" s="122">
        <f>G21-G22+G23-G24-G25</f>
        <v/>
      </c>
      <c r="H26" s="122">
        <f>H21-H22+H23-H24-H25</f>
        <v/>
      </c>
      <c r="I26" s="122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 (primary 16x)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2" t="n">
        <v>0</v>
      </c>
      <c r="E28" s="124">
        <f>E27+E26</f>
        <v/>
      </c>
      <c r="F28" s="124">
        <f>F27+F26</f>
        <v/>
      </c>
      <c r="G28" s="124">
        <f>G27+G26</f>
        <v/>
      </c>
      <c r="H28" s="124">
        <f>H27+H26</f>
        <v/>
      </c>
      <c r="I28" s="124">
        <f>I27+I26</f>
        <v/>
      </c>
      <c r="J28" s="124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EDATE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5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5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2">
        <f>D32+D33-D34</f>
        <v/>
      </c>
      <c r="E35" s="97" t="n"/>
      <c r="G35" s="97" t="inlineStr">
        <is>
          <t>Enterprise Value</t>
        </is>
      </c>
      <c r="H35" s="97" t="n"/>
      <c r="I35" s="122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6" t="n"/>
      <c r="J36" s="97" t="n"/>
      <c r="L36" s="97" t="inlineStr">
        <is>
          <t>Market Value</t>
        </is>
      </c>
      <c r="M36" s="97" t="n"/>
      <c r="N36" s="126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6">
        <f>D35/D12</f>
        <v/>
      </c>
      <c r="E37" s="97" t="n"/>
      <c r="G37" s="97" t="inlineStr">
        <is>
          <t>Equity Value/Share</t>
        </is>
      </c>
      <c r="H37" s="97" t="n"/>
      <c r="I37" s="126">
        <f>D11</f>
        <v/>
      </c>
      <c r="J37" s="97" t="n"/>
      <c r="L37" s="97" t="inlineStr">
        <is>
          <t>Upside</t>
        </is>
      </c>
      <c r="M37" s="97" t="n"/>
      <c r="N37" s="126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6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7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8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29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29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29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0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1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2026-08-05T17:11:43Z</dcterms:modified>
  <cp:lastModifiedBy>Katie Au Yeung</cp:lastModifiedBy>
  <cp:lastPrinted>2014-12-13T23:43:21Z</cp:lastPrinted>
</cp:coreProperties>
</file>