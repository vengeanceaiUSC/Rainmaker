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0.00&quot;x&quot;"/>
    <numFmt numFmtId="177" formatCode="0.0&quot;x&quot;"/>
    <numFmt numFmtId="178" formatCode="#,##0.0"/>
    <numFmt numFmtId="179" formatCode="$#,##0.00"/>
  </numFmts>
  <fonts count="4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color rgb="000000FF"/>
    </font>
    <font>
      <name val="Calibri"/>
      <i val="1"/>
      <color rgb="00595959"/>
      <sz val="8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54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6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64" fontId="40" fillId="0" borderId="0" pivotButton="0" quotePrefix="0" xfId="0"/>
    <xf numFmtId="175" fontId="39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6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7" fontId="30" fillId="8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64" fontId="42" fillId="9" borderId="0" pivotButton="0" quotePrefix="0" xfId="0"/>
    <xf numFmtId="177" fontId="43" fillId="10" borderId="5" applyAlignment="1" pivotButton="0" quotePrefix="0" xfId="0">
      <alignment horizontal="center"/>
    </xf>
    <xf numFmtId="10" fontId="45" fillId="11" borderId="5" pivotButton="0" quotePrefix="0" xfId="0"/>
    <xf numFmtId="178" fontId="38" fillId="7" borderId="5" pivotButton="0" quotePrefix="0" xfId="0"/>
    <xf numFmtId="178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7" fontId="43" fillId="10" borderId="5" pivotButton="0" quotePrefix="0" xfId="0"/>
    <xf numFmtId="179" fontId="38" fillId="7" borderId="5" pivotButton="0" quotePrefix="0" xfId="0"/>
    <xf numFmtId="179" fontId="38" fillId="8" borderId="5" pivotButton="0" quotePrefix="0" xfId="0"/>
    <xf numFmtId="0" fontId="40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vengeanceaiUSCMODEL8</author>
  </authors>
  <commentLis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vengeanceaiUSCMODEL8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Tax Rate (unlevered / on EBIT)</t>
        </is>
      </c>
      <c r="C5" s="103" t="n"/>
      <c r="D5" s="109" t="n">
        <v>0.25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09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09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10" t="inlineStr">
        <is>
          <t>BASE 17.5x ≈ peer median 18.1x (VCP Scanner). Bull 25x / Bear 12.8x.</t>
        </is>
      </c>
      <c r="D8" s="111" t="n">
        <v>17.5</v>
      </c>
      <c r="E8" s="100" t="n"/>
      <c r="F8" s="112" t="inlineStr">
        <is>
          <t>Peer EV/EBITDA comps (click)</t>
        </is>
      </c>
      <c r="G8" s="112" t="inlineStr">
        <is>
          <t>FICO spot EV/EBITDA (click)</t>
        </is>
      </c>
      <c r="H8" s="100" t="n"/>
      <c r="I8" s="100" t="n"/>
      <c r="J8" s="100" t="n"/>
      <c r="K8" s="100" t="n"/>
      <c r="L8" s="113" t="inlineStr">
        <is>
          <t>Median</t>
        </is>
      </c>
      <c r="M8" s="113" t="inlineStr">
        <is>
          <t>Peer set</t>
        </is>
      </c>
      <c r="N8" s="114" t="n">
        <v>18.11</v>
      </c>
      <c r="O8" s="113" t="inlineStr">
        <is>
          <t>Sorted median (SPGI)</t>
        </is>
      </c>
    </row>
    <row r="9" ht="16" customHeight="1">
      <c r="A9" s="100" t="n"/>
      <c r="B9" s="100" t="inlineStr">
        <is>
          <t>Transaction Date</t>
        </is>
      </c>
      <c r="C9" s="100" t="n"/>
      <c r="D9" s="115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6" t="inlineStr">
        <is>
          <t>Base exit (D8)</t>
        </is>
      </c>
      <c r="M9" s="116" t="n"/>
      <c r="N9" s="117" t="n">
        <v>17.5</v>
      </c>
      <c r="O9" s="116" t="inlineStr">
        <is>
          <t>Near peer median; audit 17.5x</t>
        </is>
      </c>
    </row>
    <row r="10" ht="16" customHeight="1">
      <c r="A10" s="100" t="n"/>
      <c r="B10" s="100" t="inlineStr">
        <is>
          <t>Fiscal Year End</t>
        </is>
      </c>
      <c r="C10" s="100" t="n"/>
      <c r="D10" s="115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2" t="inlineStr">
        <is>
          <t>Peer comps (click)</t>
        </is>
      </c>
      <c r="M10" s="112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8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</t>
        </is>
      </c>
      <c r="C12" s="100" t="n"/>
      <c r="D12" s="119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</t>
        </is>
      </c>
      <c r="C13" s="100" t="n"/>
      <c r="D13" s="119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</t>
        </is>
      </c>
      <c r="C14" s="100" t="n"/>
      <c r="D14" s="119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(FY1 forecast, linked)</t>
        </is>
      </c>
      <c r="C15" s="100" t="n"/>
      <c r="D15" s="120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n"/>
      <c r="C16" s="100" t="n"/>
      <c r="D16" s="115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1" t="inlineStr">
        <is>
          <t>Discounted Cash Flow</t>
        </is>
      </c>
      <c r="C17" s="122" t="n"/>
      <c r="D17" s="123" t="inlineStr">
        <is>
          <t>Entry</t>
        </is>
      </c>
      <c r="E17" s="124">
        <f>YEAR(E18)</f>
        <v/>
      </c>
      <c r="F17" s="124">
        <f>YEAR(F18)</f>
        <v/>
      </c>
      <c r="G17" s="124">
        <f>YEAR(G18)</f>
        <v/>
      </c>
      <c r="H17" s="124">
        <f>YEAR(H18)</f>
        <v/>
      </c>
      <c r="I17" s="124">
        <f>YEAR(I18)</f>
        <v/>
      </c>
      <c r="J17" s="123" t="inlineStr">
        <is>
          <t>Exit</t>
        </is>
      </c>
      <c r="K17" s="100" t="n"/>
      <c r="L17" s="125" t="inlineStr">
        <is>
          <t>Terminal value &amp; scenarios (vengeanceaiUSCMODEL8)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6">
        <f>$D$9</f>
        <v/>
      </c>
      <c r="E18" s="126">
        <f>EDATE($D$9,(E19+0.5)*12)</f>
        <v/>
      </c>
      <c r="F18" s="126">
        <f>EDATE($D$9,(F19+0.5)*12)</f>
        <v/>
      </c>
      <c r="G18" s="126">
        <f>EDATE($D$9,(G19+0.5)*12)</f>
        <v/>
      </c>
      <c r="H18" s="126">
        <f>EDATE($D$9,(H19+0.5)*12)</f>
        <v/>
      </c>
      <c r="I18" s="126">
        <f>EDATE($D$9,(I19+0.5)*12)</f>
        <v/>
      </c>
      <c r="J18" s="126">
        <f>I18</f>
        <v/>
      </c>
      <c r="K18" s="100" t="n"/>
      <c r="L18" s="100" t="inlineStr">
        <is>
          <t>Exit EV/EBITDA @ D8 (BASE 17.5x)</t>
        </is>
      </c>
      <c r="M18" s="120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7" t="inlineStr">
        <is>
          <t>Time Periods</t>
        </is>
      </c>
      <c r="C19" s="127" t="n"/>
      <c r="D19" s="128" t="n"/>
      <c r="E19" s="129" t="n">
        <v>0</v>
      </c>
      <c r="F19" s="130">
        <f>E19+1</f>
        <v/>
      </c>
      <c r="G19" s="130">
        <f>F19+1</f>
        <v/>
      </c>
      <c r="H19" s="130">
        <f>G19+1</f>
        <v/>
      </c>
      <c r="I19" s="130">
        <f>H19+1</f>
        <v/>
      </c>
      <c r="J19" s="128" t="n"/>
      <c r="K19" s="100" t="n"/>
      <c r="L19" s="100" t="inlineStr">
        <is>
          <t>Gordon cross-check (g=D7)</t>
        </is>
      </c>
      <c r="M19" s="120">
        <f>IF(($D$6-$D$7)&lt;=0,"WACC must exceed g",$I$26*(1+$D$7)/($D$6-$D$7))</f>
        <v/>
      </c>
      <c r="N19" s="131" t="inlineStr">
        <is>
          <t>← sanity check</t>
        </is>
      </c>
      <c r="O19" s="100" t="n"/>
    </row>
    <row r="20" ht="16" customHeight="1">
      <c r="A20" s="100" t="n"/>
      <c r="B20" s="127" t="inlineStr">
        <is>
          <t>Year Fraction (display only; XNPV uses exact dates below)</t>
        </is>
      </c>
      <c r="C20" s="100" t="n"/>
      <c r="D20" s="100" t="n"/>
      <c r="E20" s="132">
        <f>YEARFRAC(D18,E18)</f>
        <v/>
      </c>
      <c r="F20" s="132">
        <f>YEARFRAC(E18,F18)</f>
        <v/>
      </c>
      <c r="G20" s="132">
        <f>YEARFRAC(F18,G18)</f>
        <v/>
      </c>
      <c r="H20" s="132">
        <f>YEARFRAC(G18,H18)</f>
        <v/>
      </c>
      <c r="I20" s="132">
        <f>YEARFRAC(H18,I18)</f>
        <v/>
      </c>
      <c r="J20" s="100" t="n"/>
      <c r="K20" s="100" t="n"/>
      <c r="L20" s="100" t="inlineStr">
        <is>
          <t>Implied Gordon exit multiple</t>
        </is>
      </c>
      <c r="M20" s="120">
        <f>IF(($I$21+$I$23)=0,0,M19/($I$21+$I$23))</f>
        <v/>
      </c>
      <c r="N20" s="133" t="inlineStr">
        <is>
          <t>← ~bear check</t>
        </is>
      </c>
      <c r="O20" s="100" t="n"/>
    </row>
    <row r="21" ht="16" customHeight="1">
      <c r="A21" s="100" t="n"/>
      <c r="B21" s="100" t="inlineStr">
        <is>
          <t>EBIT (linked to 3-stmt)</t>
        </is>
      </c>
      <c r="C21" s="100" t="n"/>
      <c r="D21" s="100" t="n"/>
      <c r="E21" s="120">
        <f>'3 Statement Model'!J26-'3 Statement Model'!J28-'3 Statement Model'!J29-'3 Statement Model'!J30</f>
        <v/>
      </c>
      <c r="F21" s="120">
        <f>'3 Statement Model'!K26-'3 Statement Model'!K28-'3 Statement Model'!K29-'3 Statement Model'!K30</f>
        <v/>
      </c>
      <c r="G21" s="120">
        <f>'3 Statement Model'!L26-'3 Statement Model'!L28-'3 Statement Model'!L29-'3 Statement Model'!L30</f>
        <v/>
      </c>
      <c r="H21" s="120">
        <f>'3 Statement Model'!M26-'3 Statement Model'!M28-'3 Statement Model'!M29-'3 Statement Model'!M30</f>
        <v/>
      </c>
      <c r="I21" s="120">
        <f>'3 Statement Model'!N26-'3 Statement Model'!N28-'3 Statement Model'!N29-'3 Statement Model'!N30</f>
        <v/>
      </c>
      <c r="J21" s="100" t="n"/>
      <c r="K21" s="100" t="n"/>
      <c r="L21" s="100" t="inlineStr">
        <is>
          <t>BASE TV @ 17.5x (primary)</t>
        </is>
      </c>
      <c r="M21" s="120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(EBIT×t)</t>
        </is>
      </c>
      <c r="C22" s="100" t="n"/>
      <c r="D22" s="100" t="n"/>
      <c r="E22" s="134">
        <f>E21*$D$5</f>
        <v/>
      </c>
      <c r="F22" s="134">
        <f>F21*$D$5</f>
        <v/>
      </c>
      <c r="G22" s="134">
        <f>G21*$D$5</f>
        <v/>
      </c>
      <c r="H22" s="134">
        <f>H21*$D$5</f>
        <v/>
      </c>
      <c r="I22" s="134">
        <f>I21*$D$5</f>
        <v/>
      </c>
      <c r="J22" s="100" t="n"/>
      <c r="K22" s="100" t="n"/>
      <c r="L22" s="100" t="inlineStr">
        <is>
          <t>BULL TV @ 25.0x (spot/policy)</t>
        </is>
      </c>
      <c r="M22" s="120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(linked to 3-stmt)</t>
        </is>
      </c>
      <c r="C23" s="100" t="n"/>
      <c r="D23" s="100" t="n"/>
      <c r="E23" s="134">
        <f>'3 Statement Model'!J30</f>
        <v/>
      </c>
      <c r="F23" s="134">
        <f>'3 Statement Model'!K30</f>
        <v/>
      </c>
      <c r="G23" s="134">
        <f>'3 Statement Model'!L30</f>
        <v/>
      </c>
      <c r="H23" s="134">
        <f>'3 Statement Model'!M30</f>
        <v/>
      </c>
      <c r="I23" s="134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0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(linked to 3-stmt CF)</t>
        </is>
      </c>
      <c r="C24" s="100" t="n"/>
      <c r="D24" s="100" t="n"/>
      <c r="E24" s="120">
        <f>'3 Statement Model'!J68</f>
        <v/>
      </c>
      <c r="F24" s="120">
        <f>'3 Statement Model'!K68</f>
        <v/>
      </c>
      <c r="G24" s="120">
        <f>'3 Statement Model'!L68</f>
        <v/>
      </c>
      <c r="H24" s="120">
        <f>'3 Statement Model'!M68</f>
        <v/>
      </c>
      <c r="I24" s="120">
        <f>'3 Statement Model'!N68</f>
        <v/>
      </c>
      <c r="J24" s="100" t="n"/>
      <c r="K24" s="100" t="n"/>
      <c r="L24" s="110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(linked to 3-stmt CF)</t>
        </is>
      </c>
      <c r="C25" s="100" t="n"/>
      <c r="D25" s="100" t="n"/>
      <c r="E25" s="120">
        <f>'3 Statement Model'!J64</f>
        <v/>
      </c>
      <c r="F25" s="120">
        <f>'3 Statement Model'!K64</f>
        <v/>
      </c>
      <c r="G25" s="120">
        <f>'3 Statement Model'!L64</f>
        <v/>
      </c>
      <c r="H25" s="120">
        <f>'3 Statement Model'!M64</f>
        <v/>
      </c>
      <c r="I25" s="120">
        <f>'3 Statement Model'!N64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</t>
        </is>
      </c>
      <c r="C26" s="100" t="n"/>
      <c r="D26" s="100" t="n"/>
      <c r="E26" s="133">
        <f>E21-E22+E23-E24-E25</f>
        <v/>
      </c>
      <c r="F26" s="133">
        <f>F21-F22+F23-F24-F25</f>
        <v/>
      </c>
      <c r="G26" s="133">
        <f>G21-G22+G23-G24-G25</f>
        <v/>
      </c>
      <c r="H26" s="133">
        <f>H21-H22+H23-H24-H25</f>
        <v/>
      </c>
      <c r="I26" s="133">
        <f>I21-I22+I23-I24-I25</f>
        <v/>
      </c>
      <c r="J26" s="100" t="n"/>
      <c r="K26" s="100" t="n"/>
      <c r="L26" s="100" t="n"/>
      <c r="M26" s="100" t="n"/>
      <c r="N26" s="100" t="n"/>
      <c r="O26" s="100" t="n"/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0">
        <f>($I$21+$I$23)*$D$8</f>
        <v/>
      </c>
      <c r="K27" s="100" t="n"/>
      <c r="L27" s="100" t="n"/>
      <c r="M27" s="100" t="n"/>
      <c r="N27" s="100" t="n"/>
      <c r="O27" s="100" t="n"/>
    </row>
    <row r="28" ht="16" customHeight="1">
      <c r="A28" s="100" t="n"/>
      <c r="B28" s="100" t="inlineStr">
        <is>
          <t>Transaction CF</t>
        </is>
      </c>
      <c r="C28" s="100" t="n"/>
      <c r="D28" s="133" t="n">
        <v>0</v>
      </c>
      <c r="E28" s="135">
        <f>E27+E26</f>
        <v/>
      </c>
      <c r="F28" s="135">
        <f>F27+F26</f>
        <v/>
      </c>
      <c r="G28" s="135">
        <f>G27+G26</f>
        <v/>
      </c>
      <c r="H28" s="135">
        <f>H27+H26</f>
        <v/>
      </c>
      <c r="I28" s="135">
        <f>I27+I26</f>
        <v/>
      </c>
      <c r="J28" s="135">
        <f>J27+J26</f>
        <v/>
      </c>
      <c r="K28" s="100" t="n"/>
      <c r="L28" s="100" t="n"/>
      <c r="M28" s="100" t="n"/>
      <c r="N28" s="100" t="n"/>
      <c r="O28" s="100" t="n"/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0">
        <f>E27+E26</f>
        <v/>
      </c>
      <c r="F29" s="120">
        <f>F27+F26</f>
        <v/>
      </c>
      <c r="G29" s="120">
        <f>G27+G26</f>
        <v/>
      </c>
      <c r="H29" s="120">
        <f>H27+H26</f>
        <v/>
      </c>
      <c r="I29" s="120">
        <f>I27+I26</f>
        <v/>
      </c>
      <c r="J29" s="120">
        <f>J27</f>
        <v/>
      </c>
      <c r="K29" s="100" t="n"/>
      <c r="L29" s="100" t="n"/>
      <c r="M29" s="100" t="n"/>
      <c r="N29" s="100" t="n"/>
      <c r="O29" s="100" t="n"/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0" t="n"/>
      <c r="M30" s="100" t="n"/>
      <c r="N30" s="100" t="n"/>
      <c r="O30" s="100" t="n"/>
    </row>
    <row r="31" ht="16" customHeight="1">
      <c r="A31" s="100" t="n"/>
      <c r="B31" s="121" t="inlineStr">
        <is>
          <t>Intrinsic Value</t>
        </is>
      </c>
      <c r="C31" s="122" t="n"/>
      <c r="D31" s="122" t="n"/>
      <c r="E31" s="100" t="n"/>
      <c r="G31" s="121" t="inlineStr">
        <is>
          <t>Market Value</t>
        </is>
      </c>
      <c r="H31" s="122" t="n"/>
      <c r="I31" s="122" t="n"/>
      <c r="J31" s="100" t="n"/>
      <c r="L31" s="121" t="inlineStr">
        <is>
          <t>Rate of Return</t>
        </is>
      </c>
      <c r="M31" s="122" t="n"/>
      <c r="N31" s="122" t="n"/>
      <c r="O31" s="100" t="n"/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0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0" t="inlineStr">
        <is>
          <t>Target Price Upside</t>
        </is>
      </c>
      <c r="M32" s="100" t="n"/>
      <c r="N32" s="136">
        <f>D37/I37-1</f>
        <v/>
      </c>
      <c r="O32" s="100" t="n"/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0" t="inlineStr">
        <is>
          <t>Internal Rate of Return (IRR)</t>
        </is>
      </c>
      <c r="M33" s="100" t="n"/>
      <c r="N33" s="136">
        <f>XIRR(D29:J29,D18:J18)</f>
        <v/>
      </c>
      <c r="O33" s="100" t="n"/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0" t="n"/>
      <c r="M34" s="100" t="n"/>
      <c r="N34" s="100" t="n"/>
      <c r="O34" s="100" t="n"/>
    </row>
    <row r="35" ht="16" customHeight="1">
      <c r="A35" s="100" t="n"/>
      <c r="B35" s="100" t="inlineStr">
        <is>
          <t>Equity Value</t>
        </is>
      </c>
      <c r="C35" s="100" t="n"/>
      <c r="D35" s="133">
        <f>D32+D33-D34</f>
        <v/>
      </c>
      <c r="E35" s="100" t="n"/>
      <c r="G35" s="100" t="inlineStr">
        <is>
          <t>Enterprise Value</t>
        </is>
      </c>
      <c r="H35" s="100" t="n"/>
      <c r="I35" s="133">
        <f>I32+I33-I34</f>
        <v/>
      </c>
      <c r="J35" s="100" t="n"/>
      <c r="L35" s="121" t="inlineStr">
        <is>
          <t>Market Value vs Intrinsic Value</t>
        </is>
      </c>
      <c r="M35" s="122" t="n"/>
      <c r="N35" s="122" t="n"/>
      <c r="O35" s="100" t="n"/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37" t="n"/>
      <c r="J36" s="100" t="n"/>
      <c r="L36" s="100" t="inlineStr">
        <is>
          <t>Market Value</t>
        </is>
      </c>
      <c r="M36" s="100" t="n"/>
      <c r="N36" s="137">
        <f>I37</f>
        <v/>
      </c>
      <c r="O36" s="100" t="n"/>
    </row>
    <row r="37" ht="16" customHeight="1">
      <c r="A37" s="100" t="n"/>
      <c r="B37" s="100" t="inlineStr">
        <is>
          <t>Equity Value/Share</t>
        </is>
      </c>
      <c r="C37" s="100" t="n"/>
      <c r="D37" s="137">
        <f>D35/D12</f>
        <v/>
      </c>
      <c r="E37" s="100" t="n"/>
      <c r="G37" s="100" t="inlineStr">
        <is>
          <t>Equity Value/Share</t>
        </is>
      </c>
      <c r="H37" s="100" t="n"/>
      <c r="I37" s="137">
        <f>D11</f>
        <v/>
      </c>
      <c r="J37" s="100" t="n"/>
      <c r="L37" s="100" t="inlineStr">
        <is>
          <t>Upside</t>
        </is>
      </c>
      <c r="M37" s="100" t="n"/>
      <c r="N37" s="137">
        <f>D37-I37</f>
        <v/>
      </c>
      <c r="O37" s="100" t="n"/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0" t="inlineStr">
        <is>
          <t>Intrinsic Value</t>
        </is>
      </c>
      <c r="M38" s="100" t="n"/>
      <c r="N38" s="137">
        <f>SUM(N36:N37)</f>
        <v/>
      </c>
      <c r="O38" s="100" t="n"/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0" t="n"/>
      <c r="M39" s="100" t="n"/>
      <c r="N39" s="100" t="n"/>
      <c r="O39" s="100" t="n"/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0" t="n"/>
      <c r="M40" s="100" t="n"/>
      <c r="N40" s="100" t="n"/>
      <c r="O40" s="100" t="n"/>
    </row>
    <row r="41" ht="16" customHeight="1">
      <c r="A41" s="100" t="n"/>
      <c r="B41" s="121" t="inlineStr">
        <is>
          <t>Instructions</t>
        </is>
      </c>
      <c r="C41" s="122" t="n"/>
      <c r="D41" s="138" t="n"/>
      <c r="E41" s="122" t="n"/>
      <c r="F41" s="122" t="n"/>
      <c r="G41" s="122" t="n"/>
      <c r="H41" s="122" t="n"/>
      <c r="I41" s="122" t="n"/>
      <c r="J41" s="122" t="n"/>
      <c r="K41" s="122" t="n"/>
      <c r="L41" s="122" t="n"/>
      <c r="M41" s="122" t="n"/>
      <c r="N41" s="122" t="n"/>
      <c r="O41" s="100" t="n"/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39" t="inlineStr">
        <is>
          <t>This file is for educational purposes only. E&amp;OE</t>
        </is>
      </c>
      <c r="O42" s="100" t="n"/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</row>
    <row r="44" ht="16" customHeight="1">
      <c r="A44" s="100" t="n"/>
      <c r="B44" s="14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4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4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41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42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43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3" t="inlineStr">
        <is>
          <t>WACC \ Exit EV/EBITDA</t>
        </is>
      </c>
      <c r="M56" s="144" t="n">
        <v>12.5</v>
      </c>
      <c r="N56" s="144" t="n">
        <v>15</v>
      </c>
      <c r="O56" s="144" t="n">
        <v>17.5</v>
      </c>
      <c r="P56" s="144" t="n">
        <v>20</v>
      </c>
      <c r="Q56" s="144" t="n">
        <v>22.5</v>
      </c>
      <c r="R56" s="144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45" t="n">
        <v>0.0824</v>
      </c>
      <c r="M57" s="146">
        <f>XNPV($L57,$D$28:$I$28,$D$18:$I$18)+($I$26+($I$21+$I$23)*M$56)/((1+$L57)^(($J$18-$D$18)/365))</f>
        <v/>
      </c>
      <c r="N57" s="146">
        <f>XNPV($L57,$D$28:$I$28,$D$18:$I$18)+($I$26+($I$21+$I$23)*N$56)/((1+$L57)^(($J$18-$D$18)/365))</f>
        <v/>
      </c>
      <c r="O57" s="146">
        <f>XNPV($L57,$D$28:$I$28,$D$18:$I$18)+($I$26+($I$21+$I$23)*O$56)/((1+$L57)^(($J$18-$D$18)/365))</f>
        <v/>
      </c>
      <c r="P57" s="146">
        <f>XNPV($L57,$D$28:$I$28,$D$18:$I$18)+($I$26+($I$21+$I$23)*P$56)/((1+$L57)^(($J$18-$D$18)/365))</f>
        <v/>
      </c>
      <c r="Q57" s="146">
        <f>XNPV($L57,$D$28:$I$28,$D$18:$I$18)+($I$26+($I$21+$I$23)*Q$56)/((1+$L57)^(($J$18-$D$18)/365))</f>
        <v/>
      </c>
      <c r="R57" s="146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45" t="n">
        <v>0.08740000000000001</v>
      </c>
      <c r="M58" s="146">
        <f>XNPV($L58,$D$28:$I$28,$D$18:$I$18)+($I$26+($I$21+$I$23)*M$56)/((1+$L58)^(($J$18-$D$18)/365))</f>
        <v/>
      </c>
      <c r="N58" s="146">
        <f>XNPV($L58,$D$28:$I$28,$D$18:$I$18)+($I$26+($I$21+$I$23)*N$56)/((1+$L58)^(($J$18-$D$18)/365))</f>
        <v/>
      </c>
      <c r="O58" s="146">
        <f>XNPV($L58,$D$28:$I$28,$D$18:$I$18)+($I$26+($I$21+$I$23)*O$56)/((1+$L58)^(($J$18-$D$18)/365))</f>
        <v/>
      </c>
      <c r="P58" s="146">
        <f>XNPV($L58,$D$28:$I$28,$D$18:$I$18)+($I$26+($I$21+$I$23)*P$56)/((1+$L58)^(($J$18-$D$18)/365))</f>
        <v/>
      </c>
      <c r="Q58" s="146">
        <f>XNPV($L58,$D$28:$I$28,$D$18:$I$18)+($I$26+($I$21+$I$23)*Q$56)/((1+$L58)^(($J$18-$D$18)/365))</f>
        <v/>
      </c>
      <c r="R58" s="146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45" t="n">
        <v>0.0924</v>
      </c>
      <c r="M59" s="146">
        <f>XNPV($L59,$D$28:$I$28,$D$18:$I$18)+($I$26+($I$21+$I$23)*M$56)/((1+$L59)^(($J$18-$D$18)/365))</f>
        <v/>
      </c>
      <c r="N59" s="146">
        <f>XNPV($L59,$D$28:$I$28,$D$18:$I$18)+($I$26+($I$21+$I$23)*N$56)/((1+$L59)^(($J$18-$D$18)/365))</f>
        <v/>
      </c>
      <c r="O59" s="147">
        <f>XNPV($L59,$D$28:$I$28,$D$18:$I$18)+($I$26+($I$21+$I$23)*O$56)/((1+$L59)^(($J$18-$D$18)/365))</f>
        <v/>
      </c>
      <c r="P59" s="146">
        <f>XNPV($L59,$D$28:$I$28,$D$18:$I$18)+($I$26+($I$21+$I$23)*P$56)/((1+$L59)^(($J$18-$D$18)/365))</f>
        <v/>
      </c>
      <c r="Q59" s="146">
        <f>XNPV($L59,$D$28:$I$28,$D$18:$I$18)+($I$26+($I$21+$I$23)*Q$56)/((1+$L59)^(($J$18-$D$18)/365))</f>
        <v/>
      </c>
      <c r="R59" s="146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45" t="n">
        <v>0.0974</v>
      </c>
      <c r="M60" s="146">
        <f>XNPV($L60,$D$28:$I$28,$D$18:$I$18)+($I$26+($I$21+$I$23)*M$56)/((1+$L60)^(($J$18-$D$18)/365))</f>
        <v/>
      </c>
      <c r="N60" s="146">
        <f>XNPV($L60,$D$28:$I$28,$D$18:$I$18)+($I$26+($I$21+$I$23)*N$56)/((1+$L60)^(($J$18-$D$18)/365))</f>
        <v/>
      </c>
      <c r="O60" s="146">
        <f>XNPV($L60,$D$28:$I$28,$D$18:$I$18)+($I$26+($I$21+$I$23)*O$56)/((1+$L60)^(($J$18-$D$18)/365))</f>
        <v/>
      </c>
      <c r="P60" s="146">
        <f>XNPV($L60,$D$28:$I$28,$D$18:$I$18)+($I$26+($I$21+$I$23)*P$56)/((1+$L60)^(($J$18-$D$18)/365))</f>
        <v/>
      </c>
      <c r="Q60" s="146">
        <f>XNPV($L60,$D$28:$I$28,$D$18:$I$18)+($I$26+($I$21+$I$23)*Q$56)/((1+$L60)^(($J$18-$D$18)/365))</f>
        <v/>
      </c>
      <c r="R60" s="146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45" t="n">
        <v>0.1024</v>
      </c>
      <c r="M61" s="146">
        <f>XNPV($L61,$D$28:$I$28,$D$18:$I$18)+($I$26+($I$21+$I$23)*M$56)/((1+$L61)^(($J$18-$D$18)/365))</f>
        <v/>
      </c>
      <c r="N61" s="146">
        <f>XNPV($L61,$D$28:$I$28,$D$18:$I$18)+($I$26+($I$21+$I$23)*N$56)/((1+$L61)^(($J$18-$D$18)/365))</f>
        <v/>
      </c>
      <c r="O61" s="146">
        <f>XNPV($L61,$D$28:$I$28,$D$18:$I$18)+($I$26+($I$21+$I$23)*O$56)/((1+$L61)^(($J$18-$D$18)/365))</f>
        <v/>
      </c>
      <c r="P61" s="146">
        <f>XNPV($L61,$D$28:$I$28,$D$18:$I$18)+($I$26+($I$21+$I$23)*P$56)/((1+$L61)^(($J$18-$D$18)/365))</f>
        <v/>
      </c>
      <c r="Q61" s="146">
        <f>XNPV($L61,$D$28:$I$28,$D$18:$I$18)+($I$26+($I$21+$I$23)*Q$56)/((1+$L61)^(($J$18-$D$18)/365))</f>
        <v/>
      </c>
      <c r="R61" s="146">
        <f>XNPV($L61,$D$28:$I$28,$D$18:$I$18)+($I$26+($I$21+$I$23)*R$56)/((1+$L61)^(($J$18-$D$18)/365))</f>
        <v/>
      </c>
    </row>
    <row r="64">
      <c r="L64" s="148" t="inlineStr">
        <is>
          <t>SENSITIVITY — Equity Value / Share ($)</t>
        </is>
      </c>
    </row>
    <row r="65">
      <c r="L65" s="149" t="inlineStr">
        <is>
          <t>WACC \ Exit EV/EBITDA</t>
        </is>
      </c>
      <c r="M65" s="150" t="n">
        <v>12.5</v>
      </c>
      <c r="N65" s="150" t="n">
        <v>15</v>
      </c>
      <c r="O65" s="150" t="n">
        <v>17.5</v>
      </c>
      <c r="P65" s="150" t="n">
        <v>20</v>
      </c>
      <c r="Q65" s="150" t="n">
        <v>22.5</v>
      </c>
      <c r="R65" s="150" t="n">
        <v>25</v>
      </c>
    </row>
    <row r="66">
      <c r="L66" s="145" t="n">
        <v>0.0824</v>
      </c>
      <c r="M66" s="151">
        <f>(M57+$D$33-$D$34)/$D$12</f>
        <v/>
      </c>
      <c r="N66" s="151">
        <f>(N57+$D$33-$D$34)/$D$12</f>
        <v/>
      </c>
      <c r="O66" s="151">
        <f>(O57+$D$33-$D$34)/$D$12</f>
        <v/>
      </c>
      <c r="P66" s="151">
        <f>(P57+$D$33-$D$34)/$D$12</f>
        <v/>
      </c>
      <c r="Q66" s="151">
        <f>(Q57+$D$33-$D$34)/$D$12</f>
        <v/>
      </c>
      <c r="R66" s="151">
        <f>(R57+$D$33-$D$34)/$D$12</f>
        <v/>
      </c>
    </row>
    <row r="67">
      <c r="L67" s="145" t="n">
        <v>0.08740000000000001</v>
      </c>
      <c r="M67" s="151">
        <f>(M58+$D$33-$D$34)/$D$12</f>
        <v/>
      </c>
      <c r="N67" s="151">
        <f>(N58+$D$33-$D$34)/$D$12</f>
        <v/>
      </c>
      <c r="O67" s="151">
        <f>(O58+$D$33-$D$34)/$D$12</f>
        <v/>
      </c>
      <c r="P67" s="151">
        <f>(P58+$D$33-$D$34)/$D$12</f>
        <v/>
      </c>
      <c r="Q67" s="151">
        <f>(Q58+$D$33-$D$34)/$D$12</f>
        <v/>
      </c>
      <c r="R67" s="151">
        <f>(R58+$D$33-$D$34)/$D$12</f>
        <v/>
      </c>
    </row>
    <row r="68">
      <c r="L68" s="145" t="n">
        <v>0.0924</v>
      </c>
      <c r="M68" s="151">
        <f>(M59+$D$33-$D$34)/$D$12</f>
        <v/>
      </c>
      <c r="N68" s="151">
        <f>(N59+$D$33-$D$34)/$D$12</f>
        <v/>
      </c>
      <c r="O68" s="152">
        <f>(O59+$D$33-$D$34)/$D$12</f>
        <v/>
      </c>
      <c r="P68" s="151">
        <f>(P59+$D$33-$D$34)/$D$12</f>
        <v/>
      </c>
      <c r="Q68" s="151">
        <f>(Q59+$D$33-$D$34)/$D$12</f>
        <v/>
      </c>
      <c r="R68" s="151">
        <f>(R59+$D$33-$D$34)/$D$12</f>
        <v/>
      </c>
    </row>
    <row r="69">
      <c r="L69" s="145" t="n">
        <v>0.0974</v>
      </c>
      <c r="M69" s="151">
        <f>(M60+$D$33-$D$34)/$D$12</f>
        <v/>
      </c>
      <c r="N69" s="151">
        <f>(N60+$D$33-$D$34)/$D$12</f>
        <v/>
      </c>
      <c r="O69" s="151">
        <f>(O60+$D$33-$D$34)/$D$12</f>
        <v/>
      </c>
      <c r="P69" s="151">
        <f>(P60+$D$33-$D$34)/$D$12</f>
        <v/>
      </c>
      <c r="Q69" s="151">
        <f>(Q60+$D$33-$D$34)/$D$12</f>
        <v/>
      </c>
      <c r="R69" s="151">
        <f>(R60+$D$33-$D$34)/$D$12</f>
        <v/>
      </c>
    </row>
    <row r="70">
      <c r="L70" s="145" t="n">
        <v>0.1024</v>
      </c>
      <c r="M70" s="151">
        <f>(M61+$D$33-$D$34)/$D$12</f>
        <v/>
      </c>
      <c r="N70" s="151">
        <f>(N61+$D$33-$D$34)/$D$12</f>
        <v/>
      </c>
      <c r="O70" s="151">
        <f>(O61+$D$33-$D$34)/$D$12</f>
        <v/>
      </c>
      <c r="P70" s="151">
        <f>(P61+$D$33-$D$34)/$D$12</f>
        <v/>
      </c>
      <c r="Q70" s="151">
        <f>(Q61+$D$33-$D$34)/$D$12</f>
        <v/>
      </c>
      <c r="R70" s="151">
        <f>(R61+$D$33-$D$34)/$D$12</f>
        <v/>
      </c>
    </row>
    <row r="72">
      <c r="L72" s="153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6">
    <mergeCell ref="L55:R55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2026-08-06T14:02:39Z</dcterms:modified>
  <cp:lastModifiedBy>Katie Au Yeung</cp:lastModifiedBy>
  <cp:lastPrinted>2014-12-13T23:43:21Z</cp:lastPrinted>
</cp:coreProperties>
</file>