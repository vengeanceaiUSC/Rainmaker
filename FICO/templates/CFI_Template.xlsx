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0.00&quot;x&quot;"/>
    <numFmt numFmtId="177" formatCode="0.0&quot;x&quot;"/>
    <numFmt numFmtId="178" formatCode="#,##0.0"/>
    <numFmt numFmtId="179" formatCode="$#,##0.0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6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6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7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8" fontId="40" fillId="8" borderId="5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7" fontId="43" fillId="10" borderId="5" applyAlignment="1" pivotButton="0" quotePrefix="0" xfId="0">
      <alignment horizontal="center"/>
    </xf>
    <xf numFmtId="10" fontId="45" fillId="11" borderId="5" pivotButton="0" quotePrefix="0" xfId="0"/>
    <xf numFmtId="178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7" fontId="43" fillId="10" borderId="5" pivotButton="0" quotePrefix="0" xfId="0"/>
    <xf numFmtId="179" fontId="40" fillId="8" borderId="5" pivotButton="0" quotePrefix="0" xfId="0"/>
    <xf numFmtId="179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vengeanceaiUSCMODEL11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vengeanceaiUSCMODEL11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MODEL11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</t>
        </is>
      </c>
      <c r="C12" s="100" t="n"/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125">
        <f>YEAR(E18)</f>
        <v/>
      </c>
      <c r="F17" s="125">
        <f>YEAR(F18)</f>
        <v/>
      </c>
      <c r="G17" s="125">
        <f>YEAR(G18)</f>
        <v/>
      </c>
      <c r="H17" s="125">
        <f>YEAR(H18)</f>
        <v/>
      </c>
      <c r="I17" s="125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(vengeanceaiUSCMODEL11)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7">
        <f>$D$9</f>
        <v/>
      </c>
      <c r="E18" s="127">
        <f>EDATE($D$9,(E19+0.5)*12)</f>
        <v/>
      </c>
      <c r="F18" s="127">
        <f>EDATE($D$9,(F19+0.5)*12)</f>
        <v/>
      </c>
      <c r="G18" s="127">
        <f>EDATE($D$9,(G19+0.5)*12)</f>
        <v/>
      </c>
      <c r="H18" s="127">
        <f>EDATE($D$9,(H19+0.5)*12)</f>
        <v/>
      </c>
      <c r="I18" s="127">
        <f>EDATE($D$9,(I19+0.5)*12)</f>
        <v/>
      </c>
      <c r="J18" s="127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130" t="n">
        <v>0</v>
      </c>
      <c r="F19" s="131">
        <f>E19+1</f>
        <v/>
      </c>
      <c r="G19" s="131">
        <f>F19+1</f>
        <v/>
      </c>
      <c r="H19" s="131">
        <f>G19+1</f>
        <v/>
      </c>
      <c r="I19" s="131">
        <f>H19+1</f>
        <v/>
      </c>
      <c r="J19" s="129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2" t="inlineStr">
        <is>
          <t>← sanity check</t>
        </is>
      </c>
      <c r="O19" s="100" t="n"/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133">
        <f>YEARFRAC(D18,E18)</f>
        <v/>
      </c>
      <c r="F20" s="133">
        <f>YEARFRAC(E18,F18)</f>
        <v/>
      </c>
      <c r="G20" s="133">
        <f>YEARFRAC(F18,G18)</f>
        <v/>
      </c>
      <c r="H20" s="133">
        <f>YEARFRAC(G18,H18)</f>
        <v/>
      </c>
      <c r="I20" s="133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4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5">
        <f>E21*$D$5</f>
        <v/>
      </c>
      <c r="F22" s="135">
        <f>F21*$D$5</f>
        <v/>
      </c>
      <c r="G22" s="135">
        <f>G21*$D$5</f>
        <v/>
      </c>
      <c r="H22" s="135">
        <f>H21*$D$5</f>
        <v/>
      </c>
      <c r="I22" s="135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5">
        <f>'3 Statement Model'!J30</f>
        <v/>
      </c>
      <c r="F23" s="135">
        <f>'3 Statement Model'!K30</f>
        <v/>
      </c>
      <c r="G23" s="135">
        <f>'3 Statement Model'!L30</f>
        <v/>
      </c>
      <c r="H23" s="135">
        <f>'3 Statement Model'!M30</f>
        <v/>
      </c>
      <c r="I23" s="135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(includes SBC add-back from 3S row 64)</t>
        </is>
      </c>
      <c r="C26" s="100" t="inlineStr">
        <is>
          <t>FCFF=EBIT−cashTax+DA+SBC−CapEx−ΔNWC</t>
        </is>
      </c>
      <c r="D26" s="100" t="n"/>
      <c r="E26" s="136">
        <f>E21-E22+E23+'3 Statement Model'!J64-E24-E25</f>
        <v/>
      </c>
      <c r="F26" s="136">
        <f>F21-F22+F23+'3 Statement Model'!K64-F24-F25</f>
        <v/>
      </c>
      <c r="G26" s="136">
        <f>G21-G22+G23+'3 Statement Model'!L64-G24-G25</f>
        <v/>
      </c>
      <c r="H26" s="136">
        <f>H21-H22+H23+'3 Statement Model'!M64-H24-H25</f>
        <v/>
      </c>
      <c r="I26" s="136">
        <f>I21-I22+I23+'3 Statement Model'!N64-I24-I25</f>
        <v/>
      </c>
      <c r="J26" s="100" t="n"/>
      <c r="K26" s="100" t="n"/>
      <c r="L26" s="137" t="inlineStr">
        <is>
          <t>vengeanceaiUSCMODEL11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8" t="inlineStr">
        <is>
          <t>DCF item</t>
        </is>
      </c>
      <c r="M27" s="138" t="inlineStr">
        <is>
          <t>Value / link</t>
        </is>
      </c>
      <c r="N27" s="138" t="inlineStr">
        <is>
          <t>3-Statement source</t>
        </is>
      </c>
      <c r="O27" s="138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4" t="n">
        <v>0</v>
      </c>
      <c r="E28" s="136">
        <f>E27+E26</f>
        <v/>
      </c>
      <c r="F28" s="136">
        <f>F27+F26</f>
        <v/>
      </c>
      <c r="G28" s="136">
        <f>G27+G26</f>
        <v/>
      </c>
      <c r="H28" s="136">
        <f>H27+H26</f>
        <v/>
      </c>
      <c r="I28" s="136">
        <f>I27+I26</f>
        <v/>
      </c>
      <c r="J28" s="136">
        <f>J27+J26</f>
        <v/>
      </c>
      <c r="K28" s="100" t="n"/>
      <c r="L28" s="104" t="inlineStr">
        <is>
          <t>Cash tax rate (D5)</t>
        </is>
      </c>
      <c r="M28" s="139">
        <f>$D$5</f>
        <v/>
      </c>
      <c r="N28" s="140" t="inlineStr">
        <is>
          <t>22.87%</t>
        </is>
      </c>
      <c r="O28" s="141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39">
        <f>'3 Statement Model'!J15</f>
        <v/>
      </c>
      <c r="N29" s="142">
        <f>'3 Statement Model'!J15</f>
        <v/>
      </c>
      <c r="O29" s="141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39">
        <f>'3 Statement Model'!J21</f>
        <v/>
      </c>
      <c r="N30" s="142">
        <f>'3 Statement Model'!J21</f>
        <v/>
      </c>
      <c r="O30" s="141" t="inlineStr">
        <is>
          <t>SBC add-back in CFO row 64 and FCFF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3" t="inlineStr">
        <is>
          <t>CapEx % (FY1)</t>
        </is>
      </c>
      <c r="M31" s="139">
        <f>'3 Statement Model'!J18</f>
        <v/>
      </c>
      <c r="N31" s="142">
        <f>'3 Statement Model'!J18</f>
        <v/>
      </c>
      <c r="O31" s="141" t="inlineStr">
        <is>
          <t>Flat 3yr hist avg CapEx%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2">
        <f>'3 Statement Model'!J7</f>
        <v/>
      </c>
      <c r="N32" s="144">
        <f>'3 Statement Model'!J7</f>
        <v/>
      </c>
      <c r="O32" s="141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5">
        <f>$E$21</f>
        <v/>
      </c>
      <c r="N33" s="145">
        <f>'3 Statement Model'!J33+'3 Statement Model'!J31</f>
        <v/>
      </c>
      <c r="O33" s="141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5">
        <f>'3 Statement Model'!J26-'3 Statement Model'!J28-'3 Statement Model'!J29-'3 Statement Model'!J30</f>
        <v/>
      </c>
      <c r="N34" s="140" t="inlineStr">
        <is>
          <t>GP−SGA−R&amp;D−DA</t>
        </is>
      </c>
      <c r="O34" s="141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4">
        <f>D32+D33-D34</f>
        <v/>
      </c>
      <c r="E35" s="100" t="n"/>
      <c r="G35" s="100" t="inlineStr">
        <is>
          <t>Enterprise Value</t>
        </is>
      </c>
      <c r="H35" s="100" t="n"/>
      <c r="I35" s="134">
        <f>I32+I33-I34</f>
        <v/>
      </c>
      <c r="J35" s="100" t="n"/>
      <c r="L35" s="143" t="inlineStr">
        <is>
          <t>D&amp;A FY1</t>
        </is>
      </c>
      <c r="M35" s="145">
        <f>$E$23</f>
        <v/>
      </c>
      <c r="N35" s="145">
        <f>'3 Statement Model'!J30</f>
        <v/>
      </c>
      <c r="O35" s="141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6" t="n"/>
      <c r="J36" s="100" t="n"/>
      <c r="L36" s="104" t="inlineStr">
        <is>
          <t>SBC FY1</t>
        </is>
      </c>
      <c r="M36" s="145">
        <f>'3 Statement Model'!J64</f>
        <v/>
      </c>
      <c r="N36" s="145">
        <f>'3 Statement Model'!J64</f>
        <v/>
      </c>
      <c r="O36" s="141" t="inlineStr">
        <is>
          <t>Rev × SBC%; added in FCFF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146">
        <f>D35/D12</f>
        <v/>
      </c>
      <c r="E37" s="100" t="n"/>
      <c r="G37" s="100" t="inlineStr">
        <is>
          <t>Equity Value/Share</t>
        </is>
      </c>
      <c r="H37" s="100" t="n"/>
      <c r="I37" s="146">
        <f>D11</f>
        <v/>
      </c>
      <c r="J37" s="100" t="n"/>
      <c r="L37" s="104" t="inlineStr">
        <is>
          <t>CapEx FY1</t>
        </is>
      </c>
      <c r="M37" s="145">
        <f>$E$24</f>
        <v/>
      </c>
      <c r="N37" s="145">
        <f>'3 Statement Model'!J68</f>
        <v/>
      </c>
      <c r="O37" s="141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145">
        <f>$E$25</f>
        <v/>
      </c>
      <c r="N38" s="145">
        <f>'3 Statement Model'!J90</f>
        <v/>
      </c>
      <c r="O38" s="141" t="inlineStr">
        <is>
          <t>WC schedule change (CF row 65 = J90)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5">
        <f>$I$21+$I$23</f>
        <v/>
      </c>
      <c r="N39" s="145">
        <f>'3 Statement Model'!N33+'3 Statement Model'!N31+'3 Statement Model'!N30</f>
        <v/>
      </c>
      <c r="O39" s="141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5">
        <f>'3 Statement Model'!I41</f>
        <v/>
      </c>
      <c r="N40" s="145">
        <f>'3 Statement Model'!I41</f>
        <v/>
      </c>
      <c r="O40" s="141" t="inlineStr">
        <is>
          <t>FYE reference only — bridge uses 10-Q D14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3" t="inlineStr">
        <is>
          <t>3S FY25 Debt (ref)</t>
        </is>
      </c>
      <c r="M41" s="145">
        <f>'3 Statement Model'!I49</f>
        <v/>
      </c>
      <c r="N41" s="145">
        <f>'3 Statement Model'!I49</f>
        <v/>
      </c>
      <c r="O41" s="141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48" t="inlineStr">
        <is>
          <t>EBIT link OK?</t>
        </is>
      </c>
      <c r="M42" s="149">
        <f>IF(ABS(M33-M34)&lt;1,"OK","MISMATCH")</f>
        <v/>
      </c>
      <c r="N42" s="150" t="inlineStr"/>
      <c r="O42" s="141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1" t="inlineStr">
        <is>
          <t>Green cells are live links. FCFF = EBIT − cash tax + D&amp;A + SBC − CapEx − ΔNWC. D5 = historical cash tax rate (not book J13). D13/D14 stay 10-Q for the equity bridge.</t>
        </is>
      </c>
    </row>
    <row r="44" ht="16" customHeight="1">
      <c r="A44" s="100" t="n"/>
      <c r="B44" s="152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2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2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3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4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7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5" t="n">
        <v>12.5</v>
      </c>
      <c r="N56" s="155" t="n">
        <v>15</v>
      </c>
      <c r="O56" s="155" t="n">
        <v>17.5</v>
      </c>
      <c r="P56" s="155" t="n">
        <v>20</v>
      </c>
      <c r="Q56" s="155" t="n">
        <v>22.5</v>
      </c>
      <c r="R56" s="155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6" t="n">
        <v>0.0824</v>
      </c>
      <c r="M57" s="145">
        <f>XNPV($L57,$D$28:$I$28,$D$18:$I$18)+($I$26+($I$21+$I$23)*M$56)/((1+$L57)^(($J$18-$D$18)/365))</f>
        <v/>
      </c>
      <c r="N57" s="145">
        <f>XNPV($L57,$D$28:$I$28,$D$18:$I$18)+($I$26+($I$21+$I$23)*N$56)/((1+$L57)^(($J$18-$D$18)/365))</f>
        <v/>
      </c>
      <c r="O57" s="145">
        <f>XNPV($L57,$D$28:$I$28,$D$18:$I$18)+($I$26+($I$21+$I$23)*O$56)/((1+$L57)^(($J$18-$D$18)/365))</f>
        <v/>
      </c>
      <c r="P57" s="145">
        <f>XNPV($L57,$D$28:$I$28,$D$18:$I$18)+($I$26+($I$21+$I$23)*P$56)/((1+$L57)^(($J$18-$D$18)/365))</f>
        <v/>
      </c>
      <c r="Q57" s="145">
        <f>XNPV($L57,$D$28:$I$28,$D$18:$I$18)+($I$26+($I$21+$I$23)*Q$56)/((1+$L57)^(($J$18-$D$18)/365))</f>
        <v/>
      </c>
      <c r="R57" s="145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6" t="n">
        <v>0.08740000000000001</v>
      </c>
      <c r="M58" s="145">
        <f>XNPV($L58,$D$28:$I$28,$D$18:$I$18)+($I$26+($I$21+$I$23)*M$56)/((1+$L58)^(($J$18-$D$18)/365))</f>
        <v/>
      </c>
      <c r="N58" s="145">
        <f>XNPV($L58,$D$28:$I$28,$D$18:$I$18)+($I$26+($I$21+$I$23)*N$56)/((1+$L58)^(($J$18-$D$18)/365))</f>
        <v/>
      </c>
      <c r="O58" s="145">
        <f>XNPV($L58,$D$28:$I$28,$D$18:$I$18)+($I$26+($I$21+$I$23)*O$56)/((1+$L58)^(($J$18-$D$18)/365))</f>
        <v/>
      </c>
      <c r="P58" s="145">
        <f>XNPV($L58,$D$28:$I$28,$D$18:$I$18)+($I$26+($I$21+$I$23)*P$56)/((1+$L58)^(($J$18-$D$18)/365))</f>
        <v/>
      </c>
      <c r="Q58" s="145">
        <f>XNPV($L58,$D$28:$I$28,$D$18:$I$18)+($I$26+($I$21+$I$23)*Q$56)/((1+$L58)^(($J$18-$D$18)/365))</f>
        <v/>
      </c>
      <c r="R58" s="145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6" t="n">
        <v>0.0924</v>
      </c>
      <c r="M59" s="145">
        <f>XNPV($L59,$D$28:$I$28,$D$18:$I$18)+($I$26+($I$21+$I$23)*M$56)/((1+$L59)^(($J$18-$D$18)/365))</f>
        <v/>
      </c>
      <c r="N59" s="145">
        <f>XNPV($L59,$D$28:$I$28,$D$18:$I$18)+($I$26+($I$21+$I$23)*N$56)/((1+$L59)^(($J$18-$D$18)/365))</f>
        <v/>
      </c>
      <c r="O59" s="157">
        <f>XNPV($L59,$D$28:$I$28,$D$18:$I$18)+($I$26+($I$21+$I$23)*O$56)/((1+$L59)^(($J$18-$D$18)/365))</f>
        <v/>
      </c>
      <c r="P59" s="145">
        <f>XNPV($L59,$D$28:$I$28,$D$18:$I$18)+($I$26+($I$21+$I$23)*P$56)/((1+$L59)^(($J$18-$D$18)/365))</f>
        <v/>
      </c>
      <c r="Q59" s="145">
        <f>XNPV($L59,$D$28:$I$28,$D$18:$I$18)+($I$26+($I$21+$I$23)*Q$56)/((1+$L59)^(($J$18-$D$18)/365))</f>
        <v/>
      </c>
      <c r="R59" s="145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6" t="n">
        <v>0.0974</v>
      </c>
      <c r="M60" s="145">
        <f>XNPV($L60,$D$28:$I$28,$D$18:$I$18)+($I$26+($I$21+$I$23)*M$56)/((1+$L60)^(($J$18-$D$18)/365))</f>
        <v/>
      </c>
      <c r="N60" s="145">
        <f>XNPV($L60,$D$28:$I$28,$D$18:$I$18)+($I$26+($I$21+$I$23)*N$56)/((1+$L60)^(($J$18-$D$18)/365))</f>
        <v/>
      </c>
      <c r="O60" s="145">
        <f>XNPV($L60,$D$28:$I$28,$D$18:$I$18)+($I$26+($I$21+$I$23)*O$56)/((1+$L60)^(($J$18-$D$18)/365))</f>
        <v/>
      </c>
      <c r="P60" s="145">
        <f>XNPV($L60,$D$28:$I$28,$D$18:$I$18)+($I$26+($I$21+$I$23)*P$56)/((1+$L60)^(($J$18-$D$18)/365))</f>
        <v/>
      </c>
      <c r="Q60" s="145">
        <f>XNPV($L60,$D$28:$I$28,$D$18:$I$18)+($I$26+($I$21+$I$23)*Q$56)/((1+$L60)^(($J$18-$D$18)/365))</f>
        <v/>
      </c>
      <c r="R60" s="145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6" t="n">
        <v>0.1024</v>
      </c>
      <c r="M61" s="145">
        <f>XNPV($L61,$D$28:$I$28,$D$18:$I$18)+($I$26+($I$21+$I$23)*M$56)/((1+$L61)^(($J$18-$D$18)/365))</f>
        <v/>
      </c>
      <c r="N61" s="145">
        <f>XNPV($L61,$D$28:$I$28,$D$18:$I$18)+($I$26+($I$21+$I$23)*N$56)/((1+$L61)^(($J$18-$D$18)/365))</f>
        <v/>
      </c>
      <c r="O61" s="145">
        <f>XNPV($L61,$D$28:$I$28,$D$18:$I$18)+($I$26+($I$21+$I$23)*O$56)/((1+$L61)^(($J$18-$D$18)/365))</f>
        <v/>
      </c>
      <c r="P61" s="145">
        <f>XNPV($L61,$D$28:$I$28,$D$18:$I$18)+($I$26+($I$21+$I$23)*P$56)/((1+$L61)^(($J$18-$D$18)/365))</f>
        <v/>
      </c>
      <c r="Q61" s="145">
        <f>XNPV($L61,$D$28:$I$28,$D$18:$I$18)+($I$26+($I$21+$I$23)*Q$56)/((1+$L61)^(($J$18-$D$18)/365))</f>
        <v/>
      </c>
      <c r="R61" s="145">
        <f>XNPV($L61,$D$28:$I$28,$D$18:$I$18)+($I$26+($I$21+$I$23)*R$56)/((1+$L61)^(($J$18-$D$18)/365))</f>
        <v/>
      </c>
    </row>
    <row r="64">
      <c r="L64" s="158" t="inlineStr">
        <is>
          <t>SENSITIVITY — Equity Value / Share ($)</t>
        </is>
      </c>
    </row>
    <row r="65">
      <c r="L65" s="159" t="inlineStr">
        <is>
          <t>WACC \ Exit EV/EBITDA</t>
        </is>
      </c>
      <c r="M65" s="160" t="n">
        <v>12.5</v>
      </c>
      <c r="N65" s="160" t="n">
        <v>15</v>
      </c>
      <c r="O65" s="160" t="n">
        <v>17.5</v>
      </c>
      <c r="P65" s="160" t="n">
        <v>20</v>
      </c>
      <c r="Q65" s="160" t="n">
        <v>22.5</v>
      </c>
      <c r="R65" s="160" t="n">
        <v>25</v>
      </c>
    </row>
    <row r="66">
      <c r="L66" s="156" t="n">
        <v>0.0824</v>
      </c>
      <c r="M66" s="161">
        <f>(M57+$D$33-$D$34)/$D$12</f>
        <v/>
      </c>
      <c r="N66" s="161">
        <f>(N57+$D$33-$D$34)/$D$12</f>
        <v/>
      </c>
      <c r="O66" s="161">
        <f>(O57+$D$33-$D$34)/$D$12</f>
        <v/>
      </c>
      <c r="P66" s="161">
        <f>(P57+$D$33-$D$34)/$D$12</f>
        <v/>
      </c>
      <c r="Q66" s="161">
        <f>(Q57+$D$33-$D$34)/$D$12</f>
        <v/>
      </c>
      <c r="R66" s="161">
        <f>(R57+$D$33-$D$34)/$D$12</f>
        <v/>
      </c>
    </row>
    <row r="67">
      <c r="L67" s="156" t="n">
        <v>0.08740000000000001</v>
      </c>
      <c r="M67" s="161">
        <f>(M58+$D$33-$D$34)/$D$12</f>
        <v/>
      </c>
      <c r="N67" s="161">
        <f>(N58+$D$33-$D$34)/$D$12</f>
        <v/>
      </c>
      <c r="O67" s="161">
        <f>(O58+$D$33-$D$34)/$D$12</f>
        <v/>
      </c>
      <c r="P67" s="161">
        <f>(P58+$D$33-$D$34)/$D$12</f>
        <v/>
      </c>
      <c r="Q67" s="161">
        <f>(Q58+$D$33-$D$34)/$D$12</f>
        <v/>
      </c>
      <c r="R67" s="161">
        <f>(R58+$D$33-$D$34)/$D$12</f>
        <v/>
      </c>
    </row>
    <row r="68">
      <c r="L68" s="156" t="n">
        <v>0.0924</v>
      </c>
      <c r="M68" s="161">
        <f>(M59+$D$33-$D$34)/$D$12</f>
        <v/>
      </c>
      <c r="N68" s="161">
        <f>(N59+$D$33-$D$34)/$D$12</f>
        <v/>
      </c>
      <c r="O68" s="162">
        <f>(O59+$D$33-$D$34)/$D$12</f>
        <v/>
      </c>
      <c r="P68" s="161">
        <f>(P59+$D$33-$D$34)/$D$12</f>
        <v/>
      </c>
      <c r="Q68" s="161">
        <f>(Q59+$D$33-$D$34)/$D$12</f>
        <v/>
      </c>
      <c r="R68" s="161">
        <f>(R59+$D$33-$D$34)/$D$12</f>
        <v/>
      </c>
    </row>
    <row r="69">
      <c r="L69" s="156" t="n">
        <v>0.0974</v>
      </c>
      <c r="M69" s="161">
        <f>(M60+$D$33-$D$34)/$D$12</f>
        <v/>
      </c>
      <c r="N69" s="161">
        <f>(N60+$D$33-$D$34)/$D$12</f>
        <v/>
      </c>
      <c r="O69" s="161">
        <f>(O60+$D$33-$D$34)/$D$12</f>
        <v/>
      </c>
      <c r="P69" s="161">
        <f>(P60+$D$33-$D$34)/$D$12</f>
        <v/>
      </c>
      <c r="Q69" s="161">
        <f>(Q60+$D$33-$D$34)/$D$12</f>
        <v/>
      </c>
      <c r="R69" s="161">
        <f>(R60+$D$33-$D$34)/$D$12</f>
        <v/>
      </c>
    </row>
    <row r="70">
      <c r="L70" s="156" t="n">
        <v>0.1024</v>
      </c>
      <c r="M70" s="161">
        <f>(M61+$D$33-$D$34)/$D$12</f>
        <v/>
      </c>
      <c r="N70" s="161">
        <f>(N61+$D$33-$D$34)/$D$12</f>
        <v/>
      </c>
      <c r="O70" s="161">
        <f>(O61+$D$33-$D$34)/$D$12</f>
        <v/>
      </c>
      <c r="P70" s="161">
        <f>(P61+$D$33-$D$34)/$D$12</f>
        <v/>
      </c>
      <c r="Q70" s="161">
        <f>(Q61+$D$33-$D$34)/$D$12</f>
        <v/>
      </c>
      <c r="R70" s="161">
        <f>(R61+$D$33-$D$34)/$D$12</f>
        <v/>
      </c>
    </row>
    <row r="72">
      <c r="L72" s="15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2026-08-06T15:27:43Z</dcterms:modified>
  <cp:lastModifiedBy>Katie Au Yeung</cp:lastModifiedBy>
  <cp:lastPrinted>2014-12-13T23:43:21Z</cp:lastPrinted>
</cp:coreProperties>
</file>