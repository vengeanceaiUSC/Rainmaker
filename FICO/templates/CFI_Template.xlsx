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6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  <numFmt numFmtId="175" formatCode="0.0"/>
    <numFmt numFmtId="176" formatCode="0.00&quot;x&quot;"/>
    <numFmt numFmtId="177" formatCode="0.0&quot;x&quot;"/>
    <numFmt numFmtId="178" formatCode="#,##0.0"/>
    <numFmt numFmtId="179" formatCode="$#,##0.00"/>
  </numFmts>
  <fonts count="4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i val="1"/>
      <color rgb="00595959"/>
      <sz val="8"/>
    </font>
    <font>
      <name val="Calibri"/>
      <color rgb="000000FF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</fonts>
  <fills count="12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62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6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5" fontId="40" fillId="8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6" fontId="45" fillId="11" borderId="5" pivotButton="0" quotePrefix="0" xfId="0"/>
    <xf numFmtId="14" fontId="32" fillId="0" borderId="0" pivotButton="0" quotePrefix="0" xfId="0"/>
    <xf numFmtId="164" fontId="30" fillId="8" borderId="5" pivotButton="0" quotePrefix="0" xfId="0"/>
    <xf numFmtId="177" fontId="30" fillId="8" borderId="5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38" fillId="7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42" fillId="9" borderId="0" pivotButton="0" quotePrefix="0" xfId="0"/>
    <xf numFmtId="164" fontId="43" fillId="10" borderId="5" pivotButton="0" quotePrefix="0" xfId="0"/>
    <xf numFmtId="164" fontId="38" fillId="7" borderId="2" pivotButton="0" quotePrefix="0" xfId="0"/>
    <xf numFmtId="10" fontId="38" fillId="7" borderId="5" pivotButton="0" quotePrefix="0" xfId="0"/>
    <xf numFmtId="164" fontId="38" fillId="7" borderId="5" pivotButton="0" quotePrefix="0" xfId="0"/>
    <xf numFmtId="164" fontId="39" fillId="0" borderId="5" pivotButton="0" quotePrefix="0" xfId="0"/>
    <xf numFmtId="164" fontId="44" fillId="6" borderId="5" pivotButton="0" quotePrefix="0" xfId="0"/>
    <xf numFmtId="178" fontId="38" fillId="7" borderId="5" pivotButton="0" quotePrefix="0" xfId="0"/>
    <xf numFmtId="9" fontId="47" fillId="0" borderId="5" pivotButton="0" quotePrefix="0" xfId="0"/>
    <xf numFmtId="174" fontId="30" fillId="0" borderId="0" pivotButton="0" quotePrefix="0" xfId="0"/>
    <xf numFmtId="164" fontId="47" fillId="0" borderId="5" pivotButton="0" quotePrefix="0" xfId="0"/>
    <xf numFmtId="164" fontId="30" fillId="6" borderId="0" applyAlignment="1" pivotButton="0" quotePrefix="0" xfId="0">
      <alignment horizontal="center"/>
    </xf>
    <xf numFmtId="164" fontId="39" fillId="6" borderId="0" pivotButton="0" quotePrefix="0" xfId="0"/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7" fontId="43" fillId="10" borderId="5" applyAlignment="1" pivotButton="0" quotePrefix="0" xfId="0">
      <alignment horizontal="center"/>
    </xf>
    <xf numFmtId="10" fontId="45" fillId="11" borderId="5" pivotButton="0" quotePrefix="0" xfId="0"/>
    <xf numFmtId="178" fontId="38" fillId="8" borderId="5" pivotButton="0" quotePrefix="0" xfId="0"/>
    <xf numFmtId="0" fontId="42" fillId="9" borderId="0" pivotButton="0" quotePrefix="0" xfId="0"/>
    <xf numFmtId="0" fontId="45" fillId="11" borderId="5" pivotButton="0" quotePrefix="0" xfId="0"/>
    <xf numFmtId="177" fontId="43" fillId="10" borderId="5" pivotButton="0" quotePrefix="0" xfId="0"/>
    <xf numFmtId="179" fontId="38" fillId="7" borderId="5" pivotButton="0" quotePrefix="0" xfId="0"/>
    <xf numFmtId="179" fontId="38" fillId="8" borderId="5" pivotButton="0" quotePrefix="0" xfId="0"/>
    <xf numFmtId="0" fontId="39" fillId="0" borderId="0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vengeanceaiUSCMODEL8</author>
  </authors>
  <commentList>
    <comment ref="D5" authorId="0" shapeId="0">
      <text>
        <t>Tax rate for unlevered FCFF and WACC after-tax Rd.
HOW: D5 = '3 Statement Model'!J13 (I35/I33 on hist, held in forecast).
WHY: DCF must use the same t as the 3-statement so NOPAT/FCFF articulate.
SOURCE: SEC 10-K FY2025 tax / EBT (via 3S hist).</t>
      </text>
    </comment>
    <comment ref="D8" authorId="0" shapeId="0">
      <text>
        <t>Exit EV/EBITDA multiple (BASE)
HOW: Yellow POLICY input D8 = 17.5x; TV = Year-5 EBITDA × D8.
WHY: Sourced from public peer EV/EBITDA (EFX/VRSK/SPGI/MCO/MSCI). Peer median ≈ 18.1x → base 17.5x (also ≈ 50/50 of bull 25x and bear/Gordon 12.8x). NOT FICO spot (~25–27x).
SOURCE (peer comps): https://vcpscanner.com/valuation/fico/relative
SOURCE (FICO spot): https://www.alphaspread.com/security/nyse/fico/relative-valuation/ratio/enterprise-value-to-ebitda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https://vcpscanner.com/valuation/fico/relative" TargetMode="External" Id="rId1" /><Relationship Type="http://schemas.openxmlformats.org/officeDocument/2006/relationships/hyperlink" Target="https://www.alphaspread.com/security/nyse/fico/relative-valuation/ratio/enterprise-value-to-ebitda" TargetMode="External" Id="rId2" /><Relationship Type="http://schemas.openxmlformats.org/officeDocument/2006/relationships/hyperlink" Target="https://vcpscanner.com/valuation/fico/relative" TargetMode="External" Id="rId3" /><Relationship Type="http://schemas.openxmlformats.org/officeDocument/2006/relationships/hyperlink" Target="https://www.alphaspread.com/security/nyse/fico/relative-valuation/ratio/enterprise-value-to-ebitda" TargetMode="External" Id="rId4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vengeanceaiUSCMODEL8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105" t="n">
        <v>13.88</v>
      </c>
      <c r="O3" s="104" t="inlineStr">
        <is>
          <t>VCP Scanner peer set</t>
        </is>
      </c>
    </row>
    <row r="4" ht="16" customHeight="1">
      <c r="A4" s="100" t="n"/>
      <c r="B4" s="106" t="inlineStr">
        <is>
          <t>Assumptions</t>
        </is>
      </c>
      <c r="C4" s="107" t="n"/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105" t="n">
        <v>17.42</v>
      </c>
      <c r="O4" s="104" t="inlineStr">
        <is>
          <t>VCP Scanner peer set</t>
        </is>
      </c>
    </row>
    <row r="5" ht="16" customHeight="1">
      <c r="A5" s="100" t="n"/>
      <c r="B5" s="108" t="inlineStr">
        <is>
          <t>Tax Rate (from 3-Statement J13 = FY25 tax/EBT)</t>
        </is>
      </c>
      <c r="C5" s="109" t="inlineStr">
        <is>
          <t>Linked to 3S — do not hardcode</t>
        </is>
      </c>
      <c r="D5" s="110">
        <f>'3 Statement Model'!J13</f>
        <v/>
      </c>
      <c r="E5" s="103" t="n"/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105" t="n">
        <v>18.11</v>
      </c>
      <c r="O5" s="104" t="inlineStr">
        <is>
          <t>VCP Scanner peer set</t>
        </is>
      </c>
    </row>
    <row r="6" ht="16" customHeight="1">
      <c r="A6" s="100" t="n"/>
      <c r="B6" s="108" t="inlineStr">
        <is>
          <t>Discount Rate</t>
        </is>
      </c>
      <c r="C6" s="100" t="n"/>
      <c r="D6" s="111" t="n">
        <v>0.12</v>
      </c>
      <c r="E6" s="100" t="n"/>
      <c r="F6" s="100" t="n"/>
      <c r="G6" s="100" t="n"/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105" t="n">
        <v>22.2</v>
      </c>
      <c r="O6" s="104" t="inlineStr">
        <is>
          <t>VCP Scanner peer set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111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105" t="n">
        <v>23.74</v>
      </c>
      <c r="O7" s="104" t="inlineStr">
        <is>
          <t>VCP Scanner peer set</t>
        </is>
      </c>
    </row>
    <row r="8" ht="16" customHeight="1">
      <c r="A8" s="100" t="n"/>
      <c r="B8" s="100" t="inlineStr">
        <is>
          <t>Exit EV/EBITDA (BASE 17.5x — peer comps)</t>
        </is>
      </c>
      <c r="C8" s="109" t="inlineStr">
        <is>
          <t>BASE 17.5x ≈ peer median 18.1x (VCP Scanner). Bull 25x / Bear 12.8x.</t>
        </is>
      </c>
      <c r="D8" s="112" t="n">
        <v>17.5</v>
      </c>
      <c r="E8" s="100" t="n"/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115" t="n">
        <v>18.11</v>
      </c>
      <c r="O8" s="114" t="inlineStr">
        <is>
          <t>Sorted median (SPGI)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116" t="n">
        <v>43100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118" t="n">
        <v>17.5</v>
      </c>
      <c r="O9" s="117" t="inlineStr">
        <is>
          <t>Near peer median; audit 17.5x</t>
        </is>
      </c>
    </row>
    <row r="10" ht="16" customHeight="1">
      <c r="A10" s="100" t="n"/>
      <c r="B10" s="100" t="inlineStr">
        <is>
          <t>Fiscal Year End (first forecast FYE)</t>
        </is>
      </c>
      <c r="C10" s="100" t="n"/>
      <c r="D10" s="116" t="n">
        <v>43281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</row>
    <row r="11" ht="16" customHeight="1">
      <c r="A11" s="100" t="n"/>
      <c r="B11" s="100" t="inlineStr">
        <is>
          <t>Current Price</t>
        </is>
      </c>
      <c r="C11" s="100" t="n"/>
      <c r="D11" s="119" t="n">
        <v>25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</row>
    <row r="12" ht="16" customHeight="1">
      <c r="A12" s="100" t="n"/>
      <c r="B12" s="100" t="inlineStr">
        <is>
          <t>Shares Outstanding</t>
        </is>
      </c>
      <c r="C12" s="100" t="n"/>
      <c r="D12" s="120" t="n">
        <v>20000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120" t="n">
        <v>30000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120" t="n">
        <v>239549.5203651849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</row>
    <row r="15" ht="16" customHeight="1">
      <c r="A15" s="100" t="n"/>
      <c r="B15" s="100" t="inlineStr">
        <is>
          <t>Capex FY1 (linked to 3S J68)</t>
        </is>
      </c>
      <c r="C15" s="100" t="n"/>
      <c r="D15" s="121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</row>
    <row r="16" ht="16" customHeight="1">
      <c r="A16" s="100" t="n"/>
      <c r="B16" s="100" t="n"/>
      <c r="C16" s="100" t="n"/>
      <c r="D16" s="116" t="n"/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2" t="inlineStr">
        <is>
          <t>Discounted Cash Flow</t>
        </is>
      </c>
      <c r="C17" s="123" t="n"/>
      <c r="D17" s="124" t="inlineStr">
        <is>
          <t>Entry</t>
        </is>
      </c>
      <c r="E17" s="125">
        <f>YEAR(E18)</f>
        <v/>
      </c>
      <c r="F17" s="125">
        <f>YEAR(F18)</f>
        <v/>
      </c>
      <c r="G17" s="125">
        <f>YEAR(G18)</f>
        <v/>
      </c>
      <c r="H17" s="125">
        <f>YEAR(H18)</f>
        <v/>
      </c>
      <c r="I17" s="125">
        <f>YEAR(I18)</f>
        <v/>
      </c>
      <c r="J17" s="124" t="inlineStr">
        <is>
          <t>Exit</t>
        </is>
      </c>
      <c r="K17" s="100" t="n"/>
      <c r="L17" s="126" t="inlineStr">
        <is>
          <t>Terminal value &amp; scenarios (vengeanceaiUSCMODEL8)</t>
        </is>
      </c>
      <c r="O17" s="100" t="n"/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127">
        <f>$D$9</f>
        <v/>
      </c>
      <c r="E18" s="127">
        <f>EDATE($D$9,(E19+0.5)*12)</f>
        <v/>
      </c>
      <c r="F18" s="127">
        <f>EDATE($D$9,(F19+0.5)*12)</f>
        <v/>
      </c>
      <c r="G18" s="127">
        <f>EDATE($D$9,(G19+0.5)*12)</f>
        <v/>
      </c>
      <c r="H18" s="127">
        <f>EDATE($D$9,(H19+0.5)*12)</f>
        <v/>
      </c>
      <c r="I18" s="127">
        <f>EDATE($D$9,(I19+0.5)*12)</f>
        <v/>
      </c>
      <c r="J18" s="127">
        <f>I18</f>
        <v/>
      </c>
      <c r="K18" s="100" t="n"/>
      <c r="L18" s="100" t="inlineStr">
        <is>
          <t>Exit EV/EBITDA @ D8 (BASE 17.5x)</t>
        </is>
      </c>
      <c r="M18" s="121">
        <f>J27</f>
        <v/>
      </c>
      <c r="N18" s="100" t="inlineStr">
        <is>
          <t>← used in XNPV</t>
        </is>
      </c>
      <c r="O18" s="100" t="n"/>
    </row>
    <row r="19" ht="16" customHeight="1">
      <c r="A19" s="100" t="n"/>
      <c r="B19" s="128" t="inlineStr">
        <is>
          <t>Time Periods</t>
        </is>
      </c>
      <c r="C19" s="128" t="n"/>
      <c r="D19" s="129" t="n"/>
      <c r="E19" s="130" t="n">
        <v>0</v>
      </c>
      <c r="F19" s="131">
        <f>E19+1</f>
        <v/>
      </c>
      <c r="G19" s="131">
        <f>F19+1</f>
        <v/>
      </c>
      <c r="H19" s="131">
        <f>G19+1</f>
        <v/>
      </c>
      <c r="I19" s="131">
        <f>H19+1</f>
        <v/>
      </c>
      <c r="J19" s="129" t="n"/>
      <c r="K19" s="100" t="n"/>
      <c r="L19" s="100" t="inlineStr">
        <is>
          <t>Gordon cross-check (g=D7)</t>
        </is>
      </c>
      <c r="M19" s="121">
        <f>IF(($D$6-$D$7)&lt;=0,"WACC must exceed g",$I$26*(1+$D$7)/($D$6-$D$7))</f>
        <v/>
      </c>
      <c r="N19" s="132" t="inlineStr">
        <is>
          <t>← sanity check</t>
        </is>
      </c>
      <c r="O19" s="100" t="n"/>
    </row>
    <row r="20" ht="16" customHeight="1">
      <c r="A20" s="100" t="n"/>
      <c r="B20" s="128" t="inlineStr">
        <is>
          <t>Year Fraction (display only; XNPV uses exact dates below)</t>
        </is>
      </c>
      <c r="C20" s="100" t="n"/>
      <c r="D20" s="100" t="n"/>
      <c r="E20" s="133">
        <f>YEARFRAC(D18,E18)</f>
        <v/>
      </c>
      <c r="F20" s="133">
        <f>YEARFRAC(E18,F18)</f>
        <v/>
      </c>
      <c r="G20" s="133">
        <f>YEARFRAC(F18,G18)</f>
        <v/>
      </c>
      <c r="H20" s="133">
        <f>YEARFRAC(G18,H18)</f>
        <v/>
      </c>
      <c r="I20" s="133">
        <f>YEARFRAC(H18,I18)</f>
        <v/>
      </c>
      <c r="J20" s="100" t="n"/>
      <c r="K20" s="100" t="n"/>
      <c r="L20" s="100" t="inlineStr">
        <is>
          <t>Implied Gordon exit multiple</t>
        </is>
      </c>
      <c r="M20" s="121">
        <f>IF(($I$21+$I$23)=0,0,M19/($I$21+$I$23))</f>
        <v/>
      </c>
      <c r="N20" s="134" t="inlineStr">
        <is>
          <t>← ~bear check</t>
        </is>
      </c>
      <c r="O20" s="100" t="n"/>
    </row>
    <row r="21" ht="16" customHeight="1">
      <c r="A21" s="100" t="n"/>
      <c r="B21" s="100" t="inlineStr">
        <is>
          <t>EBIT (3S: EBT + Interest)</t>
        </is>
      </c>
      <c r="C21" s="100" t="n"/>
      <c r="D21" s="100" t="n"/>
      <c r="E21" s="121">
        <f>'3 Statement Model'!J33+'3 Statement Model'!J31</f>
        <v/>
      </c>
      <c r="F21" s="121">
        <f>'3 Statement Model'!K33+'3 Statement Model'!K31</f>
        <v/>
      </c>
      <c r="G21" s="121">
        <f>'3 Statement Model'!L33+'3 Statement Model'!L31</f>
        <v/>
      </c>
      <c r="H21" s="121">
        <f>'3 Statement Model'!M33+'3 Statement Model'!M31</f>
        <v/>
      </c>
      <c r="I21" s="121">
        <f>'3 Statement Model'!N33+'3 Statement Model'!N31</f>
        <v/>
      </c>
      <c r="J21" s="100" t="n"/>
      <c r="K21" s="100" t="n"/>
      <c r="L21" s="100" t="inlineStr">
        <is>
          <t>BASE TV @ 17.5x (primary)</t>
        </is>
      </c>
      <c r="M21" s="121">
        <f>($I$21+$I$23)*17.5</f>
        <v/>
      </c>
      <c r="N21" s="100" t="inlineStr">
        <is>
          <t>← = D8 policy</t>
        </is>
      </c>
      <c r="O21" s="100" t="n"/>
    </row>
    <row r="22" ht="16" customHeight="1">
      <c r="A22" s="100" t="n"/>
      <c r="B22" s="100" t="inlineStr">
        <is>
          <t>Less: Unlevered Cash Taxes (EBIT × 3S tax rate)</t>
        </is>
      </c>
      <c r="C22" s="100" t="n"/>
      <c r="D22" s="100" t="n"/>
      <c r="E22" s="135">
        <f>E21*$D$5</f>
        <v/>
      </c>
      <c r="F22" s="135">
        <f>F21*$D$5</f>
        <v/>
      </c>
      <c r="G22" s="135">
        <f>G21*$D$5</f>
        <v/>
      </c>
      <c r="H22" s="135">
        <f>H21*$D$5</f>
        <v/>
      </c>
      <c r="I22" s="135">
        <f>I21*$D$5</f>
        <v/>
      </c>
      <c r="J22" s="100" t="n"/>
      <c r="K22" s="100" t="n"/>
      <c r="L22" s="100" t="inlineStr">
        <is>
          <t>BULL TV @ 25.0x (spot/policy)</t>
        </is>
      </c>
      <c r="M22" s="121">
        <f>($I$21+$I$23)*25.0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100" t="n"/>
      <c r="D23" s="100" t="n"/>
      <c r="E23" s="135">
        <f>'3 Statement Model'!J30</f>
        <v/>
      </c>
      <c r="F23" s="135">
        <f>'3 Statement Model'!K30</f>
        <v/>
      </c>
      <c r="G23" s="135">
        <f>'3 Statement Model'!L30</f>
        <v/>
      </c>
      <c r="H23" s="135">
        <f>'3 Statement Model'!M30</f>
        <v/>
      </c>
      <c r="I23" s="135">
        <f>'3 Statement Model'!N30</f>
        <v/>
      </c>
      <c r="J23" s="100" t="n"/>
      <c r="K23" s="100" t="n"/>
      <c r="L23" s="100" t="inlineStr">
        <is>
          <t>BEAR TV @ 12.8x (Gordon-implied)</t>
        </is>
      </c>
      <c r="M23" s="121">
        <f>($I$21+$I$23)*12.8</f>
        <v/>
      </c>
      <c r="N23" s="100" t="inlineStr">
        <is>
          <t>← sensitivity only</t>
        </is>
      </c>
      <c r="O23" s="100" t="n"/>
    </row>
    <row r="24" ht="16" customHeight="1">
      <c r="A24" s="100" t="n"/>
      <c r="B24" s="100" t="inlineStr">
        <is>
          <t>Less: Capex (3S CF row 68)</t>
        </is>
      </c>
      <c r="C24" s="100" t="n"/>
      <c r="D24" s="100" t="n"/>
      <c r="E24" s="121">
        <f>'3 Statement Model'!J68</f>
        <v/>
      </c>
      <c r="F24" s="121">
        <f>'3 Statement Model'!K68</f>
        <v/>
      </c>
      <c r="G24" s="121">
        <f>'3 Statement Model'!L68</f>
        <v/>
      </c>
      <c r="H24" s="121">
        <f>'3 Statement Model'!M68</f>
        <v/>
      </c>
      <c r="I24" s="121">
        <f>'3 Statement Model'!N68</f>
        <v/>
      </c>
      <c r="J24" s="100" t="n"/>
      <c r="K24" s="100" t="n"/>
      <c r="L24" s="109" t="inlineStr">
        <is>
          <t>Reconciliation: Bull 25x → Base 17.5x (peer median ~18.1x) → Bear 12.8x</t>
        </is>
      </c>
    </row>
    <row r="25" ht="16" customHeight="1">
      <c r="A25" s="100" t="n"/>
      <c r="B25" s="100" t="inlineStr">
        <is>
          <t>Less: ΔNWC (3S WC row 90)</t>
        </is>
      </c>
      <c r="C25" s="100" t="n"/>
      <c r="D25" s="100" t="n"/>
      <c r="E25" s="121">
        <f>'3 Statement Model'!J90</f>
        <v/>
      </c>
      <c r="F25" s="121">
        <f>'3 Statement Model'!K90</f>
        <v/>
      </c>
      <c r="G25" s="121">
        <f>'3 Statement Model'!L90</f>
        <v/>
      </c>
      <c r="H25" s="121">
        <f>'3 Statement Model'!M90</f>
        <v/>
      </c>
      <c r="I25" s="121">
        <f>'3 Statement Model'!N90</f>
        <v/>
      </c>
      <c r="J25" s="100" t="n"/>
      <c r="K25" s="100" t="n"/>
      <c r="L25" s="100" t="n"/>
      <c r="M25" s="100" t="n"/>
      <c r="N25" s="100" t="n"/>
      <c r="O25" s="100" t="n"/>
    </row>
    <row r="26" ht="16" customHeight="1">
      <c r="A26" s="100" t="n"/>
      <c r="B26" s="100" t="inlineStr">
        <is>
          <t>Unlevered FCF</t>
        </is>
      </c>
      <c r="C26" s="100" t="n"/>
      <c r="D26" s="100" t="n"/>
      <c r="E26" s="134">
        <f>E21-E22+E23-E24-E25</f>
        <v/>
      </c>
      <c r="F26" s="134">
        <f>F21-F22+F23-F24-F25</f>
        <v/>
      </c>
      <c r="G26" s="134">
        <f>G21-G22+G23-G24-G25</f>
        <v/>
      </c>
      <c r="H26" s="134">
        <f>H21-H22+H23-H24-H25</f>
        <v/>
      </c>
      <c r="I26" s="134">
        <f>I21-I22+I23-I24-I25</f>
        <v/>
      </c>
      <c r="J26" s="100" t="n"/>
      <c r="K26" s="100" t="n"/>
      <c r="L26" s="136" t="inlineStr">
        <is>
          <t>vengeanceaiUSCMODEL8 — DCF ← 3-Statement linkage audit</t>
        </is>
      </c>
    </row>
    <row r="27" ht="16" customHeight="1">
      <c r="A27" s="100" t="n"/>
      <c r="B27" s="100" t="inlineStr">
        <is>
          <t>(Entry)/Exit TV — Exit EV/EBITDA (BASE 17.5x)</t>
        </is>
      </c>
      <c r="C27" s="100" t="n"/>
      <c r="D27" s="100">
        <f>-I35</f>
        <v/>
      </c>
      <c r="E27" s="100" t="n"/>
      <c r="F27" s="100" t="n"/>
      <c r="G27" s="100" t="n"/>
      <c r="H27" s="100" t="n"/>
      <c r="I27" s="100" t="n"/>
      <c r="J27" s="121">
        <f>($I$21+$I$23)*$D$8</f>
        <v/>
      </c>
      <c r="K27" s="100" t="n"/>
      <c r="L27" s="137" t="inlineStr">
        <is>
          <t>DCF item</t>
        </is>
      </c>
      <c r="M27" s="137" t="inlineStr">
        <is>
          <t>Value / link</t>
        </is>
      </c>
      <c r="N27" s="137" t="inlineStr">
        <is>
          <t>3-Statement source</t>
        </is>
      </c>
      <c r="O27" s="137" t="inlineStr">
        <is>
          <t>Notes</t>
        </is>
      </c>
    </row>
    <row r="28" ht="16" customHeight="1">
      <c r="A28" s="100" t="n"/>
      <c r="B28" s="100" t="inlineStr">
        <is>
          <t>Transaction CF</t>
        </is>
      </c>
      <c r="C28" s="100" t="n"/>
      <c r="D28" s="134" t="n">
        <v>0</v>
      </c>
      <c r="E28" s="138">
        <f>E27+E26</f>
        <v/>
      </c>
      <c r="F28" s="138">
        <f>F27+F26</f>
        <v/>
      </c>
      <c r="G28" s="138">
        <f>G27+G26</f>
        <v/>
      </c>
      <c r="H28" s="138">
        <f>H27+H26</f>
        <v/>
      </c>
      <c r="I28" s="138">
        <f>I27+I26</f>
        <v/>
      </c>
      <c r="J28" s="138">
        <f>J27+J26</f>
        <v/>
      </c>
      <c r="K28" s="100" t="n"/>
      <c r="L28" s="104" t="inlineStr">
        <is>
          <t>Tax rate (D5)</t>
        </is>
      </c>
      <c r="M28" s="139">
        <f>$D$5</f>
        <v/>
      </c>
      <c r="N28" s="140">
        <f>'3 Statement Model'!J13</f>
        <v/>
      </c>
      <c r="O28" s="141" t="inlineStr">
        <is>
          <t>Same FY25 effective rate as 3S forecast (I35/I33)</t>
        </is>
      </c>
    </row>
    <row r="29" ht="16" customHeight="1">
      <c r="A29" s="100" t="n"/>
      <c r="B29" s="100" t="inlineStr">
        <is>
          <t>Transaction CF</t>
        </is>
      </c>
      <c r="C29" s="100" t="n"/>
      <c r="D29" s="100">
        <f>D27+D26</f>
        <v/>
      </c>
      <c r="E29" s="121">
        <f>E27+E26</f>
        <v/>
      </c>
      <c r="F29" s="121">
        <f>F27+F26</f>
        <v/>
      </c>
      <c r="G29" s="121">
        <f>G27+G26</f>
        <v/>
      </c>
      <c r="H29" s="121">
        <f>H27+H26</f>
        <v/>
      </c>
      <c r="I29" s="121">
        <f>I27+I26</f>
        <v/>
      </c>
      <c r="J29" s="121">
        <f>J27</f>
        <v/>
      </c>
      <c r="K29" s="100" t="n"/>
      <c r="L29" s="104" t="inlineStr">
        <is>
          <t>NWC % of sales</t>
        </is>
      </c>
      <c r="M29" s="139">
        <f>'3 Statement Model'!J15</f>
        <v/>
      </c>
      <c r="N29" s="140">
        <f>'3 Statement Model'!J15</f>
        <v/>
      </c>
      <c r="O29" s="141" t="inlineStr">
        <is>
          <t>Flat policy NWC%; drives ΔNWC in FCFF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CapEx % (FY1)</t>
        </is>
      </c>
      <c r="M30" s="139">
        <f>'3 Statement Model'!J18</f>
        <v/>
      </c>
      <c r="N30" s="140">
        <f>'3 Statement Model'!J18</f>
        <v/>
      </c>
      <c r="O30" s="141" t="inlineStr">
        <is>
          <t>3S CapEx fade path → CF CapEx $</t>
        </is>
      </c>
    </row>
    <row r="31" ht="16" customHeight="1">
      <c r="A31" s="100" t="n"/>
      <c r="B31" s="122" t="inlineStr">
        <is>
          <t>Intrinsic Value</t>
        </is>
      </c>
      <c r="C31" s="123" t="n"/>
      <c r="D31" s="123" t="n"/>
      <c r="E31" s="100" t="n"/>
      <c r="G31" s="122" t="inlineStr">
        <is>
          <t>Market Value</t>
        </is>
      </c>
      <c r="H31" s="123" t="n"/>
      <c r="I31" s="123" t="n"/>
      <c r="J31" s="100" t="n"/>
      <c r="L31" s="142" t="inlineStr">
        <is>
          <t>Revenue growth FY1</t>
        </is>
      </c>
      <c r="M31" s="139">
        <f>'3 Statement Model'!J7</f>
        <v/>
      </c>
      <c r="N31" s="140">
        <f>'3 Statement Model'!J7</f>
        <v/>
      </c>
      <c r="O31" s="141" t="inlineStr">
        <is>
          <t>Policy path on 3S assumption row 7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121">
        <f>XNPV(D6,D28:J28,D18:J18)</f>
        <v/>
      </c>
      <c r="E32" s="100" t="n"/>
      <c r="G32" s="100" t="inlineStr">
        <is>
          <t>Market Cap</t>
        </is>
      </c>
      <c r="H32" s="100" t="n"/>
      <c r="I32" s="100">
        <f>D12*D11</f>
        <v/>
      </c>
      <c r="J32" s="100" t="n"/>
      <c r="L32" s="104" t="inlineStr">
        <is>
          <t>EBIT FY1 (DCF E21)</t>
        </is>
      </c>
      <c r="M32" s="143">
        <f>$E$21</f>
        <v/>
      </c>
      <c r="N32" s="143">
        <f>'3 Statement Model'!J33+'3 Statement Model'!J31</f>
        <v/>
      </c>
      <c r="O32" s="141" t="inlineStr">
        <is>
          <t>EBT + Interest = GP − SG&amp;A − R&amp;D − D&amp;A</t>
        </is>
      </c>
    </row>
    <row r="33" ht="16" customHeight="1">
      <c r="A33" s="100" t="n"/>
      <c r="B33" s="100" t="inlineStr">
        <is>
          <t>Plus: Cash</t>
        </is>
      </c>
      <c r="C33" s="100" t="n"/>
      <c r="D33" s="100">
        <f>+D14</f>
        <v/>
      </c>
      <c r="E33" s="100" t="n"/>
      <c r="G33" s="100" t="inlineStr">
        <is>
          <t>Plus: Debt</t>
        </is>
      </c>
      <c r="H33" s="100" t="n"/>
      <c r="I33" s="100">
        <f>D13</f>
        <v/>
      </c>
      <c r="J33" s="100" t="n"/>
      <c r="L33" s="104" t="inlineStr">
        <is>
          <t>EBIT cross-check</t>
        </is>
      </c>
      <c r="M33" s="143">
        <f>'3 Statement Model'!J26-'3 Statement Model'!J28-'3 Statement Model'!J29-'3 Statement Model'!J30</f>
        <v/>
      </c>
      <c r="N33" s="144" t="inlineStr">
        <is>
          <t>GP−SGA−R&amp;D−DA</t>
        </is>
      </c>
      <c r="O33" s="141" t="inlineStr">
        <is>
          <t>Must equal E21 (live check)</t>
        </is>
      </c>
    </row>
    <row r="34" ht="16" customHeight="1">
      <c r="A34" s="100" t="n"/>
      <c r="B34" s="100" t="inlineStr">
        <is>
          <t>Less: Debt</t>
        </is>
      </c>
      <c r="C34" s="100" t="n"/>
      <c r="D34" s="100">
        <f>+D13</f>
        <v/>
      </c>
      <c r="E34" s="100" t="n"/>
      <c r="G34" s="100" t="inlineStr">
        <is>
          <t>Less: Cash</t>
        </is>
      </c>
      <c r="H34" s="100" t="n"/>
      <c r="I34" s="100">
        <f>+D14</f>
        <v/>
      </c>
      <c r="J34" s="100" t="n"/>
      <c r="L34" s="104" t="inlineStr">
        <is>
          <t>D&amp;A FY1</t>
        </is>
      </c>
      <c r="M34" s="143">
        <f>$E$23</f>
        <v/>
      </c>
      <c r="N34" s="143">
        <f>'3 Statement Model'!J30</f>
        <v/>
      </c>
      <c r="O34" s="141" t="inlineStr">
        <is>
          <t>Avg-PP&amp;E D&amp;A from 3S IS</t>
        </is>
      </c>
    </row>
    <row r="35" ht="16" customHeight="1">
      <c r="A35" s="100" t="n"/>
      <c r="B35" s="100" t="inlineStr">
        <is>
          <t>Equity Value</t>
        </is>
      </c>
      <c r="C35" s="100" t="n"/>
      <c r="D35" s="134">
        <f>D32+D33-D34</f>
        <v/>
      </c>
      <c r="E35" s="100" t="n"/>
      <c r="G35" s="100" t="inlineStr">
        <is>
          <t>Enterprise Value</t>
        </is>
      </c>
      <c r="H35" s="100" t="n"/>
      <c r="I35" s="134">
        <f>I32+I33-I34</f>
        <v/>
      </c>
      <c r="J35" s="100" t="n"/>
      <c r="L35" s="142" t="inlineStr">
        <is>
          <t>CapEx FY1</t>
        </is>
      </c>
      <c r="M35" s="143">
        <f>$E$24</f>
        <v/>
      </c>
      <c r="N35" s="143">
        <f>'3 Statement Model'!J68</f>
        <v/>
      </c>
      <c r="O35" s="141" t="inlineStr">
        <is>
          <t>3S CF CapEx (also D15)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145" t="n"/>
      <c r="J36" s="100" t="n"/>
      <c r="L36" s="104" t="inlineStr">
        <is>
          <t>ΔNWC FY1</t>
        </is>
      </c>
      <c r="M36" s="143">
        <f>$E$25</f>
        <v/>
      </c>
      <c r="N36" s="143">
        <f>'3 Statement Model'!J90</f>
        <v/>
      </c>
      <c r="O36" s="141" t="inlineStr">
        <is>
          <t>WC schedule change (CF row 64 = J90)</t>
        </is>
      </c>
    </row>
    <row r="37" ht="16" customHeight="1">
      <c r="A37" s="100" t="n"/>
      <c r="B37" s="100" t="inlineStr">
        <is>
          <t>Equity Value/Share</t>
        </is>
      </c>
      <c r="C37" s="100" t="n"/>
      <c r="D37" s="145">
        <f>D35/D12</f>
        <v/>
      </c>
      <c r="E37" s="100" t="n"/>
      <c r="G37" s="100" t="inlineStr">
        <is>
          <t>Equity Value/Share</t>
        </is>
      </c>
      <c r="H37" s="100" t="n"/>
      <c r="I37" s="145">
        <f>D11</f>
        <v/>
      </c>
      <c r="J37" s="100" t="n"/>
      <c r="L37" s="104" t="inlineStr">
        <is>
          <t>EBITDA FY5 (TV base)</t>
        </is>
      </c>
      <c r="M37" s="143">
        <f>$I$21+$I$23</f>
        <v/>
      </c>
      <c r="N37" s="143">
        <f>'3 Statement Model'!N33+'3 Statement Model'!N31+'3 Statement Model'!N30</f>
        <v/>
      </c>
      <c r="O37" s="141" t="inlineStr">
        <is>
          <t>EBIT+D&amp;A; Exit TV = this × D8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3S FY25 Cash (ref)</t>
        </is>
      </c>
      <c r="M38" s="143">
        <f>'3 Statement Model'!I41</f>
        <v/>
      </c>
      <c r="N38" s="143">
        <f>'3 Statement Model'!I41</f>
        <v/>
      </c>
      <c r="O38" s="141" t="inlineStr">
        <is>
          <t>FYE reference only — bridge uses 10-Q D14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3S FY25 Debt (ref)</t>
        </is>
      </c>
      <c r="M39" s="143">
        <f>'3 Statement Model'!I49</f>
        <v/>
      </c>
      <c r="N39" s="143">
        <f>'3 Statement Model'!I49</f>
        <v/>
      </c>
      <c r="O39" s="141" t="inlineStr">
        <is>
          <t>FYE reference only — bridge uses 10-Q D13</t>
        </is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EBIT link OK?</t>
        </is>
      </c>
      <c r="M40" s="140">
        <f>IF(ABS(M32-M33)&lt;1,"OK","MISMATCH")</f>
        <v/>
      </c>
      <c r="N40" s="146" t="inlineStr"/>
      <c r="O40" s="141" t="inlineStr">
        <is>
          <t>Flags if EBIT link ≠ GP−opex build</t>
        </is>
      </c>
    </row>
    <row r="41" ht="16" customHeight="1">
      <c r="A41" s="100" t="n"/>
      <c r="B41" s="122" t="inlineStr">
        <is>
          <t>Instructions</t>
        </is>
      </c>
      <c r="C41" s="123" t="n"/>
      <c r="D41" s="147" t="n"/>
      <c r="E41" s="123" t="n"/>
      <c r="F41" s="123" t="n"/>
      <c r="G41" s="123" t="n"/>
      <c r="H41" s="123" t="n"/>
      <c r="I41" s="123" t="n"/>
      <c r="J41" s="123" t="n"/>
      <c r="K41" s="123" t="n"/>
      <c r="L41" s="148" t="inlineStr">
        <is>
          <t>Green cells are live links. FCFF uses 3S EBIT/D&amp;A/CapEx/ΔNWC. D5 tax = 3S J13. D13/D14 stay 10-Q for a current equity bridge (3S I41/I49 shown above as FY25 reference).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N42" s="149" t="inlineStr">
        <is>
          <t>This file is for educational purposes only. E&amp;OE</t>
        </is>
      </c>
      <c r="O42" s="100" t="n"/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N43" s="69" t="n"/>
      <c r="O43" s="100" t="n"/>
    </row>
    <row r="44" ht="16" customHeight="1">
      <c r="A44" s="100" t="n"/>
      <c r="B44" s="150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</row>
    <row r="45" ht="16" customHeight="1">
      <c r="A45" s="100" t="n"/>
      <c r="B45" s="150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</row>
    <row r="46" ht="16" customHeight="1">
      <c r="A46" s="100" t="n"/>
      <c r="B46" s="150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1" t="inlineStr">
        <is>
          <t xml:space="preserve">Corporate Finance Institute® </t>
        </is>
      </c>
      <c r="O48" s="100" t="n"/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2" t="inlineStr">
        <is>
          <t>https://corporatefinanceinstitute.com/</t>
        </is>
      </c>
      <c r="O49" s="100" t="n"/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6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153" t="n">
        <v>12.5</v>
      </c>
      <c r="N56" s="153" t="n">
        <v>15</v>
      </c>
      <c r="O56" s="153" t="n">
        <v>17.5</v>
      </c>
      <c r="P56" s="153" t="n">
        <v>20</v>
      </c>
      <c r="Q56" s="153" t="n">
        <v>22.5</v>
      </c>
      <c r="R56" s="153" t="n">
        <v>25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4" t="n">
        <v>0.0824</v>
      </c>
      <c r="M57" s="143">
        <f>XNPV($L57,$D$28:$I$28,$D$18:$I$18)+($I$26+($I$21+$I$23)*M$56)/((1+$L57)^(($J$18-$D$18)/365))</f>
        <v/>
      </c>
      <c r="N57" s="143">
        <f>XNPV($L57,$D$28:$I$28,$D$18:$I$18)+($I$26+($I$21+$I$23)*N$56)/((1+$L57)^(($J$18-$D$18)/365))</f>
        <v/>
      </c>
      <c r="O57" s="143">
        <f>XNPV($L57,$D$28:$I$28,$D$18:$I$18)+($I$26+($I$21+$I$23)*O$56)/((1+$L57)^(($J$18-$D$18)/365))</f>
        <v/>
      </c>
      <c r="P57" s="143">
        <f>XNPV($L57,$D$28:$I$28,$D$18:$I$18)+($I$26+($I$21+$I$23)*P$56)/((1+$L57)^(($J$18-$D$18)/365))</f>
        <v/>
      </c>
      <c r="Q57" s="143">
        <f>XNPV($L57,$D$28:$I$28,$D$18:$I$18)+($I$26+($I$21+$I$23)*Q$56)/((1+$L57)^(($J$18-$D$18)/365))</f>
        <v/>
      </c>
      <c r="R57" s="143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4" t="n">
        <v>0.08740000000000001</v>
      </c>
      <c r="M58" s="143">
        <f>XNPV($L58,$D$28:$I$28,$D$18:$I$18)+($I$26+($I$21+$I$23)*M$56)/((1+$L58)^(($J$18-$D$18)/365))</f>
        <v/>
      </c>
      <c r="N58" s="143">
        <f>XNPV($L58,$D$28:$I$28,$D$18:$I$18)+($I$26+($I$21+$I$23)*N$56)/((1+$L58)^(($J$18-$D$18)/365))</f>
        <v/>
      </c>
      <c r="O58" s="143">
        <f>XNPV($L58,$D$28:$I$28,$D$18:$I$18)+($I$26+($I$21+$I$23)*O$56)/((1+$L58)^(($J$18-$D$18)/365))</f>
        <v/>
      </c>
      <c r="P58" s="143">
        <f>XNPV($L58,$D$28:$I$28,$D$18:$I$18)+($I$26+($I$21+$I$23)*P$56)/((1+$L58)^(($J$18-$D$18)/365))</f>
        <v/>
      </c>
      <c r="Q58" s="143">
        <f>XNPV($L58,$D$28:$I$28,$D$18:$I$18)+($I$26+($I$21+$I$23)*Q$56)/((1+$L58)^(($J$18-$D$18)/365))</f>
        <v/>
      </c>
      <c r="R58" s="143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4" t="n">
        <v>0.0924</v>
      </c>
      <c r="M59" s="143">
        <f>XNPV($L59,$D$28:$I$28,$D$18:$I$18)+($I$26+($I$21+$I$23)*M$56)/((1+$L59)^(($J$18-$D$18)/365))</f>
        <v/>
      </c>
      <c r="N59" s="143">
        <f>XNPV($L59,$D$28:$I$28,$D$18:$I$18)+($I$26+($I$21+$I$23)*N$56)/((1+$L59)^(($J$18-$D$18)/365))</f>
        <v/>
      </c>
      <c r="O59" s="155">
        <f>XNPV($L59,$D$28:$I$28,$D$18:$I$18)+($I$26+($I$21+$I$23)*O$56)/((1+$L59)^(($J$18-$D$18)/365))</f>
        <v/>
      </c>
      <c r="P59" s="143">
        <f>XNPV($L59,$D$28:$I$28,$D$18:$I$18)+($I$26+($I$21+$I$23)*P$56)/((1+$L59)^(($J$18-$D$18)/365))</f>
        <v/>
      </c>
      <c r="Q59" s="143">
        <f>XNPV($L59,$D$28:$I$28,$D$18:$I$18)+($I$26+($I$21+$I$23)*Q$56)/((1+$L59)^(($J$18-$D$18)/365))</f>
        <v/>
      </c>
      <c r="R59" s="143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4" t="n">
        <v>0.0974</v>
      </c>
      <c r="M60" s="143">
        <f>XNPV($L60,$D$28:$I$28,$D$18:$I$18)+($I$26+($I$21+$I$23)*M$56)/((1+$L60)^(($J$18-$D$18)/365))</f>
        <v/>
      </c>
      <c r="N60" s="143">
        <f>XNPV($L60,$D$28:$I$28,$D$18:$I$18)+($I$26+($I$21+$I$23)*N$56)/((1+$L60)^(($J$18-$D$18)/365))</f>
        <v/>
      </c>
      <c r="O60" s="143">
        <f>XNPV($L60,$D$28:$I$28,$D$18:$I$18)+($I$26+($I$21+$I$23)*O$56)/((1+$L60)^(($J$18-$D$18)/365))</f>
        <v/>
      </c>
      <c r="P60" s="143">
        <f>XNPV($L60,$D$28:$I$28,$D$18:$I$18)+($I$26+($I$21+$I$23)*P$56)/((1+$L60)^(($J$18-$D$18)/365))</f>
        <v/>
      </c>
      <c r="Q60" s="143">
        <f>XNPV($L60,$D$28:$I$28,$D$18:$I$18)+($I$26+($I$21+$I$23)*Q$56)/((1+$L60)^(($J$18-$D$18)/365))</f>
        <v/>
      </c>
      <c r="R60" s="143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4" t="n">
        <v>0.1024</v>
      </c>
      <c r="M61" s="143">
        <f>XNPV($L61,$D$28:$I$28,$D$18:$I$18)+($I$26+($I$21+$I$23)*M$56)/((1+$L61)^(($J$18-$D$18)/365))</f>
        <v/>
      </c>
      <c r="N61" s="143">
        <f>XNPV($L61,$D$28:$I$28,$D$18:$I$18)+($I$26+($I$21+$I$23)*N$56)/((1+$L61)^(($J$18-$D$18)/365))</f>
        <v/>
      </c>
      <c r="O61" s="143">
        <f>XNPV($L61,$D$28:$I$28,$D$18:$I$18)+($I$26+($I$21+$I$23)*O$56)/((1+$L61)^(($J$18-$D$18)/365))</f>
        <v/>
      </c>
      <c r="P61" s="143">
        <f>XNPV($L61,$D$28:$I$28,$D$18:$I$18)+($I$26+($I$21+$I$23)*P$56)/((1+$L61)^(($J$18-$D$18)/365))</f>
        <v/>
      </c>
      <c r="Q61" s="143">
        <f>XNPV($L61,$D$28:$I$28,$D$18:$I$18)+($I$26+($I$21+$I$23)*Q$56)/((1+$L61)^(($J$18-$D$18)/365))</f>
        <v/>
      </c>
      <c r="R61" s="143">
        <f>XNPV($L61,$D$28:$I$28,$D$18:$I$18)+($I$26+($I$21+$I$23)*R$56)/((1+$L61)^(($J$18-$D$18)/365))</f>
        <v/>
      </c>
    </row>
    <row r="64">
      <c r="L64" s="156" t="inlineStr">
        <is>
          <t>SENSITIVITY — Equity Value / Share ($)</t>
        </is>
      </c>
    </row>
    <row r="65">
      <c r="L65" s="157" t="inlineStr">
        <is>
          <t>WACC \ Exit EV/EBITDA</t>
        </is>
      </c>
      <c r="M65" s="158" t="n">
        <v>12.5</v>
      </c>
      <c r="N65" s="158" t="n">
        <v>15</v>
      </c>
      <c r="O65" s="158" t="n">
        <v>17.5</v>
      </c>
      <c r="P65" s="158" t="n">
        <v>20</v>
      </c>
      <c r="Q65" s="158" t="n">
        <v>22.5</v>
      </c>
      <c r="R65" s="158" t="n">
        <v>25</v>
      </c>
    </row>
    <row r="66">
      <c r="L66" s="154" t="n">
        <v>0.0824</v>
      </c>
      <c r="M66" s="159">
        <f>(M57+$D$33-$D$34)/$D$12</f>
        <v/>
      </c>
      <c r="N66" s="159">
        <f>(N57+$D$33-$D$34)/$D$12</f>
        <v/>
      </c>
      <c r="O66" s="159">
        <f>(O57+$D$33-$D$34)/$D$12</f>
        <v/>
      </c>
      <c r="P66" s="159">
        <f>(P57+$D$33-$D$34)/$D$12</f>
        <v/>
      </c>
      <c r="Q66" s="159">
        <f>(Q57+$D$33-$D$34)/$D$12</f>
        <v/>
      </c>
      <c r="R66" s="159">
        <f>(R57+$D$33-$D$34)/$D$12</f>
        <v/>
      </c>
    </row>
    <row r="67">
      <c r="L67" s="154" t="n">
        <v>0.08740000000000001</v>
      </c>
      <c r="M67" s="159">
        <f>(M58+$D$33-$D$34)/$D$12</f>
        <v/>
      </c>
      <c r="N67" s="159">
        <f>(N58+$D$33-$D$34)/$D$12</f>
        <v/>
      </c>
      <c r="O67" s="159">
        <f>(O58+$D$33-$D$34)/$D$12</f>
        <v/>
      </c>
      <c r="P67" s="159">
        <f>(P58+$D$33-$D$34)/$D$12</f>
        <v/>
      </c>
      <c r="Q67" s="159">
        <f>(Q58+$D$33-$D$34)/$D$12</f>
        <v/>
      </c>
      <c r="R67" s="159">
        <f>(R58+$D$33-$D$34)/$D$12</f>
        <v/>
      </c>
    </row>
    <row r="68">
      <c r="L68" s="154" t="n">
        <v>0.0924</v>
      </c>
      <c r="M68" s="159">
        <f>(M59+$D$33-$D$34)/$D$12</f>
        <v/>
      </c>
      <c r="N68" s="159">
        <f>(N59+$D$33-$D$34)/$D$12</f>
        <v/>
      </c>
      <c r="O68" s="160">
        <f>(O59+$D$33-$D$34)/$D$12</f>
        <v/>
      </c>
      <c r="P68" s="159">
        <f>(P59+$D$33-$D$34)/$D$12</f>
        <v/>
      </c>
      <c r="Q68" s="159">
        <f>(Q59+$D$33-$D$34)/$D$12</f>
        <v/>
      </c>
      <c r="R68" s="159">
        <f>(R59+$D$33-$D$34)/$D$12</f>
        <v/>
      </c>
    </row>
    <row r="69">
      <c r="L69" s="154" t="n">
        <v>0.0974</v>
      </c>
      <c r="M69" s="159">
        <f>(M60+$D$33-$D$34)/$D$12</f>
        <v/>
      </c>
      <c r="N69" s="159">
        <f>(N60+$D$33-$D$34)/$D$12</f>
        <v/>
      </c>
      <c r="O69" s="159">
        <f>(O60+$D$33-$D$34)/$D$12</f>
        <v/>
      </c>
      <c r="P69" s="159">
        <f>(P60+$D$33-$D$34)/$D$12</f>
        <v/>
      </c>
      <c r="Q69" s="159">
        <f>(Q60+$D$33-$D$34)/$D$12</f>
        <v/>
      </c>
      <c r="R69" s="159">
        <f>(R60+$D$33-$D$34)/$D$12</f>
        <v/>
      </c>
    </row>
    <row r="70">
      <c r="L70" s="154" t="n">
        <v>0.1024</v>
      </c>
      <c r="M70" s="159">
        <f>(M61+$D$33-$D$34)/$D$12</f>
        <v/>
      </c>
      <c r="N70" s="159">
        <f>(N61+$D$33-$D$34)/$D$12</f>
        <v/>
      </c>
      <c r="O70" s="159">
        <f>(O61+$D$33-$D$34)/$D$12</f>
        <v/>
      </c>
      <c r="P70" s="159">
        <f>(P61+$D$33-$D$34)/$D$12</f>
        <v/>
      </c>
      <c r="Q70" s="159">
        <f>(Q61+$D$33-$D$34)/$D$12</f>
        <v/>
      </c>
      <c r="R70" s="159">
        <f>(R61+$D$33-$D$34)/$D$12</f>
        <v/>
      </c>
    </row>
    <row r="72">
      <c r="L72" s="161" t="inlineStr">
        <is>
          <t>Yellow = base (WACC≈9.24%, Exit 17.5x). EV formula: XNPV(explicit FCFF) + (Y5 FCFF + Exit×EBITDA) / (1+WACC)^daycount. Peer median ~18.1x → base 17.5x; bull 25x; bear 12.8x.</t>
        </is>
      </c>
    </row>
  </sheetData>
  <mergeCells count="8">
    <mergeCell ref="L26:O26"/>
    <mergeCell ref="L55:R55"/>
    <mergeCell ref="L64:R64"/>
    <mergeCell ref="L72:R72"/>
    <mergeCell ref="L24:O24"/>
    <mergeCell ref="L17:N17"/>
    <mergeCell ref="L1:O1"/>
    <mergeCell ref="L41:O41"/>
  </mergeCells>
  <hyperlinks>
    <hyperlink xmlns:r="http://schemas.openxmlformats.org/officeDocument/2006/relationships" ref="F8" r:id="rId1"/>
    <hyperlink xmlns:r="http://schemas.openxmlformats.org/officeDocument/2006/relationships" ref="G8" r:id="rId2"/>
    <hyperlink xmlns:r="http://schemas.openxmlformats.org/officeDocument/2006/relationships" ref="L10" r:id="rId3"/>
    <hyperlink xmlns:r="http://schemas.openxmlformats.org/officeDocument/2006/relationships" ref="M10" r:id="rId4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2026-08-06T14:22:44Z</dcterms:modified>
  <cp:lastModifiedBy>Katie Au Yeung</cp:lastModifiedBy>
  <cp:lastPrinted>2014-12-13T23:43:21Z</cp:lastPrinted>
</cp:coreProperties>
</file>