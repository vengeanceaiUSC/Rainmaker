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15">
        <f>D9</f>
        <v/>
      </c>
      <c r="E18" s="116">
        <f>DATE(YEAR($D$10)+E19,3,31)</f>
        <v/>
      </c>
      <c r="F18" s="116">
        <f>DATE(YEAR($D$10)+F19,3,31)</f>
        <v/>
      </c>
      <c r="G18" s="116">
        <f>DATE(YEAR($D$10)+G19,3,31)</f>
        <v/>
      </c>
      <c r="H18" s="116">
        <f>DATE(YEAR($D$10)+H19,3,31)</f>
        <v/>
      </c>
      <c r="I18" s="116">
        <f>DATE(YEAR($D$10)+I19,3,31)</f>
        <v/>
      </c>
      <c r="J18" s="117">
        <f>I18</f>
        <v/>
      </c>
      <c r="K18" s="97" t="n"/>
      <c r="L18" s="97" t="inlineStr">
        <is>
          <t>Exit EV/EBITDA (in J27) — primary</t>
        </is>
      </c>
      <c r="M18" s="10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Gordon cross-check</t>
        </is>
      </c>
      <c r="M19" s="109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Implied Gordon exit multiple</t>
        </is>
      </c>
      <c r="M20" s="109">
        <f>IF(($I$21+$I$23)=0,0,M19/($I$21+$I$23))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4">
        <f>E21*$D$5</f>
        <v/>
      </c>
      <c r="F22" s="124">
        <f>F21*$D$5</f>
        <v/>
      </c>
      <c r="G22" s="124">
        <f>G21*$D$5</f>
        <v/>
      </c>
      <c r="H22" s="124">
        <f>H21*$D$5</f>
        <v/>
      </c>
      <c r="I22" s="12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Exit EV/EBITDA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2026-08-04T18:52:49Z</dcterms:modified>
  <cp:lastModifiedBy>Katie Au Yeung</cp:lastModifiedBy>
  <cp:lastPrinted>2014-12-13T23:43:21Z</cp:lastPrinted>
</cp:coreProperties>
</file>