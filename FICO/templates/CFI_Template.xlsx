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$#,##0.00"/>
    <numFmt numFmtId="177" formatCode="#,##0.0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6" fontId="38" fillId="7" borderId="0" applyAlignment="1" pivotButton="0" quotePrefix="0" xfId="0">
      <alignment horizontal="right"/>
    </xf>
    <xf numFmtId="177" fontId="38" fillId="7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7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6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6" fontId="40" fillId="8" borderId="5" pivotButton="0" quotePrefix="0" xfId="0"/>
    <xf numFmtId="176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vengeanceaiUSCMODEL14.0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 AAA-equity discount rate.
HOW: Yellow POLICY D6 = 7.10% (band 7.0%–7.2%). CAPM stack remains at R15 (≈9.24%) as a reference only.
WHY: Don Yacktman — treat high-quality equities like bonds. FICO's GSE-mandated Scores toll-bridge is AAA-equivalent cash; MODEL13's 7.8% was still too punitive for a 20–30yr hold.
SOURCE: Yacktman framework + Q3 FY2026 EX-99.1 / mortgage royalty disclosures.</t>
      </text>
    </comment>
    <comment ref="D8" authorId="0" shapeId="0">
      <text>
        <t>Exit EV/EBITDA multiple (BASE)
HOW: Yellow POLICY input D8 = 22.0x; TV = Year-5 EBITDA × D8.
WHY: AAA toll-road pricing power premium vs peer median (~18.1x). Branch Process: MODEL13 21.0x → MODEL14 22.0x. Bull 27x / Bear 16.0x.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= 21,597.6k post–Q3 FY2026). Price D11 = $1,149 (Q3 avg repurchase). Each year: Shares += 3S EquityIssuance (row 20) / Price. Row 20 is residual FCF buybacks (negative) so the share count falls.
WHY: SBC is already added back in FCFF — diluting by SBC$/Price would double-penalize. Q3 FY2026 alone: $1.96B / 1.705M shares @ $1,149; FCF $370.3M (EX-99.1).
SOURCE: SEC EX-99.1 Q3 FY2026; IR earnings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vengeanceaiUSCMODEL14.0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MODEL14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 AAA-equity WACC = 7.10%; CAPM ref R15≈9.24%)</t>
        </is>
      </c>
      <c r="C6" s="109" t="inlineStr">
        <is>
          <t>MODEL14 Yacktman AAA: 7.10% (band 7.0%–7.2%; MODEL13 was 7.8%); CAPM β≈1.32 overstates LT risk</t>
        </is>
      </c>
      <c r="D6" s="110" t="n">
        <v>0.07099999999999999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g = 3.5% (MODEL13 was 3.0% — pricing power &gt; inflation)</t>
        </is>
      </c>
      <c r="C7" s="109" t="inlineStr">
        <is>
          <t>Gordon cross-check only; primary TV uses exit multiple D8</t>
        </is>
      </c>
      <c r="D7" s="111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22.0x — Yacktman premium)</t>
        </is>
      </c>
      <c r="C8" s="109" t="inlineStr">
        <is>
          <t>BASE 22.0x = Yacktman premium vs peer median 18.1x. Bull 27x / Bear 16.0x.</t>
        </is>
      </c>
      <c r="D8" s="112" t="n">
        <v>22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22</v>
      </c>
      <c r="O9" s="117" t="inlineStr">
        <is>
          <t>Yacktman premium vs peer median; audit 22.0x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Share Price (Q3 FY2026 avg repurchase $1,149)</t>
        </is>
      </c>
      <c r="C11" s="100" t="n"/>
      <c r="D11" s="119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FY2026 buybacks)</t>
        </is>
      </c>
      <c r="C12" s="109" t="inlineStr">
        <is>
          <t>MODEL14: 21,597.6k after Q3 $1.96B / 1.705M-sh buyback (MODEL13 used 23,764k FYE25)</t>
        </is>
      </c>
      <c r="D12" s="12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123">
        <f>$D$12</f>
        <v/>
      </c>
      <c r="E16" s="123">
        <f>MAX(1000,D16+'3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(vengeanceaiUSCMODEL14.0)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9">
        <f>$D$9</f>
        <v/>
      </c>
      <c r="E18" s="129">
        <f>EDATE($D$9,(E19+0.5)*12)</f>
        <v/>
      </c>
      <c r="F18" s="129">
        <f>EDATE($D$9,(F19+0.5)*12)</f>
        <v/>
      </c>
      <c r="G18" s="129">
        <f>EDATE($D$9,(G19+0.5)*12)</f>
        <v/>
      </c>
      <c r="H18" s="129">
        <f>EDATE($D$9,(H19+0.5)*12)</f>
        <v/>
      </c>
      <c r="I18" s="129">
        <f>EDATE($D$9,(I19+0.5)*12)</f>
        <v/>
      </c>
      <c r="J18" s="129">
        <f>I18</f>
        <v/>
      </c>
      <c r="K18" s="100" t="n"/>
      <c r="L18" s="100" t="inlineStr">
        <is>
          <t>Exit EV/EBITDA @ D8 (BASE 22.0x)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132" t="n">
        <v>0</v>
      </c>
      <c r="F19" s="133">
        <f>E19+1</f>
        <v/>
      </c>
      <c r="G19" s="133">
        <f>F19+1</f>
        <v/>
      </c>
      <c r="H19" s="133">
        <f>G19+1</f>
        <v/>
      </c>
      <c r="I19" s="133">
        <f>H19+1</f>
        <v/>
      </c>
      <c r="J19" s="131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4" t="inlineStr">
        <is>
          <t>← sanity check</t>
        </is>
      </c>
      <c r="O19" s="100" t="n"/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135">
        <f>YEARFRAC(D18,E18)</f>
        <v/>
      </c>
      <c r="F20" s="135">
        <f>YEARFRAC(E18,F18)</f>
        <v/>
      </c>
      <c r="G20" s="135">
        <f>YEARFRAC(F18,G18)</f>
        <v/>
      </c>
      <c r="H20" s="135">
        <f>YEARFRAC(G18,H18)</f>
        <v/>
      </c>
      <c r="I20" s="135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6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22.0x (primary)</t>
        </is>
      </c>
      <c r="M21" s="122">
        <f>($I$21+$I$23)*22.0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7">
        <f>E21*$D$5</f>
        <v/>
      </c>
      <c r="F22" s="137">
        <f>F21*$D$5</f>
        <v/>
      </c>
      <c r="G22" s="137">
        <f>G21*$D$5</f>
        <v/>
      </c>
      <c r="H22" s="137">
        <f>H21*$D$5</f>
        <v/>
      </c>
      <c r="I22" s="137">
        <f>I21*$D$5</f>
        <v/>
      </c>
      <c r="J22" s="100" t="n"/>
      <c r="K22" s="100" t="n"/>
      <c r="L22" s="100" t="inlineStr">
        <is>
          <t>BULL TV @ 27.0x (spot/policy)</t>
        </is>
      </c>
      <c r="M22" s="122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7">
        <f>'3 Statement Model'!J30</f>
        <v/>
      </c>
      <c r="F23" s="137">
        <f>'3 Statement Model'!K30</f>
        <v/>
      </c>
      <c r="G23" s="137">
        <f>'3 Statement Model'!L30</f>
        <v/>
      </c>
      <c r="H23" s="137">
        <f>'3 Statement Model'!M30</f>
        <v/>
      </c>
      <c r="I23" s="137">
        <f>'3 Statement Model'!N30</f>
        <v/>
      </c>
      <c r="J23" s="100" t="n"/>
      <c r="K23" s="100" t="n"/>
      <c r="L23" s="100" t="inlineStr">
        <is>
          <t>BEAR TV @ 16.0x (Gordon-implied)</t>
        </is>
      </c>
      <c r="M23" s="122">
        <f>($I$21+$I$23)*16.0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27x → Base 22.0x (Yacktman premium vs peer median ~18.1x) → Bear 16.0x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(SBC add-back + Deferred cash source)</t>
        </is>
      </c>
      <c r="C26" s="100" t="inlineStr">
        <is>
          <t>FCFF=EBIT−cashTax+DA+SBC−CapEx−ΔOpNWC+ΔDeferred</t>
        </is>
      </c>
      <c r="D26" s="100" t="n"/>
      <c r="E26" s="138">
        <f>E21-E22+E23+'3 Statement Model'!J64-E24-E25</f>
        <v/>
      </c>
      <c r="F26" s="138">
        <f>F21-F22+F23+'3 Statement Model'!K64-F24-F25</f>
        <v/>
      </c>
      <c r="G26" s="138">
        <f>G21-G22+G23+'3 Statement Model'!L64-G24-G25</f>
        <v/>
      </c>
      <c r="H26" s="138">
        <f>H21-H22+H23+'3 Statement Model'!M64-H24-H25</f>
        <v/>
      </c>
      <c r="I26" s="138">
        <f>I21-I22+I23+'3 Statement Model'!N64-I24-I25</f>
        <v/>
      </c>
      <c r="J26" s="100" t="n"/>
      <c r="K26" s="100" t="n"/>
      <c r="L26" s="139" t="inlineStr">
        <is>
          <t>vengeanceaiUSCMODEL14.0 — DCF ← 3-Statement linkage audit</t>
        </is>
      </c>
    </row>
    <row r="27" ht="16" customHeight="1">
      <c r="A27" s="100" t="n"/>
      <c r="B27" s="100" t="inlineStr">
        <is>
          <t>(Entry)/Exit TV — Exit EV/EBITDA (BASE 22.0x)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6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Cash tax rate (D5)</t>
        </is>
      </c>
      <c r="M28" s="141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1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1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141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4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7">
        <f>$E$21</f>
        <v/>
      </c>
      <c r="N33" s="147">
        <f>'3 Statement Model'!J33+'3 Statement Model'!J31</f>
        <v/>
      </c>
      <c r="O33" s="143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7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6">
        <f>D32+D33-D34</f>
        <v/>
      </c>
      <c r="E35" s="100" t="n"/>
      <c r="G35" s="100" t="inlineStr">
        <is>
          <t>Enterprise Value</t>
        </is>
      </c>
      <c r="H35" s="100" t="n"/>
      <c r="I35" s="136">
        <f>I32+I33-I34</f>
        <v/>
      </c>
      <c r="J35" s="100" t="n"/>
      <c r="L35" s="145" t="inlineStr">
        <is>
          <t>D&amp;A FY1</t>
        </is>
      </c>
      <c r="M35" s="147">
        <f>$E$23</f>
        <v/>
      </c>
      <c r="N35" s="147">
        <f>'3 Statement Model'!J30</f>
        <v/>
      </c>
      <c r="O35" s="143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8" t="n"/>
      <c r="J36" s="100" t="n"/>
      <c r="L36" s="104" t="inlineStr">
        <is>
          <t>SBC FY1</t>
        </is>
      </c>
      <c r="M36" s="147">
        <f>'3 Statement Model'!J64</f>
        <v/>
      </c>
      <c r="N36" s="147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MODEL14: SBC add-back in FCFF; buybacks cut shares (no SBC dilution)</t>
        </is>
      </c>
      <c r="D37" s="149">
        <f>$D$35/$I$16</f>
        <v/>
      </c>
      <c r="E37" s="100" t="n"/>
      <c r="G37" s="100" t="inlineStr">
        <is>
          <t>Equity Value/Share</t>
        </is>
      </c>
      <c r="H37" s="100" t="n"/>
      <c r="I37" s="148">
        <f>D11</f>
        <v/>
      </c>
      <c r="J37" s="100" t="n"/>
      <c r="L37" s="104" t="inlineStr">
        <is>
          <t>CapEx FY1</t>
        </is>
      </c>
      <c r="M37" s="147">
        <f>$E$24</f>
        <v/>
      </c>
      <c r="N37" s="147">
        <f>'3 Statement Model'!J68</f>
        <v/>
      </c>
      <c r="O37" s="143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7">
        <f>$E$25</f>
        <v/>
      </c>
      <c r="N38" s="147">
        <f>'3 Statement Model'!J90-('3 Statement Model'!J88-'3 Statement Model'!I88)</f>
        <v/>
      </c>
      <c r="O38" s="143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7">
        <f>$I$21+$I$23</f>
        <v/>
      </c>
      <c r="N39" s="147">
        <f>'3 Statement Model'!N33+'3 Statement Model'!N31+'3 Statement Model'!N30</f>
        <v/>
      </c>
      <c r="O39" s="143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7">
        <f>'3 Statement Model'!I41</f>
        <v/>
      </c>
      <c r="N40" s="147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147">
        <f>'3 Statement Model'!I49</f>
        <v/>
      </c>
      <c r="N41" s="147">
        <f>'3 Statement Model'!I49</f>
        <v/>
      </c>
      <c r="O41" s="143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Yacktman WACC 7.10%; g=3.5%. $/share uses I16 (Y5 buyback-adjusted shares). SBC add-back does NOT dilute shares.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8" t="n">
        <v>16</v>
      </c>
      <c r="N56" s="158" t="n">
        <v>18.5</v>
      </c>
      <c r="O56" s="158" t="n">
        <v>22</v>
      </c>
      <c r="P56" s="158" t="n">
        <v>24.5</v>
      </c>
      <c r="Q56" s="158" t="n">
        <v>27</v>
      </c>
      <c r="R56" s="158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0.065</v>
      </c>
      <c r="M57" s="147">
        <f>XNPV($L57,$D$28:$I$28,$D$18:$I$18)+($I$26+($I$21+$I$23)*M$56)/((1+$L57)^(($J$18-$D$18)/365))</f>
        <v/>
      </c>
      <c r="N57" s="147">
        <f>XNPV($L57,$D$28:$I$28,$D$18:$I$18)+($I$26+($I$21+$I$23)*N$56)/((1+$L57)^(($J$18-$D$18)/365))</f>
        <v/>
      </c>
      <c r="O57" s="147">
        <f>XNPV($L57,$D$28:$I$28,$D$18:$I$18)+($I$26+($I$21+$I$23)*O$56)/((1+$L57)^(($J$18-$D$18)/365))</f>
        <v/>
      </c>
      <c r="P57" s="147">
        <f>XNPV($L57,$D$28:$I$28,$D$18:$I$18)+($I$26+($I$21+$I$23)*P$56)/((1+$L57)^(($J$18-$D$18)/365))</f>
        <v/>
      </c>
      <c r="Q57" s="147">
        <f>XNPV($L57,$D$28:$I$28,$D$18:$I$18)+($I$26+($I$21+$I$23)*Q$56)/((1+$L57)^(($J$18-$D$18)/365))</f>
        <v/>
      </c>
      <c r="R57" s="147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0.068</v>
      </c>
      <c r="M58" s="147">
        <f>XNPV($L58,$D$28:$I$28,$D$18:$I$18)+($I$26+($I$21+$I$23)*M$56)/((1+$L58)^(($J$18-$D$18)/365))</f>
        <v/>
      </c>
      <c r="N58" s="147">
        <f>XNPV($L58,$D$28:$I$28,$D$18:$I$18)+($I$26+($I$21+$I$23)*N$56)/((1+$L58)^(($J$18-$D$18)/365))</f>
        <v/>
      </c>
      <c r="O58" s="147">
        <f>XNPV($L58,$D$28:$I$28,$D$18:$I$18)+($I$26+($I$21+$I$23)*O$56)/((1+$L58)^(($J$18-$D$18)/365))</f>
        <v/>
      </c>
      <c r="P58" s="147">
        <f>XNPV($L58,$D$28:$I$28,$D$18:$I$18)+($I$26+($I$21+$I$23)*P$56)/((1+$L58)^(($J$18-$D$18)/365))</f>
        <v/>
      </c>
      <c r="Q58" s="147">
        <f>XNPV($L58,$D$28:$I$28,$D$18:$I$18)+($I$26+($I$21+$I$23)*Q$56)/((1+$L58)^(($J$18-$D$18)/365))</f>
        <v/>
      </c>
      <c r="R58" s="147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0.07099999999999999</v>
      </c>
      <c r="M59" s="147">
        <f>XNPV($L59,$D$28:$I$28,$D$18:$I$18)+($I$26+($I$21+$I$23)*M$56)/((1+$L59)^(($J$18-$D$18)/365))</f>
        <v/>
      </c>
      <c r="N59" s="147">
        <f>XNPV($L59,$D$28:$I$28,$D$18:$I$18)+($I$26+($I$21+$I$23)*N$56)/((1+$L59)^(($J$18-$D$18)/365))</f>
        <v/>
      </c>
      <c r="O59" s="160">
        <f>XNPV($L59,$D$28:$I$28,$D$18:$I$18)+($I$26+($I$21+$I$23)*O$56)/((1+$L59)^(($J$18-$D$18)/365))</f>
        <v/>
      </c>
      <c r="P59" s="147">
        <f>XNPV($L59,$D$28:$I$28,$D$18:$I$18)+($I$26+($I$21+$I$23)*P$56)/((1+$L59)^(($J$18-$D$18)/365))</f>
        <v/>
      </c>
      <c r="Q59" s="147">
        <f>XNPV($L59,$D$28:$I$28,$D$18:$I$18)+($I$26+($I$21+$I$23)*Q$56)/((1+$L59)^(($J$18-$D$18)/365))</f>
        <v/>
      </c>
      <c r="R59" s="147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0.074</v>
      </c>
      <c r="M60" s="147">
        <f>XNPV($L60,$D$28:$I$28,$D$18:$I$18)+($I$26+($I$21+$I$23)*M$56)/((1+$L60)^(($J$18-$D$18)/365))</f>
        <v/>
      </c>
      <c r="N60" s="147">
        <f>XNPV($L60,$D$28:$I$28,$D$18:$I$18)+($I$26+($I$21+$I$23)*N$56)/((1+$L60)^(($J$18-$D$18)/365))</f>
        <v/>
      </c>
      <c r="O60" s="147">
        <f>XNPV($L60,$D$28:$I$28,$D$18:$I$18)+($I$26+($I$21+$I$23)*O$56)/((1+$L60)^(($J$18-$D$18)/365))</f>
        <v/>
      </c>
      <c r="P60" s="147">
        <f>XNPV($L60,$D$28:$I$28,$D$18:$I$18)+($I$26+($I$21+$I$23)*P$56)/((1+$L60)^(($J$18-$D$18)/365))</f>
        <v/>
      </c>
      <c r="Q60" s="147">
        <f>XNPV($L60,$D$28:$I$28,$D$18:$I$18)+($I$26+($I$21+$I$23)*Q$56)/((1+$L60)^(($J$18-$D$18)/365))</f>
        <v/>
      </c>
      <c r="R60" s="147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0.078</v>
      </c>
      <c r="M61" s="147">
        <f>XNPV($L61,$D$28:$I$28,$D$18:$I$18)+($I$26+($I$21+$I$23)*M$56)/((1+$L61)^(($J$18-$D$18)/365))</f>
        <v/>
      </c>
      <c r="N61" s="147">
        <f>XNPV($L61,$D$28:$I$28,$D$18:$I$18)+($I$26+($I$21+$I$23)*N$56)/((1+$L61)^(($J$18-$D$18)/365))</f>
        <v/>
      </c>
      <c r="O61" s="147">
        <f>XNPV($L61,$D$28:$I$28,$D$18:$I$18)+($I$26+($I$21+$I$23)*O$56)/((1+$L61)^(($J$18-$D$18)/365))</f>
        <v/>
      </c>
      <c r="P61" s="147">
        <f>XNPV($L61,$D$28:$I$28,$D$18:$I$18)+($I$26+($I$21+$I$23)*P$56)/((1+$L61)^(($J$18-$D$18)/365))</f>
        <v/>
      </c>
      <c r="Q61" s="147">
        <f>XNPV($L61,$D$28:$I$28,$D$18:$I$18)+($I$26+($I$21+$I$23)*Q$56)/((1+$L61)^(($J$18-$D$18)/365))</f>
        <v/>
      </c>
      <c r="R61" s="147">
        <f>XNPV($L61,$D$28:$I$28,$D$18:$I$18)+($I$26+($I$21+$I$23)*R$56)/((1+$L61)^(($J$18-$D$18)/365))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163" t="n">
        <v>16</v>
      </c>
      <c r="N65" s="163" t="n">
        <v>18.5</v>
      </c>
      <c r="O65" s="163" t="n">
        <v>22</v>
      </c>
      <c r="P65" s="163" t="n">
        <v>24.5</v>
      </c>
      <c r="Q65" s="163" t="n">
        <v>27</v>
      </c>
      <c r="R65" s="163" t="n">
        <v>29</v>
      </c>
    </row>
    <row r="66">
      <c r="L66" s="159" t="n">
        <v>0.065</v>
      </c>
      <c r="M66" s="164">
        <f>(M57+$D$33-$D$34)/$I$16</f>
        <v/>
      </c>
      <c r="N66" s="164">
        <f>(N57+$D$33-$D$34)/$I$16</f>
        <v/>
      </c>
      <c r="O66" s="164">
        <f>(O57+$D$33-$D$34)/$I$16</f>
        <v/>
      </c>
      <c r="P66" s="164">
        <f>(P57+$D$33-$D$34)/$I$16</f>
        <v/>
      </c>
      <c r="Q66" s="164">
        <f>(Q57+$D$33-$D$34)/$I$16</f>
        <v/>
      </c>
      <c r="R66" s="164">
        <f>(R57+$D$33-$D$34)/$I$16</f>
        <v/>
      </c>
    </row>
    <row r="67">
      <c r="L67" s="159" t="n">
        <v>0.068</v>
      </c>
      <c r="M67" s="164">
        <f>(M58+$D$33-$D$34)/$I$16</f>
        <v/>
      </c>
      <c r="N67" s="164">
        <f>(N58+$D$33-$D$34)/$I$16</f>
        <v/>
      </c>
      <c r="O67" s="164">
        <f>(O58+$D$33-$D$34)/$I$16</f>
        <v/>
      </c>
      <c r="P67" s="164">
        <f>(P58+$D$33-$D$34)/$I$16</f>
        <v/>
      </c>
      <c r="Q67" s="164">
        <f>(Q58+$D$33-$D$34)/$I$16</f>
        <v/>
      </c>
      <c r="R67" s="164">
        <f>(R58+$D$33-$D$34)/$I$16</f>
        <v/>
      </c>
    </row>
    <row r="68">
      <c r="L68" s="159" t="n">
        <v>0.07099999999999999</v>
      </c>
      <c r="M68" s="164">
        <f>(M59+$D$33-$D$34)/$I$16</f>
        <v/>
      </c>
      <c r="N68" s="164">
        <f>(N59+$D$33-$D$34)/$I$16</f>
        <v/>
      </c>
      <c r="O68" s="165">
        <f>(O59+$D$33-$D$34)/$I$16</f>
        <v/>
      </c>
      <c r="P68" s="164">
        <f>(P59+$D$33-$D$34)/$I$16</f>
        <v/>
      </c>
      <c r="Q68" s="164">
        <f>(Q59+$D$33-$D$34)/$I$16</f>
        <v/>
      </c>
      <c r="R68" s="164">
        <f>(R59+$D$33-$D$34)/$I$16</f>
        <v/>
      </c>
    </row>
    <row r="69">
      <c r="L69" s="159" t="n">
        <v>0.074</v>
      </c>
      <c r="M69" s="164">
        <f>(M60+$D$33-$D$34)/$I$16</f>
        <v/>
      </c>
      <c r="N69" s="164">
        <f>(N60+$D$33-$D$34)/$I$16</f>
        <v/>
      </c>
      <c r="O69" s="164">
        <f>(O60+$D$33-$D$34)/$I$16</f>
        <v/>
      </c>
      <c r="P69" s="164">
        <f>(P60+$D$33-$D$34)/$I$16</f>
        <v/>
      </c>
      <c r="Q69" s="164">
        <f>(Q60+$D$33-$D$34)/$I$16</f>
        <v/>
      </c>
      <c r="R69" s="164">
        <f>(R60+$D$33-$D$34)/$I$16</f>
        <v/>
      </c>
    </row>
    <row r="70">
      <c r="L70" s="159" t="n">
        <v>0.078</v>
      </c>
      <c r="M70" s="164">
        <f>(M61+$D$33-$D$34)/$I$16</f>
        <v/>
      </c>
      <c r="N70" s="164">
        <f>(N61+$D$33-$D$34)/$I$16</f>
        <v/>
      </c>
      <c r="O70" s="164">
        <f>(O61+$D$33-$D$34)/$I$16</f>
        <v/>
      </c>
      <c r="P70" s="164">
        <f>(P61+$D$33-$D$34)/$I$16</f>
        <v/>
      </c>
      <c r="Q70" s="164">
        <f>(Q61+$D$33-$D$34)/$I$16</f>
        <v/>
      </c>
      <c r="R70" s="164">
        <f>(R61+$D$33-$D$34)/$I$16</f>
        <v/>
      </c>
    </row>
    <row r="72">
      <c r="L72" s="154" t="inlineStr">
        <is>
          <t>Yellow = base (Yacktman WACC=7.10%, Exit 22.0x; CAPM ref ≈9.24%). EV formula: XNPV(explicit FCFF) + (Y5 FCFF + Exit×EBITDA) / (1+WACC)^daycount. Peer median ~18.1x → base 22.0x; bull 27x; bear 16.0x.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2026-08-06T16:57:05Z</dcterms:modified>
  <cp:lastModifiedBy>Katie Au Yeung</cp:lastModifiedBy>
  <cp:lastPrinted>2014-12-13T23:43:21Z</cp:lastPrinted>
</cp:coreProperties>
</file>