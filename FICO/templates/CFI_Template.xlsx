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1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</numFmts>
  <fonts count="4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</fonts>
  <fills count="8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33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4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</row>
    <row r="5" ht="16" customHeight="1">
      <c r="A5" s="97" t="n"/>
      <c r="B5" s="103" t="inlineStr">
        <is>
          <t>Tax Rate (unlevered / on EBIT)</t>
        </is>
      </c>
      <c r="C5" s="100" t="n"/>
      <c r="D5" s="104" t="n">
        <v>0.25</v>
      </c>
      <c r="E5" s="100" t="n"/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</row>
    <row r="6" ht="16" customHeight="1">
      <c r="A6" s="97" t="n"/>
      <c r="B6" s="103" t="inlineStr">
        <is>
          <t>Discount Rate</t>
        </is>
      </c>
      <c r="C6" s="97" t="n"/>
      <c r="D6" s="104" t="n">
        <v>0.12</v>
      </c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7" t="n"/>
      <c r="O6" s="97" t="n"/>
    </row>
    <row r="7" ht="16" customHeight="1">
      <c r="A7" s="97" t="n"/>
      <c r="B7" s="97" t="inlineStr">
        <is>
          <t>Perpetural Growth Rate</t>
        </is>
      </c>
      <c r="C7" s="97" t="n"/>
      <c r="D7" s="104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</row>
    <row r="8" ht="16" customHeight="1">
      <c r="A8" s="97" t="n"/>
      <c r="B8" s="97" t="inlineStr">
        <is>
          <t>EV/EBITDA Mulltiple</t>
        </is>
      </c>
      <c r="C8" s="97" t="n"/>
      <c r="D8" s="105" t="n">
        <v>7</v>
      </c>
      <c r="E8" s="97" t="n"/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</row>
    <row r="9" ht="16" customHeight="1">
      <c r="A9" s="97" t="n"/>
      <c r="B9" s="97" t="inlineStr">
        <is>
          <t>Transaction Date</t>
        </is>
      </c>
      <c r="C9" s="97" t="n"/>
      <c r="D9" s="106" t="n">
        <v>43100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</row>
    <row r="10" ht="16" customHeight="1">
      <c r="A10" s="97" t="n"/>
      <c r="B10" s="97" t="inlineStr">
        <is>
          <t>Fiscal Year End</t>
        </is>
      </c>
      <c r="C10" s="97" t="n"/>
      <c r="D10" s="106" t="n">
        <v>43281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</row>
    <row r="11" ht="16" customHeight="1">
      <c r="A11" s="97" t="n"/>
      <c r="B11" s="97" t="inlineStr">
        <is>
          <t>Current Price</t>
        </is>
      </c>
      <c r="C11" s="97" t="n"/>
      <c r="D11" s="107" t="n">
        <v>25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</row>
    <row r="12" ht="16" customHeight="1">
      <c r="A12" s="97" t="n"/>
      <c r="B12" s="97" t="inlineStr">
        <is>
          <t>Shares Outstanding</t>
        </is>
      </c>
      <c r="C12" s="97" t="n"/>
      <c r="D12" s="108" t="n">
        <v>20000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</row>
    <row r="13" ht="16" customHeight="1">
      <c r="A13" s="97" t="n"/>
      <c r="B13" s="97" t="inlineStr">
        <is>
          <t>Debt</t>
        </is>
      </c>
      <c r="C13" s="97" t="n"/>
      <c r="D13" s="108" t="n">
        <v>30000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</row>
    <row r="14" ht="16" customHeight="1">
      <c r="A14" s="97" t="n"/>
      <c r="B14" s="97" t="inlineStr">
        <is>
          <t>Cash</t>
        </is>
      </c>
      <c r="C14" s="97" t="n"/>
      <c r="D14" s="108" t="n">
        <v>239549.5203651849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</row>
    <row r="15" ht="16" customHeight="1">
      <c r="A15" s="97" t="n"/>
      <c r="B15" s="97" t="inlineStr">
        <is>
          <t>Capex (FY1 forecast, linked)</t>
        </is>
      </c>
      <c r="C15" s="97" t="n"/>
      <c r="D15" s="109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13">
        <f>YEAR(E18)</f>
        <v/>
      </c>
      <c r="F17" s="113">
        <f>YEAR(F18)</f>
        <v/>
      </c>
      <c r="G17" s="113">
        <f>YEAR(G18)</f>
        <v/>
      </c>
      <c r="H17" s="113">
        <f>YEAR(H18)</f>
        <v/>
      </c>
      <c r="I17" s="113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</row>
    <row r="18" ht="16" customHeight="1">
      <c r="A18" s="97" t="n"/>
      <c r="B18" s="97" t="inlineStr">
        <is>
          <t>Date (mid-year convention)</t>
        </is>
      </c>
      <c r="C18" s="97" t="n"/>
      <c r="D18" s="115">
        <f>D9</f>
        <v/>
      </c>
      <c r="E18" s="116">
        <f>DATE(YEAR($D$10)+E19,3,31)</f>
        <v/>
      </c>
      <c r="F18" s="116">
        <f>DATE(YEAR($D$10)+F19,3,31)</f>
        <v/>
      </c>
      <c r="G18" s="116">
        <f>DATE(YEAR($D$10)+G19,3,31)</f>
        <v/>
      </c>
      <c r="H18" s="116">
        <f>DATE(YEAR($D$10)+H19,3,31)</f>
        <v/>
      </c>
      <c r="I18" s="116">
        <f>DATE(YEAR($D$10)+I19,3,31)</f>
        <v/>
      </c>
      <c r="J18" s="117">
        <f>I18</f>
        <v/>
      </c>
      <c r="K18" s="97" t="n"/>
      <c r="L18" s="97" t="inlineStr">
        <is>
          <t>Exit EV/EBITDA (in J27) — primary</t>
        </is>
      </c>
      <c r="M18" s="109">
        <f>J27</f>
        <v/>
      </c>
      <c r="N18" s="97">
        <f>(I26*(1+D7))/(D6-D7)</f>
        <v/>
      </c>
      <c r="O18" s="97" t="n"/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19" t="n">
        <v>0</v>
      </c>
      <c r="F19" s="120">
        <f>E19+1</f>
        <v/>
      </c>
      <c r="G19" s="120">
        <f>F19+1</f>
        <v/>
      </c>
      <c r="H19" s="120">
        <f>G19+1</f>
        <v/>
      </c>
      <c r="I19" s="120">
        <f>H19+1</f>
        <v/>
      </c>
      <c r="J19" s="115" t="n"/>
      <c r="K19" s="97" t="n"/>
      <c r="L19" s="97" t="inlineStr">
        <is>
          <t>Gordon cross-check</t>
        </is>
      </c>
      <c r="M19" s="109">
        <f>IF(($D$6-$D$7)&lt;=0,"WACC must exceed g",$I$26*(1+$D$7)/($D$6-$D$7))</f>
        <v/>
      </c>
      <c r="N19" s="121">
        <f>D8*(I21+I23)</f>
        <v/>
      </c>
      <c r="O19" s="97" t="n"/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22">
        <f>YEARFRAC(D18,E18)</f>
        <v/>
      </c>
      <c r="F20" s="122">
        <f>YEARFRAC(E18,F18)</f>
        <v/>
      </c>
      <c r="G20" s="122">
        <f>YEARFRAC(F18,G18)</f>
        <v/>
      </c>
      <c r="H20" s="122">
        <f>YEARFRAC(G18,H18)</f>
        <v/>
      </c>
      <c r="I20" s="122">
        <f>YEARFRAC(H18,I18)</f>
        <v/>
      </c>
      <c r="J20" s="97" t="n"/>
      <c r="K20" s="97" t="n"/>
      <c r="L20" s="97" t="inlineStr">
        <is>
          <t>Implied Gordon exit multiple</t>
        </is>
      </c>
      <c r="M20" s="109">
        <f>IF(($I$21+$I$23)=0,0,M19/($I$21+$I$23))</f>
        <v/>
      </c>
      <c r="N20" s="123">
        <f>AVERAGE(N18:N19)</f>
        <v/>
      </c>
      <c r="O20" s="97" t="n"/>
    </row>
    <row r="21" ht="16" customHeight="1">
      <c r="A21" s="97" t="n"/>
      <c r="B21" s="97" t="inlineStr">
        <is>
          <t>EBIT (linked to 3-stmt)</t>
        </is>
      </c>
      <c r="C21" s="97" t="n"/>
      <c r="D21" s="97" t="n"/>
      <c r="E21" s="109">
        <f>'3 Statement Model'!J26-'3 Statement Model'!J28-'3 Statement Model'!J29-'3 Statement Model'!J30</f>
        <v/>
      </c>
      <c r="F21" s="109">
        <f>'3 Statement Model'!K26-'3 Statement Model'!K28-'3 Statement Model'!K29-'3 Statement Model'!K30</f>
        <v/>
      </c>
      <c r="G21" s="109">
        <f>'3 Statement Model'!L26-'3 Statement Model'!L28-'3 Statement Model'!L29-'3 Statement Model'!L30</f>
        <v/>
      </c>
      <c r="H21" s="109">
        <f>'3 Statement Model'!M26-'3 Statement Model'!M28-'3 Statement Model'!M29-'3 Statement Model'!M30</f>
        <v/>
      </c>
      <c r="I21" s="109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</row>
    <row r="22" ht="16" customHeight="1">
      <c r="A22" s="97" t="n"/>
      <c r="B22" s="97" t="inlineStr">
        <is>
          <t>Less: Unlevered Cash Taxes (EBIT×t)</t>
        </is>
      </c>
      <c r="C22" s="97" t="n"/>
      <c r="D22" s="97" t="n"/>
      <c r="E22" s="124">
        <f>E21*$D$5</f>
        <v/>
      </c>
      <c r="F22" s="124">
        <f>F21*$D$5</f>
        <v/>
      </c>
      <c r="G22" s="124">
        <f>G21*$D$5</f>
        <v/>
      </c>
      <c r="H22" s="124">
        <f>H21*$D$5</f>
        <v/>
      </c>
      <c r="I22" s="124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97" t="n"/>
      <c r="D23" s="97" t="n"/>
      <c r="E23" s="124">
        <f>'3 Statement Model'!J30</f>
        <v/>
      </c>
      <c r="F23" s="124">
        <f>'3 Statement Model'!K30</f>
        <v/>
      </c>
      <c r="G23" s="124">
        <f>'3 Statement Model'!L30</f>
        <v/>
      </c>
      <c r="H23" s="124">
        <f>'3 Statement Model'!M30</f>
        <v/>
      </c>
      <c r="I23" s="124">
        <f>'3 Statement Model'!N30</f>
        <v/>
      </c>
      <c r="J23" s="97" t="n"/>
      <c r="K23" s="97" t="n"/>
      <c r="L23" s="97" t="n"/>
      <c r="M23" s="97" t="n"/>
      <c r="N23" s="97" t="n"/>
      <c r="O23" s="97" t="n"/>
    </row>
    <row r="24" ht="16" customHeight="1">
      <c r="A24" s="97" t="n"/>
      <c r="B24" s="97" t="inlineStr">
        <is>
          <t>Less: Capex (linked to 3-stmt CF)</t>
        </is>
      </c>
      <c r="C24" s="97" t="n"/>
      <c r="D24" s="97" t="n"/>
      <c r="E24" s="109">
        <f>'3 Statement Model'!J68</f>
        <v/>
      </c>
      <c r="F24" s="109">
        <f>'3 Statement Model'!K68</f>
        <v/>
      </c>
      <c r="G24" s="109">
        <f>'3 Statement Model'!L68</f>
        <v/>
      </c>
      <c r="H24" s="109">
        <f>'3 Statement Model'!M68</f>
        <v/>
      </c>
      <c r="I24" s="109">
        <f>'3 Statement Model'!N68</f>
        <v/>
      </c>
      <c r="J24" s="97" t="n"/>
      <c r="K24" s="97" t="n"/>
      <c r="L24" s="97" t="n"/>
      <c r="M24" s="97" t="n"/>
      <c r="N24" s="97" t="n"/>
      <c r="O24" s="97" t="n"/>
    </row>
    <row r="25" ht="16" customHeight="1">
      <c r="A25" s="97" t="n"/>
      <c r="B25" s="97" t="inlineStr">
        <is>
          <t>Less: ΔNWC (linked to 3-stmt CF)</t>
        </is>
      </c>
      <c r="C25" s="97" t="n"/>
      <c r="D25" s="97" t="n"/>
      <c r="E25" s="109">
        <f>'3 Statement Model'!J64</f>
        <v/>
      </c>
      <c r="F25" s="109">
        <f>'3 Statement Model'!K64</f>
        <v/>
      </c>
      <c r="G25" s="109">
        <f>'3 Statement Model'!L64</f>
        <v/>
      </c>
      <c r="H25" s="109">
        <f>'3 Statement Model'!M64</f>
        <v/>
      </c>
      <c r="I25" s="109">
        <f>'3 Statement Model'!N64</f>
        <v/>
      </c>
      <c r="J25" s="97" t="n"/>
      <c r="K25" s="97" t="n"/>
      <c r="L25" s="97" t="n"/>
      <c r="M25" s="97" t="n"/>
      <c r="N25" s="97" t="n"/>
      <c r="O25" s="97" t="n"/>
    </row>
    <row r="26" ht="16" customHeight="1">
      <c r="A26" s="97" t="n"/>
      <c r="B26" s="97" t="inlineStr">
        <is>
          <t>Unlevered FCF</t>
        </is>
      </c>
      <c r="C26" s="97" t="n"/>
      <c r="D26" s="97" t="n"/>
      <c r="E26" s="123">
        <f>E21-E22+E23-E24-E25</f>
        <v/>
      </c>
      <c r="F26" s="123">
        <f>F21-F22+F23-F24-F25</f>
        <v/>
      </c>
      <c r="G26" s="123">
        <f>G21-G22+G23-G24-G25</f>
        <v/>
      </c>
      <c r="H26" s="123">
        <f>H21-H22+H23-H24-H25</f>
        <v/>
      </c>
      <c r="I26" s="123">
        <f>I21-I22+I23-I24-I25</f>
        <v/>
      </c>
      <c r="J26" s="97" t="n"/>
      <c r="K26" s="97" t="n"/>
      <c r="L26" s="97" t="n"/>
      <c r="M26" s="97" t="n"/>
      <c r="N26" s="97" t="n"/>
      <c r="O26" s="97" t="n"/>
    </row>
    <row r="27" ht="16" customHeight="1">
      <c r="A27" s="97" t="n"/>
      <c r="B27" s="97" t="inlineStr">
        <is>
          <t>(Entry)/Exit TV — Exit EV/EBITDA</t>
        </is>
      </c>
      <c r="C27" s="97" t="n"/>
      <c r="D27" s="97">
        <f>-I35</f>
        <v/>
      </c>
      <c r="E27" s="97" t="n"/>
      <c r="F27" s="97" t="n"/>
      <c r="G27" s="97" t="n"/>
      <c r="H27" s="97" t="n"/>
      <c r="I27" s="97" t="n"/>
      <c r="J27" s="109">
        <f>($I$21+$I$23)*$D$8</f>
        <v/>
      </c>
      <c r="K27" s="97" t="n"/>
      <c r="L27" s="97" t="n"/>
      <c r="M27" s="97" t="n"/>
      <c r="N27" s="97" t="n"/>
      <c r="O27" s="97" t="n"/>
    </row>
    <row r="28" ht="16" customHeight="1">
      <c r="A28" s="97" t="n"/>
      <c r="B28" s="97" t="inlineStr">
        <is>
          <t>Transaction CF</t>
        </is>
      </c>
      <c r="C28" s="97" t="n"/>
      <c r="D28" s="123" t="n">
        <v>0</v>
      </c>
      <c r="E28" s="125">
        <f>E27+E26</f>
        <v/>
      </c>
      <c r="F28" s="125">
        <f>F27+F26</f>
        <v/>
      </c>
      <c r="G28" s="125">
        <f>G27+G26</f>
        <v/>
      </c>
      <c r="H28" s="125">
        <f>H27+H26</f>
        <v/>
      </c>
      <c r="I28" s="125">
        <f>I27+I26</f>
        <v/>
      </c>
      <c r="J28" s="125">
        <f>J27+J26</f>
        <v/>
      </c>
      <c r="K28" s="97" t="n"/>
      <c r="L28" s="97" t="n"/>
      <c r="M28" s="97" t="n"/>
      <c r="N28" s="97" t="n"/>
      <c r="O28" s="97" t="n"/>
    </row>
    <row r="29" ht="16" customHeight="1">
      <c r="A29" s="97" t="n"/>
      <c r="B29" s="97" t="inlineStr">
        <is>
          <t>Transaction CF</t>
        </is>
      </c>
      <c r="C29" s="97" t="n"/>
      <c r="D29" s="97">
        <f>D27+D26</f>
        <v/>
      </c>
      <c r="E29" s="109">
        <f>E27+E26</f>
        <v/>
      </c>
      <c r="F29" s="109">
        <f>F27+F26</f>
        <v/>
      </c>
      <c r="G29" s="109">
        <f>G27+G26</f>
        <v/>
      </c>
      <c r="H29" s="109">
        <f>H27+H26</f>
        <v/>
      </c>
      <c r="I29" s="109">
        <f>I27+I26</f>
        <v/>
      </c>
      <c r="J29" s="109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</row>
    <row r="32" ht="16" customHeight="1">
      <c r="A32" s="97" t="n"/>
      <c r="B32" s="97" t="inlineStr">
        <is>
          <t>Enterprise Value (XNPV, mid-year dates)</t>
        </is>
      </c>
      <c r="C32" s="97" t="n"/>
      <c r="D32" s="109">
        <f>XNPV(D6,D28:J28,D18:J18)</f>
        <v/>
      </c>
      <c r="E32" s="97" t="n"/>
      <c r="G32" s="97" t="inlineStr">
        <is>
          <t>Market Cap</t>
        </is>
      </c>
      <c r="H32" s="97" t="n"/>
      <c r="I32" s="97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</row>
    <row r="33" ht="16" customHeight="1">
      <c r="A33" s="97" t="n"/>
      <c r="B33" s="97" t="inlineStr">
        <is>
          <t>Plus: Cash</t>
        </is>
      </c>
      <c r="C33" s="97" t="n"/>
      <c r="D33" s="97">
        <f>+D14</f>
        <v/>
      </c>
      <c r="E33" s="97" t="n"/>
      <c r="G33" s="97" t="inlineStr">
        <is>
          <t>Plus: Debt</t>
        </is>
      </c>
      <c r="H33" s="97" t="n"/>
      <c r="I33" s="97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</row>
    <row r="34" ht="16" customHeight="1">
      <c r="A34" s="97" t="n"/>
      <c r="B34" s="97" t="inlineStr">
        <is>
          <t>Less: Debt</t>
        </is>
      </c>
      <c r="C34" s="97" t="n"/>
      <c r="D34" s="97">
        <f>+D13</f>
        <v/>
      </c>
      <c r="E34" s="97" t="n"/>
      <c r="G34" s="97" t="inlineStr">
        <is>
          <t>Less: Cash</t>
        </is>
      </c>
      <c r="H34" s="97" t="n"/>
      <c r="I34" s="97">
        <f>+D14</f>
        <v/>
      </c>
      <c r="J34" s="97" t="n"/>
      <c r="L34" s="97" t="n"/>
      <c r="M34" s="97" t="n"/>
      <c r="N34" s="97" t="n"/>
      <c r="O34" s="97" t="n"/>
    </row>
    <row r="35" ht="16" customHeight="1">
      <c r="A35" s="97" t="n"/>
      <c r="B35" s="97" t="inlineStr">
        <is>
          <t>Equity Value</t>
        </is>
      </c>
      <c r="C35" s="97" t="n"/>
      <c r="D35" s="123">
        <f>D32+D33-D34</f>
        <v/>
      </c>
      <c r="E35" s="97" t="n"/>
      <c r="G35" s="97" t="inlineStr">
        <is>
          <t>Enterprise Value</t>
        </is>
      </c>
      <c r="H35" s="97" t="n"/>
      <c r="I35" s="123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127" t="n"/>
      <c r="J36" s="97" t="n"/>
      <c r="L36" s="97" t="inlineStr">
        <is>
          <t>Market Value</t>
        </is>
      </c>
      <c r="M36" s="97" t="n"/>
      <c r="N36" s="127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27">
        <f>D35/D12</f>
        <v/>
      </c>
      <c r="E37" s="97" t="n"/>
      <c r="G37" s="97" t="inlineStr">
        <is>
          <t>Equity Value/Share</t>
        </is>
      </c>
      <c r="H37" s="97" t="n"/>
      <c r="I37" s="127">
        <f>D11</f>
        <v/>
      </c>
      <c r="J37" s="97" t="n"/>
      <c r="L37" s="97" t="inlineStr">
        <is>
          <t>Upside</t>
        </is>
      </c>
      <c r="M37" s="97" t="n"/>
      <c r="N37" s="127">
        <f>D37-I37</f>
        <v/>
      </c>
      <c r="O37" s="97" t="n"/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127">
        <f>SUM(N36:N37)</f>
        <v/>
      </c>
      <c r="O38" s="97" t="n"/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2026-08-05T14:43:11Z</dcterms:modified>
  <cp:lastModifiedBy>Katie Au Yeung</cp:lastModifiedBy>
  <cp:lastPrinted>2014-12-13T23:43:21Z</cp:lastPrinted>
</cp:coreProperties>
</file>