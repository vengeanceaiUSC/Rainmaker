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yyyy-mm-dd"/>
    <numFmt numFmtId="176" formatCode="0.0"/>
    <numFmt numFmtId="177" formatCode="#,##0.000"/>
    <numFmt numFmtId="178" formatCode="$#,##0.00"/>
    <numFmt numFmtId="179" formatCode="0.00&quot;x&quot;"/>
    <numFmt numFmtId="180" formatCode="0.0&quot;x&quot;"/>
    <numFmt numFmtId="181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7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9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6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9" fontId="45" fillId="11" borderId="5" pivotButton="0" quotePrefix="0" xfId="0"/>
    <xf numFmtId="175" fontId="38" fillId="7" borderId="0" pivotButton="0" quotePrefix="0" xfId="0"/>
    <xf numFmtId="164" fontId="30" fillId="7" borderId="5" pivotButton="0" quotePrefix="0" xfId="0"/>
    <xf numFmtId="180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7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5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1" fontId="40" fillId="8" borderId="5" pivotButton="0" quotePrefix="0" xfId="0"/>
    <xf numFmtId="174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80" fontId="43" fillId="10" borderId="5" applyAlignment="1" pivotButton="0" quotePrefix="0" xfId="0">
      <alignment horizontal="center"/>
    </xf>
    <xf numFmtId="10" fontId="45" fillId="11" borderId="5" pivotButton="0" quotePrefix="0" xfId="0"/>
    <xf numFmtId="181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80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vengeanceaiUSCMODEL18.0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Yacktman-adjusted CAPM WACC (MODEL18 primary discount rate).
HOW: D6 = R15 = We×Ke + Wd×Rd(1−t). β_Yacktman=0.854 (Blume+AAA blend; Yahoo raw 1.32). Rf=4.67%, ERP=4.28%, Rd=6.250%.
WHY: Same algebraic CAPM as Model17 (7.68%); MODEL18 changes stub timing / SBC / SaaS mix — not a naked WACC override.
SOURCE: Blume 1971; FRED DGS10; Yahoo β; Damodaran ERP; 8-K notes.</t>
      </text>
    </comment>
    <comment ref="D8" authorId="0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0" shapeId="0">
      <text>
        <t>MODEL18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vengeanceaiUSCMODEL18.0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MODEL18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Model18 (New: 7.68% = Rf 4.67% + β 0.854 × ERP 4.28%; Rd 6.250%). Stub fix is temporal, not WACC.</t>
        </is>
      </c>
      <c r="D6" s="111">
        <f>R15</f>
        <v/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Model18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BASE 23.0x = Yacktman premium vs peer median 18.1x. Bull 27x / Bear 17.0x.</t>
        </is>
      </c>
      <c r="D8" s="113" t="n">
        <v>23</v>
      </c>
      <c r="E8" s="100" t="n"/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116" t="n">
        <v>18.11</v>
      </c>
      <c r="O8" s="115" t="inlineStr">
        <is>
          <t>Sorted median (SPGI)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Model18 (New: 2026-08-06; 129/365=35.34% elapsed)</t>
        </is>
      </c>
      <c r="D9" s="117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119" t="n">
        <v>23</v>
      </c>
      <c r="O9" s="118" t="inlineStr">
        <is>
          <t>Yacktman premium vs peer median; audit 23.0x</t>
        </is>
      </c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117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20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121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123">
        <f>$D$12</f>
        <v/>
      </c>
      <c r="E16" s="123">
        <f>MAX(1000,D16+0.646575*'3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(vengeanceaiUSCMODEL18.0)</t>
        </is>
      </c>
      <c r="O17" s="100" t="n"/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129">
        <f>$D$9</f>
        <v/>
      </c>
      <c r="E18" s="130" t="n">
        <v>46358</v>
      </c>
      <c r="F18" s="130">
        <f>EDATE(DATE(2027,3,30),6)</f>
        <v/>
      </c>
      <c r="G18" s="130">
        <f>EDATE(DATE(2028,3,30),6)</f>
        <v/>
      </c>
      <c r="H18" s="130">
        <f>EDATE(DATE(2029,3,30),6)</f>
        <v/>
      </c>
      <c r="I18" s="130">
        <f>EDATE(DATE(2030,3,30),6)</f>
        <v/>
      </c>
      <c r="J18" s="129">
        <f>I18</f>
        <v/>
      </c>
      <c r="K18" s="100" t="n"/>
      <c r="L18" s="100" t="inlineStr">
        <is>
          <t>Exit EV/EBITDA @ D8 (BASE 23.0x)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133" t="n">
        <v>0</v>
      </c>
      <c r="F19" s="134">
        <f>E19+1</f>
        <v/>
      </c>
      <c r="G19" s="134">
        <f>F19+1</f>
        <v/>
      </c>
      <c r="H19" s="134">
        <f>G19+1</f>
        <v/>
      </c>
      <c r="I19" s="134">
        <f>H19+1</f>
        <v/>
      </c>
      <c r="J19" s="132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5" t="inlineStr">
        <is>
          <t>← sanity check</t>
        </is>
      </c>
      <c r="O19" s="100" t="n"/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136">
        <f>YEARFRAC(D18,E18)</f>
        <v/>
      </c>
      <c r="F20" s="136">
        <f>YEARFRAC(E18,F18)</f>
        <v/>
      </c>
      <c r="G20" s="136">
        <f>YEARFRAC(F18,G18)</f>
        <v/>
      </c>
      <c r="H20" s="136">
        <f>YEARFRAC(G18,H18)</f>
        <v/>
      </c>
      <c r="I20" s="136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7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122">
        <f>($I$21+$I$23)*23.0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8">
        <f>E21*$D$5</f>
        <v/>
      </c>
      <c r="F22" s="138">
        <f>F21*$D$5</f>
        <v/>
      </c>
      <c r="G22" s="138">
        <f>G21*$D$5</f>
        <v/>
      </c>
      <c r="H22" s="138">
        <f>H21*$D$5</f>
        <v/>
      </c>
      <c r="I22" s="138">
        <f>I21*$D$5</f>
        <v/>
      </c>
      <c r="J22" s="100" t="n"/>
      <c r="K22" s="100" t="n"/>
      <c r="L22" s="100" t="inlineStr">
        <is>
          <t>BULL TV @ 27.0x (spot/policy)</t>
        </is>
      </c>
      <c r="M22" s="122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8">
        <f>'3 Statement Model'!J30</f>
        <v/>
      </c>
      <c r="F23" s="138">
        <f>'3 Statement Model'!K30</f>
        <v/>
      </c>
      <c r="G23" s="138">
        <f>'3 Statement Model'!L30</f>
        <v/>
      </c>
      <c r="H23" s="138">
        <f>'3 Statement Model'!M30</f>
        <v/>
      </c>
      <c r="I23" s="138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122">
        <f>($I$21+$I$23)*17.0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(Y1 × 64.66% stub remaining; SBC + Deferred)</t>
        </is>
      </c>
      <c r="C26" s="100" t="inlineStr">
        <is>
          <t>Y1 FCFF=stub(0.6466)×(EBIT−cashTax+DA+SBC−CapEx−ΔOpNWC+ΔDef); Y2–Y5 full year</t>
        </is>
      </c>
      <c r="D26" s="100" t="n"/>
      <c r="E26" s="139">
        <f>0.646575*(E21-E22+E23+'3 Statement Model'!J64-E24-E25)</f>
        <v/>
      </c>
      <c r="F26" s="139">
        <f>F21-F22+F23+'3 Statement Model'!K64-F24-F25</f>
        <v/>
      </c>
      <c r="G26" s="139">
        <f>G21-G22+G23+'3 Statement Model'!L64-G24-G25</f>
        <v/>
      </c>
      <c r="H26" s="139">
        <f>H21-H22+H23+'3 Statement Model'!M64-H24-H25</f>
        <v/>
      </c>
      <c r="I26" s="139">
        <f>I21-I22+I23+'3 Statement Model'!N64-I24-I25</f>
        <v/>
      </c>
      <c r="J26" s="100" t="n"/>
      <c r="K26" s="100" t="n"/>
      <c r="L26" s="140" t="inlineStr">
        <is>
          <t>vengeanceaiUSCMODEL18.0 — DCF ← 3-Statement linkage audit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7" t="n">
        <v>0</v>
      </c>
      <c r="E28" s="139">
        <f>E27+E26</f>
        <v/>
      </c>
      <c r="F28" s="139">
        <f>F27+F26</f>
        <v/>
      </c>
      <c r="G28" s="139">
        <f>G27+G26</f>
        <v/>
      </c>
      <c r="H28" s="139">
        <f>H27+H26</f>
        <v/>
      </c>
      <c r="I28" s="139">
        <f>I27+I26</f>
        <v/>
      </c>
      <c r="J28" s="139">
        <f>J27+J26</f>
        <v/>
      </c>
      <c r="K28" s="100" t="n"/>
      <c r="L28" s="104" t="inlineStr">
        <is>
          <t>Cash tax rate (D5)</t>
        </is>
      </c>
      <c r="M28" s="142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2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2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142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5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8">
        <f>$E$21</f>
        <v/>
      </c>
      <c r="N33" s="148">
        <f>'3 Statement Model'!J33+'3 Statement Model'!J31</f>
        <v/>
      </c>
      <c r="O33" s="144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8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7">
        <f>D32+D33-D34</f>
        <v/>
      </c>
      <c r="E35" s="100" t="n"/>
      <c r="G35" s="100" t="inlineStr">
        <is>
          <t>Enterprise Value</t>
        </is>
      </c>
      <c r="H35" s="100" t="n"/>
      <c r="I35" s="137">
        <f>I32+I33-I34</f>
        <v/>
      </c>
      <c r="J35" s="100" t="n"/>
      <c r="L35" s="146" t="inlineStr">
        <is>
          <t>D&amp;A FY1</t>
        </is>
      </c>
      <c r="M35" s="148">
        <f>$E$23</f>
        <v/>
      </c>
      <c r="N35" s="148">
        <f>'3 Statement Model'!J30</f>
        <v/>
      </c>
      <c r="O35" s="144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9" t="n"/>
      <c r="J36" s="100" t="n"/>
      <c r="L36" s="104" t="inlineStr">
        <is>
          <t>SBC FY1</t>
        </is>
      </c>
      <c r="M36" s="148">
        <f>'3 Statement Model'!J64</f>
        <v/>
      </c>
      <c r="N36" s="148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MODEL18: SBC add-back in FCFF; 1.4×FCF buybacks cut shares (no SBC dilution)</t>
        </is>
      </c>
      <c r="D37" s="150">
        <f>$D$35/$I$16</f>
        <v/>
      </c>
      <c r="E37" s="100" t="n"/>
      <c r="G37" s="100" t="inlineStr">
        <is>
          <t>Equity Value/Share</t>
        </is>
      </c>
      <c r="H37" s="100" t="n"/>
      <c r="I37" s="149">
        <f>D11</f>
        <v/>
      </c>
      <c r="J37" s="100" t="n"/>
      <c r="L37" s="104" t="inlineStr">
        <is>
          <t>CapEx FY1</t>
        </is>
      </c>
      <c r="M37" s="148">
        <f>$E$24</f>
        <v/>
      </c>
      <c r="N37" s="148">
        <f>'3 Statement Model'!J68</f>
        <v/>
      </c>
      <c r="O37" s="144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8">
        <f>$E$25</f>
        <v/>
      </c>
      <c r="N38" s="148">
        <f>'3 Statement Model'!J90-('3 Statement Model'!J88-'3 Statement Model'!I88)</f>
        <v/>
      </c>
      <c r="O38" s="144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8">
        <f>$I$21+$I$23</f>
        <v/>
      </c>
      <c r="N39" s="148">
        <f>'3 Statement Model'!N33+'3 Statement Model'!N31+'3 Statement Model'!N30</f>
        <v/>
      </c>
      <c r="O39" s="144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8">
        <f>'3 Statement Model'!I41</f>
        <v/>
      </c>
      <c r="N40" s="148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1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148">
        <f>'3 Statement Model'!I49</f>
        <v/>
      </c>
      <c r="N41" s="148">
        <f>'3 Statement Model'!I49</f>
        <v/>
      </c>
      <c r="O41" s="144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2" t="inlineStr">
        <is>
          <t>EBIT link OK?</t>
        </is>
      </c>
      <c r="M42" s="153">
        <f>IF(ABS(M33-M34)&lt;1,"OK","MISMATCH")</f>
        <v/>
      </c>
      <c r="N42" s="154" t="inlineStr"/>
      <c r="O42" s="144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5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</row>
    <row r="44" ht="16" customHeight="1">
      <c r="A44" s="100" t="n"/>
      <c r="B44" s="156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6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6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7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8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159" t="n">
        <v>17</v>
      </c>
      <c r="N56" s="159" t="n">
        <v>20</v>
      </c>
      <c r="O56" s="159" t="n">
        <v>23</v>
      </c>
      <c r="P56" s="159" t="n">
        <v>25</v>
      </c>
      <c r="Q56" s="159" t="n">
        <v>27</v>
      </c>
      <c r="R56" s="159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0" t="n">
        <v>0.065</v>
      </c>
      <c r="M57" s="148">
        <f>XNPV($L57,$D$28:$I$28,$D$18:$I$18)+($I$26+($I$21+$I$23)*M$56)/((1+$L57)^(($J$18-$D$18)/365))</f>
        <v/>
      </c>
      <c r="N57" s="148">
        <f>XNPV($L57,$D$28:$I$28,$D$18:$I$18)+($I$26+($I$21+$I$23)*N$56)/((1+$L57)^(($J$18-$D$18)/365))</f>
        <v/>
      </c>
      <c r="O57" s="148">
        <f>XNPV($L57,$D$28:$I$28,$D$18:$I$18)+($I$26+($I$21+$I$23)*O$56)/((1+$L57)^(($J$18-$D$18)/365))</f>
        <v/>
      </c>
      <c r="P57" s="148">
        <f>XNPV($L57,$D$28:$I$28,$D$18:$I$18)+($I$26+($I$21+$I$23)*P$56)/((1+$L57)^(($J$18-$D$18)/365))</f>
        <v/>
      </c>
      <c r="Q57" s="148">
        <f>XNPV($L57,$D$28:$I$28,$D$18:$I$18)+($I$26+($I$21+$I$23)*Q$56)/((1+$L57)^(($J$18-$D$18)/365))</f>
        <v/>
      </c>
      <c r="R57" s="1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0" t="n">
        <v>0.07000000000000001</v>
      </c>
      <c r="M58" s="148">
        <f>XNPV($L58,$D$28:$I$28,$D$18:$I$18)+($I$26+($I$21+$I$23)*M$56)/((1+$L58)^(($J$18-$D$18)/365))</f>
        <v/>
      </c>
      <c r="N58" s="148">
        <f>XNPV($L58,$D$28:$I$28,$D$18:$I$18)+($I$26+($I$21+$I$23)*N$56)/((1+$L58)^(($J$18-$D$18)/365))</f>
        <v/>
      </c>
      <c r="O58" s="148">
        <f>XNPV($L58,$D$28:$I$28,$D$18:$I$18)+($I$26+($I$21+$I$23)*O$56)/((1+$L58)^(($J$18-$D$18)/365))</f>
        <v/>
      </c>
      <c r="P58" s="148">
        <f>XNPV($L58,$D$28:$I$28,$D$18:$I$18)+($I$26+($I$21+$I$23)*P$56)/((1+$L58)^(($J$18-$D$18)/365))</f>
        <v/>
      </c>
      <c r="Q58" s="148">
        <f>XNPV($L58,$D$28:$I$28,$D$18:$I$18)+($I$26+($I$21+$I$23)*Q$56)/((1+$L58)^(($J$18-$D$18)/365))</f>
        <v/>
      </c>
      <c r="R58" s="1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0" t="n">
        <v>0.075</v>
      </c>
      <c r="M59" s="148">
        <f>XNPV($L59,$D$28:$I$28,$D$18:$I$18)+($I$26+($I$21+$I$23)*M$56)/((1+$L59)^(($J$18-$D$18)/365))</f>
        <v/>
      </c>
      <c r="N59" s="148">
        <f>XNPV($L59,$D$28:$I$28,$D$18:$I$18)+($I$26+($I$21+$I$23)*N$56)/((1+$L59)^(($J$18-$D$18)/365))</f>
        <v/>
      </c>
      <c r="O59" s="148">
        <f>XNPV($L59,$D$28:$I$28,$D$18:$I$18)+($I$26+($I$21+$I$23)*O$56)/((1+$L59)^(($J$18-$D$18)/365))</f>
        <v/>
      </c>
      <c r="P59" s="148">
        <f>XNPV($L59,$D$28:$I$28,$D$18:$I$18)+($I$26+($I$21+$I$23)*P$56)/((1+$L59)^(($J$18-$D$18)/365))</f>
        <v/>
      </c>
      <c r="Q59" s="148">
        <f>XNPV($L59,$D$28:$I$28,$D$18:$I$18)+($I$26+($I$21+$I$23)*Q$56)/((1+$L59)^(($J$18-$D$18)/365))</f>
        <v/>
      </c>
      <c r="R59" s="1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0" t="n">
        <v>0.07679999999999999</v>
      </c>
      <c r="M60" s="148">
        <f>XNPV($L60,$D$28:$I$28,$D$18:$I$18)+($I$26+($I$21+$I$23)*M$56)/((1+$L60)^(($J$18-$D$18)/365))</f>
        <v/>
      </c>
      <c r="N60" s="148">
        <f>XNPV($L60,$D$28:$I$28,$D$18:$I$18)+($I$26+($I$21+$I$23)*N$56)/((1+$L60)^(($J$18-$D$18)/365))</f>
        <v/>
      </c>
      <c r="O60" s="161">
        <f>XNPV($L60,$D$28:$I$28,$D$18:$I$18)+($I$26+($I$21+$I$23)*O$56)/((1+$L60)^(($J$18-$D$18)/365))</f>
        <v/>
      </c>
      <c r="P60" s="148">
        <f>XNPV($L60,$D$28:$I$28,$D$18:$I$18)+($I$26+($I$21+$I$23)*P$56)/((1+$L60)^(($J$18-$D$18)/365))</f>
        <v/>
      </c>
      <c r="Q60" s="148">
        <f>XNPV($L60,$D$28:$I$28,$D$18:$I$18)+($I$26+($I$21+$I$23)*Q$56)/((1+$L60)^(($J$18-$D$18)/365))</f>
        <v/>
      </c>
      <c r="R60" s="1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0" t="n">
        <v>0.08500000000000001</v>
      </c>
      <c r="M61" s="148">
        <f>XNPV($L61,$D$28:$I$28,$D$18:$I$18)+($I$26+($I$21+$I$23)*M$56)/((1+$L61)^(($J$18-$D$18)/365))</f>
        <v/>
      </c>
      <c r="N61" s="148">
        <f>XNPV($L61,$D$28:$I$28,$D$18:$I$18)+($I$26+($I$21+$I$23)*N$56)/((1+$L61)^(($J$18-$D$18)/365))</f>
        <v/>
      </c>
      <c r="O61" s="148">
        <f>XNPV($L61,$D$28:$I$28,$D$18:$I$18)+($I$26+($I$21+$I$23)*O$56)/((1+$L61)^(($J$18-$D$18)/365))</f>
        <v/>
      </c>
      <c r="P61" s="148">
        <f>XNPV($L61,$D$28:$I$28,$D$18:$I$18)+($I$26+($I$21+$I$23)*P$56)/((1+$L61)^(($J$18-$D$18)/365))</f>
        <v/>
      </c>
      <c r="Q61" s="148">
        <f>XNPV($L61,$D$28:$I$28,$D$18:$I$18)+($I$26+($I$21+$I$23)*Q$56)/((1+$L61)^(($J$18-$D$18)/365))</f>
        <v/>
      </c>
      <c r="R61" s="148">
        <f>XNPV($L61,$D$28:$I$28,$D$18:$I$18)+($I$26+($I$21+$I$23)*R$56)/((1+$L61)^(($J$18-$D$18)/365))</f>
        <v/>
      </c>
    </row>
    <row r="62">
      <c r="L62" s="160" t="n">
        <v>0.095</v>
      </c>
      <c r="M62" s="148">
        <f>XNPV($L62,$D$28:$I$28,$D$18:$I$18)+($I$26+($I$21+$I$23)*M$56)/((1+$L62)^(($J$18-$D$18)/365))</f>
        <v/>
      </c>
      <c r="N62" s="148">
        <f>XNPV($L62,$D$28:$I$28,$D$18:$I$18)+($I$26+($I$21+$I$23)*N$56)/((1+$L62)^(($J$18-$D$18)/365))</f>
        <v/>
      </c>
      <c r="O62" s="148">
        <f>XNPV($L62,$D$28:$I$28,$D$18:$I$18)+($I$26+($I$21+$I$23)*O$56)/((1+$L62)^(($J$18-$D$18)/365))</f>
        <v/>
      </c>
      <c r="P62" s="148">
        <f>XNPV($L62,$D$28:$I$28,$D$18:$I$18)+($I$26+($I$21+$I$23)*P$56)/((1+$L62)^(($J$18-$D$18)/365))</f>
        <v/>
      </c>
      <c r="Q62" s="148">
        <f>XNPV($L62,$D$28:$I$28,$D$18:$I$18)+($I$26+($I$21+$I$23)*Q$56)/((1+$L62)^(($J$18-$D$18)/365))</f>
        <v/>
      </c>
      <c r="R62" s="148">
        <f>XNPV($L62,$D$28:$I$28,$D$18:$I$18)+($I$26+($I$21+$I$23)*R$56)/((1+$L62)^(($J$18-$D$18)/365))</f>
        <v/>
      </c>
    </row>
    <row r="64">
      <c r="L64" s="162" t="inlineStr">
        <is>
          <t>SENSITIVITY — Equity Value / Share ($)</t>
        </is>
      </c>
    </row>
    <row r="65">
      <c r="L65" s="163" t="inlineStr">
        <is>
          <t>WACC \ Exit EV/EBITDA</t>
        </is>
      </c>
      <c r="M65" s="164" t="n">
        <v>17</v>
      </c>
      <c r="N65" s="164" t="n">
        <v>20</v>
      </c>
      <c r="O65" s="164" t="n">
        <v>23</v>
      </c>
      <c r="P65" s="164" t="n">
        <v>25</v>
      </c>
      <c r="Q65" s="164" t="n">
        <v>27</v>
      </c>
      <c r="R65" s="164" t="n">
        <v>29</v>
      </c>
    </row>
    <row r="66">
      <c r="L66" s="160" t="n">
        <v>0.065</v>
      </c>
      <c r="M66" s="165">
        <f>(M57+$D$33-$D$34)/$I$16</f>
        <v/>
      </c>
      <c r="N66" s="165">
        <f>(N57+$D$33-$D$34)/$I$16</f>
        <v/>
      </c>
      <c r="O66" s="165">
        <f>(O57+$D$33-$D$34)/$I$16</f>
        <v/>
      </c>
      <c r="P66" s="165">
        <f>(P57+$D$33-$D$34)/$I$16</f>
        <v/>
      </c>
      <c r="Q66" s="165">
        <f>(Q57+$D$33-$D$34)/$I$16</f>
        <v/>
      </c>
      <c r="R66" s="165">
        <f>(R57+$D$33-$D$34)/$I$16</f>
        <v/>
      </c>
    </row>
    <row r="67">
      <c r="L67" s="160" t="n">
        <v>0.07000000000000001</v>
      </c>
      <c r="M67" s="165">
        <f>(M58+$D$33-$D$34)/$I$16</f>
        <v/>
      </c>
      <c r="N67" s="165">
        <f>(N58+$D$33-$D$34)/$I$16</f>
        <v/>
      </c>
      <c r="O67" s="165">
        <f>(O58+$D$33-$D$34)/$I$16</f>
        <v/>
      </c>
      <c r="P67" s="165">
        <f>(P58+$D$33-$D$34)/$I$16</f>
        <v/>
      </c>
      <c r="Q67" s="165">
        <f>(Q58+$D$33-$D$34)/$I$16</f>
        <v/>
      </c>
      <c r="R67" s="165">
        <f>(R58+$D$33-$D$34)/$I$16</f>
        <v/>
      </c>
    </row>
    <row r="68">
      <c r="L68" s="160" t="n">
        <v>0.075</v>
      </c>
      <c r="M68" s="165">
        <f>(M59+$D$33-$D$34)/$I$16</f>
        <v/>
      </c>
      <c r="N68" s="165">
        <f>(N59+$D$33-$D$34)/$I$16</f>
        <v/>
      </c>
      <c r="O68" s="165">
        <f>(O59+$D$33-$D$34)/$I$16</f>
        <v/>
      </c>
      <c r="P68" s="165">
        <f>(P59+$D$33-$D$34)/$I$16</f>
        <v/>
      </c>
      <c r="Q68" s="165">
        <f>(Q59+$D$33-$D$34)/$I$16</f>
        <v/>
      </c>
      <c r="R68" s="165">
        <f>(R59+$D$33-$D$34)/$I$16</f>
        <v/>
      </c>
    </row>
    <row r="69">
      <c r="L69" s="160" t="n">
        <v>0.07679999999999999</v>
      </c>
      <c r="M69" s="165">
        <f>(M60+$D$33-$D$34)/$I$16</f>
        <v/>
      </c>
      <c r="N69" s="165">
        <f>(N60+$D$33-$D$34)/$I$16</f>
        <v/>
      </c>
      <c r="O69" s="166">
        <f>(O60+$D$33-$D$34)/$I$16</f>
        <v/>
      </c>
      <c r="P69" s="165">
        <f>(P60+$D$33-$D$34)/$I$16</f>
        <v/>
      </c>
      <c r="Q69" s="165">
        <f>(Q60+$D$33-$D$34)/$I$16</f>
        <v/>
      </c>
      <c r="R69" s="165">
        <f>(R60+$D$33-$D$34)/$I$16</f>
        <v/>
      </c>
    </row>
    <row r="70">
      <c r="L70" s="160" t="n">
        <v>0.08500000000000001</v>
      </c>
      <c r="M70" s="165">
        <f>(M61+$D$33-$D$34)/$I$16</f>
        <v/>
      </c>
      <c r="N70" s="165">
        <f>(N61+$D$33-$D$34)/$I$16</f>
        <v/>
      </c>
      <c r="O70" s="165">
        <f>(O61+$D$33-$D$34)/$I$16</f>
        <v/>
      </c>
      <c r="P70" s="165">
        <f>(P61+$D$33-$D$34)/$I$16</f>
        <v/>
      </c>
      <c r="Q70" s="165">
        <f>(Q61+$D$33-$D$34)/$I$16</f>
        <v/>
      </c>
      <c r="R70" s="165">
        <f>(R61+$D$33-$D$34)/$I$16</f>
        <v/>
      </c>
    </row>
    <row r="71">
      <c r="L71" s="160" t="n">
        <v>0.095</v>
      </c>
      <c r="M71" s="165">
        <f>(M62+$D$33-$D$34)/$I$16</f>
        <v/>
      </c>
      <c r="N71" s="165">
        <f>(N62+$D$33-$D$34)/$I$16</f>
        <v/>
      </c>
      <c r="O71" s="165">
        <f>(O62+$D$33-$D$34)/$I$16</f>
        <v/>
      </c>
      <c r="P71" s="165">
        <f>(P62+$D$33-$D$34)/$I$16</f>
        <v/>
      </c>
      <c r="Q71" s="165">
        <f>(Q62+$D$33-$D$34)/$I$16</f>
        <v/>
      </c>
      <c r="R71" s="165">
        <f>(R62+$D$33-$D$34)/$I$16</f>
        <v/>
      </c>
    </row>
    <row r="72">
      <c r="L72" s="155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2026-08-06T18:16:06Z</dcterms:modified>
  <cp:lastModifiedBy>Katie Au Yeung</cp:lastModifiedBy>
  <cp:lastPrinted>2014-12-13T23:43:21Z</cp:lastPrinted>
</cp:coreProperties>
</file>