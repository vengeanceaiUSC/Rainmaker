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DCF_Capex">'DCF Model'!$D$15</definedName>
    <definedName name="DCF_EBIT_Start">'DCF Model'!$E$21</definedName>
    <definedName name="DCF_DA_Start">'DCF Model'!$E$23</definedName>
    <definedName name="DCF_DeltaNWC_Start">'DCF Model'!$E$25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3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2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2" fillId="0" borderId="0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</t>
        </is>
      </c>
      <c r="C15" s="97" t="n"/>
      <c r="D15" s="100" t="n">
        <v>15000</v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09" t="inlineStr">
        <is>
          <t>Discounted Cash Flow</t>
        </is>
      </c>
      <c r="C17" s="110" t="n"/>
      <c r="D17" s="111" t="inlineStr">
        <is>
          <t>Entry</t>
        </is>
      </c>
      <c r="E17" s="112">
        <f>YEAR(E18)</f>
        <v/>
      </c>
      <c r="F17" s="112">
        <f>YEAR(F18)</f>
        <v/>
      </c>
      <c r="G17" s="112">
        <f>YEAR(G18)</f>
        <v/>
      </c>
      <c r="H17" s="112">
        <f>YEAR(H18)</f>
        <v/>
      </c>
      <c r="I17" s="112">
        <f>YEAR(I18)</f>
        <v/>
      </c>
      <c r="J17" s="111" t="inlineStr">
        <is>
          <t>Exit</t>
        </is>
      </c>
      <c r="K17" s="97" t="n"/>
      <c r="L17" s="109" t="inlineStr">
        <is>
          <t>Terminal Value</t>
        </is>
      </c>
      <c r="M17" s="110" t="n"/>
      <c r="N17" s="110" t="n"/>
      <c r="O17" s="97" t="n"/>
    </row>
    <row r="18" ht="16" customHeight="1">
      <c r="A18" s="97" t="n"/>
      <c r="B18" s="97" t="inlineStr">
        <is>
          <t>Date</t>
        </is>
      </c>
      <c r="C18" s="97" t="n"/>
      <c r="D18" s="113">
        <f>D9</f>
        <v/>
      </c>
      <c r="E18" s="113">
        <f>DATE(YEAR($D$10)+E19,6,30)</f>
        <v/>
      </c>
      <c r="F18" s="113">
        <f>DATE(YEAR($D$10)+F19,6,30)</f>
        <v/>
      </c>
      <c r="G18" s="113">
        <f>DATE(YEAR($D$10)+G19,6,30)</f>
        <v/>
      </c>
      <c r="H18" s="113">
        <f>DATE(YEAR($D$10)+H19,6,30)</f>
        <v/>
      </c>
      <c r="I18" s="113">
        <f>DATE(YEAR($D$10)+I19,6,30)</f>
        <v/>
      </c>
      <c r="J18" s="114">
        <f>I18</f>
        <v/>
      </c>
      <c r="K18" s="97" t="n"/>
      <c r="L18" s="97" t="inlineStr">
        <is>
          <t>Perpetural Growth</t>
        </is>
      </c>
      <c r="M18" s="97" t="n"/>
      <c r="N18" s="97">
        <f>(I26*(1+D7))/(D6-D7)</f>
        <v/>
      </c>
      <c r="O18" s="97" t="n"/>
    </row>
    <row r="19" ht="16" customHeight="1">
      <c r="A19" s="97" t="n"/>
      <c r="B19" s="115" t="inlineStr">
        <is>
          <t>Time Periods</t>
        </is>
      </c>
      <c r="C19" s="115" t="n"/>
      <c r="D19" s="113" t="n"/>
      <c r="E19" s="116" t="n">
        <v>0</v>
      </c>
      <c r="F19" s="117">
        <f>E19+1</f>
        <v/>
      </c>
      <c r="G19" s="117">
        <f>F19+1</f>
        <v/>
      </c>
      <c r="H19" s="117">
        <f>G19+1</f>
        <v/>
      </c>
      <c r="I19" s="117">
        <f>H19+1</f>
        <v/>
      </c>
      <c r="J19" s="113" t="n"/>
      <c r="K19" s="97" t="n"/>
      <c r="L19" s="97" t="inlineStr">
        <is>
          <t>EV/EBITDA</t>
        </is>
      </c>
      <c r="M19" s="97" t="n"/>
      <c r="N19" s="118">
        <f>D8*(I21+I23)</f>
        <v/>
      </c>
      <c r="O19" s="97" t="n"/>
    </row>
    <row r="20" ht="16" customHeight="1">
      <c r="A20" s="97" t="n"/>
      <c r="B20" s="115" t="inlineStr">
        <is>
          <t>Year Fraction</t>
        </is>
      </c>
      <c r="C20" s="97" t="n"/>
      <c r="D20" s="97" t="n"/>
      <c r="E20" s="119">
        <f>YEARFRAC(D18,E18)</f>
        <v/>
      </c>
      <c r="F20" s="119">
        <f>YEARFRAC(E18,F18)</f>
        <v/>
      </c>
      <c r="G20" s="119">
        <f>YEARFRAC(F18,G18)</f>
        <v/>
      </c>
      <c r="H20" s="119">
        <f>YEARFRAC(G18,H18)</f>
        <v/>
      </c>
      <c r="I20" s="119">
        <f>YEARFRAC(H18,I18)</f>
        <v/>
      </c>
      <c r="J20" s="97" t="n"/>
      <c r="K20" s="97" t="n"/>
      <c r="L20" s="97" t="inlineStr">
        <is>
          <t>Average</t>
        </is>
      </c>
      <c r="M20" s="97" t="n"/>
      <c r="N20" s="120">
        <f>AVERAGE(N18:N19)</f>
        <v/>
      </c>
      <c r="O20" s="97" t="n"/>
    </row>
    <row r="21" ht="16" customHeight="1">
      <c r="A21" s="97" t="n"/>
      <c r="B21" s="97" t="inlineStr">
        <is>
          <t>EBIT</t>
        </is>
      </c>
      <c r="C21" s="97" t="n"/>
      <c r="D21" s="97" t="n"/>
      <c r="E21" s="100" t="n">
        <v>47814.45600000001</v>
      </c>
      <c r="F21" s="100" t="n">
        <v>51094.85341999999</v>
      </c>
      <c r="G21" s="100" t="n">
        <v>55861.39003759999</v>
      </c>
      <c r="H21" s="100" t="n">
        <v>58692.85726091599</v>
      </c>
      <c r="I21" s="100" t="n">
        <v>63038.58494877632</v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18">
        <f>E21*$D$5</f>
        <v/>
      </c>
      <c r="F22" s="118">
        <f>F21*$D$5</f>
        <v/>
      </c>
      <c r="G22" s="118">
        <f>G21*$D$5</f>
        <v/>
      </c>
      <c r="H22" s="118">
        <f>H21*$D$5</f>
        <v/>
      </c>
      <c r="I22" s="11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</t>
        </is>
      </c>
      <c r="C23" s="97" t="n"/>
      <c r="D23" s="97" t="n"/>
      <c r="E23" s="121" t="n">
        <v>15008.42</v>
      </c>
      <c r="F23" s="121" t="n">
        <v>15005.052</v>
      </c>
      <c r="G23" s="121" t="n">
        <v>15003.0312</v>
      </c>
      <c r="H23" s="121" t="n">
        <v>15001.81872</v>
      </c>
      <c r="I23" s="121" t="n">
        <v>15001.091232</v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</t>
        </is>
      </c>
      <c r="C24" s="97" t="n"/>
      <c r="D24" s="97" t="n"/>
      <c r="E24" s="103">
        <f>$D$15</f>
        <v/>
      </c>
      <c r="F24" s="103">
        <f>$D$15</f>
        <v/>
      </c>
      <c r="G24" s="103">
        <f>$D$15</f>
        <v/>
      </c>
      <c r="H24" s="103">
        <f>$D$15</f>
        <v/>
      </c>
      <c r="I24" s="103">
        <f>$D$15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Changes in NWC</t>
        </is>
      </c>
      <c r="C25" s="97" t="n"/>
      <c r="D25" s="97" t="n"/>
      <c r="E25" s="100" t="n">
        <v>375</v>
      </c>
      <c r="F25" s="100" t="n">
        <v>611</v>
      </c>
      <c r="G25" s="100" t="n">
        <v>398</v>
      </c>
      <c r="H25" s="100" t="n">
        <v>511</v>
      </c>
      <c r="I25" s="100" t="n">
        <v>272</v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0">
        <f>E21-E22+E23-E24-E25</f>
        <v/>
      </c>
      <c r="F26" s="120">
        <f>F21-F22+F23-F24-F25</f>
        <v/>
      </c>
      <c r="G26" s="120">
        <f>G21-G22+G23-G24-G25</f>
        <v/>
      </c>
      <c r="H26" s="120">
        <f>H21-H22+H23-H24-H25</f>
        <v/>
      </c>
      <c r="I26" s="120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97">
        <f>N20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0" t="n">
        <v>0</v>
      </c>
      <c r="E28" s="120">
        <f>(E27+E26)*E20</f>
        <v/>
      </c>
      <c r="F28" s="120">
        <f>(F27+F26)*F20</f>
        <v/>
      </c>
      <c r="G28" s="120">
        <f>(G27+G26)*G20</f>
        <v/>
      </c>
      <c r="H28" s="120">
        <f>(H27+H26)*H20</f>
        <v/>
      </c>
      <c r="I28" s="120">
        <f>(I27+I26)*I20</f>
        <v/>
      </c>
      <c r="J28" s="120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97">
        <f>(E27+E26)*E20</f>
        <v/>
      </c>
      <c r="F29" s="97">
        <f>(F27+F26)*F20</f>
        <v/>
      </c>
      <c r="G29" s="97">
        <f>(G27+G26)*G20</f>
        <v/>
      </c>
      <c r="H29" s="97">
        <f>(H27+H26)*H20</f>
        <v/>
      </c>
      <c r="I29" s="97">
        <f>(I27+I26)*I20</f>
        <v/>
      </c>
      <c r="J29" s="97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09" t="inlineStr">
        <is>
          <t>Intrinsic Value</t>
        </is>
      </c>
      <c r="C31" s="110" t="n"/>
      <c r="D31" s="110" t="n"/>
      <c r="E31" s="97" t="n"/>
      <c r="G31" s="109" t="inlineStr">
        <is>
          <t>Market Value</t>
        </is>
      </c>
      <c r="H31" s="110" t="n"/>
      <c r="I31" s="110" t="n"/>
      <c r="J31" s="97" t="n"/>
      <c r="L31" s="109" t="inlineStr">
        <is>
          <t>Rate of Return</t>
        </is>
      </c>
      <c r="M31" s="110" t="n"/>
      <c r="N31" s="110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97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2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2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0">
        <f>D32+D33-D34</f>
        <v/>
      </c>
      <c r="E35" s="97" t="n"/>
      <c r="G35" s="97" t="inlineStr">
        <is>
          <t>Enterprise Value</t>
        </is>
      </c>
      <c r="H35" s="97" t="n"/>
      <c r="I35" s="120">
        <f>I32+I33-I34</f>
        <v/>
      </c>
      <c r="J35" s="97" t="n"/>
      <c r="L35" s="109" t="inlineStr">
        <is>
          <t>Market Value vs Intrinsic Value</t>
        </is>
      </c>
      <c r="M35" s="110" t="n"/>
      <c r="N35" s="110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3" t="n"/>
      <c r="J36" s="97" t="n"/>
      <c r="L36" s="97" t="inlineStr">
        <is>
          <t>Market Value</t>
        </is>
      </c>
      <c r="M36" s="97" t="n"/>
      <c r="N36" s="12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3">
        <f>D35/D12</f>
        <v/>
      </c>
      <c r="E37" s="97" t="n"/>
      <c r="G37" s="97" t="inlineStr">
        <is>
          <t>Equity Value/Share</t>
        </is>
      </c>
      <c r="H37" s="97" t="n"/>
      <c r="I37" s="123">
        <f>D11</f>
        <v/>
      </c>
      <c r="J37" s="97" t="n"/>
      <c r="L37" s="97" t="inlineStr">
        <is>
          <t>Upside</t>
        </is>
      </c>
      <c r="M37" s="97" t="n"/>
      <c r="N37" s="123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3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09" t="inlineStr">
        <is>
          <t>Instructions</t>
        </is>
      </c>
      <c r="C41" s="110" t="n"/>
      <c r="D41" s="124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5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26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26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26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27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28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2026-08-04T16:52:31Z</dcterms:modified>
  <cp:lastModifiedBy>Katie Au Yeung</cp:lastModifiedBy>
  <cp:lastPrinted>2014-12-13T23:43:21Z</cp:lastPrinted>
</cp:coreProperties>
</file>