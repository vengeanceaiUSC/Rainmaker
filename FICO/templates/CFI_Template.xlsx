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vengeanceaiUSCMODEL13.0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 AAA-equity discount rate.
HOW: Yellow POLICY D6 = 7.80% (band 7.5–8.2%). CAPM stack remains at R15 (≈9.24%) as a reference only.
WHY: Don Yacktman — treat high-quality equities like bonds. FICO's Scores toll-bridge has ultra-low default risk and inflation-protected pricing; CAPM with β≈1.32 misprices the 20–30yr hold.
SOURCE: Yacktman framework + FICO 10-K Scores pricing commentary.</t>
      </text>
    </comment>
    <comment ref="D8" authorId="0" shapeId="0">
      <text>
        <t>Exit EV/EBITDA multiple (BASE)
HOW: Yellow POLICY input D8 = 21.0x; TV = Year-5 EBITDA × D8.
WHY: Bond-like perpetual pricing power commands a premium to the public peer median (~18.1x). Raised from MODEL12 17.5x into the 20–22x Yacktman band. Bull 26x / Bear 15.5x.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vengeanceaiUSCMODEL13.0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MODEL13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 AAA-equity WACC = 7.80%; CAPM ref R15≈9.24%)</t>
        </is>
      </c>
      <c r="C6" s="109" t="inlineStr">
        <is>
          <t>MODEL13 Yacktman: bond-like Scores monopoly → 7.80% (band 7.5–8.2%); CAPM β≈1.32 overstates LT risk</t>
        </is>
      </c>
      <c r="D6" s="110" t="n">
        <v>0.078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21.0x — Yacktman premium)</t>
        </is>
      </c>
      <c r="C8" s="109" t="inlineStr">
        <is>
          <t>BASE 21.0x = Yacktman premium vs peer median 18.1x. Bull 26x / Bear 15.5x.</t>
        </is>
      </c>
      <c r="D8" s="112" t="n">
        <v>21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21</v>
      </c>
      <c r="O9" s="117" t="inlineStr">
        <is>
          <t>Yacktman premium vs peer median; audit 21.0x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122">
        <f>$D$12</f>
        <v/>
      </c>
      <c r="E16" s="122">
        <f>MAX(1000,D16+'3 Statement Model'!J20/$D$11)</f>
        <v/>
      </c>
      <c r="F16" s="122">
        <f>MAX(1000,E16+'3 Statement Model'!K20/$D$11)</f>
        <v/>
      </c>
      <c r="G16" s="122">
        <f>MAX(1000,F16+'3 Statement Model'!L20/$D$11)</f>
        <v/>
      </c>
      <c r="H16" s="122">
        <f>MAX(1000,G16+'3 Statement Model'!M20/$D$11)</f>
        <v/>
      </c>
      <c r="I16" s="122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126">
        <f>YEAR(E18)</f>
        <v/>
      </c>
      <c r="F17" s="126">
        <f>YEAR(F18)</f>
        <v/>
      </c>
      <c r="G17" s="126">
        <f>YEAR(G18)</f>
        <v/>
      </c>
      <c r="H17" s="126">
        <f>YEAR(H18)</f>
        <v/>
      </c>
      <c r="I17" s="126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(vengeanceaiUSCMODEL13.0)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8">
        <f>$D$9</f>
        <v/>
      </c>
      <c r="E18" s="128">
        <f>EDATE($D$9,(E19+0.5)*12)</f>
        <v/>
      </c>
      <c r="F18" s="128">
        <f>EDATE($D$9,(F19+0.5)*12)</f>
        <v/>
      </c>
      <c r="G18" s="128">
        <f>EDATE($D$9,(G19+0.5)*12)</f>
        <v/>
      </c>
      <c r="H18" s="128">
        <f>EDATE($D$9,(H19+0.5)*12)</f>
        <v/>
      </c>
      <c r="I18" s="128">
        <f>EDATE($D$9,(I19+0.5)*12)</f>
        <v/>
      </c>
      <c r="J18" s="128">
        <f>I18</f>
        <v/>
      </c>
      <c r="K18" s="100" t="n"/>
      <c r="L18" s="100" t="inlineStr">
        <is>
          <t>Exit EV/EBITDA @ D8 (BASE 21.0x)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131" t="n">
        <v>0</v>
      </c>
      <c r="F19" s="132">
        <f>E19+1</f>
        <v/>
      </c>
      <c r="G19" s="132">
        <f>F19+1</f>
        <v/>
      </c>
      <c r="H19" s="132">
        <f>G19+1</f>
        <v/>
      </c>
      <c r="I19" s="132">
        <f>H19+1</f>
        <v/>
      </c>
      <c r="J19" s="130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3" t="inlineStr">
        <is>
          <t>← sanity check</t>
        </is>
      </c>
      <c r="O19" s="100" t="n"/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134">
        <f>YEARFRAC(D18,E18)</f>
        <v/>
      </c>
      <c r="F20" s="134">
        <f>YEARFRAC(E18,F18)</f>
        <v/>
      </c>
      <c r="G20" s="134">
        <f>YEARFRAC(F18,G18)</f>
        <v/>
      </c>
      <c r="H20" s="134">
        <f>YEARFRAC(G18,H18)</f>
        <v/>
      </c>
      <c r="I20" s="134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5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21.0x (primary)</t>
        </is>
      </c>
      <c r="M21" s="121">
        <f>($I$21+$I$23)*21.0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6">
        <f>E21*$D$5</f>
        <v/>
      </c>
      <c r="F22" s="136">
        <f>F21*$D$5</f>
        <v/>
      </c>
      <c r="G22" s="136">
        <f>G21*$D$5</f>
        <v/>
      </c>
      <c r="H22" s="136">
        <f>H21*$D$5</f>
        <v/>
      </c>
      <c r="I22" s="136">
        <f>I21*$D$5</f>
        <v/>
      </c>
      <c r="J22" s="100" t="n"/>
      <c r="K22" s="100" t="n"/>
      <c r="L22" s="100" t="inlineStr">
        <is>
          <t>BULL TV @ 26.0x (spot/policy)</t>
        </is>
      </c>
      <c r="M22" s="121">
        <f>($I$21+$I$23)*26.0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6">
        <f>'3 Statement Model'!J30</f>
        <v/>
      </c>
      <c r="F23" s="136">
        <f>'3 Statement Model'!K30</f>
        <v/>
      </c>
      <c r="G23" s="136">
        <f>'3 Statement Model'!L30</f>
        <v/>
      </c>
      <c r="H23" s="136">
        <f>'3 Statement Model'!M30</f>
        <v/>
      </c>
      <c r="I23" s="136">
        <f>'3 Statement Model'!N30</f>
        <v/>
      </c>
      <c r="J23" s="100" t="n"/>
      <c r="K23" s="100" t="n"/>
      <c r="L23" s="100" t="inlineStr">
        <is>
          <t>BEAR TV @ 15.5x (Gordon-implied)</t>
        </is>
      </c>
      <c r="M23" s="121">
        <f>($I$21+$I$23)*15.5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26x → Base 21.0x (Yacktman premium vs peer median ~18.1x) → Bear 15.5x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1">
        <f>'3 Statement Model'!J90-('3 Statement Model'!J88-'3 Statement Model'!I88)</f>
        <v/>
      </c>
      <c r="F25" s="121">
        <f>'3 Statement Model'!K90-('3 Statement Model'!K88-'3 Statement Model'!J88)</f>
        <v/>
      </c>
      <c r="G25" s="121">
        <f>'3 Statement Model'!L90-('3 Statement Model'!L88-'3 Statement Model'!K88)</f>
        <v/>
      </c>
      <c r="H25" s="121">
        <f>'3 Statement Model'!M90-('3 Statement Model'!M88-'3 Statement Model'!L88)</f>
        <v/>
      </c>
      <c r="I25" s="121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(SBC add-back + Deferred cash source)</t>
        </is>
      </c>
      <c r="C26" s="100" t="inlineStr">
        <is>
          <t>FCFF=EBIT−cashTax+DA+SBC−CapEx−ΔOpNWC+ΔDeferred</t>
        </is>
      </c>
      <c r="D26" s="100" t="n"/>
      <c r="E26" s="137">
        <f>E21-E22+E23+'3 Statement Model'!J64-E24-E25</f>
        <v/>
      </c>
      <c r="F26" s="137">
        <f>F21-F22+F23+'3 Statement Model'!K64-F24-F25</f>
        <v/>
      </c>
      <c r="G26" s="137">
        <f>G21-G22+G23+'3 Statement Model'!L64-G24-G25</f>
        <v/>
      </c>
      <c r="H26" s="137">
        <f>H21-H22+H23+'3 Statement Model'!M64-H24-H25</f>
        <v/>
      </c>
      <c r="I26" s="137">
        <f>I21-I22+I23+'3 Statement Model'!N64-I24-I25</f>
        <v/>
      </c>
      <c r="J26" s="100" t="n"/>
      <c r="K26" s="100" t="n"/>
      <c r="L26" s="138" t="inlineStr">
        <is>
          <t>vengeanceaiUSCMODEL13.0 — DCF ← 3-Statement linkage audit</t>
        </is>
      </c>
    </row>
    <row r="27" ht="16" customHeight="1">
      <c r="A27" s="100" t="n"/>
      <c r="B27" s="100" t="inlineStr">
        <is>
          <t>(Entry)/Exit TV — Exit EV/EBITDA (BASE 21.0x)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5" t="n">
        <v>0</v>
      </c>
      <c r="E28" s="137">
        <f>E27+E26</f>
        <v/>
      </c>
      <c r="F28" s="137">
        <f>F27+F26</f>
        <v/>
      </c>
      <c r="G28" s="137">
        <f>G27+G26</f>
        <v/>
      </c>
      <c r="H28" s="137">
        <f>H27+H26</f>
        <v/>
      </c>
      <c r="I28" s="137">
        <f>I27+I26</f>
        <v/>
      </c>
      <c r="J28" s="137">
        <f>J27+J26</f>
        <v/>
      </c>
      <c r="K28" s="100" t="n"/>
      <c r="L28" s="104" t="inlineStr">
        <is>
          <t>Cash tax rate (D5)</t>
        </is>
      </c>
      <c r="M28" s="14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40">
        <f>'3 Statement Model'!J15</f>
        <v/>
      </c>
      <c r="N29" s="143">
        <f>'3 Statement Model'!J15</f>
        <v/>
      </c>
      <c r="O29" s="142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140">
        <f>'3 Statement Model'!J18</f>
        <v/>
      </c>
      <c r="N31" s="143">
        <f>'3 Statement Model'!J18</f>
        <v/>
      </c>
      <c r="O31" s="142" t="inlineStr">
        <is>
          <t>CapEx% fade path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3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6">
        <f>$E$21</f>
        <v/>
      </c>
      <c r="N33" s="146">
        <f>'3 Statement Model'!J33+'3 Statement Model'!J31</f>
        <v/>
      </c>
      <c r="O33" s="142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6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5">
        <f>D32+D33-D34</f>
        <v/>
      </c>
      <c r="E35" s="100" t="n"/>
      <c r="G35" s="100" t="inlineStr">
        <is>
          <t>Enterprise Value</t>
        </is>
      </c>
      <c r="H35" s="100" t="n"/>
      <c r="I35" s="135">
        <f>I32+I33-I34</f>
        <v/>
      </c>
      <c r="J35" s="100" t="n"/>
      <c r="L35" s="144" t="inlineStr">
        <is>
          <t>D&amp;A FY1</t>
        </is>
      </c>
      <c r="M35" s="146">
        <f>$E$23</f>
        <v/>
      </c>
      <c r="N35" s="146">
        <f>'3 Statement Model'!J30</f>
        <v/>
      </c>
      <c r="O35" s="142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7" t="n"/>
      <c r="J36" s="100" t="n"/>
      <c r="L36" s="104" t="inlineStr">
        <is>
          <t>SBC FY1</t>
        </is>
      </c>
      <c r="M36" s="146">
        <f>'3 Statement Model'!J64</f>
        <v/>
      </c>
      <c r="N36" s="146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MODEL13: SBC add-back in FCFF; buybacks cut shares (no SBC dilution)</t>
        </is>
      </c>
      <c r="D37" s="148">
        <f>$D$35/$I$16</f>
        <v/>
      </c>
      <c r="E37" s="100" t="n"/>
      <c r="G37" s="100" t="inlineStr">
        <is>
          <t>Equity Value/Share</t>
        </is>
      </c>
      <c r="H37" s="100" t="n"/>
      <c r="I37" s="147">
        <f>D11</f>
        <v/>
      </c>
      <c r="J37" s="100" t="n"/>
      <c r="L37" s="104" t="inlineStr">
        <is>
          <t>CapEx FY1</t>
        </is>
      </c>
      <c r="M37" s="146">
        <f>$E$24</f>
        <v/>
      </c>
      <c r="N37" s="146">
        <f>'3 Statement Model'!J68</f>
        <v/>
      </c>
      <c r="O37" s="142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6">
        <f>$E$25</f>
        <v/>
      </c>
      <c r="N38" s="146">
        <f>'3 Statement Model'!J90-('3 Statement Model'!J88-'3 Statement Model'!I88)</f>
        <v/>
      </c>
      <c r="O38" s="142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6">
        <f>$I$21+$I$23</f>
        <v/>
      </c>
      <c r="N39" s="146">
        <f>'3 Statement Model'!N33+'3 Statement Model'!N31+'3 Statement Model'!N30</f>
        <v/>
      </c>
      <c r="O39" s="142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6">
        <f>'3 Statement Model'!I41</f>
        <v/>
      </c>
      <c r="N40" s="146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146">
        <f>'3 Statement Model'!I49</f>
        <v/>
      </c>
      <c r="N41" s="146">
        <f>'3 Statement Model'!I49</f>
        <v/>
      </c>
      <c r="O41" s="142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ΔOpNWC + ΔDeferred. D6 = Yacktman WACC 7.8%. $/share uses I16 (Y5 buyback-adjusted shares). SBC add-back does NOT dilute shares.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7" t="n">
        <v>15.5</v>
      </c>
      <c r="N56" s="157" t="n">
        <v>18</v>
      </c>
      <c r="O56" s="157" t="n">
        <v>21</v>
      </c>
      <c r="P56" s="157" t="n">
        <v>23.5</v>
      </c>
      <c r="Q56" s="157" t="n">
        <v>26</v>
      </c>
      <c r="R56" s="157" t="n">
        <v>28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0.07000000000000001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0.074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0.078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59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0.082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46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0.08599999999999999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162" t="n">
        <v>15.5</v>
      </c>
      <c r="N65" s="162" t="n">
        <v>18</v>
      </c>
      <c r="O65" s="162" t="n">
        <v>21</v>
      </c>
      <c r="P65" s="162" t="n">
        <v>23.5</v>
      </c>
      <c r="Q65" s="162" t="n">
        <v>26</v>
      </c>
      <c r="R65" s="162" t="n">
        <v>28</v>
      </c>
    </row>
    <row r="66">
      <c r="L66" s="158" t="n">
        <v>0.07000000000000001</v>
      </c>
      <c r="M66" s="163">
        <f>(M57+$D$33-$D$34)/$I$16</f>
        <v/>
      </c>
      <c r="N66" s="163">
        <f>(N57+$D$33-$D$34)/$I$16</f>
        <v/>
      </c>
      <c r="O66" s="163">
        <f>(O57+$D$33-$D$34)/$I$16</f>
        <v/>
      </c>
      <c r="P66" s="163">
        <f>(P57+$D$33-$D$34)/$I$16</f>
        <v/>
      </c>
      <c r="Q66" s="163">
        <f>(Q57+$D$33-$D$34)/$I$16</f>
        <v/>
      </c>
      <c r="R66" s="163">
        <f>(R57+$D$33-$D$34)/$I$16</f>
        <v/>
      </c>
    </row>
    <row r="67">
      <c r="L67" s="158" t="n">
        <v>0.074</v>
      </c>
      <c r="M67" s="163">
        <f>(M58+$D$33-$D$34)/$I$16</f>
        <v/>
      </c>
      <c r="N67" s="163">
        <f>(N58+$D$33-$D$34)/$I$16</f>
        <v/>
      </c>
      <c r="O67" s="163">
        <f>(O58+$D$33-$D$34)/$I$16</f>
        <v/>
      </c>
      <c r="P67" s="163">
        <f>(P58+$D$33-$D$34)/$I$16</f>
        <v/>
      </c>
      <c r="Q67" s="163">
        <f>(Q58+$D$33-$D$34)/$I$16</f>
        <v/>
      </c>
      <c r="R67" s="163">
        <f>(R58+$D$33-$D$34)/$I$16</f>
        <v/>
      </c>
    </row>
    <row r="68">
      <c r="L68" s="158" t="n">
        <v>0.078</v>
      </c>
      <c r="M68" s="163">
        <f>(M59+$D$33-$D$34)/$I$16</f>
        <v/>
      </c>
      <c r="N68" s="163">
        <f>(N59+$D$33-$D$34)/$I$16</f>
        <v/>
      </c>
      <c r="O68" s="164">
        <f>(O59+$D$33-$D$34)/$I$16</f>
        <v/>
      </c>
      <c r="P68" s="163">
        <f>(P59+$D$33-$D$34)/$I$16</f>
        <v/>
      </c>
      <c r="Q68" s="163">
        <f>(Q59+$D$33-$D$34)/$I$16</f>
        <v/>
      </c>
      <c r="R68" s="163">
        <f>(R59+$D$33-$D$34)/$I$16</f>
        <v/>
      </c>
    </row>
    <row r="69">
      <c r="L69" s="158" t="n">
        <v>0.082</v>
      </c>
      <c r="M69" s="163">
        <f>(M60+$D$33-$D$34)/$I$16</f>
        <v/>
      </c>
      <c r="N69" s="163">
        <f>(N60+$D$33-$D$34)/$I$16</f>
        <v/>
      </c>
      <c r="O69" s="163">
        <f>(O60+$D$33-$D$34)/$I$16</f>
        <v/>
      </c>
      <c r="P69" s="163">
        <f>(P60+$D$33-$D$34)/$I$16</f>
        <v/>
      </c>
      <c r="Q69" s="163">
        <f>(Q60+$D$33-$D$34)/$I$16</f>
        <v/>
      </c>
      <c r="R69" s="163">
        <f>(R60+$D$33-$D$34)/$I$16</f>
        <v/>
      </c>
    </row>
    <row r="70">
      <c r="L70" s="158" t="n">
        <v>0.08599999999999999</v>
      </c>
      <c r="M70" s="163">
        <f>(M61+$D$33-$D$34)/$I$16</f>
        <v/>
      </c>
      <c r="N70" s="163">
        <f>(N61+$D$33-$D$34)/$I$16</f>
        <v/>
      </c>
      <c r="O70" s="163">
        <f>(O61+$D$33-$D$34)/$I$16</f>
        <v/>
      </c>
      <c r="P70" s="163">
        <f>(P61+$D$33-$D$34)/$I$16</f>
        <v/>
      </c>
      <c r="Q70" s="163">
        <f>(Q61+$D$33-$D$34)/$I$16</f>
        <v/>
      </c>
      <c r="R70" s="163">
        <f>(R61+$D$33-$D$34)/$I$16</f>
        <v/>
      </c>
    </row>
    <row r="72">
      <c r="L72" s="153" t="inlineStr">
        <is>
          <t>Yellow = base (Yacktman WACC=7.80%, Exit 21.0x; CAPM ref ≈9.24%). EV formula: XNPV(explicit FCFF) + (Y5 FCFF + Exit×EBITDA) / (1+WACC)^daycount. Peer median ~18.1x → base 21.0x; bull 26x; bear 15.5x.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2026-08-06T16:36:25Z</dcterms:modified>
  <cp:lastModifiedBy>Katie Au Yeung</cp:lastModifiedBy>
  <cp:lastPrinted>2014-12-13T23:43:21Z</cp:lastPrinted>
</cp:coreProperties>
</file>