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3 Statement Model" sheetId="2" state="visible" r:id="rId2"/>
    <sheet xmlns:r="http://schemas.openxmlformats.org/officeDocument/2006/relationships"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8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  <numFmt numFmtId="175" formatCode="yyyy-mm-dd"/>
    <numFmt numFmtId="176" formatCode="#,##0.0"/>
    <numFmt numFmtId="177" formatCode="0.0"/>
    <numFmt numFmtId="178" formatCode="#,##0.000"/>
    <numFmt numFmtId="179" formatCode="$#,##0.00"/>
    <numFmt numFmtId="180" formatCode="0.00&quot;x&quot;"/>
    <numFmt numFmtId="181" formatCode="0.0&quot;x&quot;"/>
  </numFmts>
  <fonts count="4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</fonts>
  <fills count="12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68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80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10" fontId="40" fillId="8" borderId="0" applyAlignment="1" pivotButton="0" quotePrefix="0" xfId="0">
      <alignment horizontal="right"/>
    </xf>
    <xf numFmtId="166" fontId="38" fillId="7" borderId="0" applyAlignment="1" pivotButton="0" quotePrefix="0" xfId="0">
      <alignment horizontal="right"/>
    </xf>
    <xf numFmtId="177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80" fontId="45" fillId="11" borderId="5" pivotButton="0" quotePrefix="0" xfId="0"/>
    <xf numFmtId="175" fontId="38" fillId="7" borderId="0" pivotButton="0" quotePrefix="0" xfId="0"/>
    <xf numFmtId="164" fontId="30" fillId="7" borderId="5" pivotButton="0" quotePrefix="0" xfId="0"/>
    <xf numFmtId="181" fontId="30" fillId="7" borderId="5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78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75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76" fontId="40" fillId="8" borderId="5" pivotButton="0" quotePrefix="0" xfId="0"/>
    <xf numFmtId="176" fontId="40" fillId="8" borderId="0" pivotButton="0" quotePrefix="0" xfId="0"/>
    <xf numFmtId="174" fontId="30" fillId="0" borderId="0" pivotButton="0" quotePrefix="0" xfId="0"/>
    <xf numFmtId="179" fontId="40" fillId="8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81" fontId="43" fillId="10" borderId="5" applyAlignment="1" pivotButton="0" quotePrefix="0" xfId="0">
      <alignment horizontal="center"/>
    </xf>
    <xf numFmtId="10" fontId="45" fillId="11" borderId="5" pivotButton="0" quotePrefix="0" xfId="0"/>
    <xf numFmtId="176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81" fontId="43" fillId="10" borderId="5" pivotButton="0" quotePrefix="0" xfId="0"/>
    <xf numFmtId="179" fontId="40" fillId="8" borderId="5" pivotButton="0" quotePrefix="0" xfId="0"/>
    <xf numFmtId="179" fontId="40" fillId="7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vengeanceaiUSCMODEL20.0</author>
  </authors>
  <commentList>
    <comment ref="D5" authorId="0" shapeId="0">
      <text>
        <t>Cash tax rate for unlevered FCFF.
HOW: Yellow POLICY D5 = 22.87% (3yr FY23–25 avg of IncomeTaxesPaidNet ÷ EBT from 10-K).
WHY: Book tax (~19%) understates cash taxes paid; FCFF should use cash taxes.
3S row 13 remains book tax for Net Income. WACC after-tax Rd still uses D5.
SOURCE: SEC companyfacts IncomeTaxesPaidNet / EBT.</t>
      </text>
    </comment>
    <comment ref="D6" authorId="0" shapeId="0">
      <text>
        <t>Yacktman-adjusted CAPM WACC (MODEL20 primary discount rate).
HOW: D6 = R15 = We×Ke + Wd×Rd(1−t). β_Yacktman=0.854 (Blume+AAA blend; Yahoo raw 1.32). Rf=4.67%, ERP=4.28%, Rd=6.250%.
WHY: Same algebraic CAPM as Model17 (7.68%); MODEL20 changes stub timing / SBC / SaaS mix — not a naked WACC override.
SOURCE: Blume 1971; FRED DGS10; Yahoo β; Damodaran ERP; 8-K notes.</t>
      </text>
    </comment>
    <comment ref="D8" authorId="0" shapeId="0">
      <text>
        <t>Exit EV/EBITDA multiple (BASE)
HOW: Yellow POLICY input D8 = 23.0x; TV = Year-5 EBITDA × D8.
WHY: Exit unchanged vs Model17 (Previous: 23.0x) — pricing-power premium vs peer median (~18.1x). Bull 27x / Bear 17.0x. NOT FICO spot (~25–27x).
SOURCE (peer comps): https://vcpscanner.com/valuation/fico/relative
SOURCE (FICO spot): https://www.alphaspread.com/security/nyse/fico/relative-valuation/ratio/enterprise-value-to-ebitda</t>
      </text>
    </comment>
    <comment ref="D9" authorId="0" shapeId="0">
      <text>
        <t>MODEL20 stub-period valuation date.
HOW: D9 = 2026-08-06. FY stub starts 2026-03-30; 129 of 365 days elapsed (35.34%); 64.66% remains.
Y1 FCFF scaled by 0.6466; E18 = D9+118d (mid-stub 2026-12-02).
WHY: Do not discount cash that has already occurred.
SOURCE: Model calendar stub 3/30/2026→3/29/2027; valuation 8/6/2026.</t>
      </text>
    </comment>
    <comment ref="D16" authorId="0" shapeId="0">
      <text>
        <t>Buyback-adjusted share schedule (Yacktman — no SBC double penalty).
HOW: D16 = starting shares (D12 ≈ 21,597.6k post–Q3 @ $1,149). Each year: Shares += 3S EquityIssuance (row 20) / Price. Row 20 = −1.4×(CFO−CapEx) levered buybacks so the share count falls faster.
WHY: SBC is already added back in FCFF — diluting by SBC$/Price would double-penalize. MODEL20 pairs I16 with D34 = today debt + forecast issuance (row 19) so leverage is not free.
SOURCE: EX-99.1 Q3 FY2026; 10-K FY2025 repurchase footnote.</t>
      </text>
    </comment>
    <comment ref="D34" authorId="0" shapeId="0">
      <text>
        <t>MODEL20 equity-bridge debt (pairs with Y5 buyback-adjusted shares).
HOW: D34 = D13 + 0.6466×3S!J19 + K19+L19+M19+N19. Row 19 = (1.4−1)×FCF debt that funds levered buybacks; Y1 stub-scaled like Y1 share buybacks.
WHY: Model18 cut shares ~21.6M→~11M but still subtracted only today's debt — overstated $/share. Cash D33 stays 10-Q (ΔCash≈0 by design).
SOURCE: 3S financing rows 19–20; 10-Q debt D13.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2.jpeg" Id="rId3"/></Relationships>
</file>

<file path=xl/drawings/drawing1.xml><?xml version="1.0" encoding="utf-8"?>
<wsDr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xmlns:a="http://schemas.openxmlformats.org/drawingml/2006/main" xmlns:r="http://schemas.openxmlformats.org/officeDocument/2006/relationships" r:id="rId1"/>
        </cNvPr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447799" y="762000"/>
          <a:ext cx="3359943" cy="15811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xmlns:a="http://schemas.openxmlformats.org/drawingml/2006/main" xmlns:r="http://schemas.openxmlformats.org/officeDocument/2006/relationships" r:id="rId1"/>
        </cNvPr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647701" y="5158514"/>
          <a:ext cx="742950" cy="81365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/><Relationship Type="http://schemas.openxmlformats.org/officeDocument/2006/relationships/drawing" Target="/xl/drawings/drawing1.xm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/><Relationship Type="http://schemas.openxmlformats.org/officeDocument/2006/relationships/drawing" Target="/xl/drawings/drawing2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s://vcpscanner.com/valuation/fico/relative" TargetMode="External" Id="rId1"/><Relationship Type="http://schemas.openxmlformats.org/officeDocument/2006/relationships/hyperlink" Target="https://www.alphaspread.com/security/nyse/fico/relative-valuation/ratio/enterprise-value-to-ebitda" TargetMode="External" Id="rId2"/><Relationship Type="http://schemas.openxmlformats.org/officeDocument/2006/relationships/hyperlink" Target="https://vcpscanner.com/valuation/fico/relative" TargetMode="External" Id="rId3"/><Relationship Type="http://schemas.openxmlformats.org/officeDocument/2006/relationships/hyperlink" Target="https://www.alphaspread.com/security/nyse/fico/relative-valuation/ratio/enterprise-value-to-ebitda" TargetMode="External" Id="rId4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vengeanceaiUSCMODEL20.0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105" t="n">
        <v>13.88</v>
      </c>
      <c r="O3" s="104" t="inlineStr">
        <is>
          <t>VCP Scanner peer set</t>
        </is>
      </c>
    </row>
    <row r="4" ht="16" customHeight="1">
      <c r="A4" s="100" t="n"/>
      <c r="B4" s="106" t="inlineStr">
        <is>
          <t>Assumptions</t>
        </is>
      </c>
      <c r="C4" s="107" t="n"/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105" t="n">
        <v>17.42</v>
      </c>
      <c r="O4" s="104" t="inlineStr">
        <is>
          <t>VCP Scanner peer set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MODEL20 — cash taxes ≠ book tax (3S J13 still book for NI)</t>
        </is>
      </c>
      <c r="D5" s="110" t="n">
        <v>0.22873</v>
      </c>
      <c r="E5" s="103" t="n"/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105" t="n">
        <v>18.11</v>
      </c>
      <c r="O5" s="104" t="inlineStr">
        <is>
          <t>VCP Scanner peer set</t>
        </is>
      </c>
    </row>
    <row r="6" ht="16" customHeight="1">
      <c r="A6" s="100" t="n"/>
      <c r="B6" s="108" t="inlineStr">
        <is>
          <t>Discount Rate (Yacktman-adj CAPM WACC = R15 ≈ 7.68%; Model17 was 7.68%)</t>
        </is>
      </c>
      <c r="C6" s="109" t="inlineStr">
        <is>
          <t>WACC algebra unchanged vs Model17 (Previous: 7.68%) in Model20 (New: 7.68% = Rf 4.67% + β 0.854 × ERP 4.28%; Rd 6.250%). Stub fix is temporal, not WACC.</t>
        </is>
      </c>
      <c r="D6" s="111">
        <f>R15</f>
        <v/>
      </c>
      <c r="E6" s="100" t="n"/>
      <c r="F6" s="100" t="n"/>
      <c r="G6" s="100" t="n"/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105" t="n">
        <v>22.2</v>
      </c>
      <c r="O6" s="104" t="inlineStr">
        <is>
          <t>VCP Scanner peer set</t>
        </is>
      </c>
    </row>
    <row r="7" ht="16" customHeight="1">
      <c r="A7" s="100" t="n"/>
      <c r="B7" s="100" t="inlineStr">
        <is>
          <t>Perpetual Growth (g = 3.5% — Gordon cross-check)</t>
        </is>
      </c>
      <c r="C7" s="109" t="inlineStr">
        <is>
          <t>g unchanged vs Model17 (Previous: 3.5%) in Model20</t>
        </is>
      </c>
      <c r="D7" s="112" t="n">
        <v>0.035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105" t="n">
        <v>23.74</v>
      </c>
      <c r="O7" s="104" t="inlineStr">
        <is>
          <t>VCP Scanner peer set</t>
        </is>
      </c>
    </row>
    <row r="8" ht="16" customHeight="1">
      <c r="A8" s="100" t="n"/>
      <c r="B8" s="100" t="inlineStr">
        <is>
          <t>Exit EV/EBITDA (BASE 23.0x — Yacktman premium)</t>
        </is>
      </c>
      <c r="C8" s="109" t="inlineStr">
        <is>
          <t>BASE 23.0x = Yacktman premium vs peer median 18.1x. Bull 27x / Bear 17.0x.</t>
        </is>
      </c>
      <c r="D8" s="113" t="n">
        <v>23</v>
      </c>
      <c r="E8" s="100" t="n"/>
      <c r="F8" s="114" t="inlineStr">
        <is>
          <t>Peer EV/EBITDA comps (click)</t>
        </is>
      </c>
      <c r="G8" s="114" t="inlineStr">
        <is>
          <t>FICO spot EV/EBITDA (click)</t>
        </is>
      </c>
      <c r="H8" s="100" t="n"/>
      <c r="I8" s="100" t="n"/>
      <c r="J8" s="100" t="n"/>
      <c r="K8" s="100" t="n"/>
      <c r="L8" s="115" t="inlineStr">
        <is>
          <t>Median</t>
        </is>
      </c>
      <c r="M8" s="115" t="inlineStr">
        <is>
          <t>Peer set</t>
        </is>
      </c>
      <c r="N8" s="116" t="n">
        <v>18.11</v>
      </c>
      <c r="O8" s="115" t="inlineStr">
        <is>
          <t>Sorted median (SPGI)</t>
        </is>
      </c>
    </row>
    <row r="9" ht="16" customHeight="1">
      <c r="A9" s="100" t="n"/>
      <c r="B9" s="100" t="inlineStr">
        <is>
          <t>Valuation Date (stub clock; 2026-08-06)</t>
        </is>
      </c>
      <c r="C9" s="109" t="inlineStr">
        <is>
          <t>Updated from Model17 (Previous: hist FYE 2025-09-30) to Model20 (New: 2026-08-06; 129/365=35.34% elapsed)</t>
        </is>
      </c>
      <c r="D9" s="117" t="n">
        <v>46240</v>
      </c>
      <c r="E9" s="100" t="n"/>
      <c r="F9" s="100" t="n"/>
      <c r="G9" s="100" t="n"/>
      <c r="H9" s="100" t="n"/>
      <c r="I9" s="100" t="n"/>
      <c r="J9" s="100" t="n"/>
      <c r="K9" s="100" t="n"/>
      <c r="L9" s="118" t="inlineStr">
        <is>
          <t>Base exit (D8)</t>
        </is>
      </c>
      <c r="M9" s="118" t="n"/>
      <c r="N9" s="119" t="n">
        <v>23</v>
      </c>
      <c r="O9" s="118" t="inlineStr">
        <is>
          <t>Yacktman premium vs peer median; audit 23.0x</t>
        </is>
      </c>
    </row>
    <row r="10" ht="16" customHeight="1">
      <c r="A10" s="100" t="n"/>
      <c r="B10" s="100" t="inlineStr">
        <is>
          <t>Stub FY End (first forward year end)</t>
        </is>
      </c>
      <c r="C10" s="109" t="inlineStr">
        <is>
          <t>Stub year ends 2027-03-29</t>
        </is>
      </c>
      <c r="D10" s="117" t="n">
        <v>46475</v>
      </c>
      <c r="E10" s="100" t="n"/>
      <c r="F10" s="100" t="n"/>
      <c r="G10" s="100" t="n"/>
      <c r="H10" s="100" t="n"/>
      <c r="I10" s="100" t="n"/>
      <c r="J10" s="100" t="n"/>
      <c r="K10" s="100" t="n"/>
      <c r="L10" s="114" t="inlineStr">
        <is>
          <t>Peer comps (click)</t>
        </is>
      </c>
      <c r="M10" s="114" t="inlineStr">
        <is>
          <t>FICO spot EV/EBITDA (click)</t>
        </is>
      </c>
      <c r="N10" s="100" t="n"/>
      <c r="O10" s="100" t="n"/>
    </row>
    <row r="11" ht="16" customHeight="1">
      <c r="A11" s="100" t="n"/>
      <c r="B11" s="100" t="inlineStr">
        <is>
          <t>Current Price</t>
        </is>
      </c>
      <c r="C11" s="100" t="n"/>
      <c r="D11" s="120" t="n">
        <v>25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</row>
    <row r="12" ht="16" customHeight="1">
      <c r="A12" s="100" t="n"/>
      <c r="B12" s="100" t="inlineStr">
        <is>
          <t>Shares Outstanding — starting (000s, post–Q3 ≈ 21,597.6k)</t>
        </is>
      </c>
      <c r="C12" s="109" t="inlineStr">
        <is>
          <t>Row 16: levered buybacks reduce shares; SBC add-back does NOT dilute</t>
        </is>
      </c>
      <c r="D12" s="121" t="n">
        <v>20000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</row>
    <row r="13" ht="16" customHeight="1">
      <c r="A13" s="100" t="n"/>
      <c r="B13" s="100" t="inlineStr">
        <is>
          <t>Debt today (10-Q bridge — opening gross debt)</t>
        </is>
      </c>
      <c r="C13" s="109" t="inlineStr">
        <is>
          <t>D34 = D13 + stub×3S!J19 + K19:N19 (adds buyback-funded debt)</t>
        </is>
      </c>
      <c r="D13" s="121" t="n">
        <v>30000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</row>
    <row r="14" ht="16" customHeight="1">
      <c r="A14" s="100" t="n"/>
      <c r="B14" s="100" t="inlineStr">
        <is>
          <t>Cash+mkt secs (10-Q bridge — ΔCash≈0 under levered buybacks)</t>
        </is>
      </c>
      <c r="C14" s="109" t="inlineStr">
        <is>
          <t>See L38 for 3S FY25 cash ref; bridge cash stays current</t>
        </is>
      </c>
      <c r="D14" s="121" t="n">
        <v>239549.5203651849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</row>
    <row r="15" ht="16" customHeight="1">
      <c r="A15" s="100" t="n"/>
      <c r="B15" s="100" t="inlineStr">
        <is>
          <t>Capex FY1 (linked to 3S J68; stub scales FCFF not CapEx cell)</t>
        </is>
      </c>
      <c r="C15" s="100" t="n"/>
      <c r="D15" s="122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</row>
    <row r="16" ht="16" customHeight="1">
      <c r="A16" s="100" t="n"/>
      <c r="B16" s="100" t="inlineStr">
        <is>
          <t>Shares Outstanding — buyback-adjusted (000s)</t>
        </is>
      </c>
      <c r="C16" s="109" t="inlineStr">
        <is>
          <t>Shares_t = prior + EquityCF/Price; Y1 EquityCF × 64.66% stub</t>
        </is>
      </c>
      <c r="D16" s="123">
        <f>$D$12</f>
        <v/>
      </c>
      <c r="E16" s="123">
        <f>MAX(1000,D16+0.646575*'3 Statement Model'!J20/$D$11)</f>
        <v/>
      </c>
      <c r="F16" s="123">
        <f>MAX(1000,E16+'3 Statement Model'!K20/$D$11)</f>
        <v/>
      </c>
      <c r="G16" s="123">
        <f>MAX(1000,F16+'3 Statement Model'!L20/$D$11)</f>
        <v/>
      </c>
      <c r="H16" s="123">
        <f>MAX(1000,G16+'3 Statement Model'!M20/$D$11)</f>
        <v/>
      </c>
      <c r="I16" s="123">
        <f>MAX(1000,H16+'3 Statement Model'!N20/$D$11)</f>
        <v/>
      </c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4" t="inlineStr">
        <is>
          <t>Discounted Cash Flow</t>
        </is>
      </c>
      <c r="C17" s="125" t="n"/>
      <c r="D17" s="126" t="inlineStr">
        <is>
          <t>Entry</t>
        </is>
      </c>
      <c r="E17" s="127">
        <f>YEAR(E18)</f>
        <v/>
      </c>
      <c r="F17" s="127">
        <f>YEAR(F18)</f>
        <v/>
      </c>
      <c r="G17" s="127">
        <f>YEAR(G18)</f>
        <v/>
      </c>
      <c r="H17" s="127">
        <f>YEAR(H18)</f>
        <v/>
      </c>
      <c r="I17" s="127">
        <f>YEAR(I18)</f>
        <v/>
      </c>
      <c r="J17" s="126" t="inlineStr">
        <is>
          <t>Exit</t>
        </is>
      </c>
      <c r="K17" s="100" t="n"/>
      <c r="L17" s="128" t="inlineStr">
        <is>
          <t>Terminal value &amp; scenarios (vengeanceaiUSCMODEL20.0)</t>
        </is>
      </c>
      <c r="O17" s="100" t="n"/>
    </row>
    <row r="18" ht="16" customHeight="1">
      <c r="A18" s="100" t="n"/>
      <c r="B18" s="100" t="inlineStr">
        <is>
          <t>Date (Y1 mid-stub +118d; Y2–Y5 EDATE mid-year)</t>
        </is>
      </c>
      <c r="C18" s="100" t="n"/>
      <c r="D18" s="129">
        <f>$D$9</f>
        <v/>
      </c>
      <c r="E18" s="130" t="n">
        <v>46358</v>
      </c>
      <c r="F18" s="130">
        <f>EDATE(DATE(2027,3,30),6)</f>
        <v/>
      </c>
      <c r="G18" s="130">
        <f>EDATE(DATE(2028,3,30),6)</f>
        <v/>
      </c>
      <c r="H18" s="130">
        <f>EDATE(DATE(2029,3,30),6)</f>
        <v/>
      </c>
      <c r="I18" s="130">
        <f>EDATE(DATE(2030,3,30),6)</f>
        <v/>
      </c>
      <c r="J18" s="129">
        <f>I18</f>
        <v/>
      </c>
      <c r="K18" s="100" t="n"/>
      <c r="L18" s="100" t="inlineStr">
        <is>
          <t>Exit EV/EBITDA @ D8 (BASE 23.0x)</t>
        </is>
      </c>
      <c r="M18" s="122">
        <f>J27</f>
        <v/>
      </c>
      <c r="N18" s="100" t="inlineStr">
        <is>
          <t>← used in XNPV</t>
        </is>
      </c>
      <c r="O18" s="100" t="n"/>
    </row>
    <row r="19" ht="16" customHeight="1">
      <c r="A19" s="100" t="n"/>
      <c r="B19" s="131" t="inlineStr">
        <is>
          <t>Time Periods</t>
        </is>
      </c>
      <c r="C19" s="131" t="n"/>
      <c r="D19" s="132" t="n"/>
      <c r="E19" s="133" t="n">
        <v>0</v>
      </c>
      <c r="F19" s="134">
        <f>E19+1</f>
        <v/>
      </c>
      <c r="G19" s="134">
        <f>F19+1</f>
        <v/>
      </c>
      <c r="H19" s="134">
        <f>G19+1</f>
        <v/>
      </c>
      <c r="I19" s="134">
        <f>H19+1</f>
        <v/>
      </c>
      <c r="J19" s="132" t="n"/>
      <c r="K19" s="100" t="n"/>
      <c r="L19" s="100" t="inlineStr">
        <is>
          <t>Gordon cross-check (g=D7)</t>
        </is>
      </c>
      <c r="M19" s="122">
        <f>IF(($D$6-$D$7)&lt;=0,"WACC must exceed g",$I$26*(1+$D$7)/($D$6-$D$7))</f>
        <v/>
      </c>
      <c r="N19" s="135" t="inlineStr">
        <is>
          <t>← sanity check</t>
        </is>
      </c>
      <c r="O19" s="100" t="n"/>
    </row>
    <row r="20" ht="16" customHeight="1">
      <c r="A20" s="100" t="n"/>
      <c r="B20" s="131" t="inlineStr">
        <is>
          <t>Year Fraction (display only; XNPV uses exact dates below)</t>
        </is>
      </c>
      <c r="C20" s="100" t="n"/>
      <c r="D20" s="100" t="n"/>
      <c r="E20" s="136">
        <f>YEARFRAC(D18,E18)</f>
        <v/>
      </c>
      <c r="F20" s="136">
        <f>YEARFRAC(E18,F18)</f>
        <v/>
      </c>
      <c r="G20" s="136">
        <f>YEARFRAC(F18,G18)</f>
        <v/>
      </c>
      <c r="H20" s="136">
        <f>YEARFRAC(G18,H18)</f>
        <v/>
      </c>
      <c r="I20" s="136">
        <f>YEARFRAC(H18,I18)</f>
        <v/>
      </c>
      <c r="J20" s="100" t="n"/>
      <c r="K20" s="100" t="n"/>
      <c r="L20" s="100" t="inlineStr">
        <is>
          <t>Implied Gordon exit multiple</t>
        </is>
      </c>
      <c r="M20" s="122">
        <f>IF(($I$21+$I$23)=0,0,M19/($I$21+$I$23))</f>
        <v/>
      </c>
      <c r="N20" s="137" t="inlineStr">
        <is>
          <t>← ~bear check</t>
        </is>
      </c>
      <c r="O20" s="100" t="n"/>
    </row>
    <row r="21" ht="16" customHeight="1">
      <c r="A21" s="100" t="n"/>
      <c r="B21" s="100" t="inlineStr">
        <is>
          <t>EBIT (3S: EBT + Interest)</t>
        </is>
      </c>
      <c r="C21" s="100" t="n"/>
      <c r="D21" s="100" t="n"/>
      <c r="E21" s="122">
        <f>'3 Statement Model'!J33+'3 Statement Model'!J31</f>
        <v/>
      </c>
      <c r="F21" s="122">
        <f>'3 Statement Model'!K33+'3 Statement Model'!K31</f>
        <v/>
      </c>
      <c r="G21" s="122">
        <f>'3 Statement Model'!L33+'3 Statement Model'!L31</f>
        <v/>
      </c>
      <c r="H21" s="122">
        <f>'3 Statement Model'!M33+'3 Statement Model'!M31</f>
        <v/>
      </c>
      <c r="I21" s="122">
        <f>'3 Statement Model'!N33+'3 Statement Model'!N31</f>
        <v/>
      </c>
      <c r="J21" s="100" t="n"/>
      <c r="K21" s="100" t="n"/>
      <c r="L21" s="100" t="inlineStr">
        <is>
          <t>BASE TV @ 23.0x (primary)</t>
        </is>
      </c>
      <c r="M21" s="122">
        <f>($I$21+$I$23)*23.0</f>
        <v/>
      </c>
      <c r="N21" s="100" t="inlineStr">
        <is>
          <t>← = D8 policy</t>
        </is>
      </c>
      <c r="O21" s="100" t="n"/>
    </row>
    <row r="22" ht="16" customHeight="1">
      <c r="A22" s="100" t="n"/>
      <c r="B22" s="100" t="inlineStr">
        <is>
          <t>Less: Unlevered Cash Taxes (EBIT × cash tax rate D5)</t>
        </is>
      </c>
      <c r="C22" s="100" t="n"/>
      <c r="D22" s="100" t="n"/>
      <c r="E22" s="138">
        <f>E21*$D$5</f>
        <v/>
      </c>
      <c r="F22" s="138">
        <f>F21*$D$5</f>
        <v/>
      </c>
      <c r="G22" s="138">
        <f>G21*$D$5</f>
        <v/>
      </c>
      <c r="H22" s="138">
        <f>H21*$D$5</f>
        <v/>
      </c>
      <c r="I22" s="138">
        <f>I21*$D$5</f>
        <v/>
      </c>
      <c r="J22" s="100" t="n"/>
      <c r="K22" s="100" t="n"/>
      <c r="L22" s="100" t="inlineStr">
        <is>
          <t>BULL TV @ 27.0x (spot/policy)</t>
        </is>
      </c>
      <c r="M22" s="122">
        <f>($I$21+$I$23)*27.0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100" t="n"/>
      <c r="D23" s="100" t="n"/>
      <c r="E23" s="138">
        <f>'3 Statement Model'!J30</f>
        <v/>
      </c>
      <c r="F23" s="138">
        <f>'3 Statement Model'!K30</f>
        <v/>
      </c>
      <c r="G23" s="138">
        <f>'3 Statement Model'!L30</f>
        <v/>
      </c>
      <c r="H23" s="138">
        <f>'3 Statement Model'!M30</f>
        <v/>
      </c>
      <c r="I23" s="138">
        <f>'3 Statement Model'!N30</f>
        <v/>
      </c>
      <c r="J23" s="100" t="n"/>
      <c r="K23" s="100" t="n"/>
      <c r="L23" s="100" t="inlineStr">
        <is>
          <t>BEAR TV @ 17.0x (Gordon-implied)</t>
        </is>
      </c>
      <c r="M23" s="122">
        <f>($I$21+$I$23)*17.0</f>
        <v/>
      </c>
      <c r="N23" s="100" t="inlineStr">
        <is>
          <t>← sensitivity only</t>
        </is>
      </c>
      <c r="O23" s="100" t="n"/>
    </row>
    <row r="24" ht="16" customHeight="1">
      <c r="A24" s="100" t="n"/>
      <c r="B24" s="100" t="inlineStr">
        <is>
          <t>Less: Capex (3S CF row 68)</t>
        </is>
      </c>
      <c r="C24" s="100" t="n"/>
      <c r="D24" s="100" t="n"/>
      <c r="E24" s="122">
        <f>'3 Statement Model'!J68</f>
        <v/>
      </c>
      <c r="F24" s="122">
        <f>'3 Statement Model'!K68</f>
        <v/>
      </c>
      <c r="G24" s="122">
        <f>'3 Statement Model'!L68</f>
        <v/>
      </c>
      <c r="H24" s="122">
        <f>'3 Statement Model'!M68</f>
        <v/>
      </c>
      <c r="I24" s="122">
        <f>'3 Statement Model'!N68</f>
        <v/>
      </c>
      <c r="J24" s="100" t="n"/>
      <c r="K24" s="100" t="n"/>
      <c r="L24" s="109" t="inlineStr">
        <is>
          <t>Reconciliation: Bull 27x → Base 23.0x (Yacktman premium vs peer median ~18.1x) → Bear 17.0x</t>
        </is>
      </c>
    </row>
    <row r="25" ht="16" customHeight="1">
      <c r="A25" s="100" t="n"/>
      <c r="B25" s="100" t="inlineStr">
        <is>
          <t>Less: ΔOpNWC − ΔDeferred (3S 90 − 81; AR≠Deferred)</t>
        </is>
      </c>
      <c r="C25" s="100" t="n"/>
      <c r="D25" s="100" t="n"/>
      <c r="E25" s="122">
        <f>'3 Statement Model'!J90-('3 Statement Model'!J88-'3 Statement Model'!I88)</f>
        <v/>
      </c>
      <c r="F25" s="122">
        <f>'3 Statement Model'!K90-('3 Statement Model'!K88-'3 Statement Model'!J88)</f>
        <v/>
      </c>
      <c r="G25" s="122">
        <f>'3 Statement Model'!L90-('3 Statement Model'!L88-'3 Statement Model'!K88)</f>
        <v/>
      </c>
      <c r="H25" s="122">
        <f>'3 Statement Model'!M90-('3 Statement Model'!M88-'3 Statement Model'!L88)</f>
        <v/>
      </c>
      <c r="I25" s="122">
        <f>'3 Statement Model'!N90-('3 Statement Model'!N88-'3 Statement Model'!M88)</f>
        <v/>
      </c>
      <c r="J25" s="100" t="n"/>
      <c r="K25" s="100" t="n"/>
      <c r="L25" s="100" t="n"/>
      <c r="M25" s="100" t="n"/>
      <c r="N25" s="100" t="n"/>
      <c r="O25" s="100" t="n"/>
    </row>
    <row r="26" ht="16" customHeight="1">
      <c r="A26" s="100" t="n"/>
      <c r="B26" s="100" t="inlineStr">
        <is>
          <t>Unlevered FCF (Y1 × 64.66% stub remaining; SBC + Deferred)</t>
        </is>
      </c>
      <c r="C26" s="100" t="inlineStr">
        <is>
          <t>Y1 FCFF=stub(0.6466)×(EBIT−cashTax+DA+SBC−CapEx−ΔOpNWC+ΔDef); Y2–Y5 full year</t>
        </is>
      </c>
      <c r="D26" s="100" t="n"/>
      <c r="E26" s="139">
        <f>0.646575*(E21-E22+E23+'3 Statement Model'!J64-E24-E25)</f>
        <v/>
      </c>
      <c r="F26" s="139">
        <f>F21-F22+F23+'3 Statement Model'!K64-F24-F25</f>
        <v/>
      </c>
      <c r="G26" s="139">
        <f>G21-G22+G23+'3 Statement Model'!L64-G24-G25</f>
        <v/>
      </c>
      <c r="H26" s="139">
        <f>H21-H22+H23+'3 Statement Model'!M64-H24-H25</f>
        <v/>
      </c>
      <c r="I26" s="139">
        <f>I21-I22+I23+'3 Statement Model'!N64-I24-I25</f>
        <v/>
      </c>
      <c r="J26" s="100" t="n"/>
      <c r="K26" s="100" t="n"/>
      <c r="L26" s="140" t="inlineStr">
        <is>
          <t>vengeanceaiUSCMODEL20.0 — DCF ← 3-Statement linkage audit</t>
        </is>
      </c>
    </row>
    <row r="27" ht="16" customHeight="1">
      <c r="A27" s="100" t="n"/>
      <c r="B27" s="100" t="inlineStr">
        <is>
          <t>(Entry)/Exit TV — Exit EV/EBITDA (BASE 23.0x)</t>
        </is>
      </c>
      <c r="C27" s="100" t="n"/>
      <c r="D27" s="100">
        <f>-I35</f>
        <v/>
      </c>
      <c r="E27" s="100" t="n"/>
      <c r="F27" s="100" t="n"/>
      <c r="G27" s="100" t="n"/>
      <c r="H27" s="100" t="n"/>
      <c r="I27" s="100" t="n"/>
      <c r="J27" s="122">
        <f>($I$21+$I$23)*$D$8</f>
        <v/>
      </c>
      <c r="K27" s="100" t="n"/>
      <c r="L27" s="141" t="inlineStr">
        <is>
          <t>DCF item</t>
        </is>
      </c>
      <c r="M27" s="141" t="inlineStr">
        <is>
          <t>Value / link</t>
        </is>
      </c>
      <c r="N27" s="141" t="inlineStr">
        <is>
          <t>3-Statement source</t>
        </is>
      </c>
      <c r="O27" s="141" t="inlineStr">
        <is>
          <t>Notes</t>
        </is>
      </c>
    </row>
    <row r="28" ht="16" customHeight="1">
      <c r="A28" s="100" t="n"/>
      <c r="B28" s="100" t="inlineStr">
        <is>
          <t>Transaction CF</t>
        </is>
      </c>
      <c r="C28" s="100" t="n"/>
      <c r="D28" s="137" t="n">
        <v>0</v>
      </c>
      <c r="E28" s="139">
        <f>E27+E26</f>
        <v/>
      </c>
      <c r="F28" s="139">
        <f>F27+F26</f>
        <v/>
      </c>
      <c r="G28" s="139">
        <f>G27+G26</f>
        <v/>
      </c>
      <c r="H28" s="139">
        <f>H27+H26</f>
        <v/>
      </c>
      <c r="I28" s="139">
        <f>I27+I26</f>
        <v/>
      </c>
      <c r="J28" s="139">
        <f>J27+J26</f>
        <v/>
      </c>
      <c r="K28" s="100" t="n"/>
      <c r="L28" s="104" t="inlineStr">
        <is>
          <t>Cash tax rate (D5)</t>
        </is>
      </c>
      <c r="M28" s="142">
        <f>$D$5</f>
        <v/>
      </c>
      <c r="N28" s="143" t="inlineStr">
        <is>
          <t>22.87%</t>
        </is>
      </c>
      <c r="O28" s="144" t="inlineStr">
        <is>
          <t>3yr avg IncomeTaxesPaidNet/EBT (not book J13)</t>
        </is>
      </c>
    </row>
    <row r="29" ht="16" customHeight="1">
      <c r="A29" s="100" t="n"/>
      <c r="B29" s="100" t="inlineStr">
        <is>
          <t>Transaction CF</t>
        </is>
      </c>
      <c r="C29" s="100" t="n"/>
      <c r="D29" s="100">
        <f>D27+D26</f>
        <v/>
      </c>
      <c r="E29" s="122">
        <f>E27+E26</f>
        <v/>
      </c>
      <c r="F29" s="122">
        <f>F27+F26</f>
        <v/>
      </c>
      <c r="G29" s="122">
        <f>G27+G26</f>
        <v/>
      </c>
      <c r="H29" s="122">
        <f>H27+H26</f>
        <v/>
      </c>
      <c r="I29" s="122">
        <f>I27+I26</f>
        <v/>
      </c>
      <c r="J29" s="122">
        <f>J27</f>
        <v/>
      </c>
      <c r="K29" s="100" t="n"/>
      <c r="L29" s="104" t="inlineStr">
        <is>
          <t>DSO (AR days)</t>
        </is>
      </c>
      <c r="M29" s="142">
        <f>'3 Statement Model'!J15</f>
        <v/>
      </c>
      <c r="N29" s="145">
        <f>'3 Statement Model'!J15</f>
        <v/>
      </c>
      <c r="O29" s="144" t="inlineStr">
        <is>
          <t>Phased DSO hist→45d; Op NWC excludes Deferred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142">
        <f>'3 Statement Model'!J21</f>
        <v/>
      </c>
      <c r="N30" s="145">
        <f>'3 Statement Model'!J21</f>
        <v/>
      </c>
      <c r="O30" s="144" t="inlineStr">
        <is>
          <t>SBC add-back in CFO row 64 and FCFF</t>
        </is>
      </c>
    </row>
    <row r="31" ht="16" customHeight="1">
      <c r="A31" s="100" t="n"/>
      <c r="B31" s="124" t="inlineStr">
        <is>
          <t>Intrinsic Value</t>
        </is>
      </c>
      <c r="C31" s="125" t="n"/>
      <c r="D31" s="125" t="n"/>
      <c r="E31" s="100" t="n"/>
      <c r="G31" s="124" t="inlineStr">
        <is>
          <t>Market Value</t>
        </is>
      </c>
      <c r="H31" s="125" t="n"/>
      <c r="I31" s="125" t="n"/>
      <c r="J31" s="100" t="n"/>
      <c r="L31" s="146" t="inlineStr">
        <is>
          <t>CapEx % (FY1)</t>
        </is>
      </c>
      <c r="M31" s="142">
        <f>'3 Statement Model'!J18</f>
        <v/>
      </c>
      <c r="N31" s="145">
        <f>'3 Statement Model'!J18</f>
        <v/>
      </c>
      <c r="O31" s="144" t="inlineStr">
        <is>
          <t>CapEx% fade path → CF CapEx $</t>
        </is>
      </c>
    </row>
    <row r="32" ht="16" customHeight="1">
      <c r="A32" s="100" t="n"/>
      <c r="B32" s="100" t="inlineStr">
        <is>
          <t>Enterprise Value (XNPV; Y1 mid-stub dates)</t>
        </is>
      </c>
      <c r="C32" s="100" t="n"/>
      <c r="D32" s="122">
        <f>XNPV(D6,D28:J28,D18:J18)</f>
        <v/>
      </c>
      <c r="E32" s="100" t="n"/>
      <c r="G32" s="100" t="inlineStr">
        <is>
          <t>Market Cap</t>
        </is>
      </c>
      <c r="H32" s="100" t="n"/>
      <c r="I32" s="100">
        <f>D12*D11</f>
        <v/>
      </c>
      <c r="J32" s="100" t="n"/>
      <c r="L32" s="104" t="inlineStr">
        <is>
          <t>Revenue growth FY1</t>
        </is>
      </c>
      <c r="M32" s="145">
        <f>'3 Statement Model'!J7</f>
        <v/>
      </c>
      <c r="N32" s="147">
        <f>'3 Statement Model'!J7</f>
        <v/>
      </c>
      <c r="O32" s="144" t="inlineStr">
        <is>
          <t>Policy path on 3S assumption row 7</t>
        </is>
      </c>
    </row>
    <row r="33" ht="16" customHeight="1">
      <c r="A33" s="100" t="n"/>
      <c r="B33" s="100" t="inlineStr">
        <is>
          <t>Plus: Cash</t>
        </is>
      </c>
      <c r="C33" s="100" t="n"/>
      <c r="D33" s="100">
        <f>+D14</f>
        <v/>
      </c>
      <c r="E33" s="100" t="n"/>
      <c r="G33" s="100" t="inlineStr">
        <is>
          <t>Plus: Debt</t>
        </is>
      </c>
      <c r="H33" s="100" t="n"/>
      <c r="I33" s="100">
        <f>D13</f>
        <v/>
      </c>
      <c r="J33" s="100" t="n"/>
      <c r="L33" s="104" t="inlineStr">
        <is>
          <t>EBIT FY1 (DCF E21)</t>
        </is>
      </c>
      <c r="M33" s="148">
        <f>$E$21</f>
        <v/>
      </c>
      <c r="N33" s="148">
        <f>'3 Statement Model'!J33+'3 Statement Model'!J31</f>
        <v/>
      </c>
      <c r="O33" s="144" t="inlineStr">
        <is>
          <t>EBT + Interest = GP − SG&amp;A − R&amp;D − D&amp;A</t>
        </is>
      </c>
    </row>
    <row r="34" ht="16" customHeight="1">
      <c r="A34" s="100" t="n"/>
      <c r="B34" s="100" t="inlineStr">
        <is>
          <t>Less: Debt (today + forecast buyback-funded issuance)</t>
        </is>
      </c>
      <c r="C34" s="109" t="inlineStr">
        <is>
          <t>Updated from Model18 (Previous: D34=D13 only) to Model20 (New: D34=D13+stub×Y1 debt CF + Y2–Y5 debt CF)</t>
        </is>
      </c>
      <c r="D34" s="149">
        <f>$D$13+0.646575*'3 Statement Model'!J19+'3 Statement Model'!K19+'3 Statement Model'!L19+'3 Statement Model'!M19+'3 Statement Model'!N19</f>
        <v/>
      </c>
      <c r="E34" s="100" t="n"/>
      <c r="G34" s="100" t="inlineStr">
        <is>
          <t>Less: Cash</t>
        </is>
      </c>
      <c r="H34" s="100" t="n"/>
      <c r="I34" s="100">
        <f>+D14</f>
        <v/>
      </c>
      <c r="J34" s="100" t="n"/>
      <c r="L34" s="104" t="inlineStr">
        <is>
          <t>EBIT cross-check</t>
        </is>
      </c>
      <c r="M34" s="148">
        <f>'3 Statement Model'!J26-'3 Statement Model'!J28-'3 Statement Model'!J29-'3 Statement Model'!J30</f>
        <v/>
      </c>
      <c r="N34" s="143" t="inlineStr">
        <is>
          <t>GP−SGA−R&amp;D−DA</t>
        </is>
      </c>
      <c r="O34" s="144" t="inlineStr">
        <is>
          <t>Must equal E21 (live check)</t>
        </is>
      </c>
    </row>
    <row r="35" ht="16" customHeight="1">
      <c r="A35" s="100" t="n"/>
      <c r="B35" s="100" t="inlineStr">
        <is>
          <t>Equity Value</t>
        </is>
      </c>
      <c r="C35" s="100" t="n"/>
      <c r="D35" s="137">
        <f>D32+D33-D34</f>
        <v/>
      </c>
      <c r="E35" s="100" t="n"/>
      <c r="G35" s="100" t="inlineStr">
        <is>
          <t>Enterprise Value</t>
        </is>
      </c>
      <c r="H35" s="100" t="n"/>
      <c r="I35" s="137">
        <f>I32+I33-I34</f>
        <v/>
      </c>
      <c r="J35" s="100" t="n"/>
      <c r="L35" s="146" t="inlineStr">
        <is>
          <t>D&amp;A FY1</t>
        </is>
      </c>
      <c r="M35" s="148">
        <f>$E$23</f>
        <v/>
      </c>
      <c r="N35" s="148">
        <f>'3 Statement Model'!J30</f>
        <v/>
      </c>
      <c r="O35" s="144" t="inlineStr">
        <is>
          <t>Rev × DA% (total D&amp;A / sales) from 3S IS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150" t="n"/>
      <c r="J36" s="100" t="n"/>
      <c r="L36" s="104" t="inlineStr">
        <is>
          <t>SBC FY1</t>
        </is>
      </c>
      <c r="M36" s="148">
        <f>'3 Statement Model'!J64</f>
        <v/>
      </c>
      <c r="N36" s="148">
        <f>'3 Statement Model'!J64</f>
        <v/>
      </c>
      <c r="O36" s="144" t="inlineStr">
        <is>
          <t>Rev × SBC%; added in FCFF</t>
        </is>
      </c>
    </row>
    <row r="37" ht="16" customHeight="1">
      <c r="A37" s="100" t="n"/>
      <c r="B37" s="100" t="inlineStr">
        <is>
          <t>Equity Value/Share (÷ Y5 buyback-adjusted shares I16)</t>
        </is>
      </c>
      <c r="C37" s="109" t="inlineStr">
        <is>
          <t>MODEL20: $/share uses I16; D34 includes forecast debt that funded buybacks</t>
        </is>
      </c>
      <c r="D37" s="151">
        <f>$D$35/$I$16</f>
        <v/>
      </c>
      <c r="E37" s="100" t="n"/>
      <c r="G37" s="100" t="inlineStr">
        <is>
          <t>Equity Value/Share</t>
        </is>
      </c>
      <c r="H37" s="100" t="n"/>
      <c r="I37" s="150">
        <f>D11</f>
        <v/>
      </c>
      <c r="J37" s="100" t="n"/>
      <c r="L37" s="104" t="inlineStr">
        <is>
          <t>CapEx FY1</t>
        </is>
      </c>
      <c r="M37" s="148">
        <f>$E$24</f>
        <v/>
      </c>
      <c r="N37" s="148">
        <f>'3 Statement Model'!J68</f>
        <v/>
      </c>
      <c r="O37" s="144" t="inlineStr">
        <is>
          <t>3S CF CapEx (also D15)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Net WC use FY1</t>
        </is>
      </c>
      <c r="M38" s="148">
        <f>$E$25</f>
        <v/>
      </c>
      <c r="N38" s="148">
        <f>'3 Statement Model'!J90-('3 Statement Model'!J88-'3 Statement Model'!I88)</f>
        <v/>
      </c>
      <c r="O38" s="144" t="inlineStr">
        <is>
          <t>ΔOpNWC − ΔDeferred (AR≠Deferred)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148">
        <f>$I$21+$I$23</f>
        <v/>
      </c>
      <c r="N39" s="148">
        <f>'3 Statement Model'!N33+'3 Statement Model'!N31+'3 Statement Model'!N30</f>
        <v/>
      </c>
      <c r="O39" s="144" t="inlineStr">
        <is>
          <t>EBIT+D&amp;A; Exit TV = this × D8</t>
        </is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148">
        <f>'3 Statement Model'!I41</f>
        <v/>
      </c>
      <c r="N40" s="148">
        <f>'3 Statement Model'!I41</f>
        <v/>
      </c>
      <c r="O40" s="144" t="inlineStr">
        <is>
          <t>FYE reference only — bridge uses 10-Q D14</t>
        </is>
      </c>
    </row>
    <row r="41" ht="16" customHeight="1">
      <c r="A41" s="100" t="n"/>
      <c r="B41" s="124" t="inlineStr">
        <is>
          <t>Instructions</t>
        </is>
      </c>
      <c r="C41" s="125" t="n"/>
      <c r="D41" s="152" t="n"/>
      <c r="E41" s="125" t="n"/>
      <c r="F41" s="125" t="n"/>
      <c r="G41" s="125" t="n"/>
      <c r="H41" s="125" t="n"/>
      <c r="I41" s="125" t="n"/>
      <c r="J41" s="125" t="n"/>
      <c r="K41" s="125" t="n"/>
      <c r="L41" s="146" t="inlineStr">
        <is>
          <t>3S FY25 Debt (ref)</t>
        </is>
      </c>
      <c r="M41" s="148">
        <f>'3 Statement Model'!I49</f>
        <v/>
      </c>
      <c r="N41" s="148">
        <f>'3 Statement Model'!I49</f>
        <v/>
      </c>
      <c r="O41" s="144" t="inlineStr">
        <is>
          <t>FYE reference only — D13 is opening debt; D34 adds forecast issuance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53" t="inlineStr">
        <is>
          <t>EBIT link OK?</t>
        </is>
      </c>
      <c r="M42" s="154">
        <f>IF(ABS(M33-M34)&lt;1,"OK","MISMATCH")</f>
        <v/>
      </c>
      <c r="N42" s="155" t="inlineStr"/>
      <c r="O42" s="144" t="inlineStr">
        <is>
          <t>Flags if EBIT link ≠ GP−opex build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6" t="inlineStr">
        <is>
          <t>Green cells are live links. FCFF = EBIT − cash tax + D&amp;A + SBC − CapEx − ΔOpNWC + ΔDeferred. D6 = Yacktman-adj CAPM 7.68% (D6←R15; raw CAPM ref 9.27%). $/share uses I16 (Y5 buyback-adjusted shares). SBC add-back does NOT dilute.</t>
        </is>
      </c>
    </row>
    <row r="44" ht="16" customHeight="1">
      <c r="A44" s="100" t="n"/>
      <c r="B44" s="157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</row>
    <row r="45" ht="16" customHeight="1">
      <c r="A45" s="100" t="n"/>
      <c r="B45" s="157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</row>
    <row r="46" ht="16" customHeight="1">
      <c r="A46" s="100" t="n"/>
      <c r="B46" s="157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8" t="inlineStr">
        <is>
          <t xml:space="preserve">Corporate Finance Institute® </t>
        </is>
      </c>
      <c r="O48" s="100" t="n"/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9" t="inlineStr">
        <is>
          <t>https://corporatefinanceinstitute.com/</t>
        </is>
      </c>
      <c r="O49" s="100" t="n"/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40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5" t="inlineStr">
        <is>
          <t>WACC \ Exit EV/EBITDA</t>
        </is>
      </c>
      <c r="M56" s="160" t="n">
        <v>17</v>
      </c>
      <c r="N56" s="160" t="n">
        <v>20</v>
      </c>
      <c r="O56" s="160" t="n">
        <v>23</v>
      </c>
      <c r="P56" s="160" t="n">
        <v>25</v>
      </c>
      <c r="Q56" s="160" t="n">
        <v>27</v>
      </c>
      <c r="R56" s="160" t="n">
        <v>29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61" t="n">
        <v>0.065</v>
      </c>
      <c r="M57" s="148">
        <f>XNPV($L57,$D$28:$I$28,$D$18:$I$18)+($I$26+($I$21+$I$23)*M$56)/((1+$L57)^(($J$18-$D$18)/365))</f>
        <v/>
      </c>
      <c r="N57" s="148">
        <f>XNPV($L57,$D$28:$I$28,$D$18:$I$18)+($I$26+($I$21+$I$23)*N$56)/((1+$L57)^(($J$18-$D$18)/365))</f>
        <v/>
      </c>
      <c r="O57" s="148">
        <f>XNPV($L57,$D$28:$I$28,$D$18:$I$18)+($I$26+($I$21+$I$23)*O$56)/((1+$L57)^(($J$18-$D$18)/365))</f>
        <v/>
      </c>
      <c r="P57" s="148">
        <f>XNPV($L57,$D$28:$I$28,$D$18:$I$18)+($I$26+($I$21+$I$23)*P$56)/((1+$L57)^(($J$18-$D$18)/365))</f>
        <v/>
      </c>
      <c r="Q57" s="148">
        <f>XNPV($L57,$D$28:$I$28,$D$18:$I$18)+($I$26+($I$21+$I$23)*Q$56)/((1+$L57)^(($J$18-$D$18)/365))</f>
        <v/>
      </c>
      <c r="R57" s="148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61" t="n">
        <v>0.07000000000000001</v>
      </c>
      <c r="M58" s="148">
        <f>XNPV($L58,$D$28:$I$28,$D$18:$I$18)+($I$26+($I$21+$I$23)*M$56)/((1+$L58)^(($J$18-$D$18)/365))</f>
        <v/>
      </c>
      <c r="N58" s="148">
        <f>XNPV($L58,$D$28:$I$28,$D$18:$I$18)+($I$26+($I$21+$I$23)*N$56)/((1+$L58)^(($J$18-$D$18)/365))</f>
        <v/>
      </c>
      <c r="O58" s="148">
        <f>XNPV($L58,$D$28:$I$28,$D$18:$I$18)+($I$26+($I$21+$I$23)*O$56)/((1+$L58)^(($J$18-$D$18)/365))</f>
        <v/>
      </c>
      <c r="P58" s="148">
        <f>XNPV($L58,$D$28:$I$28,$D$18:$I$18)+($I$26+($I$21+$I$23)*P$56)/((1+$L58)^(($J$18-$D$18)/365))</f>
        <v/>
      </c>
      <c r="Q58" s="148">
        <f>XNPV($L58,$D$28:$I$28,$D$18:$I$18)+($I$26+($I$21+$I$23)*Q$56)/((1+$L58)^(($J$18-$D$18)/365))</f>
        <v/>
      </c>
      <c r="R58" s="148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61" t="n">
        <v>0.075</v>
      </c>
      <c r="M59" s="148">
        <f>XNPV($L59,$D$28:$I$28,$D$18:$I$18)+($I$26+($I$21+$I$23)*M$56)/((1+$L59)^(($J$18-$D$18)/365))</f>
        <v/>
      </c>
      <c r="N59" s="148">
        <f>XNPV($L59,$D$28:$I$28,$D$18:$I$18)+($I$26+($I$21+$I$23)*N$56)/((1+$L59)^(($J$18-$D$18)/365))</f>
        <v/>
      </c>
      <c r="O59" s="148">
        <f>XNPV($L59,$D$28:$I$28,$D$18:$I$18)+($I$26+($I$21+$I$23)*O$56)/((1+$L59)^(($J$18-$D$18)/365))</f>
        <v/>
      </c>
      <c r="P59" s="148">
        <f>XNPV($L59,$D$28:$I$28,$D$18:$I$18)+($I$26+($I$21+$I$23)*P$56)/((1+$L59)^(($J$18-$D$18)/365))</f>
        <v/>
      </c>
      <c r="Q59" s="148">
        <f>XNPV($L59,$D$28:$I$28,$D$18:$I$18)+($I$26+($I$21+$I$23)*Q$56)/((1+$L59)^(($J$18-$D$18)/365))</f>
        <v/>
      </c>
      <c r="R59" s="148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61" t="n">
        <v>0.07679999999999999</v>
      </c>
      <c r="M60" s="148">
        <f>XNPV($L60,$D$28:$I$28,$D$18:$I$18)+($I$26+($I$21+$I$23)*M$56)/((1+$L60)^(($J$18-$D$18)/365))</f>
        <v/>
      </c>
      <c r="N60" s="148">
        <f>XNPV($L60,$D$28:$I$28,$D$18:$I$18)+($I$26+($I$21+$I$23)*N$56)/((1+$L60)^(($J$18-$D$18)/365))</f>
        <v/>
      </c>
      <c r="O60" s="162">
        <f>XNPV($L60,$D$28:$I$28,$D$18:$I$18)+($I$26+($I$21+$I$23)*O$56)/((1+$L60)^(($J$18-$D$18)/365))</f>
        <v/>
      </c>
      <c r="P60" s="148">
        <f>XNPV($L60,$D$28:$I$28,$D$18:$I$18)+($I$26+($I$21+$I$23)*P$56)/((1+$L60)^(($J$18-$D$18)/365))</f>
        <v/>
      </c>
      <c r="Q60" s="148">
        <f>XNPV($L60,$D$28:$I$28,$D$18:$I$18)+($I$26+($I$21+$I$23)*Q$56)/((1+$L60)^(($J$18-$D$18)/365))</f>
        <v/>
      </c>
      <c r="R60" s="148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61" t="n">
        <v>0.08500000000000001</v>
      </c>
      <c r="M61" s="148">
        <f>XNPV($L61,$D$28:$I$28,$D$18:$I$18)+($I$26+($I$21+$I$23)*M$56)/((1+$L61)^(($J$18-$D$18)/365))</f>
        <v/>
      </c>
      <c r="N61" s="148">
        <f>XNPV($L61,$D$28:$I$28,$D$18:$I$18)+($I$26+($I$21+$I$23)*N$56)/((1+$L61)^(($J$18-$D$18)/365))</f>
        <v/>
      </c>
      <c r="O61" s="148">
        <f>XNPV($L61,$D$28:$I$28,$D$18:$I$18)+($I$26+($I$21+$I$23)*O$56)/((1+$L61)^(($J$18-$D$18)/365))</f>
        <v/>
      </c>
      <c r="P61" s="148">
        <f>XNPV($L61,$D$28:$I$28,$D$18:$I$18)+($I$26+($I$21+$I$23)*P$56)/((1+$L61)^(($J$18-$D$18)/365))</f>
        <v/>
      </c>
      <c r="Q61" s="148">
        <f>XNPV($L61,$D$28:$I$28,$D$18:$I$18)+($I$26+($I$21+$I$23)*Q$56)/((1+$L61)^(($J$18-$D$18)/365))</f>
        <v/>
      </c>
      <c r="R61" s="148">
        <f>XNPV($L61,$D$28:$I$28,$D$18:$I$18)+($I$26+($I$21+$I$23)*R$56)/((1+$L61)^(($J$18-$D$18)/365))</f>
        <v/>
      </c>
    </row>
    <row r="62">
      <c r="L62" s="161" t="n">
        <v>0.095</v>
      </c>
      <c r="M62" s="148">
        <f>XNPV($L62,$D$28:$I$28,$D$18:$I$18)+($I$26+($I$21+$I$23)*M$56)/((1+$L62)^(($J$18-$D$18)/365))</f>
        <v/>
      </c>
      <c r="N62" s="148">
        <f>XNPV($L62,$D$28:$I$28,$D$18:$I$18)+($I$26+($I$21+$I$23)*N$56)/((1+$L62)^(($J$18-$D$18)/365))</f>
        <v/>
      </c>
      <c r="O62" s="148">
        <f>XNPV($L62,$D$28:$I$28,$D$18:$I$18)+($I$26+($I$21+$I$23)*O$56)/((1+$L62)^(($J$18-$D$18)/365))</f>
        <v/>
      </c>
      <c r="P62" s="148">
        <f>XNPV($L62,$D$28:$I$28,$D$18:$I$18)+($I$26+($I$21+$I$23)*P$56)/((1+$L62)^(($J$18-$D$18)/365))</f>
        <v/>
      </c>
      <c r="Q62" s="148">
        <f>XNPV($L62,$D$28:$I$28,$D$18:$I$18)+($I$26+($I$21+$I$23)*Q$56)/((1+$L62)^(($J$18-$D$18)/365))</f>
        <v/>
      </c>
      <c r="R62" s="148">
        <f>XNPV($L62,$D$28:$I$28,$D$18:$I$18)+($I$26+($I$21+$I$23)*R$56)/((1+$L62)^(($J$18-$D$18)/365))</f>
        <v/>
      </c>
    </row>
    <row r="64">
      <c r="L64" s="163" t="inlineStr">
        <is>
          <t>SENSITIVITY — Equity Value / Share ($)</t>
        </is>
      </c>
    </row>
    <row r="65">
      <c r="L65" s="164" t="inlineStr">
        <is>
          <t>WACC \ Exit EV/EBITDA</t>
        </is>
      </c>
      <c r="M65" s="165" t="n">
        <v>17</v>
      </c>
      <c r="N65" s="165" t="n">
        <v>20</v>
      </c>
      <c r="O65" s="165" t="n">
        <v>23</v>
      </c>
      <c r="P65" s="165" t="n">
        <v>25</v>
      </c>
      <c r="Q65" s="165" t="n">
        <v>27</v>
      </c>
      <c r="R65" s="165" t="n">
        <v>29</v>
      </c>
    </row>
    <row r="66">
      <c r="L66" s="161" t="n">
        <v>0.065</v>
      </c>
      <c r="M66" s="166">
        <f>(M57+$D$33-$D$34)/$I$16</f>
        <v/>
      </c>
      <c r="N66" s="166">
        <f>(N57+$D$33-$D$34)/$I$16</f>
        <v/>
      </c>
      <c r="O66" s="166">
        <f>(O57+$D$33-$D$34)/$I$16</f>
        <v/>
      </c>
      <c r="P66" s="166">
        <f>(P57+$D$33-$D$34)/$I$16</f>
        <v/>
      </c>
      <c r="Q66" s="166">
        <f>(Q57+$D$33-$D$34)/$I$16</f>
        <v/>
      </c>
      <c r="R66" s="166">
        <f>(R57+$D$33-$D$34)/$I$16</f>
        <v/>
      </c>
    </row>
    <row r="67">
      <c r="L67" s="161" t="n">
        <v>0.07000000000000001</v>
      </c>
      <c r="M67" s="166">
        <f>(M58+$D$33-$D$34)/$I$16</f>
        <v/>
      </c>
      <c r="N67" s="166">
        <f>(N58+$D$33-$D$34)/$I$16</f>
        <v/>
      </c>
      <c r="O67" s="166">
        <f>(O58+$D$33-$D$34)/$I$16</f>
        <v/>
      </c>
      <c r="P67" s="166">
        <f>(P58+$D$33-$D$34)/$I$16</f>
        <v/>
      </c>
      <c r="Q67" s="166">
        <f>(Q58+$D$33-$D$34)/$I$16</f>
        <v/>
      </c>
      <c r="R67" s="166">
        <f>(R58+$D$33-$D$34)/$I$16</f>
        <v/>
      </c>
    </row>
    <row r="68">
      <c r="L68" s="161" t="n">
        <v>0.075</v>
      </c>
      <c r="M68" s="166">
        <f>(M59+$D$33-$D$34)/$I$16</f>
        <v/>
      </c>
      <c r="N68" s="166">
        <f>(N59+$D$33-$D$34)/$I$16</f>
        <v/>
      </c>
      <c r="O68" s="166">
        <f>(O59+$D$33-$D$34)/$I$16</f>
        <v/>
      </c>
      <c r="P68" s="166">
        <f>(P59+$D$33-$D$34)/$I$16</f>
        <v/>
      </c>
      <c r="Q68" s="166">
        <f>(Q59+$D$33-$D$34)/$I$16</f>
        <v/>
      </c>
      <c r="R68" s="166">
        <f>(R59+$D$33-$D$34)/$I$16</f>
        <v/>
      </c>
    </row>
    <row r="69">
      <c r="L69" s="161" t="n">
        <v>0.07679999999999999</v>
      </c>
      <c r="M69" s="166">
        <f>(M60+$D$33-$D$34)/$I$16</f>
        <v/>
      </c>
      <c r="N69" s="166">
        <f>(N60+$D$33-$D$34)/$I$16</f>
        <v/>
      </c>
      <c r="O69" s="167">
        <f>(O60+$D$33-$D$34)/$I$16</f>
        <v/>
      </c>
      <c r="P69" s="166">
        <f>(P60+$D$33-$D$34)/$I$16</f>
        <v/>
      </c>
      <c r="Q69" s="166">
        <f>(Q60+$D$33-$D$34)/$I$16</f>
        <v/>
      </c>
      <c r="R69" s="166">
        <f>(R60+$D$33-$D$34)/$I$16</f>
        <v/>
      </c>
    </row>
    <row r="70">
      <c r="L70" s="161" t="n">
        <v>0.08500000000000001</v>
      </c>
      <c r="M70" s="166">
        <f>(M61+$D$33-$D$34)/$I$16</f>
        <v/>
      </c>
      <c r="N70" s="166">
        <f>(N61+$D$33-$D$34)/$I$16</f>
        <v/>
      </c>
      <c r="O70" s="166">
        <f>(O61+$D$33-$D$34)/$I$16</f>
        <v/>
      </c>
      <c r="P70" s="166">
        <f>(P61+$D$33-$D$34)/$I$16</f>
        <v/>
      </c>
      <c r="Q70" s="166">
        <f>(Q61+$D$33-$D$34)/$I$16</f>
        <v/>
      </c>
      <c r="R70" s="166">
        <f>(R61+$D$33-$D$34)/$I$16</f>
        <v/>
      </c>
    </row>
    <row r="71">
      <c r="L71" s="161" t="n">
        <v>0.095</v>
      </c>
      <c r="M71" s="166">
        <f>(M62+$D$33-$D$34)/$I$16</f>
        <v/>
      </c>
      <c r="N71" s="166">
        <f>(N62+$D$33-$D$34)/$I$16</f>
        <v/>
      </c>
      <c r="O71" s="166">
        <f>(O62+$D$33-$D$34)/$I$16</f>
        <v/>
      </c>
      <c r="P71" s="166">
        <f>(P62+$D$33-$D$34)/$I$16</f>
        <v/>
      </c>
      <c r="Q71" s="166">
        <f>(Q62+$D$33-$D$34)/$I$16</f>
        <v/>
      </c>
      <c r="R71" s="166">
        <f>(R62+$D$33-$D$34)/$I$16</f>
        <v/>
      </c>
    </row>
    <row r="72">
      <c r="L72" s="156" t="inlineStr">
        <is>
          <t>Yellow = base (Yacktman WACC=7.68%, Exit 23.0x; CAPM ref ≈9.27%). EV formula: XNPV(explicit FCFF) + (Y5 FCFF + Exit×EBITDA) / (1+WACC)^daycount. Peer median ~18.1x → base 23.0x; bull 27x; bear 17.0x.</t>
        </is>
      </c>
    </row>
  </sheetData>
  <mergeCells count="8">
    <mergeCell ref="L26:O26"/>
    <mergeCell ref="L55:R55"/>
    <mergeCell ref="L43:O43"/>
    <mergeCell ref="L64:R64"/>
    <mergeCell ref="L72:R72"/>
    <mergeCell ref="L24:O24"/>
    <mergeCell ref="L17:N17"/>
    <mergeCell ref="L1:O1"/>
  </mergeCells>
  <hyperlinks>
    <hyperlink xmlns:r="http://schemas.openxmlformats.org/officeDocument/2006/relationships" ref="F8" r:id="rId1"/>
    <hyperlink xmlns:r="http://schemas.openxmlformats.org/officeDocument/2006/relationships" ref="G8" r:id="rId2"/>
    <hyperlink xmlns:r="http://schemas.openxmlformats.org/officeDocument/2006/relationships" ref="L10" r:id="rId3"/>
    <hyperlink xmlns:r="http://schemas.openxmlformats.org/officeDocument/2006/relationships" ref="M10" r:id="rId4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Tim Vipond</dc:creator>
  <dcterms:created xmlns:dcterms="http://purl.org/dc/terms/" xmlns:xsi="http://www.w3.org/2001/XMLSchema-instance" xsi:type="dcterms:W3CDTF">2014-11-08T22:00:02Z</dcterms:created>
  <dcterms:modified xmlns:dcterms="http://purl.org/dc/terms/" xmlns:xsi="http://www.w3.org/2001/XMLSchema-instance" xsi:type="dcterms:W3CDTF">2026-08-14T14:09:17Z</dcterms:modified>
  <cp:lastModifiedBy>Katie Au Yeung</cp:lastModifiedBy>
  <cp:lastPrinted>2014-12-13T23:43:21Z</cp:lastPrinted>
</cp:coreProperties>
</file>