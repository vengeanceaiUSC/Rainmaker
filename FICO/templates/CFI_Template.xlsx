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#,##0.000"/>
    <numFmt numFmtId="177" formatCode="$#,##0.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7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vengeanceaiUSCMODEL11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SBC-linked share dilution schedule.
HOW: D16 = starting shares (D12). Each forecast year adds SBC$000s (3S row 64 = Rev × 8.25%) ÷ Current Price (D11).
WHY: SBC is added back in FCFF; ignoring dilution overstates $/share.
Equity Value/Share (D37) and sensitivity use I16 (Year-5 diluted shares).
SOURCE: 3S SBC row 64; SEC 10-K ShareBasedCompensation.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vengeanceaiUSCMODEL11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MODEL11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(000s)</t>
        </is>
      </c>
      <c r="C12" s="109" t="inlineStr">
        <is>
          <t>Diluted forward via row 16 (SBC$ ÷ Price each year)</t>
        </is>
      </c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SBC-diluted (000s)</t>
        </is>
      </c>
      <c r="C16" s="109" t="inlineStr">
        <is>
          <t>Shares_t = Shares_t−1 + SBC_t($000s) / Price; SBC from 3S row 64</t>
        </is>
      </c>
      <c r="D16" s="122">
        <f>$D$12</f>
        <v/>
      </c>
      <c r="E16" s="122">
        <f>D16+'3 Statement Model'!J64/$D$11</f>
        <v/>
      </c>
      <c r="F16" s="122">
        <f>E16+'3 Statement Model'!K64/$D$11</f>
        <v/>
      </c>
      <c r="G16" s="122">
        <f>F16+'3 Statement Model'!L64/$D$11</f>
        <v/>
      </c>
      <c r="H16" s="122">
        <f>G16+'3 Statement Model'!M64/$D$11</f>
        <v/>
      </c>
      <c r="I16" s="122">
        <f>H16+'3 Statement Model'!N64/$D$11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126">
        <f>YEAR(E18)</f>
        <v/>
      </c>
      <c r="F17" s="126">
        <f>YEAR(F18)</f>
        <v/>
      </c>
      <c r="G17" s="126">
        <f>YEAR(G18)</f>
        <v/>
      </c>
      <c r="H17" s="126">
        <f>YEAR(H18)</f>
        <v/>
      </c>
      <c r="I17" s="126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(vengeanceaiUSCMODEL11)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8">
        <f>$D$9</f>
        <v/>
      </c>
      <c r="E18" s="128">
        <f>EDATE($D$9,(E19+0.5)*12)</f>
        <v/>
      </c>
      <c r="F18" s="128">
        <f>EDATE($D$9,(F19+0.5)*12)</f>
        <v/>
      </c>
      <c r="G18" s="128">
        <f>EDATE($D$9,(G19+0.5)*12)</f>
        <v/>
      </c>
      <c r="H18" s="128">
        <f>EDATE($D$9,(H19+0.5)*12)</f>
        <v/>
      </c>
      <c r="I18" s="128">
        <f>EDATE($D$9,(I19+0.5)*12)</f>
        <v/>
      </c>
      <c r="J18" s="128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131" t="n">
        <v>0</v>
      </c>
      <c r="F19" s="132">
        <f>E19+1</f>
        <v/>
      </c>
      <c r="G19" s="132">
        <f>F19+1</f>
        <v/>
      </c>
      <c r="H19" s="132">
        <f>G19+1</f>
        <v/>
      </c>
      <c r="I19" s="132">
        <f>H19+1</f>
        <v/>
      </c>
      <c r="J19" s="130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3" t="inlineStr">
        <is>
          <t>← sanity check</t>
        </is>
      </c>
      <c r="O19" s="100" t="n"/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134">
        <f>YEARFRAC(D18,E18)</f>
        <v/>
      </c>
      <c r="F20" s="134">
        <f>YEARFRAC(E18,F18)</f>
        <v/>
      </c>
      <c r="G20" s="134">
        <f>YEARFRAC(F18,G18)</f>
        <v/>
      </c>
      <c r="H20" s="134">
        <f>YEARFRAC(G18,H18)</f>
        <v/>
      </c>
      <c r="I20" s="134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5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6">
        <f>E21*$D$5</f>
        <v/>
      </c>
      <c r="F22" s="136">
        <f>F21*$D$5</f>
        <v/>
      </c>
      <c r="G22" s="136">
        <f>G21*$D$5</f>
        <v/>
      </c>
      <c r="H22" s="136">
        <f>H21*$D$5</f>
        <v/>
      </c>
      <c r="I22" s="136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6">
        <f>'3 Statement Model'!J30</f>
        <v/>
      </c>
      <c r="F23" s="136">
        <f>'3 Statement Model'!K30</f>
        <v/>
      </c>
      <c r="G23" s="136">
        <f>'3 Statement Model'!L30</f>
        <v/>
      </c>
      <c r="H23" s="136">
        <f>'3 Statement Model'!M30</f>
        <v/>
      </c>
      <c r="I23" s="136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 = AR+Inv−AP−Deferred)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(includes SBC add-back from 3S row 64)</t>
        </is>
      </c>
      <c r="C26" s="100" t="inlineStr">
        <is>
          <t>FCFF=EBIT−cashTax+DA+SBC−CapEx−ΔNWC</t>
        </is>
      </c>
      <c r="D26" s="100" t="n"/>
      <c r="E26" s="137">
        <f>E21-E22+E23+'3 Statement Model'!J64-E24-E25</f>
        <v/>
      </c>
      <c r="F26" s="137">
        <f>F21-F22+F23+'3 Statement Model'!K64-F24-F25</f>
        <v/>
      </c>
      <c r="G26" s="137">
        <f>G21-G22+G23+'3 Statement Model'!L64-G24-G25</f>
        <v/>
      </c>
      <c r="H26" s="137">
        <f>H21-H22+H23+'3 Statement Model'!M64-H24-H25</f>
        <v/>
      </c>
      <c r="I26" s="137">
        <f>I21-I22+I23+'3 Statement Model'!N64-I24-I25</f>
        <v/>
      </c>
      <c r="J26" s="100" t="n"/>
      <c r="K26" s="100" t="n"/>
      <c r="L26" s="138" t="inlineStr">
        <is>
          <t>vengeanceaiUSCMODEL11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5" t="n">
        <v>0</v>
      </c>
      <c r="E28" s="137">
        <f>E27+E26</f>
        <v/>
      </c>
      <c r="F28" s="137">
        <f>F27+F26</f>
        <v/>
      </c>
      <c r="G28" s="137">
        <f>G27+G26</f>
        <v/>
      </c>
      <c r="H28" s="137">
        <f>H27+H26</f>
        <v/>
      </c>
      <c r="I28" s="137">
        <f>I27+I26</f>
        <v/>
      </c>
      <c r="J28" s="137">
        <f>J27+J26</f>
        <v/>
      </c>
      <c r="K28" s="100" t="n"/>
      <c r="L28" s="104" t="inlineStr">
        <is>
          <t>Cash tax rate (D5)</t>
        </is>
      </c>
      <c r="M28" s="14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40">
        <f>'3 Statement Model'!J15</f>
        <v/>
      </c>
      <c r="N29" s="143">
        <f>'3 Statement Model'!J15</f>
        <v/>
      </c>
      <c r="O29" s="142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140">
        <f>'3 Statement Model'!J18</f>
        <v/>
      </c>
      <c r="N31" s="143">
        <f>'3 Statement Model'!J18</f>
        <v/>
      </c>
      <c r="O31" s="142" t="inlineStr">
        <is>
          <t>Flat 3yr hist avg CapEx%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3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6">
        <f>$E$21</f>
        <v/>
      </c>
      <c r="N33" s="146">
        <f>'3 Statement Model'!J33+'3 Statement Model'!J31</f>
        <v/>
      </c>
      <c r="O33" s="142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6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5">
        <f>D32+D33-D34</f>
        <v/>
      </c>
      <c r="E35" s="100" t="n"/>
      <c r="G35" s="100" t="inlineStr">
        <is>
          <t>Enterprise Value</t>
        </is>
      </c>
      <c r="H35" s="100" t="n"/>
      <c r="I35" s="135">
        <f>I32+I33-I34</f>
        <v/>
      </c>
      <c r="J35" s="100" t="n"/>
      <c r="L35" s="144" t="inlineStr">
        <is>
          <t>D&amp;A FY1</t>
        </is>
      </c>
      <c r="M35" s="146">
        <f>$E$23</f>
        <v/>
      </c>
      <c r="N35" s="146">
        <f>'3 Statement Model'!J30</f>
        <v/>
      </c>
      <c r="O35" s="142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7" t="n"/>
      <c r="J36" s="100" t="n"/>
      <c r="L36" s="104" t="inlineStr">
        <is>
          <t>SBC FY1</t>
        </is>
      </c>
      <c r="M36" s="146">
        <f>'3 Statement Model'!J64</f>
        <v/>
      </c>
      <c r="N36" s="146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SBC-diluted shares I16)</t>
        </is>
      </c>
      <c r="C37" s="109" t="inlineStr">
        <is>
          <t>MODEL11: starting D12 grows with SBC add-back / price</t>
        </is>
      </c>
      <c r="D37" s="148">
        <f>$D$35/$I$16</f>
        <v/>
      </c>
      <c r="E37" s="100" t="n"/>
      <c r="G37" s="100" t="inlineStr">
        <is>
          <t>Equity Value/Share</t>
        </is>
      </c>
      <c r="H37" s="100" t="n"/>
      <c r="I37" s="147">
        <f>D11</f>
        <v/>
      </c>
      <c r="J37" s="100" t="n"/>
      <c r="L37" s="104" t="inlineStr">
        <is>
          <t>CapEx FY1</t>
        </is>
      </c>
      <c r="M37" s="146">
        <f>$E$24</f>
        <v/>
      </c>
      <c r="N37" s="146">
        <f>'3 Statement Model'!J68</f>
        <v/>
      </c>
      <c r="O37" s="142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146">
        <f>$E$25</f>
        <v/>
      </c>
      <c r="N38" s="146">
        <f>'3 Statement Model'!J90</f>
        <v/>
      </c>
      <c r="O38" s="142" t="inlineStr">
        <is>
          <t>WC schedule change (CF row 65 = J90)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6">
        <f>$I$21+$I$23</f>
        <v/>
      </c>
      <c r="N39" s="146">
        <f>'3 Statement Model'!N33+'3 Statement Model'!N31+'3 Statement Model'!N30</f>
        <v/>
      </c>
      <c r="O39" s="142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6">
        <f>'3 Statement Model'!I41</f>
        <v/>
      </c>
      <c r="N40" s="146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146">
        <f>'3 Statement Model'!I49</f>
        <v/>
      </c>
      <c r="N41" s="146">
        <f>'3 Statement Model'!I49</f>
        <v/>
      </c>
      <c r="O41" s="142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ΔNWC. D5 = cash tax (not book J13). $/share uses I16 (Y5 SBC-diluted shares), not static D12. D13/D14 stay 10-Q for the equity bridge.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7" t="n">
        <v>12.5</v>
      </c>
      <c r="N56" s="157" t="n">
        <v>15</v>
      </c>
      <c r="O56" s="157" t="n">
        <v>17.5</v>
      </c>
      <c r="P56" s="157" t="n">
        <v>20</v>
      </c>
      <c r="Q56" s="157" t="n">
        <v>22.5</v>
      </c>
      <c r="R56" s="157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0.0824</v>
      </c>
      <c r="M57" s="146">
        <f>XNPV($L57,$D$28:$I$28,$D$18:$I$18)+($I$26+($I$21+$I$23)*M$56)/((1+$L57)^(($J$18-$D$18)/365))</f>
        <v/>
      </c>
      <c r="N57" s="146">
        <f>XNPV($L57,$D$28:$I$28,$D$18:$I$18)+($I$26+($I$21+$I$23)*N$56)/((1+$L57)^(($J$18-$D$18)/365))</f>
        <v/>
      </c>
      <c r="O57" s="146">
        <f>XNPV($L57,$D$28:$I$28,$D$18:$I$18)+($I$26+($I$21+$I$23)*O$56)/((1+$L57)^(($J$18-$D$18)/365))</f>
        <v/>
      </c>
      <c r="P57" s="146">
        <f>XNPV($L57,$D$28:$I$28,$D$18:$I$18)+($I$26+($I$21+$I$23)*P$56)/((1+$L57)^(($J$18-$D$18)/365))</f>
        <v/>
      </c>
      <c r="Q57" s="146">
        <f>XNPV($L57,$D$28:$I$28,$D$18:$I$18)+($I$26+($I$21+$I$23)*Q$56)/((1+$L57)^(($J$18-$D$18)/365))</f>
        <v/>
      </c>
      <c r="R57" s="146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0.08740000000000001</v>
      </c>
      <c r="M58" s="146">
        <f>XNPV($L58,$D$28:$I$28,$D$18:$I$18)+($I$26+($I$21+$I$23)*M$56)/((1+$L58)^(($J$18-$D$18)/365))</f>
        <v/>
      </c>
      <c r="N58" s="146">
        <f>XNPV($L58,$D$28:$I$28,$D$18:$I$18)+($I$26+($I$21+$I$23)*N$56)/((1+$L58)^(($J$18-$D$18)/365))</f>
        <v/>
      </c>
      <c r="O58" s="146">
        <f>XNPV($L58,$D$28:$I$28,$D$18:$I$18)+($I$26+($I$21+$I$23)*O$56)/((1+$L58)^(($J$18-$D$18)/365))</f>
        <v/>
      </c>
      <c r="P58" s="146">
        <f>XNPV($L58,$D$28:$I$28,$D$18:$I$18)+($I$26+($I$21+$I$23)*P$56)/((1+$L58)^(($J$18-$D$18)/365))</f>
        <v/>
      </c>
      <c r="Q58" s="146">
        <f>XNPV($L58,$D$28:$I$28,$D$18:$I$18)+($I$26+($I$21+$I$23)*Q$56)/((1+$L58)^(($J$18-$D$18)/365))</f>
        <v/>
      </c>
      <c r="R58" s="146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0.0924</v>
      </c>
      <c r="M59" s="146">
        <f>XNPV($L59,$D$28:$I$28,$D$18:$I$18)+($I$26+($I$21+$I$23)*M$56)/((1+$L59)^(($J$18-$D$18)/365))</f>
        <v/>
      </c>
      <c r="N59" s="146">
        <f>XNPV($L59,$D$28:$I$28,$D$18:$I$18)+($I$26+($I$21+$I$23)*N$56)/((1+$L59)^(($J$18-$D$18)/365))</f>
        <v/>
      </c>
      <c r="O59" s="159">
        <f>XNPV($L59,$D$28:$I$28,$D$18:$I$18)+($I$26+($I$21+$I$23)*O$56)/((1+$L59)^(($J$18-$D$18)/365))</f>
        <v/>
      </c>
      <c r="P59" s="146">
        <f>XNPV($L59,$D$28:$I$28,$D$18:$I$18)+($I$26+($I$21+$I$23)*P$56)/((1+$L59)^(($J$18-$D$18)/365))</f>
        <v/>
      </c>
      <c r="Q59" s="146">
        <f>XNPV($L59,$D$28:$I$28,$D$18:$I$18)+($I$26+($I$21+$I$23)*Q$56)/((1+$L59)^(($J$18-$D$18)/365))</f>
        <v/>
      </c>
      <c r="R59" s="146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0.0974</v>
      </c>
      <c r="M60" s="146">
        <f>XNPV($L60,$D$28:$I$28,$D$18:$I$18)+($I$26+($I$21+$I$23)*M$56)/((1+$L60)^(($J$18-$D$18)/365))</f>
        <v/>
      </c>
      <c r="N60" s="146">
        <f>XNPV($L60,$D$28:$I$28,$D$18:$I$18)+($I$26+($I$21+$I$23)*N$56)/((1+$L60)^(($J$18-$D$18)/365))</f>
        <v/>
      </c>
      <c r="O60" s="146">
        <f>XNPV($L60,$D$28:$I$28,$D$18:$I$18)+($I$26+($I$21+$I$23)*O$56)/((1+$L60)^(($J$18-$D$18)/365))</f>
        <v/>
      </c>
      <c r="P60" s="146">
        <f>XNPV($L60,$D$28:$I$28,$D$18:$I$18)+($I$26+($I$21+$I$23)*P$56)/((1+$L60)^(($J$18-$D$18)/365))</f>
        <v/>
      </c>
      <c r="Q60" s="146">
        <f>XNPV($L60,$D$28:$I$28,$D$18:$I$18)+($I$26+($I$21+$I$23)*Q$56)/((1+$L60)^(($J$18-$D$18)/365))</f>
        <v/>
      </c>
      <c r="R60" s="146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0.1024</v>
      </c>
      <c r="M61" s="146">
        <f>XNPV($L61,$D$28:$I$28,$D$18:$I$18)+($I$26+($I$21+$I$23)*M$56)/((1+$L61)^(($J$18-$D$18)/365))</f>
        <v/>
      </c>
      <c r="N61" s="146">
        <f>XNPV($L61,$D$28:$I$28,$D$18:$I$18)+($I$26+($I$21+$I$23)*N$56)/((1+$L61)^(($J$18-$D$18)/365))</f>
        <v/>
      </c>
      <c r="O61" s="146">
        <f>XNPV($L61,$D$28:$I$28,$D$18:$I$18)+($I$26+($I$21+$I$23)*O$56)/((1+$L61)^(($J$18-$D$18)/365))</f>
        <v/>
      </c>
      <c r="P61" s="146">
        <f>XNPV($L61,$D$28:$I$28,$D$18:$I$18)+($I$26+($I$21+$I$23)*P$56)/((1+$L61)^(($J$18-$D$18)/365))</f>
        <v/>
      </c>
      <c r="Q61" s="146">
        <f>XNPV($L61,$D$28:$I$28,$D$18:$I$18)+($I$26+($I$21+$I$23)*Q$56)/((1+$L61)^(($J$18-$D$18)/365))</f>
        <v/>
      </c>
      <c r="R61" s="146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162" t="n">
        <v>12.5</v>
      </c>
      <c r="N65" s="162" t="n">
        <v>15</v>
      </c>
      <c r="O65" s="162" t="n">
        <v>17.5</v>
      </c>
      <c r="P65" s="162" t="n">
        <v>20</v>
      </c>
      <c r="Q65" s="162" t="n">
        <v>22.5</v>
      </c>
      <c r="R65" s="162" t="n">
        <v>25</v>
      </c>
    </row>
    <row r="66">
      <c r="L66" s="158" t="n">
        <v>0.0824</v>
      </c>
      <c r="M66" s="163">
        <f>(M57+$D$33-$D$34)/$I$16</f>
        <v/>
      </c>
      <c r="N66" s="163">
        <f>(N57+$D$33-$D$34)/$I$16</f>
        <v/>
      </c>
      <c r="O66" s="163">
        <f>(O57+$D$33-$D$34)/$I$16</f>
        <v/>
      </c>
      <c r="P66" s="163">
        <f>(P57+$D$33-$D$34)/$I$16</f>
        <v/>
      </c>
      <c r="Q66" s="163">
        <f>(Q57+$D$33-$D$34)/$I$16</f>
        <v/>
      </c>
      <c r="R66" s="163">
        <f>(R57+$D$33-$D$34)/$I$16</f>
        <v/>
      </c>
    </row>
    <row r="67">
      <c r="L67" s="158" t="n">
        <v>0.08740000000000001</v>
      </c>
      <c r="M67" s="163">
        <f>(M58+$D$33-$D$34)/$I$16</f>
        <v/>
      </c>
      <c r="N67" s="163">
        <f>(N58+$D$33-$D$34)/$I$16</f>
        <v/>
      </c>
      <c r="O67" s="163">
        <f>(O58+$D$33-$D$34)/$I$16</f>
        <v/>
      </c>
      <c r="P67" s="163">
        <f>(P58+$D$33-$D$34)/$I$16</f>
        <v/>
      </c>
      <c r="Q67" s="163">
        <f>(Q58+$D$33-$D$34)/$I$16</f>
        <v/>
      </c>
      <c r="R67" s="163">
        <f>(R58+$D$33-$D$34)/$I$16</f>
        <v/>
      </c>
    </row>
    <row r="68">
      <c r="L68" s="158" t="n">
        <v>0.0924</v>
      </c>
      <c r="M68" s="163">
        <f>(M59+$D$33-$D$34)/$I$16</f>
        <v/>
      </c>
      <c r="N68" s="163">
        <f>(N59+$D$33-$D$34)/$I$16</f>
        <v/>
      </c>
      <c r="O68" s="164">
        <f>(O59+$D$33-$D$34)/$I$16</f>
        <v/>
      </c>
      <c r="P68" s="163">
        <f>(P59+$D$33-$D$34)/$I$16</f>
        <v/>
      </c>
      <c r="Q68" s="163">
        <f>(Q59+$D$33-$D$34)/$I$16</f>
        <v/>
      </c>
      <c r="R68" s="163">
        <f>(R59+$D$33-$D$34)/$I$16</f>
        <v/>
      </c>
    </row>
    <row r="69">
      <c r="L69" s="158" t="n">
        <v>0.0974</v>
      </c>
      <c r="M69" s="163">
        <f>(M60+$D$33-$D$34)/$I$16</f>
        <v/>
      </c>
      <c r="N69" s="163">
        <f>(N60+$D$33-$D$34)/$I$16</f>
        <v/>
      </c>
      <c r="O69" s="163">
        <f>(O60+$D$33-$D$34)/$I$16</f>
        <v/>
      </c>
      <c r="P69" s="163">
        <f>(P60+$D$33-$D$34)/$I$16</f>
        <v/>
      </c>
      <c r="Q69" s="163">
        <f>(Q60+$D$33-$D$34)/$I$16</f>
        <v/>
      </c>
      <c r="R69" s="163">
        <f>(R60+$D$33-$D$34)/$I$16</f>
        <v/>
      </c>
    </row>
    <row r="70">
      <c r="L70" s="158" t="n">
        <v>0.1024</v>
      </c>
      <c r="M70" s="163">
        <f>(M61+$D$33-$D$34)/$I$16</f>
        <v/>
      </c>
      <c r="N70" s="163">
        <f>(N61+$D$33-$D$34)/$I$16</f>
        <v/>
      </c>
      <c r="O70" s="163">
        <f>(O61+$D$33-$D$34)/$I$16</f>
        <v/>
      </c>
      <c r="P70" s="163">
        <f>(P61+$D$33-$D$34)/$I$16</f>
        <v/>
      </c>
      <c r="Q70" s="163">
        <f>(Q61+$D$33-$D$34)/$I$16</f>
        <v/>
      </c>
      <c r="R70" s="163">
        <f>(R61+$D$33-$D$34)/$I$16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2026-08-06T15:57:15Z</dcterms:modified>
  <cp:lastModifiedBy>Katie Au Yeung</cp:lastModifiedBy>
  <cp:lastPrinted>2014-12-13T23:43:21Z</cp:lastPrinted>
</cp:coreProperties>
</file>