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3_ncr:1_{B1D774F4-780C-48B4-904E-FE52520C2354}" xr6:coauthVersionLast="47" xr6:coauthVersionMax="47" xr10:uidLastSave="{00000000-0000-0000-0000-000000000000}"/>
  <bookViews>
    <workbookView xWindow="-110" yWindow="-110" windowWidth="19420" windowHeight="11500" tabRatio="685" activeTab="1" xr2:uid="{00000000-000D-0000-FFFF-FFFF00000000}"/>
  </bookViews>
  <sheets>
    <sheet name="Cover Page" sheetId="1" r:id="rId1"/>
    <sheet name="3 Statement Model" sheetId="2" r:id="rId2"/>
    <sheet name="DCF Model" sheetId="3" r:id="rId3"/>
  </sheets>
  <definedNames>
    <definedName name="ASSUM_APDays_Start">'3 Statement Model'!$J$17</definedName>
    <definedName name="ASSUM_ARDays_Start">'3 Statement Model'!$J$15</definedName>
    <definedName name="ASSUM_Capex_Start">'3 Statement Model'!$J$18</definedName>
    <definedName name="ASSUM_COGSPct_Start">'3 Statement Model'!$J$8</definedName>
    <definedName name="ASSUM_DAPctPPE_Start">'3 Statement Model'!$J$11</definedName>
    <definedName name="ASSUM_DebtIssuance_Start">'3 Statement Model'!$J$19</definedName>
    <definedName name="ASSUM_EquityIssuance_Start">'3 Statement Model'!$J$20</definedName>
    <definedName name="ASSUM_IntPct_Start">'3 Statement Model'!$J$12</definedName>
    <definedName name="ASSUM_InvDays_Start">'3 Statement Model'!$J$16</definedName>
    <definedName name="ASSUM_RD_Start">'3 Statement Model'!$J$10</definedName>
    <definedName name="ASSUM_RevGrowth_Start">'3 Statement Model'!$J$7</definedName>
    <definedName name="ASSUM_SGA_Start">'3 Statement Model'!$J$9</definedName>
    <definedName name="ASSUM_TaxRate_Start">'3 Statement Model'!$J$13</definedName>
    <definedName name="BS_AP_Start">'3 Statement Model'!$E$48</definedName>
    <definedName name="BS_AR_Start">'3 Statement Model'!$E$42</definedName>
    <definedName name="BS_Cash_Start">'3 Statement Model'!$E$41</definedName>
    <definedName name="BS_Debt_Start">'3 Statement Model'!$E$49</definedName>
    <definedName name="BS_EquityCapital_Start">'3 Statement Model'!$E$52</definedName>
    <definedName name="BS_Inventory_Start">'3 Statement Model'!$E$43</definedName>
    <definedName name="BS_PPE_Start">'3 Statement Model'!$E$44</definedName>
    <definedName name="BS_RE_Start">'3 Statement Model'!$E$53</definedName>
    <definedName name="CF_Capex_Start">'3 Statement Model'!$E$68</definedName>
    <definedName name="CF_DebtIssuance_Start">'3 Statement Model'!$E$72</definedName>
    <definedName name="CF_DeltaNWC_Start">'3 Statement Model'!$E$65</definedName>
    <definedName name="CF_EquityIssuance_Start">'3 Statement Model'!$E$73</definedName>
    <definedName name="CF_OpeningCash_FY1">'3 Statement Model'!$D$78</definedName>
    <definedName name="DCF_Cash">'DCF Model'!$D$14</definedName>
    <definedName name="DCF_Debt">'DCF Model'!$D$13</definedName>
    <definedName name="DCF_ExitMultiple">'DCF Model'!$D$8</definedName>
    <definedName name="DCF_FiscalYearEnd">'DCF Model'!$D$10</definedName>
    <definedName name="DCF_PerpetualGrowth">'DCF Model'!$D$7</definedName>
    <definedName name="DCF_SharePrice">'DCF Model'!$D$11</definedName>
    <definedName name="DCF_Shares">'DCF Model'!$D$12</definedName>
    <definedName name="DCF_TaxRate">'DCF Model'!$D$5</definedName>
    <definedName name="DCF_TransactionDate">'DCF Model'!$D$9</definedName>
    <definedName name="DCF_WACC">'DCF Model'!$D$6</definedName>
    <definedName name="Forecast" localSheetId="1">#REF!</definedName>
    <definedName name="IS_BaseYear">'3 Statement Model'!$E$2</definedName>
    <definedName name="IS_COGS_FY1">'3 Statement Model'!$E$25</definedName>
    <definedName name="IS_COGS_FY2">'3 Statement Model'!$F$25</definedName>
    <definedName name="IS_COGS_FY3">'3 Statement Model'!$G$25</definedName>
    <definedName name="IS_COGS_FY4">'3 Statement Model'!$H$25</definedName>
    <definedName name="IS_COGS_FY5">'3 Statement Model'!$I$25</definedName>
    <definedName name="IS_COGS_Start">'3 Statement Model'!$E$25</definedName>
    <definedName name="IS_DA_Start">'3 Statement Model'!$E$30</definedName>
    <definedName name="IS_Interest_Start">'3 Statement Model'!$E$31</definedName>
    <definedName name="IS_RD_Start">'3 Statement Model'!$E$29</definedName>
    <definedName name="IS_Revenue_FY1">'3 Statement Model'!$E$24</definedName>
    <definedName name="IS_Revenue_FY2">'3 Statement Model'!$F$24</definedName>
    <definedName name="IS_Revenue_FY3">'3 Statement Model'!$G$24</definedName>
    <definedName name="IS_Revenue_FY4">'3 Statement Model'!$H$24</definedName>
    <definedName name="IS_Revenue_FY5">'3 Statement Model'!$I$24</definedName>
    <definedName name="IS_Revenue_Start">'3 Statement Model'!$E$24</definedName>
    <definedName name="IS_SGA_Start">'3 Statement Model'!$E$28</definedName>
    <definedName name="IS_Tax_Start">'3 Statement Model'!$E$35</definedName>
    <definedName name="_xlnm.Print_Area" localSheetId="1">'3 Statement Model'!$A$1:$N$104</definedName>
    <definedName name="_xlnm.Print_Area" localSheetId="0">'Cover Page'!$A$1:$P$27</definedName>
    <definedName name="_xlnm.Print_Titles" localSheetId="1">'3 Statement Model'!$1:$3</definedName>
    <definedName name="Step_1" localSheetId="1">#REF!</definedName>
    <definedName name="Step_2" localSheetId="1">#REF!</definedName>
    <definedName name="Step_3" localSheetId="1">#REF!</definedName>
    <definedName name="Step_4" localSheetId="1">#REF!</definedName>
    <definedName name="Step_5" localSheetId="1">#REF!</definedName>
    <definedName name="Step_6" localSheetId="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3" l="1"/>
  <c r="J29" i="3"/>
  <c r="J27" i="3"/>
  <c r="J18" i="3"/>
  <c r="M19" i="3"/>
  <c r="M18" i="3"/>
  <c r="C22" i="1"/>
  <c r="N41" i="3"/>
  <c r="M41" i="3"/>
  <c r="N40" i="3"/>
  <c r="M40" i="3"/>
  <c r="I37" i="3"/>
  <c r="I35" i="3"/>
  <c r="D27" i="3" s="1"/>
  <c r="D29" i="3" s="1"/>
  <c r="I34" i="3"/>
  <c r="D34" i="3"/>
  <c r="I33" i="3"/>
  <c r="D33" i="3"/>
  <c r="N32" i="3"/>
  <c r="M32" i="3"/>
  <c r="I32" i="3"/>
  <c r="N31" i="3"/>
  <c r="M31" i="3"/>
  <c r="N30" i="3"/>
  <c r="M30" i="3"/>
  <c r="N29" i="3"/>
  <c r="M29" i="3"/>
  <c r="M28" i="3"/>
  <c r="I19" i="3"/>
  <c r="H19" i="3"/>
  <c r="G19" i="3"/>
  <c r="F19" i="3"/>
  <c r="I18" i="3"/>
  <c r="I17" i="3" s="1"/>
  <c r="H18" i="3"/>
  <c r="I20" i="3" s="1"/>
  <c r="G18" i="3"/>
  <c r="H20" i="3" s="1"/>
  <c r="F18" i="3"/>
  <c r="F17" i="3" s="1"/>
  <c r="D18" i="3"/>
  <c r="E20" i="3" s="1"/>
  <c r="E17" i="3"/>
  <c r="D16" i="3"/>
  <c r="R15" i="3"/>
  <c r="D6" i="3" s="1"/>
  <c r="R12" i="3"/>
  <c r="R11" i="3"/>
  <c r="R9" i="3"/>
  <c r="A4" i="3"/>
  <c r="N123" i="2"/>
  <c r="M123" i="2"/>
  <c r="L123" i="2"/>
  <c r="K123" i="2"/>
  <c r="J123" i="2"/>
  <c r="J122" i="2"/>
  <c r="J8" i="2" s="1"/>
  <c r="J121" i="2"/>
  <c r="N120" i="2"/>
  <c r="M120" i="2"/>
  <c r="L120" i="2"/>
  <c r="K120" i="2"/>
  <c r="N119" i="2"/>
  <c r="M119" i="2"/>
  <c r="L119" i="2"/>
  <c r="K119" i="2"/>
  <c r="N118" i="2"/>
  <c r="M118" i="2"/>
  <c r="L118" i="2"/>
  <c r="K118" i="2"/>
  <c r="N117" i="2"/>
  <c r="M117" i="2"/>
  <c r="L117" i="2"/>
  <c r="K117" i="2"/>
  <c r="K121" i="2" s="1"/>
  <c r="K122" i="2" s="1"/>
  <c r="K8" i="2" s="1"/>
  <c r="N116" i="2"/>
  <c r="N121" i="2" s="1"/>
  <c r="N122" i="2" s="1"/>
  <c r="N8" i="2" s="1"/>
  <c r="M116" i="2"/>
  <c r="M121" i="2" s="1"/>
  <c r="M122" i="2" s="1"/>
  <c r="M8" i="2" s="1"/>
  <c r="L116" i="2"/>
  <c r="K116" i="2"/>
  <c r="J115" i="2"/>
  <c r="N114" i="2"/>
  <c r="M114" i="2"/>
  <c r="L114" i="2"/>
  <c r="K114" i="2"/>
  <c r="N113" i="2"/>
  <c r="M113" i="2"/>
  <c r="L113" i="2"/>
  <c r="K113" i="2"/>
  <c r="N112" i="2"/>
  <c r="M112" i="2"/>
  <c r="L112" i="2"/>
  <c r="K112" i="2"/>
  <c r="N111" i="2"/>
  <c r="M111" i="2"/>
  <c r="L111" i="2"/>
  <c r="L115" i="2" s="1"/>
  <c r="K111" i="2"/>
  <c r="N110" i="2"/>
  <c r="N115" i="2" s="1"/>
  <c r="M110" i="2"/>
  <c r="M115" i="2" s="1"/>
  <c r="L110" i="2"/>
  <c r="K110" i="2"/>
  <c r="K115" i="2" s="1"/>
  <c r="N109" i="2"/>
  <c r="M109" i="2"/>
  <c r="L109" i="2"/>
  <c r="K109" i="2"/>
  <c r="J109" i="2"/>
  <c r="V108" i="2"/>
  <c r="U108" i="2"/>
  <c r="V107" i="2"/>
  <c r="U107" i="2"/>
  <c r="V106" i="2"/>
  <c r="U106" i="2"/>
  <c r="V105" i="2"/>
  <c r="U105" i="2"/>
  <c r="V104" i="2"/>
  <c r="U104" i="2"/>
  <c r="J98" i="2"/>
  <c r="I98" i="2"/>
  <c r="K12" i="2" s="1"/>
  <c r="H98" i="2"/>
  <c r="G98" i="2"/>
  <c r="G12" i="2" s="1"/>
  <c r="F98" i="2"/>
  <c r="F12" i="2" s="1"/>
  <c r="J92" i="2"/>
  <c r="I92" i="2"/>
  <c r="I11" i="2" s="1"/>
  <c r="H92" i="2"/>
  <c r="G92" i="2"/>
  <c r="F92" i="2"/>
  <c r="I89" i="2"/>
  <c r="I90" i="2" s="1"/>
  <c r="I65" i="2" s="1"/>
  <c r="H89" i="2"/>
  <c r="H90" i="2" s="1"/>
  <c r="H65" i="2" s="1"/>
  <c r="G89" i="2"/>
  <c r="F89" i="2"/>
  <c r="E89" i="2"/>
  <c r="I81" i="2"/>
  <c r="H81" i="2"/>
  <c r="G81" i="2"/>
  <c r="F81" i="2"/>
  <c r="J77" i="2"/>
  <c r="I77" i="2"/>
  <c r="H77" i="2"/>
  <c r="G77" i="2"/>
  <c r="F77" i="2"/>
  <c r="I69" i="2"/>
  <c r="I126" i="2" s="1"/>
  <c r="H69" i="2"/>
  <c r="H126" i="2" s="1"/>
  <c r="G69" i="2"/>
  <c r="G126" i="2" s="1"/>
  <c r="F69" i="2"/>
  <c r="F126" i="2" s="1"/>
  <c r="E69" i="2"/>
  <c r="E126" i="2" s="1"/>
  <c r="E65" i="2"/>
  <c r="I63" i="2"/>
  <c r="H63" i="2"/>
  <c r="G63" i="2"/>
  <c r="F63" i="2"/>
  <c r="E63" i="2"/>
  <c r="I50" i="2"/>
  <c r="H50" i="2"/>
  <c r="G50" i="2"/>
  <c r="F50" i="2"/>
  <c r="E50" i="2"/>
  <c r="I45" i="2"/>
  <c r="H45" i="2"/>
  <c r="G45" i="2"/>
  <c r="F45" i="2"/>
  <c r="E45" i="2"/>
  <c r="E52" i="2" s="1"/>
  <c r="E54" i="2" s="1"/>
  <c r="E33" i="2"/>
  <c r="E36" i="2" s="1"/>
  <c r="E62" i="2" s="1"/>
  <c r="I32" i="2"/>
  <c r="H32" i="2"/>
  <c r="G32" i="2"/>
  <c r="F32" i="2"/>
  <c r="E32" i="2"/>
  <c r="I26" i="2"/>
  <c r="H26" i="2"/>
  <c r="G26" i="2"/>
  <c r="G33" i="2" s="1"/>
  <c r="F26" i="2"/>
  <c r="F33" i="2" s="1"/>
  <c r="E26" i="2"/>
  <c r="J24" i="2"/>
  <c r="J88" i="2" s="1"/>
  <c r="J81" i="2" s="1"/>
  <c r="V21" i="2"/>
  <c r="U21" i="2"/>
  <c r="V20" i="2"/>
  <c r="U20" i="2"/>
  <c r="V19" i="2"/>
  <c r="U19" i="2"/>
  <c r="I19" i="2"/>
  <c r="H19" i="2"/>
  <c r="G19" i="2"/>
  <c r="F19" i="2"/>
  <c r="E19" i="2"/>
  <c r="V18" i="2"/>
  <c r="U18" i="2"/>
  <c r="I18" i="2"/>
  <c r="H18" i="2"/>
  <c r="G18" i="2"/>
  <c r="F18" i="2"/>
  <c r="E18" i="2"/>
  <c r="V17" i="2"/>
  <c r="U17" i="2"/>
  <c r="N17" i="2"/>
  <c r="M17" i="2"/>
  <c r="L17" i="2"/>
  <c r="K17" i="2"/>
  <c r="J17" i="2"/>
  <c r="I17" i="2"/>
  <c r="H17" i="2"/>
  <c r="G17" i="2"/>
  <c r="F17" i="2"/>
  <c r="E17" i="2"/>
  <c r="V16" i="2"/>
  <c r="U16" i="2"/>
  <c r="I16" i="2"/>
  <c r="H16" i="2"/>
  <c r="G16" i="2"/>
  <c r="F16" i="2"/>
  <c r="E16" i="2"/>
  <c r="V15" i="2"/>
  <c r="U15" i="2"/>
  <c r="I15" i="2"/>
  <c r="H15" i="2"/>
  <c r="G15" i="2"/>
  <c r="F15" i="2"/>
  <c r="E15" i="2"/>
  <c r="V13" i="2"/>
  <c r="U13" i="2"/>
  <c r="V12" i="2"/>
  <c r="U12" i="2"/>
  <c r="H12" i="2"/>
  <c r="E12" i="2"/>
  <c r="V11" i="2"/>
  <c r="U11" i="2"/>
  <c r="H11" i="2"/>
  <c r="G11" i="2"/>
  <c r="F11" i="2"/>
  <c r="E11" i="2"/>
  <c r="V10" i="2"/>
  <c r="U10" i="2"/>
  <c r="N10" i="2"/>
  <c r="M10" i="2"/>
  <c r="L10" i="2"/>
  <c r="K10" i="2"/>
  <c r="J10" i="2"/>
  <c r="I10" i="2"/>
  <c r="H10" i="2"/>
  <c r="G10" i="2"/>
  <c r="F10" i="2"/>
  <c r="E10" i="2"/>
  <c r="V9" i="2"/>
  <c r="U9" i="2"/>
  <c r="N9" i="2"/>
  <c r="M9" i="2"/>
  <c r="L9" i="2"/>
  <c r="K9" i="2"/>
  <c r="J9" i="2"/>
  <c r="I9" i="2"/>
  <c r="H9" i="2"/>
  <c r="G9" i="2"/>
  <c r="F9" i="2"/>
  <c r="E9" i="2"/>
  <c r="V8" i="2"/>
  <c r="U8" i="2"/>
  <c r="I8" i="2"/>
  <c r="H8" i="2"/>
  <c r="G8" i="2"/>
  <c r="F8" i="2"/>
  <c r="E8" i="2"/>
  <c r="V7" i="2"/>
  <c r="U7" i="2"/>
  <c r="I7" i="2"/>
  <c r="H7" i="2"/>
  <c r="G7" i="2"/>
  <c r="F7" i="2"/>
  <c r="P4" i="2"/>
  <c r="A4" i="2"/>
  <c r="F2" i="2"/>
  <c r="G2" i="2" s="1"/>
  <c r="H2" i="2" s="1"/>
  <c r="I2" i="2" s="1"/>
  <c r="J2" i="2" s="1"/>
  <c r="K2" i="2" s="1"/>
  <c r="L2" i="2" s="1"/>
  <c r="M2" i="2" s="1"/>
  <c r="N2" i="2" s="1"/>
  <c r="C23" i="1"/>
  <c r="C13" i="1"/>
  <c r="E12" i="1"/>
  <c r="H33" i="2" l="1"/>
  <c r="I33" i="2"/>
  <c r="E66" i="2"/>
  <c r="E73" i="2" s="1"/>
  <c r="G90" i="2"/>
  <c r="G65" i="2" s="1"/>
  <c r="M12" i="2"/>
  <c r="F52" i="2"/>
  <c r="F54" i="2" s="1"/>
  <c r="F55" i="2" s="1"/>
  <c r="F57" i="2" s="1"/>
  <c r="F3" i="2" s="1"/>
  <c r="H52" i="2"/>
  <c r="H54" i="2" s="1"/>
  <c r="H55" i="2" s="1"/>
  <c r="H57" i="2" s="1"/>
  <c r="H3" i="2" s="1"/>
  <c r="G52" i="2"/>
  <c r="G54" i="2" s="1"/>
  <c r="G55" i="2" s="1"/>
  <c r="G57" i="2" s="1"/>
  <c r="G3" i="2" s="1"/>
  <c r="J68" i="2"/>
  <c r="D15" i="3" s="1"/>
  <c r="I52" i="2"/>
  <c r="I54" i="2" s="1"/>
  <c r="I55" i="2" s="1"/>
  <c r="I57" i="2" s="1"/>
  <c r="I3" i="2" s="1"/>
  <c r="E55" i="2"/>
  <c r="E57" i="2" s="1"/>
  <c r="E3" i="2" s="1"/>
  <c r="G36" i="2"/>
  <c r="G62" i="2" s="1"/>
  <c r="G66" i="2" s="1"/>
  <c r="G73" i="2" s="1"/>
  <c r="G13" i="2"/>
  <c r="L121" i="2"/>
  <c r="L122" i="2" s="1"/>
  <c r="L8" i="2" s="1"/>
  <c r="H36" i="2"/>
  <c r="H62" i="2" s="1"/>
  <c r="H66" i="2" s="1"/>
  <c r="H13" i="2"/>
  <c r="H73" i="2"/>
  <c r="F36" i="2"/>
  <c r="F62" i="2" s="1"/>
  <c r="F13" i="2"/>
  <c r="K13" i="2"/>
  <c r="J13" i="2"/>
  <c r="I13" i="2"/>
  <c r="N13" i="2"/>
  <c r="M13" i="2"/>
  <c r="I36" i="2"/>
  <c r="I62" i="2" s="1"/>
  <c r="I66" i="2" s="1"/>
  <c r="L13" i="2"/>
  <c r="F90" i="2"/>
  <c r="F65" i="2" s="1"/>
  <c r="L12" i="2"/>
  <c r="J28" i="2"/>
  <c r="J42" i="2"/>
  <c r="J85" i="2" s="1"/>
  <c r="G17" i="3"/>
  <c r="H17" i="3"/>
  <c r="J124" i="2"/>
  <c r="N12" i="2"/>
  <c r="J64" i="2"/>
  <c r="E13" i="2"/>
  <c r="K24" i="2"/>
  <c r="J29" i="2"/>
  <c r="F20" i="3"/>
  <c r="J125" i="2"/>
  <c r="G20" i="3"/>
  <c r="J93" i="2"/>
  <c r="I12" i="2"/>
  <c r="J25" i="2"/>
  <c r="J26" i="2" s="1"/>
  <c r="J12" i="2"/>
  <c r="J30" i="2"/>
  <c r="N37" i="3" l="1"/>
  <c r="J69" i="2"/>
  <c r="E24" i="3"/>
  <c r="M37" i="3" s="1"/>
  <c r="M34" i="3"/>
  <c r="E74" i="2"/>
  <c r="E20" i="2"/>
  <c r="F66" i="2"/>
  <c r="H20" i="2"/>
  <c r="H74" i="2"/>
  <c r="H127" i="2" s="1"/>
  <c r="I73" i="2"/>
  <c r="J43" i="2"/>
  <c r="J86" i="2" s="1"/>
  <c r="J48" i="2"/>
  <c r="K88" i="2"/>
  <c r="K81" i="2" s="1"/>
  <c r="K30" i="2"/>
  <c r="K25" i="2"/>
  <c r="K26" i="2" s="1"/>
  <c r="K93" i="2"/>
  <c r="L24" i="2"/>
  <c r="K125" i="2"/>
  <c r="K29" i="2"/>
  <c r="K68" i="2"/>
  <c r="K124" i="2"/>
  <c r="K42" i="2"/>
  <c r="K85" i="2" s="1"/>
  <c r="K28" i="2"/>
  <c r="K64" i="2"/>
  <c r="G74" i="2"/>
  <c r="G127" i="2" s="1"/>
  <c r="G20" i="2"/>
  <c r="J63" i="2"/>
  <c r="N35" i="3"/>
  <c r="E23" i="3"/>
  <c r="M35" i="3" s="1"/>
  <c r="J94" i="2"/>
  <c r="J95" i="2" s="1"/>
  <c r="M36" i="3"/>
  <c r="N36" i="3"/>
  <c r="J101" i="2"/>
  <c r="J31" i="2"/>
  <c r="J32" i="2" s="1"/>
  <c r="J33" i="2" s="1"/>
  <c r="J44" i="2" l="1"/>
  <c r="K92" i="2"/>
  <c r="E21" i="3"/>
  <c r="J62" i="2"/>
  <c r="N33" i="3"/>
  <c r="J53" i="2"/>
  <c r="J36" i="2"/>
  <c r="J35" i="2"/>
  <c r="I20" i="2"/>
  <c r="I74" i="2"/>
  <c r="F73" i="2"/>
  <c r="K43" i="2"/>
  <c r="K86" i="2" s="1"/>
  <c r="K48" i="2"/>
  <c r="E127" i="2"/>
  <c r="E76" i="2"/>
  <c r="E78" i="2" s="1"/>
  <c r="E80" i="2" s="1"/>
  <c r="F24" i="3"/>
  <c r="K69" i="2"/>
  <c r="H76" i="2"/>
  <c r="H78" i="2" s="1"/>
  <c r="H80" i="2" s="1"/>
  <c r="L25" i="2"/>
  <c r="L93" i="2"/>
  <c r="L26" i="2"/>
  <c r="L125" i="2"/>
  <c r="L29" i="2"/>
  <c r="M24" i="2"/>
  <c r="L64" i="2"/>
  <c r="L68" i="2"/>
  <c r="L42" i="2"/>
  <c r="L85" i="2" s="1"/>
  <c r="L28" i="2"/>
  <c r="L88" i="2"/>
  <c r="L81" i="2" s="1"/>
  <c r="L30" i="2"/>
  <c r="L124" i="2"/>
  <c r="K63" i="2"/>
  <c r="K94" i="2"/>
  <c r="F23" i="3"/>
  <c r="G76" i="2"/>
  <c r="G78" i="2" s="1"/>
  <c r="G80" i="2" s="1"/>
  <c r="J87" i="2"/>
  <c r="J89" i="2" s="1"/>
  <c r="J90" i="2" s="1"/>
  <c r="I127" i="2" l="1"/>
  <c r="I76" i="2"/>
  <c r="I78" i="2" s="1"/>
  <c r="I80" i="2" s="1"/>
  <c r="L43" i="2"/>
  <c r="L86" i="2" s="1"/>
  <c r="L48" i="2"/>
  <c r="K95" i="2"/>
  <c r="F74" i="2"/>
  <c r="F20" i="2"/>
  <c r="L63" i="2"/>
  <c r="G23" i="3"/>
  <c r="L94" i="2"/>
  <c r="G24" i="3"/>
  <c r="L69" i="2"/>
  <c r="M33" i="3"/>
  <c r="M42" i="3" s="1"/>
  <c r="R20" i="3"/>
  <c r="E22" i="3"/>
  <c r="K87" i="2"/>
  <c r="K89" i="2" s="1"/>
  <c r="K90" i="2" s="1"/>
  <c r="M124" i="2"/>
  <c r="M93" i="2"/>
  <c r="M125" i="2"/>
  <c r="M68" i="2"/>
  <c r="M64" i="2"/>
  <c r="M88" i="2"/>
  <c r="M81" i="2" s="1"/>
  <c r="M30" i="2"/>
  <c r="M25" i="2"/>
  <c r="M29" i="2"/>
  <c r="N24" i="2"/>
  <c r="M28" i="2"/>
  <c r="M42" i="2"/>
  <c r="M85" i="2" s="1"/>
  <c r="E25" i="3"/>
  <c r="M38" i="3" s="1"/>
  <c r="J65" i="2"/>
  <c r="J66" i="2" s="1"/>
  <c r="N38" i="3"/>
  <c r="R19" i="3" l="1"/>
  <c r="K65" i="2"/>
  <c r="F25" i="3"/>
  <c r="F127" i="2"/>
  <c r="F76" i="2"/>
  <c r="F78" i="2" s="1"/>
  <c r="F80" i="2" s="1"/>
  <c r="E26" i="3"/>
  <c r="K44" i="2"/>
  <c r="L92" i="2"/>
  <c r="L95" i="2" s="1"/>
  <c r="N93" i="2"/>
  <c r="N26" i="2"/>
  <c r="N125" i="2"/>
  <c r="N29" i="2"/>
  <c r="N68" i="2"/>
  <c r="N64" i="2"/>
  <c r="N28" i="2"/>
  <c r="N124" i="2"/>
  <c r="N88" i="2"/>
  <c r="N81" i="2" s="1"/>
  <c r="N30" i="2"/>
  <c r="N25" i="2"/>
  <c r="N42" i="2"/>
  <c r="N85" i="2" s="1"/>
  <c r="M48" i="2"/>
  <c r="M43" i="2"/>
  <c r="M86" i="2" s="1"/>
  <c r="M63" i="2"/>
  <c r="H23" i="3"/>
  <c r="M94" i="2"/>
  <c r="J20" i="2"/>
  <c r="J19" i="2"/>
  <c r="H24" i="3"/>
  <c r="M69" i="2"/>
  <c r="L87" i="2"/>
  <c r="L89" i="2" s="1"/>
  <c r="L90" i="2" s="1"/>
  <c r="M26" i="2"/>
  <c r="M92" i="2" l="1"/>
  <c r="M95" i="2" s="1"/>
  <c r="L44" i="2"/>
  <c r="M87" i="2"/>
  <c r="M89" i="2" s="1"/>
  <c r="M90" i="2" s="1"/>
  <c r="L65" i="2"/>
  <c r="G25" i="3"/>
  <c r="N43" i="2"/>
  <c r="N86" i="2" s="1"/>
  <c r="N48" i="2"/>
  <c r="E29" i="3"/>
  <c r="E28" i="3"/>
  <c r="I23" i="3"/>
  <c r="N94" i="2"/>
  <c r="N63" i="2"/>
  <c r="J73" i="2"/>
  <c r="E16" i="3"/>
  <c r="J99" i="2"/>
  <c r="J100" i="2" s="1"/>
  <c r="J72" i="2"/>
  <c r="J74" i="2"/>
  <c r="J76" i="2" s="1"/>
  <c r="J78" i="2" s="1"/>
  <c r="I24" i="3"/>
  <c r="N69" i="2"/>
  <c r="J41" i="2" l="1"/>
  <c r="J80" i="2" s="1"/>
  <c r="J49" i="2"/>
  <c r="J50" i="2" s="1"/>
  <c r="K98" i="2"/>
  <c r="N87" i="2"/>
  <c r="N89" i="2" s="1"/>
  <c r="N90" i="2" s="1"/>
  <c r="H25" i="3"/>
  <c r="M65" i="2"/>
  <c r="N92" i="2"/>
  <c r="N95" i="2" s="1"/>
  <c r="N44" i="2" s="1"/>
  <c r="M44" i="2"/>
  <c r="N65" i="2" l="1"/>
  <c r="I25" i="3"/>
  <c r="T39" i="3" s="1"/>
  <c r="K101" i="2"/>
  <c r="K31" i="2"/>
  <c r="K32" i="2" s="1"/>
  <c r="K33" i="2" s="1"/>
  <c r="K77" i="2"/>
  <c r="J45" i="2"/>
  <c r="J52" i="2" s="1"/>
  <c r="J54" i="2" s="1"/>
  <c r="J55" i="2" s="1"/>
  <c r="J57" i="2" s="1"/>
  <c r="J3" i="2" s="1"/>
  <c r="K35" i="2" l="1"/>
  <c r="F21" i="3"/>
  <c r="K62" i="2"/>
  <c r="K66" i="2" s="1"/>
  <c r="K36" i="2"/>
  <c r="K53" i="2"/>
  <c r="K20" i="2" l="1"/>
  <c r="K19" i="2" s="1"/>
  <c r="F22" i="3"/>
  <c r="F26" i="3" s="1"/>
  <c r="F28" i="3" l="1"/>
  <c r="F29" i="3"/>
  <c r="K99" i="2"/>
  <c r="K100" i="2" s="1"/>
  <c r="K72" i="2"/>
  <c r="K74" i="2"/>
  <c r="K76" i="2" s="1"/>
  <c r="K78" i="2" s="1"/>
  <c r="K73" i="2"/>
  <c r="F16" i="3"/>
  <c r="K41" i="2" l="1"/>
  <c r="K80" i="2" s="1"/>
  <c r="K49" i="2"/>
  <c r="K50" i="2" s="1"/>
  <c r="L98" i="2"/>
  <c r="L101" i="2" l="1"/>
  <c r="L31" i="2"/>
  <c r="L32" i="2" s="1"/>
  <c r="L33" i="2" s="1"/>
  <c r="L77" i="2"/>
  <c r="K45" i="2"/>
  <c r="K52" i="2" s="1"/>
  <c r="K54" i="2" s="1"/>
  <c r="K55" i="2" s="1"/>
  <c r="K57" i="2" s="1"/>
  <c r="K3" i="2" s="1"/>
  <c r="L35" i="2" l="1"/>
  <c r="L36" i="2"/>
  <c r="L62" i="2"/>
  <c r="L66" i="2" s="1"/>
  <c r="G21" i="3"/>
  <c r="L53" i="2"/>
  <c r="G22" i="3" l="1"/>
  <c r="G26" i="3" s="1"/>
  <c r="L20" i="2"/>
  <c r="L19" i="2" s="1"/>
  <c r="G28" i="3" l="1"/>
  <c r="G29" i="3"/>
  <c r="L99" i="2"/>
  <c r="L100" i="2" s="1"/>
  <c r="L74" i="2"/>
  <c r="L76" i="2" s="1"/>
  <c r="L78" i="2" s="1"/>
  <c r="L72" i="2"/>
  <c r="L73" i="2"/>
  <c r="G16" i="3"/>
  <c r="L41" i="2" l="1"/>
  <c r="L49" i="2"/>
  <c r="L50" i="2" s="1"/>
  <c r="M98" i="2"/>
  <c r="M101" i="2" l="1"/>
  <c r="M31" i="2"/>
  <c r="M32" i="2" s="1"/>
  <c r="M33" i="2" s="1"/>
  <c r="L45" i="2"/>
  <c r="L52" i="2" s="1"/>
  <c r="L54" i="2" s="1"/>
  <c r="L55" i="2" s="1"/>
  <c r="L57" i="2" s="1"/>
  <c r="L3" i="2" s="1"/>
  <c r="M77" i="2"/>
  <c r="L80" i="2"/>
  <c r="M35" i="2" l="1"/>
  <c r="M36" i="2"/>
  <c r="H21" i="3"/>
  <c r="M62" i="2"/>
  <c r="M66" i="2" s="1"/>
  <c r="M53" i="2"/>
  <c r="M20" i="2" l="1"/>
  <c r="M19" i="2" s="1"/>
  <c r="H22" i="3"/>
  <c r="H26" i="3" s="1"/>
  <c r="M99" i="2" l="1"/>
  <c r="M100" i="2" s="1"/>
  <c r="M72" i="2"/>
  <c r="M74" i="2"/>
  <c r="M76" i="2" s="1"/>
  <c r="M78" i="2" s="1"/>
  <c r="H28" i="3"/>
  <c r="H29" i="3"/>
  <c r="M73" i="2"/>
  <c r="H16" i="3"/>
  <c r="M41" i="2" l="1"/>
  <c r="M80" i="2" s="1"/>
  <c r="M49" i="2"/>
  <c r="M50" i="2" s="1"/>
  <c r="N98" i="2"/>
  <c r="N101" i="2" l="1"/>
  <c r="N31" i="2"/>
  <c r="N32" i="2" s="1"/>
  <c r="N33" i="2" s="1"/>
  <c r="M45" i="2"/>
  <c r="M52" i="2" s="1"/>
  <c r="M54" i="2" s="1"/>
  <c r="M55" i="2" s="1"/>
  <c r="M57" i="2" s="1"/>
  <c r="M3" i="2" s="1"/>
  <c r="N77" i="2"/>
  <c r="N36" i="2" l="1"/>
  <c r="N39" i="3"/>
  <c r="N35" i="2"/>
  <c r="N62" i="2"/>
  <c r="N66" i="2" s="1"/>
  <c r="I21" i="3"/>
  <c r="N53" i="2"/>
  <c r="M22" i="3" l="1"/>
  <c r="I22" i="3"/>
  <c r="I26" i="3" s="1"/>
  <c r="M39" i="3"/>
  <c r="R25" i="3"/>
  <c r="M21" i="3"/>
  <c r="M23" i="3"/>
  <c r="N20" i="2"/>
  <c r="I28" i="3" l="1"/>
  <c r="R60" i="3" s="1"/>
  <c r="Q59" i="3"/>
  <c r="I29" i="3"/>
  <c r="M62" i="3"/>
  <c r="M60" i="3"/>
  <c r="Q57" i="3"/>
  <c r="R61" i="3"/>
  <c r="R70" i="3" s="1"/>
  <c r="R21" i="3"/>
  <c r="N61" i="3"/>
  <c r="N59" i="3"/>
  <c r="N57" i="3"/>
  <c r="Q61" i="3"/>
  <c r="M61" i="3"/>
  <c r="M59" i="3"/>
  <c r="M57" i="3"/>
  <c r="R27" i="3"/>
  <c r="N73" i="2"/>
  <c r="I16" i="3"/>
  <c r="N19" i="2"/>
  <c r="J28" i="3"/>
  <c r="T25" i="3"/>
  <c r="M66" i="3" l="1"/>
  <c r="M68" i="3"/>
  <c r="Q66" i="3"/>
  <c r="M70" i="3"/>
  <c r="N68" i="3"/>
  <c r="R69" i="3"/>
  <c r="N60" i="3"/>
  <c r="N69" i="3" s="1"/>
  <c r="P58" i="3"/>
  <c r="P67" i="3" s="1"/>
  <c r="P60" i="3"/>
  <c r="O57" i="3"/>
  <c r="O66" i="3" s="1"/>
  <c r="P57" i="3"/>
  <c r="P66" i="3" s="1"/>
  <c r="O59" i="3"/>
  <c r="O68" i="3" s="1"/>
  <c r="O58" i="3"/>
  <c r="O67" i="3" s="1"/>
  <c r="P59" i="3"/>
  <c r="P68" i="3" s="1"/>
  <c r="P61" i="3"/>
  <c r="P70" i="3" s="1"/>
  <c r="R57" i="3"/>
  <c r="R66" i="3" s="1"/>
  <c r="O60" i="3"/>
  <c r="O69" i="3" s="1"/>
  <c r="R59" i="3"/>
  <c r="R68" i="3" s="1"/>
  <c r="R62" i="3"/>
  <c r="R71" i="3"/>
  <c r="N62" i="3"/>
  <c r="N71" i="3" s="1"/>
  <c r="P69" i="3"/>
  <c r="N99" i="2"/>
  <c r="N100" i="2" s="1"/>
  <c r="N49" i="2" s="1"/>
  <c r="N50" i="2" s="1"/>
  <c r="N72" i="2"/>
  <c r="N74" i="2"/>
  <c r="N76" i="2" s="1"/>
  <c r="N78" i="2" s="1"/>
  <c r="Q70" i="3"/>
  <c r="M58" i="3"/>
  <c r="M67" i="3" s="1"/>
  <c r="P62" i="3"/>
  <c r="P71" i="3" s="1"/>
  <c r="N66" i="3"/>
  <c r="M69" i="3"/>
  <c r="Q58" i="3"/>
  <c r="Q67" i="3" s="1"/>
  <c r="M71" i="3"/>
  <c r="Q60" i="3"/>
  <c r="Q69" i="3" s="1"/>
  <c r="R32" i="3"/>
  <c r="N70" i="3"/>
  <c r="Q62" i="3"/>
  <c r="Q71" i="3" s="1"/>
  <c r="T27" i="3"/>
  <c r="R28" i="3" s="1"/>
  <c r="M20" i="3"/>
  <c r="Q68" i="3"/>
  <c r="O62" i="3"/>
  <c r="O71" i="3" s="1"/>
  <c r="R58" i="3"/>
  <c r="R67" i="3" s="1"/>
  <c r="O61" i="3"/>
  <c r="O70" i="3" s="1"/>
  <c r="N58" i="3"/>
  <c r="N67" i="3" s="1"/>
  <c r="N41" i="2" l="1"/>
  <c r="N45" i="2" s="1"/>
  <c r="N52" i="2" s="1"/>
  <c r="N54" i="2" s="1"/>
  <c r="N55" i="2" s="1"/>
  <c r="N57" i="2" s="1"/>
  <c r="N3" i="2" s="1"/>
  <c r="N80" i="2"/>
  <c r="T32" i="3"/>
  <c r="D35" i="3"/>
  <c r="D37" i="3" s="1"/>
  <c r="R33" i="3" l="1"/>
  <c r="R35" i="3" l="1"/>
  <c r="R3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vengeanceaiUSCMODEL18.0</author>
  </authors>
  <commentList>
    <comment ref="B2" authorId="0" shapeId="0" xr:uid="{00000000-0006-0000-0100-000001000000}">
      <text>
        <r>
          <rPr>
            <sz val="11"/>
            <color theme="1"/>
            <rFont val="Calibri"/>
            <family val="2"/>
            <scheme val="minor"/>
          </rPr>
          <t>Forecast year label
WHY: Adds one year to the prior column’s fiscal-year label so forecast headers stay sequential.
PATTERN: ={p}2+1
LINK: https://www.sec.gov/Archives/edgar/data/814547/000081454725000030/fico-20250930.htm</t>
        </r>
      </text>
    </comment>
    <comment ref="J2" authorId="0" shapeId="0" xr:uid="{00000000-0006-0000-0100-000002000000}">
      <text>
        <r>
          <rPr>
            <sz val="11"/>
            <color theme="1"/>
            <rFont val="Calibri"/>
            <family val="2"/>
            <scheme val="minor"/>
          </rPr>
          <t>Forecast year label
FORMULA: =I2+1
WHY: Adds one year to the prior column’s fiscal-year label so forecast headers stay sequential.
LINK: https://www.sec.gov/Archives/edgar/data/814547/000081454725000030/fico-20250930.htm</t>
        </r>
      </text>
    </comment>
    <comment ref="K2" authorId="0" shapeId="0" xr:uid="{00000000-0006-0000-0100-000003000000}">
      <text>
        <r>
          <rPr>
            <sz val="11"/>
            <color theme="1"/>
            <rFont val="Calibri"/>
            <family val="2"/>
            <scheme val="minor"/>
          </rPr>
          <t>Forecast year label
FORMULA: =J2+1
WHY: Adds one year to the prior column’s fiscal-year label so forecast headers stay sequential.
LINK: https://www.sec.gov/Archives/edgar/data/814547/000081454725000030/fico-20250930.htm</t>
        </r>
      </text>
    </comment>
    <comment ref="L2" authorId="0" shapeId="0" xr:uid="{00000000-0006-0000-0100-000004000000}">
      <text>
        <r>
          <rPr>
            <sz val="11"/>
            <color theme="1"/>
            <rFont val="Calibri"/>
            <family val="2"/>
            <scheme val="minor"/>
          </rPr>
          <t>Forecast year label
FORMULA: =K2+1
WHY: Adds one year to the prior column’s fiscal-year label so forecast headers stay sequential.
LINK: https://www.sec.gov/Archives/edgar/data/814547/000081454725000030/fico-20250930.htm</t>
        </r>
      </text>
    </comment>
    <comment ref="M2" authorId="0" shapeId="0" xr:uid="{00000000-0006-0000-0100-000005000000}">
      <text>
        <r>
          <rPr>
            <sz val="11"/>
            <color theme="1"/>
            <rFont val="Calibri"/>
            <family val="2"/>
            <scheme val="minor"/>
          </rPr>
          <t>Forecast year label
FORMULA: =L2+1
WHY: Adds one year to the prior column’s fiscal-year label so forecast headers stay sequential.
LINK: https://www.sec.gov/Archives/edgar/data/814547/000081454725000030/fico-20250930.htm</t>
        </r>
      </text>
    </comment>
    <comment ref="N2" authorId="0" shapeId="0" xr:uid="{00000000-0006-0000-0100-000006000000}">
      <text>
        <r>
          <rPr>
            <sz val="11"/>
            <color theme="1"/>
            <rFont val="Calibri"/>
            <family val="2"/>
            <scheme val="minor"/>
          </rPr>
          <t>Forecast year label
FORMULA: =M2+1
WHY: Adds one year to the prior column’s fiscal-year label so forecast headers stay sequential.
LINK: https://www.sec.gov/Archives/edgar/data/814547/000081454725000030/fico-20250930.htm</t>
        </r>
      </text>
    </comment>
    <comment ref="B3" authorId="0" shapeId="0" xr:uid="{00000000-0006-0000-0100-000007000000}">
      <text>
        <r>
          <rPr>
            <sz val="11"/>
            <color theme="1"/>
            <rFont val="Calibri"/>
            <family val="2"/>
            <scheme val="minor"/>
          </rPr>
          <t>Balance sheet check
WHY: Flags ERROR if Assets ≠ L+E by more than $1k; otherwise OK. Protects the plug.
PATTERN: =IFERROR(IF(ABS({c}57)&gt;1,"ERROR","OK"),"OK")
LINK: https://www.sec.gov/Archives/edgar/data/814547/000081454725000030/fico-20250930.htm</t>
        </r>
      </text>
    </comment>
    <comment ref="J3" authorId="0" shapeId="0" xr:uid="{00000000-0006-0000-0100-000008000000}">
      <text>
        <r>
          <rPr>
            <sz val="11"/>
            <color theme="1"/>
            <rFont val="Calibri"/>
            <family val="2"/>
            <scheme val="minor"/>
          </rPr>
          <t>Balance sheet check
FORMULA: =IFERROR(IF(ABS(J57)&gt;1,"ERROR","OK"),"OK")
WHY: Flags ERROR if Assets ≠ L+E by more than $1k; otherwise OK. Protects the plug.
LINK: https://www.sec.gov/Archives/edgar/data/814547/000081454725000030/fico-20250930.htm</t>
        </r>
      </text>
    </comment>
    <comment ref="K3" authorId="0" shapeId="0" xr:uid="{00000000-0006-0000-0100-000009000000}">
      <text>
        <r>
          <rPr>
            <sz val="11"/>
            <color theme="1"/>
            <rFont val="Calibri"/>
            <family val="2"/>
            <scheme val="minor"/>
          </rPr>
          <t>Balance sheet check
FORMULA: =IFERROR(IF(ABS(K57)&gt;1,"ERROR","OK"),"OK")
WHY: Flags ERROR if Assets ≠ L+E by more than $1k; otherwise OK. Protects the plug.
LINK: https://www.sec.gov/Archives/edgar/data/814547/000081454725000030/fico-20250930.htm</t>
        </r>
      </text>
    </comment>
    <comment ref="L3" authorId="0" shapeId="0" xr:uid="{00000000-0006-0000-0100-00000A000000}">
      <text>
        <r>
          <rPr>
            <sz val="11"/>
            <color theme="1"/>
            <rFont val="Calibri"/>
            <family val="2"/>
            <scheme val="minor"/>
          </rPr>
          <t>Balance sheet check
FORMULA: =IFERROR(IF(ABS(L57)&gt;1,"ERROR","OK"),"OK")
WHY: Flags ERROR if Assets ≠ L+E by more than $1k; otherwise OK. Protects the plug.
LINK: https://www.sec.gov/Archives/edgar/data/814547/000081454725000030/fico-20250930.htm</t>
        </r>
      </text>
    </comment>
    <comment ref="M3" authorId="0" shapeId="0" xr:uid="{00000000-0006-0000-0100-00000B000000}">
      <text>
        <r>
          <rPr>
            <sz val="11"/>
            <color theme="1"/>
            <rFont val="Calibri"/>
            <family val="2"/>
            <scheme val="minor"/>
          </rPr>
          <t>Balance sheet check
FORMULA: =IFERROR(IF(ABS(M57)&gt;1,"ERROR","OK"),"OK")
WHY: Flags ERROR if Assets ≠ L+E by more than $1k; otherwise OK. Protects the plug.
LINK: https://www.sec.gov/Archives/edgar/data/814547/000081454725000030/fico-20250930.htm</t>
        </r>
      </text>
    </comment>
    <comment ref="N3" authorId="0" shapeId="0" xr:uid="{00000000-0006-0000-0100-00000C000000}">
      <text>
        <r>
          <rPr>
            <sz val="11"/>
            <color theme="1"/>
            <rFont val="Calibri"/>
            <family val="2"/>
            <scheme val="minor"/>
          </rPr>
          <t>Balance sheet check
FORMULA: =IFERROR(IF(ABS(N57)&gt;1,"ERROR","OK"),"OK")
WHY: Flags ERROR if Assets ≠ L+E by more than $1k; otherwise OK. Protects the plug.
LINK: https://www.sec.gov/Archives/edgar/data/814547/000081454725000030/fico-20250930.htm</t>
        </r>
      </text>
    </comment>
    <comment ref="B7" authorId="0" shapeId="0" xr:uid="{00000000-0006-0000-0100-00000D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J7" authorId="0" shapeId="0" xr:uid="{00000000-0006-0000-0100-00000E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K7" authorId="0" shapeId="0" xr:uid="{00000000-0006-0000-0100-00000F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L7" authorId="0" shapeId="0" xr:uid="{00000000-0006-0000-0100-000010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M7" authorId="0" shapeId="0" xr:uid="{00000000-0006-0000-0100-000011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N7" authorId="0" shapeId="0" xr:uid="{00000000-0006-0000-0100-000012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U7" authorId="0" shapeId="0" xr:uid="{00000000-0006-0000-0100-000013000000}">
      <text>
        <r>
          <rPr>
            <sz val="11"/>
            <color theme="1"/>
            <rFont val="Calibri"/>
            <family val="2"/>
            <scheme val="minor"/>
          </rPr>
          <t>Revenue Growth
HOW: Yellow POLICY input: 30.0% / 18.0% / 14.5% / 11.0% / 8.5%.
WHY: Revenue growth path unchanged vs Model17 (30%/18%/14.5%/11%/8.5%). DCF applies stub scaling to Y1 FCFF only — 3S still builds a full fiscal year for BS integrity.
SOURCE: SEC EX-99.1 Q3 FY2026 — Scores +41% / B2B +49%; FY2026 guidance
LINK: https://www.sec.gov/Archives/edgar/data/814547/000081454726000031/exhibit991erq32026.htm
ASSUMPTIONS LIST PDF: https://raw.githubusercontent.com/vengeanceaiUSC/Rainmaker/cursor/vengeanceaiusmodel18-d3ac/FICO/output/MODEL18_FICO_ASSUMPTIONS_LIST.pdf</t>
        </r>
      </text>
    </comment>
    <comment ref="V7" authorId="0" shapeId="0" xr:uid="{00000000-0006-0000-0100-000014000000}">
      <text>
        <r>
          <rPr>
            <sz val="11"/>
            <color theme="1"/>
            <rFont val="Calibri"/>
            <family val="2"/>
            <scheme val="minor"/>
          </rPr>
          <t>Filing source for this row:
https://www.sec.gov/Archives/edgar/data/814547/000081454726000031/exhibit991erq32026.htm
Full Assumptions List PDF (click orange title P4):
https://raw.githubusercontent.com/vengeanceaiUSC/Rainmaker/cursor/vengeanceaiusmodel18-d3ac/FICO/output/MODEL18_FICO_ASSUMPTIONS_LIST.pdf</t>
        </r>
      </text>
    </comment>
    <comment ref="B8" authorId="0" shapeId="0" xr:uid="{00000000-0006-0000-0100-000015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J8" authorId="0" shapeId="0" xr:uid="{00000000-0006-0000-0100-000016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K8" authorId="0" shapeId="0" xr:uid="{00000000-0006-0000-0100-000017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L8" authorId="0" shapeId="0" xr:uid="{00000000-0006-0000-0100-000018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M8" authorId="0" shapeId="0" xr:uid="{00000000-0006-0000-0100-000019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N8" authorId="0" shapeId="0" xr:uid="{00000000-0006-0000-0100-00001A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U8" authorId="0" shapeId="0" xr:uid="{00000000-0006-0000-0100-00001B000000}">
      <text>
        <r>
          <rPr>
            <sz val="11"/>
            <color theme="1"/>
            <rFont val="Calibri"/>
            <family val="2"/>
            <scheme val="minor"/>
          </rPr>
          <t>COGS % of Revenue
HOW: Excel: MAX(8%, segment blended COGS base≈12.98% − 120bps × year).
WHY: MODEL18 Yacktman: Margins unchanged vs Model17 (COGS −120 / SG&amp;A −175 / R&amp;D −50; floor 8%; GM_B2B 97%). Mix % offset within Total Revenue (not a second revenue stack).
SOURCE: SEC 10-K FY2025 — Scores +$249M YoY 'primarily attributable to a higher unit price'
LINK: https://www.sec.gov/Archives/edgar/data/814547/000081454725000030/fico-20250930.htm
ASSUMPTIONS LIST PDF: https://raw.githubusercontent.com/vengeanceaiUSC/Rainmaker/cursor/vengeanceaiusmodel18-d3ac/FICO/output/MODEL18_FICO_ASSUMPTIONS_LIST.pdf</t>
        </r>
      </text>
    </comment>
    <comment ref="V8" authorId="0" shapeId="0" xr:uid="{00000000-0006-0000-0100-00001C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9" authorId="0" shapeId="0" xr:uid="{00000000-0006-0000-0100-00001D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J9" authorId="0" shapeId="0" xr:uid="{00000000-0006-0000-0100-00001E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K9" authorId="0" shapeId="0" xr:uid="{00000000-0006-0000-0100-00001F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L9" authorId="0" shapeId="0" xr:uid="{00000000-0006-0000-0100-000020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M9" authorId="0" shapeId="0" xr:uid="{00000000-0006-0000-0100-000021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N9" authorId="0" shapeId="0" xr:uid="{00000000-0006-0000-0100-000022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U9" authorId="0" shapeId="0" xr:uid="{00000000-0006-0000-0100-000023000000}">
      <text>
        <r>
          <rPr>
            <sz val="11"/>
            <color theme="1"/>
            <rFont val="Calibri"/>
            <family val="2"/>
            <scheme val="minor"/>
          </rPr>
          <t>SG&amp;A % of Revenue
HOW: Equation: MAX(14%, (I28 − 10,922)/I24 − 175bps × year). Strips FY25 restructuring; then −1.75% of sales each year.
WHY: SG&amp;A unchanged vs Model17 (−175 bps/yr, floor 14%) — Scores near-100% incremental margins.
SOURCE: SEC 10-K FY2025 — SG&amp;A + Scores pricing commentary
LINK: https://www.sec.gov/Archives/edgar/data/814547/000081454725000030/fico-20250930.htm
ASSUMPTIONS LIST PDF: https://raw.githubusercontent.com/vengeanceaiUSC/Rainmaker/cursor/vengeanceaiusmodel18-d3ac/FICO/output/MODEL18_FICO_ASSUMPTIONS_LIST.pdf</t>
        </r>
      </text>
    </comment>
    <comment ref="V9" authorId="0" shapeId="0" xr:uid="{00000000-0006-0000-0100-000024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0" authorId="0" shapeId="0" xr:uid="{00000000-0006-0000-0100-000025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J10" authorId="0" shapeId="0" xr:uid="{00000000-0006-0000-0100-000026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K10" authorId="0" shapeId="0" xr:uid="{00000000-0006-0000-0100-000027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L10" authorId="0" shapeId="0" xr:uid="{00000000-0006-0000-0100-000028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M10" authorId="0" shapeId="0" xr:uid="{00000000-0006-0000-0100-000029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N10" authorId="0" shapeId="0" xr:uid="{00000000-0006-0000-0100-00002A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U10" authorId="0" shapeId="0" xr:uid="{00000000-0006-0000-0100-00002B000000}">
      <text>
        <r>
          <rPr>
            <sz val="11"/>
            <color theme="1"/>
            <rFont val="Calibri"/>
            <family val="2"/>
            <scheme val="minor"/>
          </rPr>
          <t>R&amp;D % of Revenue
HOW: Excel: MAX(7%, I29/I24 − 50bps × year).
WHY: R&amp;D unchanged vs Model17 (−50 bps/yr, floor 7%) — royalty price dollars do not require 1:1 R&amp;D.
SOURCE: SEC 10-K FY2025 — Research and development
LINK: https://www.sec.gov/Archives/edgar/data/814547/000081454725000030/fico-20250930.htm
ASSUMPTIONS LIST PDF: https://raw.githubusercontent.com/vengeanceaiUSC/Rainmaker/cursor/vengeanceaiusmodel18-d3ac/FICO/output/MODEL18_FICO_ASSUMPTIONS_LIST.pdf</t>
        </r>
      </text>
    </comment>
    <comment ref="V10" authorId="0" shapeId="0" xr:uid="{00000000-0006-0000-0100-00002C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1" authorId="0" shapeId="0" xr:uid="{00000000-0006-0000-0100-00002D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J11" authorId="0" shapeId="0" xr:uid="{00000000-0006-0000-0100-00002E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K11" authorId="0" shapeId="0" xr:uid="{00000000-0006-0000-0100-00002F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L11" authorId="0" shapeId="0" xr:uid="{00000000-0006-0000-0100-000030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M11" authorId="0" shapeId="0" xr:uid="{00000000-0006-0000-0100-000031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N11" authorId="0" shapeId="0" xr:uid="{00000000-0006-0000-0100-000032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U11" authorId="0" shapeId="0" xr:uid="{00000000-0006-0000-0100-000033000000}">
      <text>
        <r>
          <rPr>
            <sz val="11"/>
            <color theme="1"/>
            <rFont val="Calibri"/>
            <family val="2"/>
            <scheme val="minor"/>
          </rPr>
          <t>D&amp;A % of Revenue
HOW: Yellow POLICY input: flat 0.84% (3yr FY23–25 avg TOTAL D&amp;A). Forecast DA$ = Revenue × DA%; CF row 63 adds it back once.
WHY: MODEL18: TOTAL D&amp;A ≈ 0.84% of Rev. SBC is a SEPARATE add-back — no double-count.
SOURCE: SEC companyfacts — DepreciationDepletionAndAmortization (+ AmortizationOfIntangibleAssets)
LINK: https://data.sec.gov/api/xbrl/companyfacts/CIK0000814547.json
ASSUMPTIONS LIST PDF: https://raw.githubusercontent.com/vengeanceaiUSC/Rainmaker/cursor/vengeanceaiusmodel18-d3ac/FICO/output/MODEL18_FICO_ASSUMPTIONS_LIST.pdf</t>
        </r>
      </text>
    </comment>
    <comment ref="V11" authorId="0" shapeId="0" xr:uid="{00000000-0006-0000-0100-000034000000}">
      <text>
        <r>
          <rPr>
            <sz val="11"/>
            <color theme="1"/>
            <rFont val="Calibri"/>
            <family val="2"/>
            <scheme val="minor"/>
          </rPr>
          <t>Filing source for this row:
https://data.sec.gov/api/xbrl/companyfacts/CIK0000814547.json
Full Assumptions List PDF (click orange title P4):
https://raw.githubusercontent.com/vengeanceaiUSC/Rainmaker/cursor/vengeanceaiusmodel18-d3ac/FICO/output/MODEL18_FICO_ASSUMPTIONS_LIST.pdf</t>
        </r>
      </text>
    </comment>
    <comment ref="B12" authorId="0" shapeId="0" xr:uid="{00000000-0006-0000-0100-000035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J12" authorId="0" shapeId="0" xr:uid="{00000000-0006-0000-0100-000036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K12" authorId="0" shapeId="0" xr:uid="{00000000-0006-0000-0100-000037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L12" authorId="0" shapeId="0" xr:uid="{00000000-0006-0000-0100-000038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M12" authorId="0" shapeId="0" xr:uid="{00000000-0006-0000-0100-000039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N12" authorId="0" shapeId="0" xr:uid="{00000000-0006-0000-0100-00003A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U12" authorId="0" shapeId="0" xr:uid="{00000000-0006-0000-0100-00003B000000}">
      <text>
        <r>
          <rPr>
            <sz val="11"/>
            <color theme="1"/>
            <rFont val="Calibri"/>
            <family val="2"/>
            <scheme val="minor"/>
          </rPr>
          <t>Interest % of Debt Open
HOW: Excel equation: I101/I98 (FY25 interest ÷ FY25 opening debt in schedule).
WHY: Approximates average coupon / cost of debt on the book. Debt stock follows the net debt issuance assumption (row 19).
SOURCE: SEC 10-K FY2025 — Interest expense; see also 8-K 6.250% notes
LINK: https://www.sec.gov/Archives/edgar/data/814547/000081454725000030/fico-20250930.htm
ASSUMPTIONS LIST PDF: https://raw.githubusercontent.com/vengeanceaiUSC/Rainmaker/cursor/vengeanceaiusmodel18-d3ac/FICO/output/MODEL18_FICO_ASSUMPTIONS_LIST.pdf</t>
        </r>
      </text>
    </comment>
    <comment ref="V12" authorId="0" shapeId="0" xr:uid="{00000000-0006-0000-0100-00003C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3" authorId="0" shapeId="0" xr:uid="{00000000-0006-0000-0100-00003D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J13" authorId="0" shapeId="0" xr:uid="{00000000-0006-0000-0100-00003E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K13" authorId="0" shapeId="0" xr:uid="{00000000-0006-0000-0100-00003F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L13" authorId="0" shapeId="0" xr:uid="{00000000-0006-0000-0100-000040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M13" authorId="0" shapeId="0" xr:uid="{00000000-0006-0000-0100-000041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N13" authorId="0" shapeId="0" xr:uid="{00000000-0006-0000-0100-000042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U13" authorId="0" shapeId="0" xr:uid="{00000000-0006-0000-0100-000043000000}">
      <text>
        <r>
          <rPr>
            <sz val="11"/>
            <color theme="1"/>
            <rFont val="Calibri"/>
            <family val="2"/>
            <scheme val="minor"/>
          </rPr>
          <t>Book Tax Rate (% of EBT)
HOW: Excel equation: I35/I33 (FY25 tax ÷ simplified FY25 EBT in this template).
WHY: Book rate (~19%) remains on the income statement. DCF unlevered cash taxes use a separate cash tax rate (22.87% = 3yr IncomeTaxesPaidNet/EBT). Keep cash tax 22.87% (3yr IncomeTaxesPaidNet/EBT). Book ETR ~18.8% used in CAPM Rd(1−T).
SOURCE: SEC 10-K FY2025 — tax expense; cash taxes from IncomeTaxesPaidNet
LINK: https://data.sec.gov/api/xbrl/companyfacts/CIK0000814547.json
ASSUMPTIONS LIST PDF: https://raw.githubusercontent.com/vengeanceaiUSC/Rainmaker/cursor/vengeanceaiusmodel18-d3ac/FICO/output/MODEL18_FICO_ASSUMPTIONS_LIST.pdf</t>
        </r>
      </text>
    </comment>
    <comment ref="V13" authorId="0" shapeId="0" xr:uid="{00000000-0006-0000-0100-000044000000}">
      <text>
        <r>
          <rPr>
            <sz val="11"/>
            <color theme="1"/>
            <rFont val="Calibri"/>
            <family val="2"/>
            <scheme val="minor"/>
          </rPr>
          <t>Filing source for this row:
https://data.sec.gov/api/xbrl/companyfacts/CIK0000814547.json
Full Assumptions List PDF (click orange title P4):
https://raw.githubusercontent.com/vengeanceaiUSC/Rainmaker/cursor/vengeanceaiusmodel18-d3ac/FICO/output/MODEL18_FICO_ASSUMPTIONS_LIST.pdf</t>
        </r>
      </text>
    </comment>
    <comment ref="B15" authorId="0" shapeId="0" xr:uid="{00000000-0006-0000-0100-000045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J15" authorId="0" shapeId="0" xr:uid="{00000000-0006-0000-0100-000046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K15" authorId="0" shapeId="0" xr:uid="{00000000-0006-0000-0100-000047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L15" authorId="0" shapeId="0" xr:uid="{00000000-0006-0000-0100-000048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M15" authorId="0" shapeId="0" xr:uid="{00000000-0006-0000-0100-000049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N15" authorId="0" shapeId="0" xr:uid="{00000000-0006-0000-0100-00004A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U15" authorId="0" shapeId="0" xr:uid="{00000000-0006-0000-0100-00004B000000}">
      <text>
        <r>
          <rPr>
            <sz val="11"/>
            <color theme="1"/>
            <rFont val="Calibri"/>
            <family val="2"/>
            <scheme val="minor"/>
          </rPr>
          <t>DSO — Accounts Receivable (Days)
HOW: Yellow POLICY path: phases 97d (FY25 hist) → 28d over 5 years (Y1≈83.2d … Y5=28d). Segment blend ref ≈ 27.5d on schedule row 115 (SaaS 40/B2C 2/B2B 25/PS 12/On-prem 40).
WHY: DSO path unchanged vs Model17 (97→28d). DSO path unchanged vs Model17 (97→28d). 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SOURCE: SEC 10-K FY2025 — AR; Q1 FY2026 deferred detail (R45)
LINK: https://www.sec.gov/Archives/edgar/data/814547/000081454726000011/R45.htm
ASSUMPTIONS LIST PDF: https://raw.githubusercontent.com/vengeanceaiUSC/Rainmaker/cursor/vengeanceaiusmodel18-d3ac/FICO/output/MODEL18_FICO_ASSUMPTIONS_LIST.pdf</t>
        </r>
      </text>
    </comment>
    <comment ref="V15" authorId="0" shapeId="0" xr:uid="{00000000-0006-0000-0100-00004C000000}">
      <text>
        <r>
          <rPr>
            <sz val="11"/>
            <color theme="1"/>
            <rFont val="Calibri"/>
            <family val="2"/>
            <scheme val="minor"/>
          </rPr>
          <t>Filing source for this row:
https://www.sec.gov/Archives/edgar/data/814547/000081454726000011/R45.htm
Full Assumptions List PDF (click orange title P4):
https://raw.githubusercontent.com/vengeanceaiUSC/Rainmaker/cursor/vengeanceaiusmodel18-d3ac/FICO/output/MODEL18_FICO_ASSUMPTIONS_LIST.pdf</t>
        </r>
      </text>
    </comment>
    <comment ref="B16" authorId="0" shapeId="0" xr:uid="{00000000-0006-0000-0100-00004D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J16" authorId="0" shapeId="0" xr:uid="{00000000-0006-0000-0100-00004E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K16" authorId="0" shapeId="0" xr:uid="{00000000-0006-0000-0100-00004F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L16" authorId="0" shapeId="0" xr:uid="{00000000-0006-0000-0100-000050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M16" authorId="0" shapeId="0" xr:uid="{00000000-0006-0000-0100-000051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N16" authorId="0" shapeId="0" xr:uid="{00000000-0006-0000-0100-000052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U16" authorId="0" shapeId="0" xr:uid="{00000000-0006-0000-0100-000053000000}">
      <text>
        <r>
          <rPr>
            <sz val="11"/>
            <color theme="1"/>
            <rFont val="Calibri"/>
            <family val="2"/>
            <scheme val="minor"/>
          </rPr>
          <t>Inventory (Days)
HOW: Hard zero — FICO is software / scores; inventory is immaterial.
WHY: No inventory cycle to fund.
SOURCE: SEC 10-K FY2025 — Inventory ≈ $0
LINK: https://www.sec.gov/Archives/edgar/data/814547/000081454725000030/fico-20250930.htm
ASSUMPTIONS LIST PDF: https://raw.githubusercontent.com/vengeanceaiUSC/Rainmaker/cursor/vengeanceaiusmodel18-d3ac/FICO/output/MODEL18_FICO_ASSUMPTIONS_LIST.pdf</t>
        </r>
      </text>
    </comment>
    <comment ref="V16" authorId="0" shapeId="0" xr:uid="{00000000-0006-0000-0100-000054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7" authorId="0" shapeId="0" xr:uid="{00000000-0006-0000-0100-000055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J17" authorId="0" shapeId="0" xr:uid="{00000000-0006-0000-0100-000056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K17" authorId="0" shapeId="0" xr:uid="{00000000-0006-0000-0100-000057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L17" authorId="0" shapeId="0" xr:uid="{00000000-0006-0000-0100-000058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M17" authorId="0" shapeId="0" xr:uid="{00000000-0006-0000-0100-000059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N17" authorId="0" shapeId="0" xr:uid="{00000000-0006-0000-0100-00005A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U17" authorId="0" shapeId="0" xr:uid="{00000000-0006-0000-0100-00005B000000}">
      <text>
        <r>
          <rPr>
            <sz val="11"/>
            <color theme="1"/>
            <rFont val="Calibri"/>
            <family val="2"/>
            <scheme val="minor"/>
          </rPr>
          <t>DPO — Accounts Payable (Days)
HOW: Excel equation: ROUND(I48/I25×365, 0) from FY25; held flat.
WHY: MODEL18: DPO pairs with phased DSO for Op NWC = AR+Inv−AP. Deferred is a SEPARATE CFO cash source (row 81) — never mixed into AR/DPO.
SOURCE: SEC 10-K FY2025 — Accounts payable
LINK: https://www.sec.gov/Archives/edgar/data/814547/000081454725000030/fico-20250930.htm
ASSUMPTIONS LIST PDF: https://raw.githubusercontent.com/vengeanceaiUSC/Rainmaker/cursor/vengeanceaiusmodel18-d3ac/FICO/output/MODEL18_FICO_ASSUMPTIONS_LIST.pdf</t>
        </r>
      </text>
    </comment>
    <comment ref="V17" authorId="0" shapeId="0" xr:uid="{00000000-0006-0000-0100-00005C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8" authorId="0" shapeId="0" xr:uid="{00000000-0006-0000-0100-00005D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J18" authorId="0" shapeId="0" xr:uid="{00000000-0006-0000-0100-00005E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K18" authorId="0" shapeId="0" xr:uid="{00000000-0006-0000-0100-00005F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L18" authorId="0" shapeId="0" xr:uid="{00000000-0006-0000-0100-000060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M18" authorId="0" shapeId="0" xr:uid="{00000000-0006-0000-0100-000061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N18" authorId="0" shapeId="0" xr:uid="{00000000-0006-0000-0100-000062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U18" authorId="0" shapeId="0" xr:uid="{00000000-0006-0000-0100-000063000000}">
      <text>
        <r>
          <rPr>
            <sz val="11"/>
            <color theme="1"/>
            <rFont val="Calibri"/>
            <family val="2"/>
            <scheme val="minor"/>
          </rPr>
          <t>CapEx % of Revenue
HOW: Yellow POLICY path: 0.85% / 0.70% / 0.55% / 0.45% / 0.35% (fade with operating leverage).
WHY: MODEL18 Yacktman: Updated CapEx from Model17 (Previous: 1.00% → 0.85% → 0.70% → 0.55% → 0.40%) to Model18 (New: 0.85% → 0.70% → 0.55% → 0.45% → 0.35%) — Scores coupons need ~0 CapEx; Platform is mostly cloud opex not PPE.
SOURCE: SEC 10-K / companyfacts — PPE purchases + capitalized software; fade to maintenance
LINK: https://data.sec.gov/api/xbrl/companyfacts/CIK0000814547.json
ASSUMPTIONS LIST PDF: https://raw.githubusercontent.com/vengeanceaiUSC/Rainmaker/cursor/vengeanceaiusmodel18-d3ac/FICO/output/MODEL18_FICO_ASSUMPTIONS_LIST.pdf</t>
        </r>
      </text>
    </comment>
    <comment ref="V18" authorId="0" shapeId="0" xr:uid="{00000000-0006-0000-0100-000064000000}">
      <text>
        <r>
          <rPr>
            <sz val="11"/>
            <color theme="1"/>
            <rFont val="Calibri"/>
            <family val="2"/>
            <scheme val="minor"/>
          </rPr>
          <t>Filing source for this row:
https://data.sec.gov/api/xbrl/companyfacts/CIK0000814547.json
Full Assumptions List PDF (click orange title P4):
https://raw.githubusercontent.com/vengeanceaiUSC/Rainmaker/cursor/vengeanceaiusmodel18-d3ac/FICO/output/MODEL18_FICO_ASSUMPTIONS_LIST.pdf</t>
        </r>
      </text>
    </comment>
    <comment ref="B19" authorId="0" shapeId="0" xr:uid="{00000000-0006-0000-0100-000065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J19" authorId="0" shapeId="0" xr:uid="{00000000-0006-0000-0100-000066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K19" authorId="0" shapeId="0" xr:uid="{00000000-0006-0000-0100-000067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L19" authorId="0" shapeId="0" xr:uid="{00000000-0006-0000-0100-000068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M19" authorId="0" shapeId="0" xr:uid="{00000000-0006-0000-0100-000069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N19" authorId="0" shapeId="0" xr:uid="{00000000-0006-0000-0100-00006A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U19" authorId="0" shapeId="0" xr:uid="{00000000-0006-0000-0100-00006B000000}">
      <text>
        <r>
          <rPr>
            <sz val="11"/>
            <color theme="1"/>
            <rFont val="Calibri"/>
            <family val="2"/>
            <scheme val="minor"/>
          </rPr>
          <t>Debt Issuance (Repayment)
HOW: Equation: −(CFO−CapEx) − EquityCF = (1.40−1)×FCF (debt funds buybacks above organic FCF).
WHY: MODEL18: Buybacks unchanged vs Model17 (1.40×(CFO−CapEx); debt funds MULT−1). Q3 FY2026 buybacks $1960M vs FCF $370.3M (https://www.sec.gov/Archives/edgar/data/814547/000081454726000031/exhibit991erq32026.htm). Financing is excluded from FCFF.
SOURCE: SEC EX-99.1 Q3 FY2026 — levered buybacks; companyfacts senior notes / LOC
LINK: https://data.sec.gov/api/xbrl/companyfacts/CIK0000814547.json
ASSUMPTIONS LIST PDF: https://raw.githubusercontent.com/vengeanceaiUSC/Rainmaker/cursor/vengeanceaiusmodel18-d3ac/FICO/output/MODEL18_FICO_ASSUMPTIONS_LIST.pdf</t>
        </r>
      </text>
    </comment>
    <comment ref="V19" authorId="0" shapeId="0" xr:uid="{00000000-0006-0000-0100-00006C000000}">
      <text>
        <r>
          <rPr>
            <sz val="11"/>
            <color theme="1"/>
            <rFont val="Calibri"/>
            <family val="2"/>
            <scheme val="minor"/>
          </rPr>
          <t>Filing source for this row:
https://data.sec.gov/api/xbrl/companyfacts/CIK0000814547.json
Full Assumptions List PDF (click orange title P4):
https://raw.githubusercontent.com/vengeanceaiUSC/Rainmaker/cursor/vengeanceaiusmodel18-d3ac/FICO/output/MODEL18_FICO_ASSUMPTIONS_LIST.pdf</t>
        </r>
      </text>
    </comment>
    <comment ref="B20" authorId="0" shapeId="0" xr:uid="{00000000-0006-0000-0100-00006D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J20" authorId="0" shapeId="0" xr:uid="{00000000-0006-0000-0100-00006E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K20" authorId="0" shapeId="0" xr:uid="{00000000-0006-0000-0100-00006F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L20" authorId="0" shapeId="0" xr:uid="{00000000-0006-0000-0100-000070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M20" authorId="0" shapeId="0" xr:uid="{00000000-0006-0000-0100-000071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N20" authorId="0" shapeId="0" xr:uid="{00000000-0006-0000-0100-000072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U20" authorId="0" shapeId="0" xr:uid="{00000000-0006-0000-0100-000073000000}">
      <text>
        <r>
          <rPr>
            <sz val="11"/>
            <color theme="1"/>
            <rFont val="Calibri"/>
            <family val="2"/>
            <scheme val="minor"/>
          </rPr>
          <t>Equity Issued (Repaid)
HOW: Equation: −1.40×(CFO−CapEx) levered buybacks (hist 3yr avg ≈ $881M/yr; Q3 FY26 &gt;&gt; FCF).
WHY: Buybacks unchanged vs Model17 (1.40× FCF); Y1 DCF share effect stub-scaled. Shares unchanged vs Model17 (21,597.635k @ $1,149 post–Q3). SBC add-back does NOT dilute; Y1 share reduction uses stub-scaled equity CF (64.66% of year).
SOURCE: SEC EX-99.1 Q3 FY2026 — buybacks vs FCF; 10-K FY2025 repurchase footnote
LINK: https://www.sec.gov/Archives/edgar/data/814547/000081454725000030/fico-20250930.htm
ASSUMPTIONS LIST PDF: https://raw.githubusercontent.com/vengeanceaiUSC/Rainmaker/cursor/vengeanceaiusmodel18-d3ac/FICO/output/MODEL18_FICO_ASSUMPTIONS_LIST.pdf</t>
        </r>
      </text>
    </comment>
    <comment ref="V20" authorId="0" shapeId="0" xr:uid="{00000000-0006-0000-0100-00007400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21" authorId="0" shapeId="0" xr:uid="{00000000-0006-0000-0100-000075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J21" authorId="0" shapeId="0" xr:uid="{00000000-0006-0000-0100-000076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K21" authorId="0" shapeId="0" xr:uid="{00000000-0006-0000-0100-000077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L21" authorId="0" shapeId="0" xr:uid="{00000000-0006-0000-0100-000078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M21" authorId="0" shapeId="0" xr:uid="{00000000-0006-0000-0100-000079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N21" authorId="0" shapeId="0" xr:uid="{00000000-0006-0000-0100-00007A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U21" authorId="0" shapeId="0" xr:uid="{00000000-0006-0000-0100-00007B000000}">
      <text>
        <r>
          <rPr>
            <sz val="11"/>
            <color theme="1"/>
            <rFont val="Calibri"/>
            <family val="2"/>
            <scheme val="minor"/>
          </rPr>
          <t>SBC % of Revenue
HOW: Yellow POLICY fade path: 7.00% / 6.50% / 6.00% / 5.50% / 5.00% (starts at 3yr avg 7.00%).
WHY: MODEL18 Yacktman: Updated SBC from Model17 (Previous: fade 8.25% / 7.80% / 7.40% / 7.00% / 6.60%) to Model18 (New: fade 7.00% / 6.50% / 6.00% / 5.50% / 5.00%). Treat SBC with suspicion but not so hard that royalty price-ups are taxed 1:1 with grants. Source: https://data.sec.gov/api/xbrl/companyfacts/CIK0000814547.json; Scores pricing https://www.sec.gov/Archives/edgar/data/814547/000081454726000031/exhibit991erq32026.htm.
SOURCE: SEC 10-K cash flow — ShareBasedCompensation (add-back only; no share dilution)
LINK: https://data.sec.gov/api/xbrl/companyfacts/CIK0000814547.json
ASSUMPTIONS LIST PDF: https://raw.githubusercontent.com/vengeanceaiUSC/Rainmaker/cursor/vengeanceaiusmodel18-d3ac/FICO/output/MODEL18_FICO_ASSUMPTIONS_LIST.pdf</t>
        </r>
      </text>
    </comment>
    <comment ref="V21" authorId="0" shapeId="0" xr:uid="{00000000-0006-0000-0100-00007C000000}">
      <text>
        <r>
          <rPr>
            <sz val="11"/>
            <color theme="1"/>
            <rFont val="Calibri"/>
            <family val="2"/>
            <scheme val="minor"/>
          </rPr>
          <t>Filing source for this row:
https://data.sec.gov/api/xbrl/companyfacts/CIK0000814547.json
Full Assumptions List PDF (click orange title P4):
https://raw.githubusercontent.com/vengeanceaiUSC/Rainmaker/cursor/vengeanceaiusmodel18-d3ac/FICO/output/MODEL18_FICO_ASSUMPTIONS_LIST.pdf</t>
        </r>
      </text>
    </comment>
    <comment ref="B24" authorId="0" shapeId="0" xr:uid="{00000000-0006-0000-0100-00007D000000}">
      <text>
        <r>
          <rPr>
            <sz val="11"/>
            <color theme="1"/>
            <rFont val="Calibri"/>
            <family val="2"/>
            <scheme val="minor"/>
          </rPr>
          <t>Revenue
WHY: Prior-year revenue grown by this year’s policy growth rate; top-line driver of the model.
PATTERN: ={p}24*(1+{c}7)
LINK: https://www.sec.gov/Archives/edgar/data/814547/000081454726000031/exhibit991erq32026.htm</t>
        </r>
      </text>
    </comment>
    <comment ref="J24" authorId="0" shapeId="0" xr:uid="{00000000-0006-0000-0100-00007E000000}">
      <text>
        <r>
          <rPr>
            <sz val="11"/>
            <color theme="1"/>
            <rFont val="Calibri"/>
            <family val="2"/>
            <scheme val="minor"/>
          </rPr>
          <t>Revenue
FORMULA: =I24*(1+J7)
WHY: Prior-year revenue grown by this year’s policy growth rate; top-line driver of the model.
LINK: https://www.sec.gov/Archives/edgar/data/814547/000081454726000031/exhibit991erq32026.htm</t>
        </r>
      </text>
    </comment>
    <comment ref="K24" authorId="0" shapeId="0" xr:uid="{00000000-0006-0000-0100-00007F000000}">
      <text>
        <r>
          <rPr>
            <sz val="11"/>
            <color theme="1"/>
            <rFont val="Calibri"/>
            <family val="2"/>
            <scheme val="minor"/>
          </rPr>
          <t>Revenue
FORMULA: =J24*(1+K7)
WHY: Prior-year revenue grown by this year’s policy growth rate; top-line driver of the model.
LINK: https://www.sec.gov/Archives/edgar/data/814547/000081454726000031/exhibit991erq32026.htm</t>
        </r>
      </text>
    </comment>
    <comment ref="L24" authorId="0" shapeId="0" xr:uid="{00000000-0006-0000-0100-000080000000}">
      <text>
        <r>
          <rPr>
            <sz val="11"/>
            <color theme="1"/>
            <rFont val="Calibri"/>
            <family val="2"/>
            <scheme val="minor"/>
          </rPr>
          <t>Revenue
FORMULA: =K24*(1+L7)
WHY: Prior-year revenue grown by this year’s policy growth rate; top-line driver of the model.
LINK: https://www.sec.gov/Archives/edgar/data/814547/000081454726000031/exhibit991erq32026.htm</t>
        </r>
      </text>
    </comment>
    <comment ref="M24" authorId="0" shapeId="0" xr:uid="{00000000-0006-0000-0100-000081000000}">
      <text>
        <r>
          <rPr>
            <sz val="11"/>
            <color theme="1"/>
            <rFont val="Calibri"/>
            <family val="2"/>
            <scheme val="minor"/>
          </rPr>
          <t>Revenue
FORMULA: =L24*(1+M7)
WHY: Prior-year revenue grown by this year’s policy growth rate; top-line driver of the model.
LINK: https://www.sec.gov/Archives/edgar/data/814547/000081454726000031/exhibit991erq32026.htm</t>
        </r>
      </text>
    </comment>
    <comment ref="N24" authorId="0" shapeId="0" xr:uid="{00000000-0006-0000-0100-000082000000}">
      <text>
        <r>
          <rPr>
            <sz val="11"/>
            <color theme="1"/>
            <rFont val="Calibri"/>
            <family val="2"/>
            <scheme val="minor"/>
          </rPr>
          <t>Revenue
FORMULA: =M24*(1+N7)
WHY: Prior-year revenue grown by this year’s policy growth rate; top-line driver of the model.
LINK: https://www.sec.gov/Archives/edgar/data/814547/000081454726000031/exhibit991erq32026.htm</t>
        </r>
      </text>
    </comment>
    <comment ref="B25" authorId="0" shapeId="0" xr:uid="{00000000-0006-0000-0100-000083000000}">
      <text>
        <r>
          <rPr>
            <sz val="11"/>
            <color theme="1"/>
            <rFont val="Calibri"/>
            <family val="2"/>
            <scheme val="minor"/>
          </rPr>
          <t>COGS $
WHY: Revenue times COGS%; converts the held margin assumption into dollar cost of sales.
PATTERN: ={c}24*{c}8
LINK: https://www.sec.gov/Archives/edgar/data/814547/000081454725000030/fico-20250930.htm</t>
        </r>
      </text>
    </comment>
    <comment ref="J25" authorId="0" shapeId="0" xr:uid="{00000000-0006-0000-0100-000084000000}">
      <text>
        <r>
          <rPr>
            <sz val="11"/>
            <color theme="1"/>
            <rFont val="Calibri"/>
            <family val="2"/>
            <scheme val="minor"/>
          </rPr>
          <t>COGS $
FORMULA: =J24*J8
WHY: Revenue times COGS%; converts the held margin assumption into dollar cost of sales.
LINK: https://www.sec.gov/Archives/edgar/data/814547/000081454725000030/fico-20250930.htm</t>
        </r>
      </text>
    </comment>
    <comment ref="K25" authorId="0" shapeId="0" xr:uid="{00000000-0006-0000-0100-000085000000}">
      <text>
        <r>
          <rPr>
            <sz val="11"/>
            <color theme="1"/>
            <rFont val="Calibri"/>
            <family val="2"/>
            <scheme val="minor"/>
          </rPr>
          <t>COGS $
FORMULA: =K24*K8
WHY: Revenue times COGS%; converts the held margin assumption into dollar cost of sales.
LINK: https://www.sec.gov/Archives/edgar/data/814547/000081454725000030/fico-20250930.htm</t>
        </r>
      </text>
    </comment>
    <comment ref="L25" authorId="0" shapeId="0" xr:uid="{00000000-0006-0000-0100-000086000000}">
      <text>
        <r>
          <rPr>
            <sz val="11"/>
            <color theme="1"/>
            <rFont val="Calibri"/>
            <family val="2"/>
            <scheme val="minor"/>
          </rPr>
          <t>COGS $
FORMULA: =L24*L8
WHY: Revenue times COGS%; converts the held margin assumption into dollar cost of sales.
LINK: https://www.sec.gov/Archives/edgar/data/814547/000081454725000030/fico-20250930.htm</t>
        </r>
      </text>
    </comment>
    <comment ref="M25" authorId="0" shapeId="0" xr:uid="{00000000-0006-0000-0100-000087000000}">
      <text>
        <r>
          <rPr>
            <sz val="11"/>
            <color theme="1"/>
            <rFont val="Calibri"/>
            <family val="2"/>
            <scheme val="minor"/>
          </rPr>
          <t>COGS $
FORMULA: =M24*M8
WHY: Revenue times COGS%; converts the held margin assumption into dollar cost of sales.
LINK: https://www.sec.gov/Archives/edgar/data/814547/000081454725000030/fico-20250930.htm</t>
        </r>
      </text>
    </comment>
    <comment ref="N25" authorId="0" shapeId="0" xr:uid="{00000000-0006-0000-0100-000088000000}">
      <text>
        <r>
          <rPr>
            <sz val="11"/>
            <color theme="1"/>
            <rFont val="Calibri"/>
            <family val="2"/>
            <scheme val="minor"/>
          </rPr>
          <t>COGS $
FORMULA: =N24*N8
WHY: Revenue times COGS%; converts the held margin assumption into dollar cost of sales.
LINK: https://www.sec.gov/Archives/edgar/data/814547/000081454725000030/fico-20250930.htm</t>
        </r>
      </text>
    </comment>
    <comment ref="B26" authorId="0" shapeId="0" xr:uid="{00000000-0006-0000-0100-000089000000}">
      <text>
        <r>
          <rPr>
            <sz val="11"/>
            <color theme="1"/>
            <rFont val="Calibri"/>
            <family val="2"/>
            <scheme val="minor"/>
          </rPr>
          <t>Gross profit
WHY: Revenue minus COGS; contribution after direct cost of revenues before operating expenses.
PATTERN: ={c}24-{c}25
LINK: https://www.sec.gov/Archives/edgar/data/814547/000081454725000030/fico-20250930.htm</t>
        </r>
      </text>
    </comment>
    <comment ref="J26" authorId="0" shapeId="0" xr:uid="{00000000-0006-0000-0100-00008A000000}">
      <text>
        <r>
          <rPr>
            <sz val="11"/>
            <color theme="1"/>
            <rFont val="Calibri"/>
            <family val="2"/>
            <scheme val="minor"/>
          </rPr>
          <t>Gross profit
FORMULA: =J24-J25
WHY: Revenue minus COGS; contribution after direct cost of revenues before operating expenses.
LINK: https://www.sec.gov/Archives/edgar/data/814547/000081454725000030/fico-20250930.htm</t>
        </r>
      </text>
    </comment>
    <comment ref="K26" authorId="0" shapeId="0" xr:uid="{00000000-0006-0000-0100-00008B000000}">
      <text>
        <r>
          <rPr>
            <sz val="11"/>
            <color theme="1"/>
            <rFont val="Calibri"/>
            <family val="2"/>
            <scheme val="minor"/>
          </rPr>
          <t>Gross profit
FORMULA: =K24-K25
WHY: Revenue minus COGS; contribution after direct cost of revenues before operating expenses.
LINK: https://www.sec.gov/Archives/edgar/data/814547/000081454725000030/fico-20250930.htm</t>
        </r>
      </text>
    </comment>
    <comment ref="L26" authorId="0" shapeId="0" xr:uid="{00000000-0006-0000-0100-00008C000000}">
      <text>
        <r>
          <rPr>
            <sz val="11"/>
            <color theme="1"/>
            <rFont val="Calibri"/>
            <family val="2"/>
            <scheme val="minor"/>
          </rPr>
          <t>Gross profit
FORMULA: =L24-L25
WHY: Revenue minus COGS; contribution after direct cost of revenues before operating expenses.
LINK: https://www.sec.gov/Archives/edgar/data/814547/000081454725000030/fico-20250930.htm</t>
        </r>
      </text>
    </comment>
    <comment ref="M26" authorId="0" shapeId="0" xr:uid="{00000000-0006-0000-0100-00008D000000}">
      <text>
        <r>
          <rPr>
            <sz val="11"/>
            <color theme="1"/>
            <rFont val="Calibri"/>
            <family val="2"/>
            <scheme val="minor"/>
          </rPr>
          <t>Gross profit
FORMULA: =M24-M25
WHY: Revenue minus COGS; contribution after direct cost of revenues before operating expenses.
LINK: https://www.sec.gov/Archives/edgar/data/814547/000081454725000030/fico-20250930.htm</t>
        </r>
      </text>
    </comment>
    <comment ref="N26" authorId="0" shapeId="0" xr:uid="{00000000-0006-0000-0100-00008E000000}">
      <text>
        <r>
          <rPr>
            <sz val="11"/>
            <color theme="1"/>
            <rFont val="Calibri"/>
            <family val="2"/>
            <scheme val="minor"/>
          </rPr>
          <t>Gross profit
FORMULA: =N24-N25
WHY: Revenue minus COGS; contribution after direct cost of revenues before operating expenses.
LINK: https://www.sec.gov/Archives/edgar/data/814547/000081454725000030/fico-20250930.htm</t>
        </r>
      </text>
    </comment>
    <comment ref="B28" authorId="0" shapeId="0" xr:uid="{00000000-0006-0000-0100-00008F000000}">
      <text>
        <r>
          <rPr>
            <sz val="11"/>
            <color theme="1"/>
            <rFont val="Calibri"/>
            <family val="2"/>
            <scheme val="minor"/>
          </rPr>
          <t>SG&amp;A $
WHY: Revenue times SG&amp;A%; operating opex after the −75bps efficiency grind on the rate.
PATTERN: ={c}24*{c}9
LINK: https://www.sec.gov/Archives/edgar/data/814547/000081454725000030/fico-20250930.htm</t>
        </r>
      </text>
    </comment>
    <comment ref="J28" authorId="0" shapeId="0" xr:uid="{00000000-0006-0000-0100-000090000000}">
      <text>
        <r>
          <rPr>
            <sz val="11"/>
            <color theme="1"/>
            <rFont val="Calibri"/>
            <family val="2"/>
            <scheme val="minor"/>
          </rPr>
          <t>SG&amp;A $
FORMULA: =J24*J9
WHY: Revenue times SG&amp;A%; operating opex after the −75bps efficiency grind on the rate.
LINK: https://www.sec.gov/Archives/edgar/data/814547/000081454725000030/fico-20250930.htm</t>
        </r>
      </text>
    </comment>
    <comment ref="K28" authorId="0" shapeId="0" xr:uid="{00000000-0006-0000-0100-000091000000}">
      <text>
        <r>
          <rPr>
            <sz val="11"/>
            <color theme="1"/>
            <rFont val="Calibri"/>
            <family val="2"/>
            <scheme val="minor"/>
          </rPr>
          <t>SG&amp;A $
FORMULA: =K24*K9
WHY: Revenue times SG&amp;A%; operating opex after the −75bps efficiency grind on the rate.
LINK: https://www.sec.gov/Archives/edgar/data/814547/000081454725000030/fico-20250930.htm</t>
        </r>
      </text>
    </comment>
    <comment ref="L28" authorId="0" shapeId="0" xr:uid="{00000000-0006-0000-0100-000092000000}">
      <text>
        <r>
          <rPr>
            <sz val="11"/>
            <color theme="1"/>
            <rFont val="Calibri"/>
            <family val="2"/>
            <scheme val="minor"/>
          </rPr>
          <t>SG&amp;A $
FORMULA: =L24*L9
WHY: Revenue times SG&amp;A%; operating opex after the −75bps efficiency grind on the rate.
LINK: https://www.sec.gov/Archives/edgar/data/814547/000081454725000030/fico-20250930.htm</t>
        </r>
      </text>
    </comment>
    <comment ref="M28" authorId="0" shapeId="0" xr:uid="{00000000-0006-0000-0100-000093000000}">
      <text>
        <r>
          <rPr>
            <sz val="11"/>
            <color theme="1"/>
            <rFont val="Calibri"/>
            <family val="2"/>
            <scheme val="minor"/>
          </rPr>
          <t>SG&amp;A $
FORMULA: =M24*M9
WHY: Revenue times SG&amp;A%; operating opex after the −75bps efficiency grind on the rate.
LINK: https://www.sec.gov/Archives/edgar/data/814547/000081454725000030/fico-20250930.htm</t>
        </r>
      </text>
    </comment>
    <comment ref="N28" authorId="0" shapeId="0" xr:uid="{00000000-0006-0000-0100-000094000000}">
      <text>
        <r>
          <rPr>
            <sz val="11"/>
            <color theme="1"/>
            <rFont val="Calibri"/>
            <family val="2"/>
            <scheme val="minor"/>
          </rPr>
          <t>SG&amp;A $
FORMULA: =N24*N9
WHY: Revenue times SG&amp;A%; operating opex after the −75bps efficiency grind on the rate.
LINK: https://www.sec.gov/Archives/edgar/data/814547/000081454725000030/fico-20250930.htm</t>
        </r>
      </text>
    </comment>
    <comment ref="B29" authorId="0" shapeId="0" xr:uid="{00000000-0006-0000-0100-000095000000}">
      <text>
        <r>
          <rPr>
            <sz val="11"/>
            <color theme="1"/>
            <rFont val="Calibri"/>
            <family val="2"/>
            <scheme val="minor"/>
          </rPr>
          <t>R&amp;D $
WHY: Revenue times R&amp;D%; research spend scales with sales at the FY25 reinvestment rate.
PATTERN: ={c}24*{c}10
LINK: https://www.sec.gov/Archives/edgar/data/814547/000081454725000030/fico-20250930.htm</t>
        </r>
      </text>
    </comment>
    <comment ref="J29" authorId="0" shapeId="0" xr:uid="{00000000-0006-0000-0100-000096000000}">
      <text>
        <r>
          <rPr>
            <sz val="11"/>
            <color theme="1"/>
            <rFont val="Calibri"/>
            <family val="2"/>
            <scheme val="minor"/>
          </rPr>
          <t>R&amp;D $
FORMULA: =J24*J10
WHY: Revenue times R&amp;D%; research spend scales with sales at the FY25 reinvestment rate.
LINK: https://www.sec.gov/Archives/edgar/data/814547/000081454725000030/fico-20250930.htm</t>
        </r>
      </text>
    </comment>
    <comment ref="K29" authorId="0" shapeId="0" xr:uid="{00000000-0006-0000-0100-000097000000}">
      <text>
        <r>
          <rPr>
            <sz val="11"/>
            <color theme="1"/>
            <rFont val="Calibri"/>
            <family val="2"/>
            <scheme val="minor"/>
          </rPr>
          <t>R&amp;D $
FORMULA: =K24*K10
WHY: Revenue times R&amp;D%; research spend scales with sales at the FY25 reinvestment rate.
LINK: https://www.sec.gov/Archives/edgar/data/814547/000081454725000030/fico-20250930.htm</t>
        </r>
      </text>
    </comment>
    <comment ref="L29" authorId="0" shapeId="0" xr:uid="{00000000-0006-0000-0100-000098000000}">
      <text>
        <r>
          <rPr>
            <sz val="11"/>
            <color theme="1"/>
            <rFont val="Calibri"/>
            <family val="2"/>
            <scheme val="minor"/>
          </rPr>
          <t>R&amp;D $
FORMULA: =L24*L10
WHY: Revenue times R&amp;D%; research spend scales with sales at the FY25 reinvestment rate.
LINK: https://www.sec.gov/Archives/edgar/data/814547/000081454725000030/fico-20250930.htm</t>
        </r>
      </text>
    </comment>
    <comment ref="M29" authorId="0" shapeId="0" xr:uid="{00000000-0006-0000-0100-000099000000}">
      <text>
        <r>
          <rPr>
            <sz val="11"/>
            <color theme="1"/>
            <rFont val="Calibri"/>
            <family val="2"/>
            <scheme val="minor"/>
          </rPr>
          <t>R&amp;D $
FORMULA: =M24*M10
WHY: Revenue times R&amp;D%; research spend scales with sales at the FY25 reinvestment rate.
LINK: https://www.sec.gov/Archives/edgar/data/814547/000081454725000030/fico-20250930.htm</t>
        </r>
      </text>
    </comment>
    <comment ref="N29" authorId="0" shapeId="0" xr:uid="{00000000-0006-0000-0100-00009A000000}">
      <text>
        <r>
          <rPr>
            <sz val="11"/>
            <color theme="1"/>
            <rFont val="Calibri"/>
            <family val="2"/>
            <scheme val="minor"/>
          </rPr>
          <t>R&amp;D $
FORMULA: =N24*N10
WHY: Revenue times R&amp;D%; research spend scales with sales at the FY25 reinvestment rate.
LINK: https://www.sec.gov/Archives/edgar/data/814547/000081454725000030/fico-20250930.htm</t>
        </r>
      </text>
    </comment>
    <comment ref="B30" authorId="0" shapeId="0" xr:uid="{00000000-0006-0000-0100-00009B000000}">
      <text>
        <r>
          <rPr>
            <sz val="11"/>
            <color theme="1"/>
            <rFont val="Calibri"/>
            <family val="2"/>
            <scheme val="minor"/>
          </rPr>
          <t>D&amp;A $
WHY: Revenue times DA%; total D&amp;A including software amortization as % of sales.
PATTERN: ={c}24*{c}11
LINK: https://www.sec.gov/Archives/edgar/data/814547/000081454725000030/fico-20250930.htm</t>
        </r>
      </text>
    </comment>
    <comment ref="J30" authorId="0" shapeId="0" xr:uid="{00000000-0006-0000-0100-00009C000000}">
      <text>
        <r>
          <rPr>
            <sz val="11"/>
            <color theme="1"/>
            <rFont val="Calibri"/>
            <family val="2"/>
            <scheme val="minor"/>
          </rPr>
          <t>D&amp;A $
FORMULA: =J24*J11
WHY: Revenue times DA%; total D&amp;A including software amortization as % of sales.
LINK: https://www.sec.gov/Archives/edgar/data/814547/000081454725000030/fico-20250930.htm</t>
        </r>
      </text>
    </comment>
    <comment ref="K30" authorId="0" shapeId="0" xr:uid="{00000000-0006-0000-0100-00009D000000}">
      <text>
        <r>
          <rPr>
            <sz val="11"/>
            <color theme="1"/>
            <rFont val="Calibri"/>
            <family val="2"/>
            <scheme val="minor"/>
          </rPr>
          <t>D&amp;A $
FORMULA: =K24*K11
WHY: Revenue times DA%; total D&amp;A including software amortization as % of sales.
LINK: https://www.sec.gov/Archives/edgar/data/814547/000081454725000030/fico-20250930.htm</t>
        </r>
      </text>
    </comment>
    <comment ref="L30" authorId="0" shapeId="0" xr:uid="{00000000-0006-0000-0100-00009E000000}">
      <text>
        <r>
          <rPr>
            <sz val="11"/>
            <color theme="1"/>
            <rFont val="Calibri"/>
            <family val="2"/>
            <scheme val="minor"/>
          </rPr>
          <t>D&amp;A $
FORMULA: =L24*L11
WHY: Revenue times DA%; total D&amp;A including software amortization as % of sales.
LINK: https://www.sec.gov/Archives/edgar/data/814547/000081454725000030/fico-20250930.htm</t>
        </r>
      </text>
    </comment>
    <comment ref="M30" authorId="0" shapeId="0" xr:uid="{00000000-0006-0000-0100-00009F000000}">
      <text>
        <r>
          <rPr>
            <sz val="11"/>
            <color theme="1"/>
            <rFont val="Calibri"/>
            <family val="2"/>
            <scheme val="minor"/>
          </rPr>
          <t>D&amp;A $
FORMULA: =M24*M11
WHY: Revenue times DA%; total D&amp;A including software amortization as % of sales.
LINK: https://www.sec.gov/Archives/edgar/data/814547/000081454725000030/fico-20250930.htm</t>
        </r>
      </text>
    </comment>
    <comment ref="N30" authorId="0" shapeId="0" xr:uid="{00000000-0006-0000-0100-0000A0000000}">
      <text>
        <r>
          <rPr>
            <sz val="11"/>
            <color theme="1"/>
            <rFont val="Calibri"/>
            <family val="2"/>
            <scheme val="minor"/>
          </rPr>
          <t>D&amp;A $
FORMULA: =N24*N11
WHY: Revenue times DA%; total D&amp;A including software amortization as % of sales.
LINK: https://www.sec.gov/Archives/edgar/data/814547/000081454725000030/fico-20250930.htm</t>
        </r>
      </text>
    </comment>
    <comment ref="B31" authorId="0" shapeId="0" xr:uid="{00000000-0006-0000-0100-0000A1000000}">
      <text>
        <r>
          <rPr>
            <sz val="11"/>
            <color theme="1"/>
            <rFont val="Calibri"/>
            <family val="2"/>
            <scheme val="minor"/>
          </rPr>
          <t>Interest $
WHY: Opening debt times interest%; coupon on the debt stock while issuance policy is zero.
PATTERN: ={c}98*{c}12
LINK: https://www.sec.gov/Archives/edgar/data/814547/000081454725000030/fico-20250930.htm</t>
        </r>
      </text>
    </comment>
    <comment ref="J31" authorId="0" shapeId="0" xr:uid="{00000000-0006-0000-0100-0000A2000000}">
      <text>
        <r>
          <rPr>
            <sz val="11"/>
            <color theme="1"/>
            <rFont val="Calibri"/>
            <family val="2"/>
            <scheme val="minor"/>
          </rPr>
          <t>Interest $
FORMULA: =J98*J12
WHY: Opening debt times interest%; coupon on the debt stock while issuance policy is zero.
LINK: https://www.sec.gov/Archives/edgar/data/814547/000081454725000030/fico-20250930.htm</t>
        </r>
      </text>
    </comment>
    <comment ref="K31" authorId="0" shapeId="0" xr:uid="{00000000-0006-0000-0100-0000A3000000}">
      <text>
        <r>
          <rPr>
            <sz val="11"/>
            <color theme="1"/>
            <rFont val="Calibri"/>
            <family val="2"/>
            <scheme val="minor"/>
          </rPr>
          <t>Interest $
FORMULA: =K98*K12
WHY: Opening debt times interest%; coupon on the debt stock while issuance policy is zero.
LINK: https://www.sec.gov/Archives/edgar/data/814547/000081454725000030/fico-20250930.htm</t>
        </r>
      </text>
    </comment>
    <comment ref="L31" authorId="0" shapeId="0" xr:uid="{00000000-0006-0000-0100-0000A4000000}">
      <text>
        <r>
          <rPr>
            <sz val="11"/>
            <color theme="1"/>
            <rFont val="Calibri"/>
            <family val="2"/>
            <scheme val="minor"/>
          </rPr>
          <t>Interest $
FORMULA: =L98*L12
WHY: Opening debt times interest%; coupon on the debt stock while issuance policy is zero.
LINK: https://www.sec.gov/Archives/edgar/data/814547/000081454725000030/fico-20250930.htm</t>
        </r>
      </text>
    </comment>
    <comment ref="M31" authorId="0" shapeId="0" xr:uid="{00000000-0006-0000-0100-0000A5000000}">
      <text>
        <r>
          <rPr>
            <sz val="11"/>
            <color theme="1"/>
            <rFont val="Calibri"/>
            <family val="2"/>
            <scheme val="minor"/>
          </rPr>
          <t>Interest $
FORMULA: =M98*M12
WHY: Opening debt times interest%; coupon on the debt stock while issuance policy is zero.
LINK: https://www.sec.gov/Archives/edgar/data/814547/000081454725000030/fico-20250930.htm</t>
        </r>
      </text>
    </comment>
    <comment ref="N31" authorId="0" shapeId="0" xr:uid="{00000000-0006-0000-0100-0000A6000000}">
      <text>
        <r>
          <rPr>
            <sz val="11"/>
            <color theme="1"/>
            <rFont val="Calibri"/>
            <family val="2"/>
            <scheme val="minor"/>
          </rPr>
          <t>Interest $
FORMULA: =N98*N12
WHY: Opening debt times interest%; coupon on the debt stock while issuance policy is zero.
LINK: https://www.sec.gov/Archives/edgar/data/814547/000081454725000030/fico-20250930.htm</t>
        </r>
      </text>
    </comment>
    <comment ref="B32" authorId="0" shapeId="0" xr:uid="{00000000-0006-0000-0100-0000A7000000}">
      <text>
        <r>
          <rPr>
            <sz val="11"/>
            <color theme="1"/>
            <rFont val="Calibri"/>
            <family val="2"/>
            <scheme val="minor"/>
          </rPr>
          <t>Total expenses
WHY: Sum of SGA, R&amp;D, D&amp;A, and interest; all operating and financing costs above EBT.
PATTERN: =SUM({c}28:{c}31)
LINK: https://www.sec.gov/Archives/edgar/data/814547/000081454725000030/fico-20250930.htm</t>
        </r>
      </text>
    </comment>
    <comment ref="J32" authorId="0" shapeId="0" xr:uid="{00000000-0006-0000-0100-0000A8000000}">
      <text>
        <r>
          <rPr>
            <sz val="11"/>
            <color theme="1"/>
            <rFont val="Calibri"/>
            <family val="2"/>
            <scheme val="minor"/>
          </rPr>
          <t>Total expenses
FORMULA: =SUM(J28:J31)
WHY: Sum of SGA, R&amp;D, D&amp;A, and interest; all operating and financing costs above EBT.
LINK: https://www.sec.gov/Archives/edgar/data/814547/000081454725000030/fico-20250930.htm</t>
        </r>
      </text>
    </comment>
    <comment ref="K32" authorId="0" shapeId="0" xr:uid="{00000000-0006-0000-0100-0000A9000000}">
      <text>
        <r>
          <rPr>
            <sz val="11"/>
            <color theme="1"/>
            <rFont val="Calibri"/>
            <family val="2"/>
            <scheme val="minor"/>
          </rPr>
          <t>Total expenses
FORMULA: =SUM(K28:K31)
WHY: Sum of SGA, R&amp;D, D&amp;A, and interest; all operating and financing costs above EBT.
LINK: https://www.sec.gov/Archives/edgar/data/814547/000081454725000030/fico-20250930.htm</t>
        </r>
      </text>
    </comment>
    <comment ref="L32" authorId="0" shapeId="0" xr:uid="{00000000-0006-0000-0100-0000AA000000}">
      <text>
        <r>
          <rPr>
            <sz val="11"/>
            <color theme="1"/>
            <rFont val="Calibri"/>
            <family val="2"/>
            <scheme val="minor"/>
          </rPr>
          <t>Total expenses
FORMULA: =SUM(L28:L31)
WHY: Sum of SGA, R&amp;D, D&amp;A, and interest; all operating and financing costs above EBT.
LINK: https://www.sec.gov/Archives/edgar/data/814547/000081454725000030/fico-20250930.htm</t>
        </r>
      </text>
    </comment>
    <comment ref="M32" authorId="0" shapeId="0" xr:uid="{00000000-0006-0000-0100-0000AB000000}">
      <text>
        <r>
          <rPr>
            <sz val="11"/>
            <color theme="1"/>
            <rFont val="Calibri"/>
            <family val="2"/>
            <scheme val="minor"/>
          </rPr>
          <t>Total expenses
FORMULA: =SUM(M28:M31)
WHY: Sum of SGA, R&amp;D, D&amp;A, and interest; all operating and financing costs above EBT.
LINK: https://www.sec.gov/Archives/edgar/data/814547/000081454725000030/fico-20250930.htm</t>
        </r>
      </text>
    </comment>
    <comment ref="N32" authorId="0" shapeId="0" xr:uid="{00000000-0006-0000-0100-0000AC000000}">
      <text>
        <r>
          <rPr>
            <sz val="11"/>
            <color theme="1"/>
            <rFont val="Calibri"/>
            <family val="2"/>
            <scheme val="minor"/>
          </rPr>
          <t>Total expenses
FORMULA: =SUM(N28:N31)
WHY: Sum of SGA, R&amp;D, D&amp;A, and interest; all operating and financing costs above EBT.
LINK: https://www.sec.gov/Archives/edgar/data/814547/000081454725000030/fico-20250930.htm</t>
        </r>
      </text>
    </comment>
    <comment ref="B33" authorId="0" shapeId="0" xr:uid="{00000000-0006-0000-0100-0000AD000000}">
      <text>
        <r>
          <rPr>
            <sz val="11"/>
            <color theme="1"/>
            <rFont val="Calibri"/>
            <family val="2"/>
            <scheme val="minor"/>
          </rPr>
          <t>EBT
WHY: Gross profit minus total expenses; earnings before tax in this simplified template.
PATTERN: ={c}26-{c}32
LINK: https://www.sec.gov/Archives/edgar/data/814547/000081454725000030/fico-20250930.htm</t>
        </r>
      </text>
    </comment>
    <comment ref="J33" authorId="0" shapeId="0" xr:uid="{00000000-0006-0000-0100-0000AE000000}">
      <text>
        <r>
          <rPr>
            <sz val="11"/>
            <color theme="1"/>
            <rFont val="Calibri"/>
            <family val="2"/>
            <scheme val="minor"/>
          </rPr>
          <t>EBT
FORMULA: =J26-J32
WHY: Gross profit minus total expenses; earnings before tax in this simplified template.
LINK: https://www.sec.gov/Archives/edgar/data/814547/000081454725000030/fico-20250930.htm</t>
        </r>
      </text>
    </comment>
    <comment ref="K33" authorId="0" shapeId="0" xr:uid="{00000000-0006-0000-0100-0000AF000000}">
      <text>
        <r>
          <rPr>
            <sz val="11"/>
            <color theme="1"/>
            <rFont val="Calibri"/>
            <family val="2"/>
            <scheme val="minor"/>
          </rPr>
          <t>EBT
FORMULA: =K26-K32
WHY: Gross profit minus total expenses; earnings before tax in this simplified template.
LINK: https://www.sec.gov/Archives/edgar/data/814547/000081454725000030/fico-20250930.htm</t>
        </r>
      </text>
    </comment>
    <comment ref="L33" authorId="0" shapeId="0" xr:uid="{00000000-0006-0000-0100-0000B0000000}">
      <text>
        <r>
          <rPr>
            <sz val="11"/>
            <color theme="1"/>
            <rFont val="Calibri"/>
            <family val="2"/>
            <scheme val="minor"/>
          </rPr>
          <t>EBT
FORMULA: =L26-L32
WHY: Gross profit minus total expenses; earnings before tax in this simplified template.
LINK: https://www.sec.gov/Archives/edgar/data/814547/000081454725000030/fico-20250930.htm</t>
        </r>
      </text>
    </comment>
    <comment ref="M33" authorId="0" shapeId="0" xr:uid="{00000000-0006-0000-0100-0000B1000000}">
      <text>
        <r>
          <rPr>
            <sz val="11"/>
            <color theme="1"/>
            <rFont val="Calibri"/>
            <family val="2"/>
            <scheme val="minor"/>
          </rPr>
          <t>EBT
FORMULA: =M26-M32
WHY: Gross profit minus total expenses; earnings before tax in this simplified template.
LINK: https://www.sec.gov/Archives/edgar/data/814547/000081454725000030/fico-20250930.htm</t>
        </r>
      </text>
    </comment>
    <comment ref="N33" authorId="0" shapeId="0" xr:uid="{00000000-0006-0000-0100-0000B2000000}">
      <text>
        <r>
          <rPr>
            <sz val="11"/>
            <color theme="1"/>
            <rFont val="Calibri"/>
            <family val="2"/>
            <scheme val="minor"/>
          </rPr>
          <t>EBT
FORMULA: =N26-N32
WHY: Gross profit minus total expenses; earnings before tax in this simplified template.
LINK: https://www.sec.gov/Archives/edgar/data/814547/000081454725000030/fico-20250930.htm</t>
        </r>
      </text>
    </comment>
    <comment ref="B35" authorId="0" shapeId="0" xr:uid="{00000000-0006-0000-0100-0000B3000000}">
      <text>
        <r>
          <rPr>
            <sz val="11"/>
            <color theme="1"/>
            <rFont val="Calibri"/>
            <family val="2"/>
            <scheme val="minor"/>
          </rPr>
          <t>Taxes $
WHY: EBT times effective tax rate; book tax expense for the income statement.
PATTERN: ={c}33*{c}13
LINK: https://www.sec.gov/Archives/edgar/data/814547/000081454725000030/fico-20250930.htm</t>
        </r>
      </text>
    </comment>
    <comment ref="J35" authorId="0" shapeId="0" xr:uid="{00000000-0006-0000-0100-0000B4000000}">
      <text>
        <r>
          <rPr>
            <sz val="11"/>
            <color theme="1"/>
            <rFont val="Calibri"/>
            <family val="2"/>
            <scheme val="minor"/>
          </rPr>
          <t>Taxes $
FORMULA: =J33*J13
WHY: EBT times effective tax rate; book tax expense for the income statement.
LINK: https://www.sec.gov/Archives/edgar/data/814547/000081454725000030/fico-20250930.htm</t>
        </r>
      </text>
    </comment>
    <comment ref="K35" authorId="0" shapeId="0" xr:uid="{00000000-0006-0000-0100-0000B5000000}">
      <text>
        <r>
          <rPr>
            <sz val="11"/>
            <color theme="1"/>
            <rFont val="Calibri"/>
            <family val="2"/>
            <scheme val="minor"/>
          </rPr>
          <t>Taxes $
FORMULA: =K33*K13
WHY: EBT times effective tax rate; book tax expense for the income statement.
LINK: https://www.sec.gov/Archives/edgar/data/814547/000081454725000030/fico-20250930.htm</t>
        </r>
      </text>
    </comment>
    <comment ref="L35" authorId="0" shapeId="0" xr:uid="{00000000-0006-0000-0100-0000B6000000}">
      <text>
        <r>
          <rPr>
            <sz val="11"/>
            <color theme="1"/>
            <rFont val="Calibri"/>
            <family val="2"/>
            <scheme val="minor"/>
          </rPr>
          <t>Taxes $
FORMULA: =L33*L13
WHY: EBT times effective tax rate; book tax expense for the income statement.
LINK: https://www.sec.gov/Archives/edgar/data/814547/000081454725000030/fico-20250930.htm</t>
        </r>
      </text>
    </comment>
    <comment ref="M35" authorId="0" shapeId="0" xr:uid="{00000000-0006-0000-0100-0000B7000000}">
      <text>
        <r>
          <rPr>
            <sz val="11"/>
            <color theme="1"/>
            <rFont val="Calibri"/>
            <family val="2"/>
            <scheme val="minor"/>
          </rPr>
          <t>Taxes $
FORMULA: =M33*M13
WHY: EBT times effective tax rate; book tax expense for the income statement.
LINK: https://www.sec.gov/Archives/edgar/data/814547/000081454725000030/fico-20250930.htm</t>
        </r>
      </text>
    </comment>
    <comment ref="N35" authorId="0" shapeId="0" xr:uid="{00000000-0006-0000-0100-0000B8000000}">
      <text>
        <r>
          <rPr>
            <sz val="11"/>
            <color theme="1"/>
            <rFont val="Calibri"/>
            <family val="2"/>
            <scheme val="minor"/>
          </rPr>
          <t>Taxes $
FORMULA: =N33*N13
WHY: EBT times effective tax rate; book tax expense for the income statement.
LINK: https://www.sec.gov/Archives/edgar/data/814547/000081454725000030/fico-20250930.htm</t>
        </r>
      </text>
    </comment>
    <comment ref="B36" authorId="0" shapeId="0" xr:uid="{00000000-0006-0000-0100-0000B9000000}">
      <text>
        <r>
          <rPr>
            <sz val="11"/>
            <color theme="1"/>
            <rFont val="Calibri"/>
            <family val="2"/>
            <scheme val="minor"/>
          </rPr>
          <t>Net earnings
WHY: EBT kept after tax; full equation, not a pointer, so NI tracks the tax rate driver.
PATTERN: ={c}33*(1-{c}13)
LINK: https://www.sec.gov/Archives/edgar/data/814547/000081454725000030/fico-20250930.htm</t>
        </r>
      </text>
    </comment>
    <comment ref="J36" authorId="0" shapeId="0" xr:uid="{00000000-0006-0000-0100-0000BA000000}">
      <text>
        <r>
          <rPr>
            <sz val="11"/>
            <color theme="1"/>
            <rFont val="Calibri"/>
            <family val="2"/>
            <scheme val="minor"/>
          </rPr>
          <t>Net earnings
FORMULA: =J33*(1-J13)
WHY: EBT kept after tax; full equation, not a pointer, so NI tracks the tax rate driver.
LINK: https://www.sec.gov/Archives/edgar/data/814547/000081454725000030/fico-20250930.htm</t>
        </r>
      </text>
    </comment>
    <comment ref="K36" authorId="0" shapeId="0" xr:uid="{00000000-0006-0000-0100-0000BB000000}">
      <text>
        <r>
          <rPr>
            <sz val="11"/>
            <color theme="1"/>
            <rFont val="Calibri"/>
            <family val="2"/>
            <scheme val="minor"/>
          </rPr>
          <t>Net earnings
FORMULA: =K33*(1-K13)
WHY: EBT kept after tax; full equation, not a pointer, so NI tracks the tax rate driver.
LINK: https://www.sec.gov/Archives/edgar/data/814547/000081454725000030/fico-20250930.htm</t>
        </r>
      </text>
    </comment>
    <comment ref="L36" authorId="0" shapeId="0" xr:uid="{00000000-0006-0000-0100-0000BC000000}">
      <text>
        <r>
          <rPr>
            <sz val="11"/>
            <color theme="1"/>
            <rFont val="Calibri"/>
            <family val="2"/>
            <scheme val="minor"/>
          </rPr>
          <t>Net earnings
FORMULA: =L33*(1-L13)
WHY: EBT kept after tax; full equation, not a pointer, so NI tracks the tax rate driver.
LINK: https://www.sec.gov/Archives/edgar/data/814547/000081454725000030/fico-20250930.htm</t>
        </r>
      </text>
    </comment>
    <comment ref="M36" authorId="0" shapeId="0" xr:uid="{00000000-0006-0000-0100-0000BD000000}">
      <text>
        <r>
          <rPr>
            <sz val="11"/>
            <color theme="1"/>
            <rFont val="Calibri"/>
            <family val="2"/>
            <scheme val="minor"/>
          </rPr>
          <t>Net earnings
FORMULA: =M33*(1-M13)
WHY: EBT kept after tax; full equation, not a pointer, so NI tracks the tax rate driver.
LINK: https://www.sec.gov/Archives/edgar/data/814547/000081454725000030/fico-20250930.htm</t>
        </r>
      </text>
    </comment>
    <comment ref="N36" authorId="0" shapeId="0" xr:uid="{00000000-0006-0000-0100-0000BE000000}">
      <text>
        <r>
          <rPr>
            <sz val="11"/>
            <color theme="1"/>
            <rFont val="Calibri"/>
            <family val="2"/>
            <scheme val="minor"/>
          </rPr>
          <t>Net earnings
FORMULA: =N33*(1-N13)
WHY: EBT kept after tax; full equation, not a pointer, so NI tracks the tax rate driver.
LINK: https://www.sec.gov/Archives/edgar/data/814547/000081454725000030/fico-20250930.htm</t>
        </r>
      </text>
    </comment>
    <comment ref="B41" authorId="0" shapeId="0" xr:uid="{00000000-0006-0000-0100-0000BF000000}">
      <text>
        <r>
          <rPr>
            <sz val="11"/>
            <color theme="1"/>
            <rFont val="Calibri"/>
            <family val="2"/>
            <scheme val="minor"/>
          </rPr>
          <t>Cash (BS)
WHY: Balance-sheet cash equals cash-flow closing cash so the three statements stay linked.
PATTERN: ={c}78
LINK: https://www.sec.gov/Archives/edgar/data/814547/000081454725000030/fico-20250930.htm</t>
        </r>
      </text>
    </comment>
    <comment ref="J41" authorId="0" shapeId="0" xr:uid="{00000000-0006-0000-0100-0000C0000000}">
      <text>
        <r>
          <rPr>
            <sz val="11"/>
            <color theme="1"/>
            <rFont val="Calibri"/>
            <family val="2"/>
            <scheme val="minor"/>
          </rPr>
          <t>Cash (BS)
FORMULA: =J78
WHY: Balance-sheet cash equals cash-flow closing cash so the three statements stay linked.
LINK: https://www.sec.gov/Archives/edgar/data/814547/000081454725000030/fico-20250930.htm</t>
        </r>
      </text>
    </comment>
    <comment ref="K41" authorId="0" shapeId="0" xr:uid="{00000000-0006-0000-0100-0000C1000000}">
      <text>
        <r>
          <rPr>
            <sz val="11"/>
            <color theme="1"/>
            <rFont val="Calibri"/>
            <family val="2"/>
            <scheme val="minor"/>
          </rPr>
          <t>Cash (BS)
FORMULA: =K78
WHY: Balance-sheet cash equals cash-flow closing cash so the three statements stay linked.
LINK: https://www.sec.gov/Archives/edgar/data/814547/000081454725000030/fico-20250930.htm</t>
        </r>
      </text>
    </comment>
    <comment ref="L41" authorId="0" shapeId="0" xr:uid="{00000000-0006-0000-0100-0000C2000000}">
      <text>
        <r>
          <rPr>
            <sz val="11"/>
            <color theme="1"/>
            <rFont val="Calibri"/>
            <family val="2"/>
            <scheme val="minor"/>
          </rPr>
          <t>Cash (BS)
FORMULA: =L78
WHY: Balance-sheet cash equals cash-flow closing cash so the three statements stay linked.
LINK: https://www.sec.gov/Archives/edgar/data/814547/000081454725000030/fico-20250930.htm</t>
        </r>
      </text>
    </comment>
    <comment ref="M41" authorId="0" shapeId="0" xr:uid="{00000000-0006-0000-0100-0000C3000000}">
      <text>
        <r>
          <rPr>
            <sz val="11"/>
            <color theme="1"/>
            <rFont val="Calibri"/>
            <family val="2"/>
            <scheme val="minor"/>
          </rPr>
          <t>Cash (BS)
FORMULA: =M78
WHY: Balance-sheet cash equals cash-flow closing cash so the three statements stay linked.
LINK: https://www.sec.gov/Archives/edgar/data/814547/000081454725000030/fico-20250930.htm</t>
        </r>
      </text>
    </comment>
    <comment ref="N41" authorId="0" shapeId="0" xr:uid="{00000000-0006-0000-0100-0000C4000000}">
      <text>
        <r>
          <rPr>
            <sz val="11"/>
            <color theme="1"/>
            <rFont val="Calibri"/>
            <family val="2"/>
            <scheme val="minor"/>
          </rPr>
          <t>Cash (BS)
FORMULA: =N78
WHY: Balance-sheet cash equals cash-flow closing cash so the three statements stay linked.
LINK: https://www.sec.gov/Archives/edgar/data/814547/000081454725000030/fico-20250930.htm</t>
        </r>
      </text>
    </comment>
    <comment ref="B42" authorId="0" shapeId="0" xr:uid="{00000000-0006-0000-0100-0000C5000000}">
      <text>
        <r>
          <rPr>
            <sz val="11"/>
            <color theme="1"/>
            <rFont val="Calibri"/>
            <family val="2"/>
            <scheme val="minor"/>
          </rPr>
          <t>AR $
WHY: Revenue × DSO / 365; receivables from the days-sales-outstanding assumption (no AR plug).
PATTERN: ={c}24*{c}15/365
LINK: https://data.sec.gov/api/xbrl/companyfacts/CIK0000814547.json</t>
        </r>
      </text>
    </comment>
    <comment ref="J42" authorId="0" shapeId="0" xr:uid="{00000000-0006-0000-0100-0000C6000000}">
      <text>
        <r>
          <rPr>
            <sz val="11"/>
            <color theme="1"/>
            <rFont val="Calibri"/>
            <family val="2"/>
            <scheme val="minor"/>
          </rPr>
          <t>AR $
FORMULA: =J24*J15/365
WHY: Revenue × DSO / 365; receivables from the days-sales-outstanding assumption (no AR plug).
LINK: https://data.sec.gov/api/xbrl/companyfacts/CIK0000814547.json</t>
        </r>
      </text>
    </comment>
    <comment ref="K42" authorId="0" shapeId="0" xr:uid="{00000000-0006-0000-0100-0000C7000000}">
      <text>
        <r>
          <rPr>
            <sz val="11"/>
            <color theme="1"/>
            <rFont val="Calibri"/>
            <family val="2"/>
            <scheme val="minor"/>
          </rPr>
          <t>AR $
FORMULA: =K24*K15/365
WHY: Revenue × DSO / 365; receivables from the days-sales-outstanding assumption (no AR plug).
LINK: https://data.sec.gov/api/xbrl/companyfacts/CIK0000814547.json</t>
        </r>
      </text>
    </comment>
    <comment ref="L42" authorId="0" shapeId="0" xr:uid="{00000000-0006-0000-0100-0000C8000000}">
      <text>
        <r>
          <rPr>
            <sz val="11"/>
            <color theme="1"/>
            <rFont val="Calibri"/>
            <family val="2"/>
            <scheme val="minor"/>
          </rPr>
          <t>AR $
FORMULA: =L24*L15/365
WHY: Revenue × DSO / 365; receivables from the days-sales-outstanding assumption (no AR plug).
LINK: https://data.sec.gov/api/xbrl/companyfacts/CIK0000814547.json</t>
        </r>
      </text>
    </comment>
    <comment ref="M42" authorId="0" shapeId="0" xr:uid="{00000000-0006-0000-0100-0000C9000000}">
      <text>
        <r>
          <rPr>
            <sz val="11"/>
            <color theme="1"/>
            <rFont val="Calibri"/>
            <family val="2"/>
            <scheme val="minor"/>
          </rPr>
          <t>AR $
FORMULA: =M24*M15/365
WHY: Revenue × DSO / 365; receivables from the days-sales-outstanding assumption (no AR plug).
LINK: https://data.sec.gov/api/xbrl/companyfacts/CIK0000814547.json</t>
        </r>
      </text>
    </comment>
    <comment ref="N42" authorId="0" shapeId="0" xr:uid="{00000000-0006-0000-0100-0000CA000000}">
      <text>
        <r>
          <rPr>
            <sz val="11"/>
            <color theme="1"/>
            <rFont val="Calibri"/>
            <family val="2"/>
            <scheme val="minor"/>
          </rPr>
          <t>AR $
FORMULA: =N24*N15/365
WHY: Revenue × DSO / 365; receivables from the days-sales-outstanding assumption (no AR plug).
LINK: https://data.sec.gov/api/xbrl/companyfacts/CIK0000814547.json</t>
        </r>
      </text>
    </comment>
    <comment ref="B43" authorId="0" shapeId="0" xr:uid="{00000000-0006-0000-0100-0000CB000000}">
      <text>
        <r>
          <rPr>
            <sz val="11"/>
            <color theme="1"/>
            <rFont val="Calibri"/>
            <family val="2"/>
            <scheme val="minor"/>
          </rPr>
          <t>Inventory $
WHY: COGS × inventory days / 365; stays zero because inventory days are policy zero.
PATTERN: ={c}25*{c}16/365
LINK: https://www.sec.gov/Archives/edgar/data/814547/000081454725000030/fico-20250930.htm</t>
        </r>
      </text>
    </comment>
    <comment ref="J43" authorId="0" shapeId="0" xr:uid="{00000000-0006-0000-0100-0000CC000000}">
      <text>
        <r>
          <rPr>
            <sz val="11"/>
            <color theme="1"/>
            <rFont val="Calibri"/>
            <family val="2"/>
            <scheme val="minor"/>
          </rPr>
          <t>Inventory $
FORMULA: =J25*J16/365
WHY: COGS × inventory days / 365; stays zero because inventory days are policy zero.
LINK: https://www.sec.gov/Archives/edgar/data/814547/000081454725000030/fico-20250930.htm</t>
        </r>
      </text>
    </comment>
    <comment ref="K43" authorId="0" shapeId="0" xr:uid="{00000000-0006-0000-0100-0000CD000000}">
      <text>
        <r>
          <rPr>
            <sz val="11"/>
            <color theme="1"/>
            <rFont val="Calibri"/>
            <family val="2"/>
            <scheme val="minor"/>
          </rPr>
          <t>Inventory $
FORMULA: =K25*K16/365
WHY: COGS × inventory days / 365; stays zero because inventory days are policy zero.
LINK: https://www.sec.gov/Archives/edgar/data/814547/000081454725000030/fico-20250930.htm</t>
        </r>
      </text>
    </comment>
    <comment ref="L43" authorId="0" shapeId="0" xr:uid="{00000000-0006-0000-0100-0000CE000000}">
      <text>
        <r>
          <rPr>
            <sz val="11"/>
            <color theme="1"/>
            <rFont val="Calibri"/>
            <family val="2"/>
            <scheme val="minor"/>
          </rPr>
          <t>Inventory $
FORMULA: =L25*L16/365
WHY: COGS × inventory days / 365; stays zero because inventory days are policy zero.
LINK: https://www.sec.gov/Archives/edgar/data/814547/000081454725000030/fico-20250930.htm</t>
        </r>
      </text>
    </comment>
    <comment ref="M43" authorId="0" shapeId="0" xr:uid="{00000000-0006-0000-0100-0000CF000000}">
      <text>
        <r>
          <rPr>
            <sz val="11"/>
            <color theme="1"/>
            <rFont val="Calibri"/>
            <family val="2"/>
            <scheme val="minor"/>
          </rPr>
          <t>Inventory $
FORMULA: =M25*M16/365
WHY: COGS × inventory days / 365; stays zero because inventory days are policy zero.
LINK: https://www.sec.gov/Archives/edgar/data/814547/000081454725000030/fico-20250930.htm</t>
        </r>
      </text>
    </comment>
    <comment ref="N43" authorId="0" shapeId="0" xr:uid="{00000000-0006-0000-0100-0000D0000000}">
      <text>
        <r>
          <rPr>
            <sz val="11"/>
            <color theme="1"/>
            <rFont val="Calibri"/>
            <family val="2"/>
            <scheme val="minor"/>
          </rPr>
          <t>Inventory $
FORMULA: =N25*N16/365
WHY: COGS × inventory days / 365; stays zero because inventory days are policy zero.
LINK: https://www.sec.gov/Archives/edgar/data/814547/000081454725000030/fico-20250930.htm</t>
        </r>
      </text>
    </comment>
    <comment ref="B44" authorId="0" shapeId="0" xr:uid="{00000000-0006-0000-0100-0000D1000000}">
      <text>
        <r>
          <rPr>
            <sz val="11"/>
            <color theme="1"/>
            <rFont val="Calibri"/>
            <family val="2"/>
            <scheme val="minor"/>
          </rPr>
          <t>PP&amp;E (BS)
WHY: Net PP&amp;E equals the PPE schedule closing balance after CapEx and depreciation.
PATTERN: ={c}95
LINK: https://www.sec.gov/Archives/edgar/data/814547/000081454725000030/fico-20250930.htm</t>
        </r>
      </text>
    </comment>
    <comment ref="J44" authorId="0" shapeId="0" xr:uid="{00000000-0006-0000-0100-0000D2000000}">
      <text>
        <r>
          <rPr>
            <sz val="11"/>
            <color theme="1"/>
            <rFont val="Calibri"/>
            <family val="2"/>
            <scheme val="minor"/>
          </rPr>
          <t>PP&amp;E (BS)
FORMULA: =J95
WHY: Net PP&amp;E equals the PPE schedule closing balance after CapEx and depreciation.
LINK: https://www.sec.gov/Archives/edgar/data/814547/000081454725000030/fico-20250930.htm</t>
        </r>
      </text>
    </comment>
    <comment ref="K44" authorId="0" shapeId="0" xr:uid="{00000000-0006-0000-0100-0000D3000000}">
      <text>
        <r>
          <rPr>
            <sz val="11"/>
            <color theme="1"/>
            <rFont val="Calibri"/>
            <family val="2"/>
            <scheme val="minor"/>
          </rPr>
          <t>PP&amp;E (BS)
FORMULA: =K95
WHY: Net PP&amp;E equals the PPE schedule closing balance after CapEx and depreciation.
LINK: https://www.sec.gov/Archives/edgar/data/814547/000081454725000030/fico-20250930.htm</t>
        </r>
      </text>
    </comment>
    <comment ref="L44" authorId="0" shapeId="0" xr:uid="{00000000-0006-0000-0100-0000D4000000}">
      <text>
        <r>
          <rPr>
            <sz val="11"/>
            <color theme="1"/>
            <rFont val="Calibri"/>
            <family val="2"/>
            <scheme val="minor"/>
          </rPr>
          <t>PP&amp;E (BS)
FORMULA: =L95
WHY: Net PP&amp;E equals the PPE schedule closing balance after CapEx and depreciation.
LINK: https://www.sec.gov/Archives/edgar/data/814547/000081454725000030/fico-20250930.htm</t>
        </r>
      </text>
    </comment>
    <comment ref="M44" authorId="0" shapeId="0" xr:uid="{00000000-0006-0000-0100-0000D5000000}">
      <text>
        <r>
          <rPr>
            <sz val="11"/>
            <color theme="1"/>
            <rFont val="Calibri"/>
            <family val="2"/>
            <scheme val="minor"/>
          </rPr>
          <t>PP&amp;E (BS)
FORMULA: =M95
WHY: Net PP&amp;E equals the PPE schedule closing balance after CapEx and depreciation.
LINK: https://www.sec.gov/Archives/edgar/data/814547/000081454725000030/fico-20250930.htm</t>
        </r>
      </text>
    </comment>
    <comment ref="N44" authorId="0" shapeId="0" xr:uid="{00000000-0006-0000-0100-0000D6000000}">
      <text>
        <r>
          <rPr>
            <sz val="11"/>
            <color theme="1"/>
            <rFont val="Calibri"/>
            <family val="2"/>
            <scheme val="minor"/>
          </rPr>
          <t>PP&amp;E (BS)
FORMULA: =N95
WHY: Net PP&amp;E equals the PPE schedule closing balance after CapEx and depreciation.
LINK: https://www.sec.gov/Archives/edgar/data/814547/000081454725000030/fico-20250930.htm</t>
        </r>
      </text>
    </comment>
    <comment ref="B45" authorId="0" shapeId="0" xr:uid="{00000000-0006-0000-0100-0000D7000000}">
      <text>
        <r>
          <rPr>
            <sz val="11"/>
            <color theme="1"/>
            <rFont val="Calibri"/>
            <family val="2"/>
            <scheme val="minor"/>
          </rPr>
          <t>Total assets
WHY: Cash + AR + inventory + PP&amp;E; simplified asset base used for the balance-sheet check.
PATTERN: =SUM({c}41:{c}44)
LINK: https://www.sec.gov/Archives/edgar/data/814547/000081454725000030/fico-20250930.htm</t>
        </r>
      </text>
    </comment>
    <comment ref="J45" authorId="0" shapeId="0" xr:uid="{00000000-0006-0000-0100-0000D8000000}">
      <text>
        <r>
          <rPr>
            <sz val="11"/>
            <color theme="1"/>
            <rFont val="Calibri"/>
            <family val="2"/>
            <scheme val="minor"/>
          </rPr>
          <t>Total assets
FORMULA: =SUM(J41:J44)
WHY: Cash + AR + inventory + PP&amp;E; simplified asset base used for the balance-sheet check.
LINK: https://www.sec.gov/Archives/edgar/data/814547/000081454725000030/fico-20250930.htm</t>
        </r>
      </text>
    </comment>
    <comment ref="K45" authorId="0" shapeId="0" xr:uid="{00000000-0006-0000-0100-0000D9000000}">
      <text>
        <r>
          <rPr>
            <sz val="11"/>
            <color theme="1"/>
            <rFont val="Calibri"/>
            <family val="2"/>
            <scheme val="minor"/>
          </rPr>
          <t>Total assets
FORMULA: =SUM(K41:K44)
WHY: Cash + AR + inventory + PP&amp;E; simplified asset base used for the balance-sheet check.
LINK: https://www.sec.gov/Archives/edgar/data/814547/000081454725000030/fico-20250930.htm</t>
        </r>
      </text>
    </comment>
    <comment ref="L45" authorId="0" shapeId="0" xr:uid="{00000000-0006-0000-0100-0000DA000000}">
      <text>
        <r>
          <rPr>
            <sz val="11"/>
            <color theme="1"/>
            <rFont val="Calibri"/>
            <family val="2"/>
            <scheme val="minor"/>
          </rPr>
          <t>Total assets
FORMULA: =SUM(L41:L44)
WHY: Cash + AR + inventory + PP&amp;E; simplified asset base used for the balance-sheet check.
LINK: https://www.sec.gov/Archives/edgar/data/814547/000081454725000030/fico-20250930.htm</t>
        </r>
      </text>
    </comment>
    <comment ref="M45" authorId="0" shapeId="0" xr:uid="{00000000-0006-0000-0100-0000DB000000}">
      <text>
        <r>
          <rPr>
            <sz val="11"/>
            <color theme="1"/>
            <rFont val="Calibri"/>
            <family val="2"/>
            <scheme val="minor"/>
          </rPr>
          <t>Total assets
FORMULA: =SUM(M41:M44)
WHY: Cash + AR + inventory + PP&amp;E; simplified asset base used for the balance-sheet check.
LINK: https://www.sec.gov/Archives/edgar/data/814547/000081454725000030/fico-20250930.htm</t>
        </r>
      </text>
    </comment>
    <comment ref="N45" authorId="0" shapeId="0" xr:uid="{00000000-0006-0000-0100-0000DC000000}">
      <text>
        <r>
          <rPr>
            <sz val="11"/>
            <color theme="1"/>
            <rFont val="Calibri"/>
            <family val="2"/>
            <scheme val="minor"/>
          </rPr>
          <t>Total assets
FORMULA: =SUM(N41:N44)
WHY: Cash + AR + inventory + PP&amp;E; simplified asset base used for the balance-sheet check.
LINK: https://www.sec.gov/Archives/edgar/data/814547/000081454725000030/fico-20250930.htm</t>
        </r>
      </text>
    </comment>
    <comment ref="B48" authorId="0" shapeId="0" xr:uid="{00000000-0006-0000-0100-0000DD000000}">
      <text>
        <r>
          <rPr>
            <sz val="11"/>
            <color theme="1"/>
            <rFont val="Calibri"/>
            <family val="2"/>
            <scheme val="minor"/>
          </rPr>
          <t>AP $
WHY: COGS × DPO / 365; payables from the days-payable-outstanding assumption.
PATTERN: ={c}25*{c}17/365
LINK: https://www.sec.gov/Archives/edgar/data/814547/000081454725000030/fico-20250930.htm</t>
        </r>
      </text>
    </comment>
    <comment ref="J48" authorId="0" shapeId="0" xr:uid="{00000000-0006-0000-0100-0000DE000000}">
      <text>
        <r>
          <rPr>
            <sz val="11"/>
            <color theme="1"/>
            <rFont val="Calibri"/>
            <family val="2"/>
            <scheme val="minor"/>
          </rPr>
          <t>AP $
FORMULA: =J25*J17/365
WHY: COGS × DPO / 365; payables from the days-payable-outstanding assumption.
LINK: https://www.sec.gov/Archives/edgar/data/814547/000081454725000030/fico-20250930.htm</t>
        </r>
      </text>
    </comment>
    <comment ref="K48" authorId="0" shapeId="0" xr:uid="{00000000-0006-0000-0100-0000DF000000}">
      <text>
        <r>
          <rPr>
            <sz val="11"/>
            <color theme="1"/>
            <rFont val="Calibri"/>
            <family val="2"/>
            <scheme val="minor"/>
          </rPr>
          <t>AP $
FORMULA: =K25*K17/365
WHY: COGS × DPO / 365; payables from the days-payable-outstanding assumption.
LINK: https://www.sec.gov/Archives/edgar/data/814547/000081454725000030/fico-20250930.htm</t>
        </r>
      </text>
    </comment>
    <comment ref="L48" authorId="0" shapeId="0" xr:uid="{00000000-0006-0000-0100-0000E0000000}">
      <text>
        <r>
          <rPr>
            <sz val="11"/>
            <color theme="1"/>
            <rFont val="Calibri"/>
            <family val="2"/>
            <scheme val="minor"/>
          </rPr>
          <t>AP $
FORMULA: =L25*L17/365
WHY: COGS × DPO / 365; payables from the days-payable-outstanding assumption.
LINK: https://www.sec.gov/Archives/edgar/data/814547/000081454725000030/fico-20250930.htm</t>
        </r>
      </text>
    </comment>
    <comment ref="M48" authorId="0" shapeId="0" xr:uid="{00000000-0006-0000-0100-0000E1000000}">
      <text>
        <r>
          <rPr>
            <sz val="11"/>
            <color theme="1"/>
            <rFont val="Calibri"/>
            <family val="2"/>
            <scheme val="minor"/>
          </rPr>
          <t>AP $
FORMULA: =M25*M17/365
WHY: COGS × DPO / 365; payables from the days-payable-outstanding assumption.
LINK: https://www.sec.gov/Archives/edgar/data/814547/000081454725000030/fico-20250930.htm</t>
        </r>
      </text>
    </comment>
    <comment ref="N48" authorId="0" shapeId="0" xr:uid="{00000000-0006-0000-0100-0000E2000000}">
      <text>
        <r>
          <rPr>
            <sz val="11"/>
            <color theme="1"/>
            <rFont val="Calibri"/>
            <family val="2"/>
            <scheme val="minor"/>
          </rPr>
          <t>AP $
FORMULA: =N25*N17/365
WHY: COGS × DPO / 365; payables from the days-payable-outstanding assumption.
LINK: https://www.sec.gov/Archives/edgar/data/814547/000081454725000030/fico-20250930.htm</t>
        </r>
      </text>
    </comment>
    <comment ref="B49" authorId="0" shapeId="0" xr:uid="{00000000-0006-0000-0100-0000E3000000}">
      <text>
        <r>
          <rPr>
            <sz val="11"/>
            <color theme="1"/>
            <rFont val="Calibri"/>
            <family val="2"/>
            <scheme val="minor"/>
          </rPr>
          <t>Debt (BS)
WHY: Debt equals the debt-schedule closing balance (open + issuance, issuance usually 0).
PATTERN: ={c}100
LINK: https://www.sec.gov/Archives/edgar/data/814547/000081454725000030/fico-20250930.htm</t>
        </r>
      </text>
    </comment>
    <comment ref="J49" authorId="0" shapeId="0" xr:uid="{00000000-0006-0000-0100-0000E4000000}">
      <text>
        <r>
          <rPr>
            <sz val="11"/>
            <color theme="1"/>
            <rFont val="Calibri"/>
            <family val="2"/>
            <scheme val="minor"/>
          </rPr>
          <t>Debt (BS)
FORMULA: =J100
WHY: Debt equals the debt-schedule closing balance (open + issuance, issuance usually 0).
LINK: https://www.sec.gov/Archives/edgar/data/814547/000081454725000030/fico-20250930.htm</t>
        </r>
      </text>
    </comment>
    <comment ref="K49" authorId="0" shapeId="0" xr:uid="{00000000-0006-0000-0100-0000E5000000}">
      <text>
        <r>
          <rPr>
            <sz val="11"/>
            <color theme="1"/>
            <rFont val="Calibri"/>
            <family val="2"/>
            <scheme val="minor"/>
          </rPr>
          <t>Debt (BS)
FORMULA: =K100
WHY: Debt equals the debt-schedule closing balance (open + issuance, issuance usually 0).
LINK: https://www.sec.gov/Archives/edgar/data/814547/000081454725000030/fico-20250930.htm</t>
        </r>
      </text>
    </comment>
    <comment ref="L49" authorId="0" shapeId="0" xr:uid="{00000000-0006-0000-0100-0000E6000000}">
      <text>
        <r>
          <rPr>
            <sz val="11"/>
            <color theme="1"/>
            <rFont val="Calibri"/>
            <family val="2"/>
            <scheme val="minor"/>
          </rPr>
          <t>Debt (BS)
FORMULA: =L100
WHY: Debt equals the debt-schedule closing balance (open + issuance, issuance usually 0).
LINK: https://www.sec.gov/Archives/edgar/data/814547/000081454725000030/fico-20250930.htm</t>
        </r>
      </text>
    </comment>
    <comment ref="M49" authorId="0" shapeId="0" xr:uid="{00000000-0006-0000-0100-0000E7000000}">
      <text>
        <r>
          <rPr>
            <sz val="11"/>
            <color theme="1"/>
            <rFont val="Calibri"/>
            <family val="2"/>
            <scheme val="minor"/>
          </rPr>
          <t>Debt (BS)
FORMULA: =M100
WHY: Debt equals the debt-schedule closing balance (open + issuance, issuance usually 0).
LINK: https://www.sec.gov/Archives/edgar/data/814547/000081454725000030/fico-20250930.htm</t>
        </r>
      </text>
    </comment>
    <comment ref="N49" authorId="0" shapeId="0" xr:uid="{00000000-0006-0000-0100-0000E8000000}">
      <text>
        <r>
          <rPr>
            <sz val="11"/>
            <color theme="1"/>
            <rFont val="Calibri"/>
            <family val="2"/>
            <scheme val="minor"/>
          </rPr>
          <t>Debt (BS)
FORMULA: =N100
WHY: Debt equals the debt-schedule closing balance (open + issuance, issuance usually 0).
LINK: https://www.sec.gov/Archives/edgar/data/814547/000081454725000030/fico-20250930.htm</t>
        </r>
      </text>
    </comment>
    <comment ref="B50" authorId="0" shapeId="0" xr:uid="{00000000-0006-0000-0100-0000E9000000}">
      <text>
        <r>
          <rPr>
            <sz val="11"/>
            <color theme="1"/>
            <rFont val="Calibri"/>
            <family val="2"/>
            <scheme val="minor"/>
          </rPr>
          <t>Total liabilities
WHY: AP + Debt + Deferred Revenue (row 88); Deferred is a real BS contract liability.
PATTERN: ={c}48+{c}49+{c}88
LINK: https://www.sec.gov/Archives/edgar/data/814547/000081454725000030/fico-20250930.htm</t>
        </r>
      </text>
    </comment>
    <comment ref="J50" authorId="0" shapeId="0" xr:uid="{00000000-0006-0000-0100-0000EA000000}">
      <text>
        <r>
          <rPr>
            <sz val="11"/>
            <color theme="1"/>
            <rFont val="Calibri"/>
            <family val="2"/>
            <scheme val="minor"/>
          </rPr>
          <t>Total liabilities
FORMULA: =J48+J49+J88
WHY: AP + Debt + Deferred Revenue (row 88); Deferred is a real BS contract liability.
LINK: https://www.sec.gov/Archives/edgar/data/814547/000081454725000030/fico-20250930.htm</t>
        </r>
      </text>
    </comment>
    <comment ref="K50" authorId="0" shapeId="0" xr:uid="{00000000-0006-0000-0100-0000EB000000}">
      <text>
        <r>
          <rPr>
            <sz val="11"/>
            <color theme="1"/>
            <rFont val="Calibri"/>
            <family val="2"/>
            <scheme val="minor"/>
          </rPr>
          <t>Total liabilities
FORMULA: =K48+K49+K88
WHY: AP + Debt + Deferred Revenue (row 88); Deferred is a real BS contract liability.
LINK: https://www.sec.gov/Archives/edgar/data/814547/000081454725000030/fico-20250930.htm</t>
        </r>
      </text>
    </comment>
    <comment ref="L50" authorId="0" shapeId="0" xr:uid="{00000000-0006-0000-0100-0000EC000000}">
      <text>
        <r>
          <rPr>
            <sz val="11"/>
            <color theme="1"/>
            <rFont val="Calibri"/>
            <family val="2"/>
            <scheme val="minor"/>
          </rPr>
          <t>Total liabilities
FORMULA: =L48+L49+L88
WHY: AP + Debt + Deferred Revenue (row 88); Deferred is a real BS contract liability.
LINK: https://www.sec.gov/Archives/edgar/data/814547/000081454725000030/fico-20250930.htm</t>
        </r>
      </text>
    </comment>
    <comment ref="M50" authorId="0" shapeId="0" xr:uid="{00000000-0006-0000-0100-0000ED000000}">
      <text>
        <r>
          <rPr>
            <sz val="11"/>
            <color theme="1"/>
            <rFont val="Calibri"/>
            <family val="2"/>
            <scheme val="minor"/>
          </rPr>
          <t>Total liabilities
FORMULA: =M48+M49+M88
WHY: AP + Debt + Deferred Revenue (row 88); Deferred is a real BS contract liability.
LINK: https://www.sec.gov/Archives/edgar/data/814547/000081454725000030/fico-20250930.htm</t>
        </r>
      </text>
    </comment>
    <comment ref="N50" authorId="0" shapeId="0" xr:uid="{00000000-0006-0000-0100-0000EE000000}">
      <text>
        <r>
          <rPr>
            <sz val="11"/>
            <color theme="1"/>
            <rFont val="Calibri"/>
            <family val="2"/>
            <scheme val="minor"/>
          </rPr>
          <t>Total liabilities
FORMULA: =N48+N49+N88
WHY: AP + Debt + Deferred Revenue (row 88); Deferred is a real BS contract liability.
LINK: https://www.sec.gov/Archives/edgar/data/814547/000081454725000030/fico-20250930.htm</t>
        </r>
      </text>
    </comment>
    <comment ref="B52" authorId="0" shapeId="0" xr:uid="{00000000-0006-0000-0100-0000EF000000}">
      <text>
        <r>
          <rPr>
            <sz val="11"/>
            <color theme="1"/>
            <rFont val="Calibri"/>
            <family val="2"/>
            <scheme val="minor"/>
          </rPr>
          <t>Equity capital
WHY: BS identity plug: Assets − Liabilities − RE. Forces the balance sheet to balance.
PATTERN: ={c}45-{c}50-{c}53
LINK: https://www.sec.gov/Archives/edgar/data/814547/000081454725000030/fico-20250930.htm</t>
        </r>
      </text>
    </comment>
    <comment ref="J52" authorId="0" shapeId="0" xr:uid="{00000000-0006-0000-0100-0000F0000000}">
      <text>
        <r>
          <rPr>
            <sz val="11"/>
            <color theme="1"/>
            <rFont val="Calibri"/>
            <family val="2"/>
            <scheme val="minor"/>
          </rPr>
          <t>Equity capital
FORMULA: =J45-J50-J53
WHY: BS identity plug: Assets − Liabilities − RE. Forces the balance sheet to balance.
LINK: https://www.sec.gov/Archives/edgar/data/814547/000081454725000030/fico-20250930.htm</t>
        </r>
      </text>
    </comment>
    <comment ref="K52" authorId="0" shapeId="0" xr:uid="{00000000-0006-0000-0100-0000F1000000}">
      <text>
        <r>
          <rPr>
            <sz val="11"/>
            <color theme="1"/>
            <rFont val="Calibri"/>
            <family val="2"/>
            <scheme val="minor"/>
          </rPr>
          <t>Equity capital
FORMULA: =K45-K50-K53
WHY: BS identity plug: Assets − Liabilities − RE. Forces the balance sheet to balance.
LINK: https://www.sec.gov/Archives/edgar/data/814547/000081454725000030/fico-20250930.htm</t>
        </r>
      </text>
    </comment>
    <comment ref="L52" authorId="0" shapeId="0" xr:uid="{00000000-0006-0000-0100-0000F2000000}">
      <text>
        <r>
          <rPr>
            <sz val="11"/>
            <color theme="1"/>
            <rFont val="Calibri"/>
            <family val="2"/>
            <scheme val="minor"/>
          </rPr>
          <t>Equity capital
FORMULA: =L45-L50-L53
WHY: BS identity plug: Assets − Liabilities − RE. Forces the balance sheet to balance.
LINK: https://www.sec.gov/Archives/edgar/data/814547/000081454725000030/fico-20250930.htm</t>
        </r>
      </text>
    </comment>
    <comment ref="M52" authorId="0" shapeId="0" xr:uid="{00000000-0006-0000-0100-0000F3000000}">
      <text>
        <r>
          <rPr>
            <sz val="11"/>
            <color theme="1"/>
            <rFont val="Calibri"/>
            <family val="2"/>
            <scheme val="minor"/>
          </rPr>
          <t>Equity capital
FORMULA: =M45-M50-M53
WHY: BS identity plug: Assets − Liabilities − RE. Forces the balance sheet to balance.
LINK: https://www.sec.gov/Archives/edgar/data/814547/000081454725000030/fico-20250930.htm</t>
        </r>
      </text>
    </comment>
    <comment ref="N52" authorId="0" shapeId="0" xr:uid="{00000000-0006-0000-0100-0000F4000000}">
      <text>
        <r>
          <rPr>
            <sz val="11"/>
            <color theme="1"/>
            <rFont val="Calibri"/>
            <family val="2"/>
            <scheme val="minor"/>
          </rPr>
          <t>Equity capital
FORMULA: =N45-N50-N53
WHY: BS identity plug: Assets − Liabilities − RE. Forces the balance sheet to balance.
LINK: https://www.sec.gov/Archives/edgar/data/814547/000081454725000030/fico-20250930.htm</t>
        </r>
      </text>
    </comment>
    <comment ref="B53" authorId="0" shapeId="0" xr:uid="{00000000-0006-0000-0100-0000F5000000}">
      <text>
        <r>
          <rPr>
            <sz val="11"/>
            <color theme="1"/>
            <rFont val="Calibri"/>
            <family val="2"/>
            <scheme val="minor"/>
          </rPr>
          <t>Retained earnings
WHY: Prior RE plus this year’s net earnings; accumulates NI into equity without dividends.
PATTERN: ={p}53+{c}33*(1-{c}13)
LINK: https://www.sec.gov/Archives/edgar/data/814547/000081454725000030/fico-20250930.htm</t>
        </r>
      </text>
    </comment>
    <comment ref="J53" authorId="0" shapeId="0" xr:uid="{00000000-0006-0000-0100-0000F6000000}">
      <text>
        <r>
          <rPr>
            <sz val="11"/>
            <color theme="1"/>
            <rFont val="Calibri"/>
            <family val="2"/>
            <scheme val="minor"/>
          </rPr>
          <t>Retained earnings
FORMULA: =I53+J33*(1-J13)
WHY: Prior RE plus this year’s net earnings; accumulates NI into equity without dividends.
LINK: https://www.sec.gov/Archives/edgar/data/814547/000081454725000030/fico-20250930.htm</t>
        </r>
      </text>
    </comment>
    <comment ref="K53" authorId="0" shapeId="0" xr:uid="{00000000-0006-0000-0100-0000F7000000}">
      <text>
        <r>
          <rPr>
            <sz val="11"/>
            <color theme="1"/>
            <rFont val="Calibri"/>
            <family val="2"/>
            <scheme val="minor"/>
          </rPr>
          <t>Retained earnings
FORMULA: =J53+K33*(1-K13)
WHY: Prior RE plus this year’s net earnings; accumulates NI into equity without dividends.
LINK: https://www.sec.gov/Archives/edgar/data/814547/000081454725000030/fico-20250930.htm</t>
        </r>
      </text>
    </comment>
    <comment ref="L53" authorId="0" shapeId="0" xr:uid="{00000000-0006-0000-0100-0000F8000000}">
      <text>
        <r>
          <rPr>
            <sz val="11"/>
            <color theme="1"/>
            <rFont val="Calibri"/>
            <family val="2"/>
            <scheme val="minor"/>
          </rPr>
          <t>Retained earnings
FORMULA: =K53+L33*(1-L13)
WHY: Prior RE plus this year’s net earnings; accumulates NI into equity without dividends.
LINK: https://www.sec.gov/Archives/edgar/data/814547/000081454725000030/fico-20250930.htm</t>
        </r>
      </text>
    </comment>
    <comment ref="M53" authorId="0" shapeId="0" xr:uid="{00000000-0006-0000-0100-0000F9000000}">
      <text>
        <r>
          <rPr>
            <sz val="11"/>
            <color theme="1"/>
            <rFont val="Calibri"/>
            <family val="2"/>
            <scheme val="minor"/>
          </rPr>
          <t>Retained earnings
FORMULA: =L53+M33*(1-M13)
WHY: Prior RE plus this year’s net earnings; accumulates NI into equity without dividends.
LINK: https://www.sec.gov/Archives/edgar/data/814547/000081454725000030/fico-20250930.htm</t>
        </r>
      </text>
    </comment>
    <comment ref="N53" authorId="0" shapeId="0" xr:uid="{00000000-0006-0000-0100-0000FA000000}">
      <text>
        <r>
          <rPr>
            <sz val="11"/>
            <color theme="1"/>
            <rFont val="Calibri"/>
            <family val="2"/>
            <scheme val="minor"/>
          </rPr>
          <t>Retained earnings
FORMULA: =M53+N33*(1-N13)
WHY: Prior RE plus this year’s net earnings; accumulates NI into equity without dividends.
LINK: https://www.sec.gov/Archives/edgar/data/814547/000081454725000030/fico-20250930.htm</t>
        </r>
      </text>
    </comment>
    <comment ref="B54" authorId="0" shapeId="0" xr:uid="{00000000-0006-0000-0100-0000FB000000}">
      <text>
        <r>
          <rPr>
            <sz val="11"/>
            <color theme="1"/>
            <rFont val="Calibri"/>
            <family val="2"/>
            <scheme val="minor"/>
          </rPr>
          <t>Shareholders’ equity
WHY: Equity capital plus retained earnings; book equity for the L+E side of the check.
PATTERN: =SUM({c}52:{c}53)
LINK: https://www.sec.gov/Archives/edgar/data/814547/000081454725000030/fico-20250930.htm</t>
        </r>
      </text>
    </comment>
    <comment ref="J54" authorId="0" shapeId="0" xr:uid="{00000000-0006-0000-0100-0000FC000000}">
      <text>
        <r>
          <rPr>
            <sz val="11"/>
            <color theme="1"/>
            <rFont val="Calibri"/>
            <family val="2"/>
            <scheme val="minor"/>
          </rPr>
          <t>Shareholders’ equity
FORMULA: =SUM(J52:J53)
WHY: Equity capital plus retained earnings; book equity for the L+E side of the check.
LINK: https://www.sec.gov/Archives/edgar/data/814547/000081454725000030/fico-20250930.htm</t>
        </r>
      </text>
    </comment>
    <comment ref="K54" authorId="0" shapeId="0" xr:uid="{00000000-0006-0000-0100-0000FD000000}">
      <text>
        <r>
          <rPr>
            <sz val="11"/>
            <color theme="1"/>
            <rFont val="Calibri"/>
            <family val="2"/>
            <scheme val="minor"/>
          </rPr>
          <t>Shareholders’ equity
FORMULA: =SUM(K52:K53)
WHY: Equity capital plus retained earnings; book equity for the L+E side of the check.
LINK: https://www.sec.gov/Archives/edgar/data/814547/000081454725000030/fico-20250930.htm</t>
        </r>
      </text>
    </comment>
    <comment ref="L54" authorId="0" shapeId="0" xr:uid="{00000000-0006-0000-0100-0000FE000000}">
      <text>
        <r>
          <rPr>
            <sz val="11"/>
            <color theme="1"/>
            <rFont val="Calibri"/>
            <family val="2"/>
            <scheme val="minor"/>
          </rPr>
          <t>Shareholders’ equity
FORMULA: =SUM(L52:L53)
WHY: Equity capital plus retained earnings; book equity for the L+E side of the check.
LINK: https://www.sec.gov/Archives/edgar/data/814547/000081454725000030/fico-20250930.htm</t>
        </r>
      </text>
    </comment>
    <comment ref="M54" authorId="0" shapeId="0" xr:uid="{00000000-0006-0000-0100-0000FF000000}">
      <text>
        <r>
          <rPr>
            <sz val="11"/>
            <color theme="1"/>
            <rFont val="Calibri"/>
            <family val="2"/>
            <scheme val="minor"/>
          </rPr>
          <t>Shareholders’ equity
FORMULA: =SUM(M52:M53)
WHY: Equity capital plus retained earnings; book equity for the L+E side of the check.
LINK: https://www.sec.gov/Archives/edgar/data/814547/000081454725000030/fico-20250930.htm</t>
        </r>
      </text>
    </comment>
    <comment ref="N54" authorId="0" shapeId="0" xr:uid="{00000000-0006-0000-0100-000000010000}">
      <text>
        <r>
          <rPr>
            <sz val="11"/>
            <color theme="1"/>
            <rFont val="Calibri"/>
            <family val="2"/>
            <scheme val="minor"/>
          </rPr>
          <t>Shareholders’ equity
FORMULA: =SUM(N52:N53)
WHY: Equity capital plus retained earnings; book equity for the L+E side of the check.
LINK: https://www.sec.gov/Archives/edgar/data/814547/000081454725000030/fico-20250930.htm</t>
        </r>
      </text>
    </comment>
    <comment ref="B55" authorId="0" shapeId="0" xr:uid="{00000000-0006-0000-0100-000001010000}">
      <text>
        <r>
          <rPr>
            <sz val="11"/>
            <color theme="1"/>
            <rFont val="Calibri"/>
            <family val="2"/>
            <scheme val="minor"/>
          </rPr>
          <t>Total L+E
WHY: Liabilities plus equity; must equal total assets when the model is in balance.
PATTERN: ={c}50+{c}54
LINK: https://www.sec.gov/Archives/edgar/data/814547/000081454725000030/fico-20250930.htm</t>
        </r>
      </text>
    </comment>
    <comment ref="J55" authorId="0" shapeId="0" xr:uid="{00000000-0006-0000-0100-000002010000}">
      <text>
        <r>
          <rPr>
            <sz val="11"/>
            <color theme="1"/>
            <rFont val="Calibri"/>
            <family val="2"/>
            <scheme val="minor"/>
          </rPr>
          <t>Total L+E
FORMULA: =J50+J54
WHY: Liabilities plus equity; must equal total assets when the model is in balance.
LINK: https://www.sec.gov/Archives/edgar/data/814547/000081454725000030/fico-20250930.htm</t>
        </r>
      </text>
    </comment>
    <comment ref="K55" authorId="0" shapeId="0" xr:uid="{00000000-0006-0000-0100-000003010000}">
      <text>
        <r>
          <rPr>
            <sz val="11"/>
            <color theme="1"/>
            <rFont val="Calibri"/>
            <family val="2"/>
            <scheme val="minor"/>
          </rPr>
          <t>Total L+E
FORMULA: =K50+K54
WHY: Liabilities plus equity; must equal total assets when the model is in balance.
LINK: https://www.sec.gov/Archives/edgar/data/814547/000081454725000030/fico-20250930.htm</t>
        </r>
      </text>
    </comment>
    <comment ref="L55" authorId="0" shapeId="0" xr:uid="{00000000-0006-0000-0100-000004010000}">
      <text>
        <r>
          <rPr>
            <sz val="11"/>
            <color theme="1"/>
            <rFont val="Calibri"/>
            <family val="2"/>
            <scheme val="minor"/>
          </rPr>
          <t>Total L+E
FORMULA: =L50+L54
WHY: Liabilities plus equity; must equal total assets when the model is in balance.
LINK: https://www.sec.gov/Archives/edgar/data/814547/000081454725000030/fico-20250930.htm</t>
        </r>
      </text>
    </comment>
    <comment ref="M55" authorId="0" shapeId="0" xr:uid="{00000000-0006-0000-0100-000005010000}">
      <text>
        <r>
          <rPr>
            <sz val="11"/>
            <color theme="1"/>
            <rFont val="Calibri"/>
            <family val="2"/>
            <scheme val="minor"/>
          </rPr>
          <t>Total L+E
FORMULA: =M50+M54
WHY: Liabilities plus equity; must equal total assets when the model is in balance.
LINK: https://www.sec.gov/Archives/edgar/data/814547/000081454725000030/fico-20250930.htm</t>
        </r>
      </text>
    </comment>
    <comment ref="N55" authorId="0" shapeId="0" xr:uid="{00000000-0006-0000-0100-000006010000}">
      <text>
        <r>
          <rPr>
            <sz val="11"/>
            <color theme="1"/>
            <rFont val="Calibri"/>
            <family val="2"/>
            <scheme val="minor"/>
          </rPr>
          <t>Total L+E
FORMULA: =N50+N54
WHY: Liabilities plus equity; must equal total assets when the model is in balance.
LINK: https://www.sec.gov/Archives/edgar/data/814547/000081454725000030/fico-20250930.htm</t>
        </r>
      </text>
    </comment>
    <comment ref="B57" authorId="0" shapeId="0" xr:uid="{00000000-0006-0000-0100-000007010000}">
      <text>
        <r>
          <rPr>
            <sz val="11"/>
            <color theme="1"/>
            <rFont val="Calibri"/>
            <family val="2"/>
            <scheme val="minor"/>
          </rPr>
          <t>BS imbalance
WHY: L+E minus assets; should be ~0. Nonzero means a link or plug is broken.
PATTERN: ={c}55-{c}45
LINK: https://www.sec.gov/Archives/edgar/data/814547/000081454725000030/fico-20250930.htm</t>
        </r>
      </text>
    </comment>
    <comment ref="J57" authorId="0" shapeId="0" xr:uid="{00000000-0006-0000-0100-000008010000}">
      <text>
        <r>
          <rPr>
            <sz val="11"/>
            <color theme="1"/>
            <rFont val="Calibri"/>
            <family val="2"/>
            <scheme val="minor"/>
          </rPr>
          <t>BS imbalance
FORMULA: =J55-J45
WHY: L+E minus assets; should be ~0. Nonzero means a link or plug is broken.
LINK: https://www.sec.gov/Archives/edgar/data/814547/000081454725000030/fico-20250930.htm</t>
        </r>
      </text>
    </comment>
    <comment ref="K57" authorId="0" shapeId="0" xr:uid="{00000000-0006-0000-0100-000009010000}">
      <text>
        <r>
          <rPr>
            <sz val="11"/>
            <color theme="1"/>
            <rFont val="Calibri"/>
            <family val="2"/>
            <scheme val="minor"/>
          </rPr>
          <t>BS imbalance
FORMULA: =K55-K45
WHY: L+E minus assets; should be ~0. Nonzero means a link or plug is broken.
LINK: https://www.sec.gov/Archives/edgar/data/814547/000081454725000030/fico-20250930.htm</t>
        </r>
      </text>
    </comment>
    <comment ref="L57" authorId="0" shapeId="0" xr:uid="{00000000-0006-0000-0100-00000A010000}">
      <text>
        <r>
          <rPr>
            <sz val="11"/>
            <color theme="1"/>
            <rFont val="Calibri"/>
            <family val="2"/>
            <scheme val="minor"/>
          </rPr>
          <t>BS imbalance
FORMULA: =L55-L45
WHY: L+E minus assets; should be ~0. Nonzero means a link or plug is broken.
LINK: https://www.sec.gov/Archives/edgar/data/814547/000081454725000030/fico-20250930.htm</t>
        </r>
      </text>
    </comment>
    <comment ref="M57" authorId="0" shapeId="0" xr:uid="{00000000-0006-0000-0100-00000B010000}">
      <text>
        <r>
          <rPr>
            <sz val="11"/>
            <color theme="1"/>
            <rFont val="Calibri"/>
            <family val="2"/>
            <scheme val="minor"/>
          </rPr>
          <t>BS imbalance
FORMULA: =M55-M45
WHY: L+E minus assets; should be ~0. Nonzero means a link or plug is broken.
LINK: https://www.sec.gov/Archives/edgar/data/814547/000081454725000030/fico-20250930.htm</t>
        </r>
      </text>
    </comment>
    <comment ref="N57" authorId="0" shapeId="0" xr:uid="{00000000-0006-0000-0100-00000C010000}">
      <text>
        <r>
          <rPr>
            <sz val="11"/>
            <color theme="1"/>
            <rFont val="Calibri"/>
            <family val="2"/>
            <scheme val="minor"/>
          </rPr>
          <t>BS imbalance
FORMULA: =N55-N45
WHY: L+E minus assets; should be ~0. Nonzero means a link or plug is broken.
LINK: https://www.sec.gov/Archives/edgar/data/814547/000081454725000030/fico-20250930.htm</t>
        </r>
      </text>
    </comment>
    <comment ref="B62" authorId="0" shapeId="0" xr:uid="{00000000-0006-0000-0100-00000D010000}">
      <text>
        <r>
          <rPr>
            <sz val="11"/>
            <color theme="1"/>
            <rFont val="Calibri"/>
            <family val="2"/>
            <scheme val="minor"/>
          </rPr>
          <t>CF net earnings
WHY: Same NI equation as the IS, written out so CFO does not hide behind a bare pointer.
PATTERN: ={c}33*(1-{c}13)
LINK: https://www.sec.gov/Archives/edgar/data/814547/000081454725000030/fico-20250930.htm</t>
        </r>
      </text>
    </comment>
    <comment ref="J62" authorId="0" shapeId="0" xr:uid="{00000000-0006-0000-0100-00000E010000}">
      <text>
        <r>
          <rPr>
            <sz val="11"/>
            <color theme="1"/>
            <rFont val="Calibri"/>
            <family val="2"/>
            <scheme val="minor"/>
          </rPr>
          <t>CF net earnings
FORMULA: =J33*(1-J13)
WHY: Same NI equation as the IS, written out so CFO does not hide behind a bare pointer.
LINK: https://www.sec.gov/Archives/edgar/data/814547/000081454725000030/fico-20250930.htm</t>
        </r>
      </text>
    </comment>
    <comment ref="K62" authorId="0" shapeId="0" xr:uid="{00000000-0006-0000-0100-00000F010000}">
      <text>
        <r>
          <rPr>
            <sz val="11"/>
            <color theme="1"/>
            <rFont val="Calibri"/>
            <family val="2"/>
            <scheme val="minor"/>
          </rPr>
          <t>CF net earnings
FORMULA: =K33*(1-K13)
WHY: Same NI equation as the IS, written out so CFO does not hide behind a bare pointer.
LINK: https://www.sec.gov/Archives/edgar/data/814547/000081454725000030/fico-20250930.htm</t>
        </r>
      </text>
    </comment>
    <comment ref="L62" authorId="0" shapeId="0" xr:uid="{00000000-0006-0000-0100-000010010000}">
      <text>
        <r>
          <rPr>
            <sz val="11"/>
            <color theme="1"/>
            <rFont val="Calibri"/>
            <family val="2"/>
            <scheme val="minor"/>
          </rPr>
          <t>CF net earnings
FORMULA: =L33*(1-L13)
WHY: Same NI equation as the IS, written out so CFO does not hide behind a bare pointer.
LINK: https://www.sec.gov/Archives/edgar/data/814547/000081454725000030/fico-20250930.htm</t>
        </r>
      </text>
    </comment>
    <comment ref="M62" authorId="0" shapeId="0" xr:uid="{00000000-0006-0000-0100-000011010000}">
      <text>
        <r>
          <rPr>
            <sz val="11"/>
            <color theme="1"/>
            <rFont val="Calibri"/>
            <family val="2"/>
            <scheme val="minor"/>
          </rPr>
          <t>CF net earnings
FORMULA: =M33*(1-M13)
WHY: Same NI equation as the IS, written out so CFO does not hide behind a bare pointer.
LINK: https://www.sec.gov/Archives/edgar/data/814547/000081454725000030/fico-20250930.htm</t>
        </r>
      </text>
    </comment>
    <comment ref="N62" authorId="0" shapeId="0" xr:uid="{00000000-0006-0000-0100-000012010000}">
      <text>
        <r>
          <rPr>
            <sz val="11"/>
            <color theme="1"/>
            <rFont val="Calibri"/>
            <family val="2"/>
            <scheme val="minor"/>
          </rPr>
          <t>CF net earnings
FORMULA: =N33*(1-N13)
WHY: Same NI equation as the IS, written out so CFO does not hide behind a bare pointer.
LINK: https://www.sec.gov/Archives/edgar/data/814547/000081454725000030/fico-20250930.htm</t>
        </r>
      </text>
    </comment>
    <comment ref="B63" authorId="0" shapeId="0" xr:uid="{00000000-0006-0000-0100-000013010000}">
      <text>
        <r>
          <rPr>
            <sz val="11"/>
            <color theme="1"/>
            <rFont val="Calibri"/>
            <family val="2"/>
            <scheme val="minor"/>
          </rPr>
          <t>CF + D&amp;A
WHY: Adds back non-cash D&amp;A (Rev × DA%) in the cash-from-operations bridge.
PATTERN: ={c}30
LINK: https://www.sec.gov/Archives/edgar/data/814547/000081454725000030/fico-20250930.htm</t>
        </r>
      </text>
    </comment>
    <comment ref="J63" authorId="0" shapeId="0" xr:uid="{00000000-0006-0000-0100-000014010000}">
      <text>
        <r>
          <rPr>
            <sz val="11"/>
            <color theme="1"/>
            <rFont val="Calibri"/>
            <family val="2"/>
            <scheme val="minor"/>
          </rPr>
          <t>CF + D&amp;A
FORMULA: =J30
WHY: Adds back non-cash D&amp;A (Rev × DA%) in the cash-from-operations bridge.
LINK: https://www.sec.gov/Archives/edgar/data/814547/000081454725000030/fico-20250930.htm</t>
        </r>
      </text>
    </comment>
    <comment ref="K63" authorId="0" shapeId="0" xr:uid="{00000000-0006-0000-0100-000015010000}">
      <text>
        <r>
          <rPr>
            <sz val="11"/>
            <color theme="1"/>
            <rFont val="Calibri"/>
            <family val="2"/>
            <scheme val="minor"/>
          </rPr>
          <t>CF + D&amp;A
FORMULA: =K30
WHY: Adds back non-cash D&amp;A (Rev × DA%) in the cash-from-operations bridge.
LINK: https://www.sec.gov/Archives/edgar/data/814547/000081454725000030/fico-20250930.htm</t>
        </r>
      </text>
    </comment>
    <comment ref="L63" authorId="0" shapeId="0" xr:uid="{00000000-0006-0000-0100-000016010000}">
      <text>
        <r>
          <rPr>
            <sz val="11"/>
            <color theme="1"/>
            <rFont val="Calibri"/>
            <family val="2"/>
            <scheme val="minor"/>
          </rPr>
          <t>CF + D&amp;A
FORMULA: =L30
WHY: Adds back non-cash D&amp;A (Rev × DA%) in the cash-from-operations bridge.
LINK: https://www.sec.gov/Archives/edgar/data/814547/000081454725000030/fico-20250930.htm</t>
        </r>
      </text>
    </comment>
    <comment ref="M63" authorId="0" shapeId="0" xr:uid="{00000000-0006-0000-0100-000017010000}">
      <text>
        <r>
          <rPr>
            <sz val="11"/>
            <color theme="1"/>
            <rFont val="Calibri"/>
            <family val="2"/>
            <scheme val="minor"/>
          </rPr>
          <t>CF + D&amp;A
FORMULA: =M30
WHY: Adds back non-cash D&amp;A (Rev × DA%) in the cash-from-operations bridge.
LINK: https://www.sec.gov/Archives/edgar/data/814547/000081454725000030/fico-20250930.htm</t>
        </r>
      </text>
    </comment>
    <comment ref="N63" authorId="0" shapeId="0" xr:uid="{00000000-0006-0000-0100-000018010000}">
      <text>
        <r>
          <rPr>
            <sz val="11"/>
            <color theme="1"/>
            <rFont val="Calibri"/>
            <family val="2"/>
            <scheme val="minor"/>
          </rPr>
          <t>CF + D&amp;A
FORMULA: =N30
WHY: Adds back non-cash D&amp;A (Rev × DA%) in the cash-from-operations bridge.
LINK: https://www.sec.gov/Archives/edgar/data/814547/000081454725000030/fico-20250930.htm</t>
        </r>
      </text>
    </comment>
    <comment ref="B64" authorId="0" shapeId="0" xr:uid="{00000000-0006-0000-0100-000019010000}">
      <text>
        <r>
          <rPr>
            <sz val="11"/>
            <color theme="1"/>
            <rFont val="Calibri"/>
            <family val="2"/>
            <scheme val="minor"/>
          </rPr>
          <t>CF + SBC
WHY: Adds back stock-based compensation (Rev × SBC%) — non-cash opex already in NI.
PATTERN: ={c}24*{c}21
LINK: https://www.sec.gov/Archives/edgar/data/814547/000081454725000030/fico-20250930.htm</t>
        </r>
      </text>
    </comment>
    <comment ref="J64" authorId="0" shapeId="0" xr:uid="{00000000-0006-0000-0100-00001A010000}">
      <text>
        <r>
          <rPr>
            <sz val="11"/>
            <color theme="1"/>
            <rFont val="Calibri"/>
            <family val="2"/>
            <scheme val="minor"/>
          </rPr>
          <t>CF + SBC
FORMULA: =J24*J21
WHY: Adds back stock-based compensation (Rev × SBC%) — non-cash opex already in NI.
LINK: https://www.sec.gov/Archives/edgar/data/814547/000081454725000030/fico-20250930.htm</t>
        </r>
      </text>
    </comment>
    <comment ref="K64" authorId="0" shapeId="0" xr:uid="{00000000-0006-0000-0100-00001B010000}">
      <text>
        <r>
          <rPr>
            <sz val="11"/>
            <color theme="1"/>
            <rFont val="Calibri"/>
            <family val="2"/>
            <scheme val="minor"/>
          </rPr>
          <t>CF + SBC
FORMULA: =K24*K21
WHY: Adds back stock-based compensation (Rev × SBC%) — non-cash opex already in NI.
LINK: https://www.sec.gov/Archives/edgar/data/814547/000081454725000030/fico-20250930.htm</t>
        </r>
      </text>
    </comment>
    <comment ref="L64" authorId="0" shapeId="0" xr:uid="{00000000-0006-0000-0100-00001C010000}">
      <text>
        <r>
          <rPr>
            <sz val="11"/>
            <color theme="1"/>
            <rFont val="Calibri"/>
            <family val="2"/>
            <scheme val="minor"/>
          </rPr>
          <t>CF + SBC
FORMULA: =L24*L21
WHY: Adds back stock-based compensation (Rev × SBC%) — non-cash opex already in NI.
LINK: https://www.sec.gov/Archives/edgar/data/814547/000081454725000030/fico-20250930.htm</t>
        </r>
      </text>
    </comment>
    <comment ref="M64" authorId="0" shapeId="0" xr:uid="{00000000-0006-0000-0100-00001D010000}">
      <text>
        <r>
          <rPr>
            <sz val="11"/>
            <color theme="1"/>
            <rFont val="Calibri"/>
            <family val="2"/>
            <scheme val="minor"/>
          </rPr>
          <t>CF + SBC
FORMULA: =M24*M21
WHY: Adds back stock-based compensation (Rev × SBC%) — non-cash opex already in NI.
LINK: https://www.sec.gov/Archives/edgar/data/814547/000081454725000030/fico-20250930.htm</t>
        </r>
      </text>
    </comment>
    <comment ref="N64" authorId="0" shapeId="0" xr:uid="{00000000-0006-0000-0100-00001E010000}">
      <text>
        <r>
          <rPr>
            <sz val="11"/>
            <color theme="1"/>
            <rFont val="Calibri"/>
            <family val="2"/>
            <scheme val="minor"/>
          </rPr>
          <t>CF + SBC
FORMULA: =N24*N21
WHY: Adds back stock-based compensation (Rev × SBC%) — non-cash opex already in NI.
LINK: https://www.sec.gov/Archives/edgar/data/814547/000081454725000030/fico-20250930.htm</t>
        </r>
      </text>
    </comment>
    <comment ref="B65" authorId="0" shapeId="0" xr:uid="{00000000-0006-0000-0100-00001F010000}">
      <text>
        <r>
          <rPr>
            <sz val="11"/>
            <color theme="1"/>
            <rFont val="Calibri"/>
            <family val="2"/>
            <scheme val="minor"/>
          </rPr>
          <t>CF − Δ Op NWC
WHY: Δ Operating NWC = OpNWCt − OpNWCt−1 from AR+Inv−AP only (Deferred excluded).
PATTERN: ={c}90
LINK: https://www.sec.gov/Archives/edgar/data/814547/000081454725000030/fico-20250930.htm</t>
        </r>
      </text>
    </comment>
    <comment ref="J65" authorId="0" shapeId="0" xr:uid="{00000000-0006-0000-0100-000020010000}">
      <text>
        <r>
          <rPr>
            <sz val="11"/>
            <color theme="1"/>
            <rFont val="Calibri"/>
            <family val="2"/>
            <scheme val="minor"/>
          </rPr>
          <t>CF − Δ Op NWC
FORMULA: =J90
WHY: Δ Operating NWC = OpNWCt − OpNWCt−1 from AR+Inv−AP only (Deferred excluded).
LINK: https://www.sec.gov/Archives/edgar/data/814547/000081454725000030/fico-20250930.htm</t>
        </r>
      </text>
    </comment>
    <comment ref="K65" authorId="0" shapeId="0" xr:uid="{00000000-0006-0000-0100-000021010000}">
      <text>
        <r>
          <rPr>
            <sz val="11"/>
            <color theme="1"/>
            <rFont val="Calibri"/>
            <family val="2"/>
            <scheme val="minor"/>
          </rPr>
          <t>CF − Δ Op NWC
FORMULA: =K90
WHY: Δ Operating NWC = OpNWCt − OpNWCt−1 from AR+Inv−AP only (Deferred excluded).
LINK: https://www.sec.gov/Archives/edgar/data/814547/000081454725000030/fico-20250930.htm</t>
        </r>
      </text>
    </comment>
    <comment ref="L65" authorId="0" shapeId="0" xr:uid="{00000000-0006-0000-0100-000022010000}">
      <text>
        <r>
          <rPr>
            <sz val="11"/>
            <color theme="1"/>
            <rFont val="Calibri"/>
            <family val="2"/>
            <scheme val="minor"/>
          </rPr>
          <t>CF − Δ Op NWC
FORMULA: =L90
WHY: Δ Operating NWC = OpNWCt − OpNWCt−1 from AR+Inv−AP only (Deferred excluded).
LINK: https://www.sec.gov/Archives/edgar/data/814547/000081454725000030/fico-20250930.htm</t>
        </r>
      </text>
    </comment>
    <comment ref="M65" authorId="0" shapeId="0" xr:uid="{00000000-0006-0000-0100-000023010000}">
      <text>
        <r>
          <rPr>
            <sz val="11"/>
            <color theme="1"/>
            <rFont val="Calibri"/>
            <family val="2"/>
            <scheme val="minor"/>
          </rPr>
          <t>CF − Δ Op NWC
FORMULA: =M90
WHY: Δ Operating NWC = OpNWCt − OpNWCt−1 from AR+Inv−AP only (Deferred excluded).
LINK: https://www.sec.gov/Archives/edgar/data/814547/000081454725000030/fico-20250930.htm</t>
        </r>
      </text>
    </comment>
    <comment ref="N65" authorId="0" shapeId="0" xr:uid="{00000000-0006-0000-0100-000024010000}">
      <text>
        <r>
          <rPr>
            <sz val="11"/>
            <color theme="1"/>
            <rFont val="Calibri"/>
            <family val="2"/>
            <scheme val="minor"/>
          </rPr>
          <t>CF − Δ Op NWC
FORMULA: =N90
WHY: Δ Operating NWC = OpNWCt − OpNWCt−1 from AR+Inv−AP only (Deferred excluded).
LINK: https://www.sec.gov/Archives/edgar/data/814547/000081454725000030/fico-20250930.htm</t>
        </r>
      </text>
    </comment>
    <comment ref="B66" authorId="0" shapeId="0" xr:uid="{00000000-0006-0000-0100-000025010000}">
      <text>
        <r>
          <rPr>
            <sz val="11"/>
            <color theme="1"/>
            <rFont val="Calibri"/>
            <family val="2"/>
            <scheme val="minor"/>
          </rPr>
          <t>Cash from operations
WHY: Full CFO: NI + D&amp;A + SBC − Δ Op NWC + Increase in Deferred Revenue.
PATTERN: =NI+DA+SBC−ΔOpNWC+ΔDeferred
LINK: https://www.sec.gov/Archives/edgar/data/814547/000081454725000030/fico-20250930.htm</t>
        </r>
      </text>
    </comment>
    <comment ref="J66" authorId="0" shapeId="0" xr:uid="{00000000-0006-0000-0100-000026010000}">
      <text>
        <r>
          <rPr>
            <sz val="11"/>
            <color theme="1"/>
            <rFont val="Calibri"/>
            <family val="2"/>
            <scheme val="minor"/>
          </rPr>
          <t>Cash from operations
FORMULA: =NI+DA+SBC−ΔOpNWC+ΔDeferred
WHY: Full CFO: NI + D&amp;A + SBC − Δ Op NWC + Increase in Deferred Revenue.
LINK: https://www.sec.gov/Archives/edgar/data/814547/000081454725000030/fico-20250930.htm</t>
        </r>
      </text>
    </comment>
    <comment ref="K66" authorId="0" shapeId="0" xr:uid="{00000000-0006-0000-0100-000027010000}">
      <text>
        <r>
          <rPr>
            <sz val="11"/>
            <color theme="1"/>
            <rFont val="Calibri"/>
            <family val="2"/>
            <scheme val="minor"/>
          </rPr>
          <t>Cash from operations
FORMULA: =NI+DA+SBC−ΔOpNWC+ΔDeferred
WHY: Full CFO: NI + D&amp;A + SBC − Δ Op NWC + Increase in Deferred Revenue.
LINK: https://www.sec.gov/Archives/edgar/data/814547/000081454725000030/fico-20250930.htm</t>
        </r>
      </text>
    </comment>
    <comment ref="L66" authorId="0" shapeId="0" xr:uid="{00000000-0006-0000-0100-000028010000}">
      <text>
        <r>
          <rPr>
            <sz val="11"/>
            <color theme="1"/>
            <rFont val="Calibri"/>
            <family val="2"/>
            <scheme val="minor"/>
          </rPr>
          <t>Cash from operations
FORMULA: =NI+DA+SBC−ΔOpNWC+ΔDeferred
WHY: Full CFO: NI + D&amp;A + SBC − Δ Op NWC + Increase in Deferred Revenue.
LINK: https://www.sec.gov/Archives/edgar/data/814547/000081454725000030/fico-20250930.htm</t>
        </r>
      </text>
    </comment>
    <comment ref="M66" authorId="0" shapeId="0" xr:uid="{00000000-0006-0000-0100-000029010000}">
      <text>
        <r>
          <rPr>
            <sz val="11"/>
            <color theme="1"/>
            <rFont val="Calibri"/>
            <family val="2"/>
            <scheme val="minor"/>
          </rPr>
          <t>Cash from operations
FORMULA: =NI+DA+SBC−ΔOpNWC+ΔDeferred
WHY: Full CFO: NI + D&amp;A + SBC − Δ Op NWC + Increase in Deferred Revenue.
LINK: https://www.sec.gov/Archives/edgar/data/814547/000081454725000030/fico-20250930.htm</t>
        </r>
      </text>
    </comment>
    <comment ref="N66" authorId="0" shapeId="0" xr:uid="{00000000-0006-0000-0100-00002A010000}">
      <text>
        <r>
          <rPr>
            <sz val="11"/>
            <color theme="1"/>
            <rFont val="Calibri"/>
            <family val="2"/>
            <scheme val="minor"/>
          </rPr>
          <t>Cash from operations
FORMULA: =NI+DA+SBC−ΔOpNWC+ΔDeferred
WHY: Full CFO: NI + D&amp;A + SBC − Δ Op NWC + Increase in Deferred Revenue.
LINK: https://www.sec.gov/Archives/edgar/data/814547/000081454725000030/fico-20250930.htm</t>
        </r>
      </text>
    </comment>
    <comment ref="B68" authorId="0" shapeId="0" xr:uid="{00000000-0006-0000-0100-00002B010000}">
      <text>
        <r>
          <rPr>
            <sz val="11"/>
            <color theme="1"/>
            <rFont val="Calibri"/>
            <family val="2"/>
            <scheme val="minor"/>
          </rPr>
          <t>CapEx $
WHY: Revenue times flat CapEx%; investing outflow used in CF and the PPE roll-forward.
PATTERN: ={c}24*{c}18
LINK: https://www.sec.gov/Archives/edgar/data/814547/000081454725000030/fico-20250930.htm</t>
        </r>
      </text>
    </comment>
    <comment ref="J68" authorId="0" shapeId="0" xr:uid="{00000000-0006-0000-0100-00002C010000}">
      <text>
        <r>
          <rPr>
            <sz val="11"/>
            <color theme="1"/>
            <rFont val="Calibri"/>
            <family val="2"/>
            <scheme val="minor"/>
          </rPr>
          <t>CapEx $
FORMULA: =J24*J18
WHY: Revenue times flat CapEx%; investing outflow used in CF and the PPE roll-forward.
LINK: https://www.sec.gov/Archives/edgar/data/814547/000081454725000030/fico-20250930.htm</t>
        </r>
      </text>
    </comment>
    <comment ref="K68" authorId="0" shapeId="0" xr:uid="{00000000-0006-0000-0100-00002D010000}">
      <text>
        <r>
          <rPr>
            <sz val="11"/>
            <color theme="1"/>
            <rFont val="Calibri"/>
            <family val="2"/>
            <scheme val="minor"/>
          </rPr>
          <t>CapEx $
FORMULA: =K24*K18
WHY: Revenue times flat CapEx%; investing outflow used in CF and the PPE roll-forward.
LINK: https://www.sec.gov/Archives/edgar/data/814547/000081454725000030/fico-20250930.htm</t>
        </r>
      </text>
    </comment>
    <comment ref="L68" authorId="0" shapeId="0" xr:uid="{00000000-0006-0000-0100-00002E010000}">
      <text>
        <r>
          <rPr>
            <sz val="11"/>
            <color theme="1"/>
            <rFont val="Calibri"/>
            <family val="2"/>
            <scheme val="minor"/>
          </rPr>
          <t>CapEx $
FORMULA: =L24*L18
WHY: Revenue times flat CapEx%; investing outflow used in CF and the PPE roll-forward.
LINK: https://www.sec.gov/Archives/edgar/data/814547/000081454725000030/fico-20250930.htm</t>
        </r>
      </text>
    </comment>
    <comment ref="M68" authorId="0" shapeId="0" xr:uid="{00000000-0006-0000-0100-00002F010000}">
      <text>
        <r>
          <rPr>
            <sz val="11"/>
            <color theme="1"/>
            <rFont val="Calibri"/>
            <family val="2"/>
            <scheme val="minor"/>
          </rPr>
          <t>CapEx $
FORMULA: =M24*M18
WHY: Revenue times flat CapEx%; investing outflow used in CF and the PPE roll-forward.
LINK: https://www.sec.gov/Archives/edgar/data/814547/000081454725000030/fico-20250930.htm</t>
        </r>
      </text>
    </comment>
    <comment ref="N68" authorId="0" shapeId="0" xr:uid="{00000000-0006-0000-0100-000030010000}">
      <text>
        <r>
          <rPr>
            <sz val="11"/>
            <color theme="1"/>
            <rFont val="Calibri"/>
            <family val="2"/>
            <scheme val="minor"/>
          </rPr>
          <t>CapEx $
FORMULA: =N24*N18
WHY: Revenue times flat CapEx%; investing outflow used in CF and the PPE roll-forward.
LINK: https://www.sec.gov/Archives/edgar/data/814547/000081454725000030/fico-20250930.htm</t>
        </r>
      </text>
    </comment>
    <comment ref="B69" authorId="0" shapeId="0" xr:uid="{00000000-0006-0000-0100-000031010000}">
      <text>
        <r>
          <rPr>
            <sz val="11"/>
            <color theme="1"/>
            <rFont val="Calibri"/>
            <family val="2"/>
            <scheme val="minor"/>
          </rPr>
          <t>Cash from investing
WHY: In this template CFI is CapEx only; equals the CapEx dollar line above.
PATTERN: ={c}68
LINK: https://www.sec.gov/Archives/edgar/data/814547/000081454725000030/fico-20250930.htm</t>
        </r>
      </text>
    </comment>
    <comment ref="J69" authorId="0" shapeId="0" xr:uid="{00000000-0006-0000-0100-000032010000}">
      <text>
        <r>
          <rPr>
            <sz val="11"/>
            <color theme="1"/>
            <rFont val="Calibri"/>
            <family val="2"/>
            <scheme val="minor"/>
          </rPr>
          <t>Cash from investing
FORMULA: =J68
WHY: In this template CFI is CapEx only; equals the CapEx dollar line above.
LINK: https://www.sec.gov/Archives/edgar/data/814547/000081454725000030/fico-20250930.htm</t>
        </r>
      </text>
    </comment>
    <comment ref="K69" authorId="0" shapeId="0" xr:uid="{00000000-0006-0000-0100-000033010000}">
      <text>
        <r>
          <rPr>
            <sz val="11"/>
            <color theme="1"/>
            <rFont val="Calibri"/>
            <family val="2"/>
            <scheme val="minor"/>
          </rPr>
          <t>Cash from investing
FORMULA: =K68
WHY: In this template CFI is CapEx only; equals the CapEx dollar line above.
LINK: https://www.sec.gov/Archives/edgar/data/814547/000081454725000030/fico-20250930.htm</t>
        </r>
      </text>
    </comment>
    <comment ref="L69" authorId="0" shapeId="0" xr:uid="{00000000-0006-0000-0100-000034010000}">
      <text>
        <r>
          <rPr>
            <sz val="11"/>
            <color theme="1"/>
            <rFont val="Calibri"/>
            <family val="2"/>
            <scheme val="minor"/>
          </rPr>
          <t>Cash from investing
FORMULA: =L68
WHY: In this template CFI is CapEx only; equals the CapEx dollar line above.
LINK: https://www.sec.gov/Archives/edgar/data/814547/000081454725000030/fico-20250930.htm</t>
        </r>
      </text>
    </comment>
    <comment ref="M69" authorId="0" shapeId="0" xr:uid="{00000000-0006-0000-0100-000035010000}">
      <text>
        <r>
          <rPr>
            <sz val="11"/>
            <color theme="1"/>
            <rFont val="Calibri"/>
            <family val="2"/>
            <scheme val="minor"/>
          </rPr>
          <t>Cash from investing
FORMULA: =M68
WHY: In this template CFI is CapEx only; equals the CapEx dollar line above.
LINK: https://www.sec.gov/Archives/edgar/data/814547/000081454725000030/fico-20250930.htm</t>
        </r>
      </text>
    </comment>
    <comment ref="N69" authorId="0" shapeId="0" xr:uid="{00000000-0006-0000-0100-000036010000}">
      <text>
        <r>
          <rPr>
            <sz val="11"/>
            <color theme="1"/>
            <rFont val="Calibri"/>
            <family val="2"/>
            <scheme val="minor"/>
          </rPr>
          <t>Cash from investing
FORMULA: =N68
WHY: In this template CFI is CapEx only; equals the CapEx dollar line above.
LINK: https://www.sec.gov/Archives/edgar/data/814547/000081454725000030/fico-20250930.htm</t>
        </r>
      </text>
    </comment>
    <comment ref="B72" authorId="0" shapeId="0" xr:uid="{00000000-0006-0000-0100-000037010000}">
      <text>
        <r>
          <rPr>
            <sz val="11"/>
            <color theme="1"/>
            <rFont val="Calibri"/>
            <family val="2"/>
            <scheme val="minor"/>
          </rPr>
          <t>Debt issuance CF
WHY: Pulls the 3yr-avg net debt CF policy into financing cash flow.
PATTERN: ={c}19
LINK: https://www.sec.gov/Archives/edgar/data/814547/000081454725000030/fico-20250930.htm</t>
        </r>
      </text>
    </comment>
    <comment ref="J72" authorId="0" shapeId="0" xr:uid="{00000000-0006-0000-0100-000038010000}">
      <text>
        <r>
          <rPr>
            <sz val="11"/>
            <color theme="1"/>
            <rFont val="Calibri"/>
            <family val="2"/>
            <scheme val="minor"/>
          </rPr>
          <t>Debt issuance CF
FORMULA: =J19
WHY: Pulls the 3yr-avg net debt CF policy into financing cash flow.
LINK: https://www.sec.gov/Archives/edgar/data/814547/000081454725000030/fico-20250930.htm</t>
        </r>
      </text>
    </comment>
    <comment ref="K72" authorId="0" shapeId="0" xr:uid="{00000000-0006-0000-0100-000039010000}">
      <text>
        <r>
          <rPr>
            <sz val="11"/>
            <color theme="1"/>
            <rFont val="Calibri"/>
            <family val="2"/>
            <scheme val="minor"/>
          </rPr>
          <t>Debt issuance CF
FORMULA: =K19
WHY: Pulls the 3yr-avg net debt CF policy into financing cash flow.
LINK: https://www.sec.gov/Archives/edgar/data/814547/000081454725000030/fico-20250930.htm</t>
        </r>
      </text>
    </comment>
    <comment ref="L72" authorId="0" shapeId="0" xr:uid="{00000000-0006-0000-0100-00003A010000}">
      <text>
        <r>
          <rPr>
            <sz val="11"/>
            <color theme="1"/>
            <rFont val="Calibri"/>
            <family val="2"/>
            <scheme val="minor"/>
          </rPr>
          <t>Debt issuance CF
FORMULA: =L19
WHY: Pulls the 3yr-avg net debt CF policy into financing cash flow.
LINK: https://www.sec.gov/Archives/edgar/data/814547/000081454725000030/fico-20250930.htm</t>
        </r>
      </text>
    </comment>
    <comment ref="M72" authorId="0" shapeId="0" xr:uid="{00000000-0006-0000-0100-00003B010000}">
      <text>
        <r>
          <rPr>
            <sz val="11"/>
            <color theme="1"/>
            <rFont val="Calibri"/>
            <family val="2"/>
            <scheme val="minor"/>
          </rPr>
          <t>Debt issuance CF
FORMULA: =M19
WHY: Pulls the 3yr-avg net debt CF policy into financing cash flow.
LINK: https://www.sec.gov/Archives/edgar/data/814547/000081454725000030/fico-20250930.htm</t>
        </r>
      </text>
    </comment>
    <comment ref="N72" authorId="0" shapeId="0" xr:uid="{00000000-0006-0000-0100-00003C010000}">
      <text>
        <r>
          <rPr>
            <sz val="11"/>
            <color theme="1"/>
            <rFont val="Calibri"/>
            <family val="2"/>
            <scheme val="minor"/>
          </rPr>
          <t>Debt issuance CF
FORMULA: =N19
WHY: Pulls the 3yr-avg net debt CF policy into financing cash flow.
LINK: https://www.sec.gov/Archives/edgar/data/814547/000081454725000030/fico-20250930.htm</t>
        </r>
      </text>
    </comment>
    <comment ref="B73" authorId="0" shapeId="0" xr:uid="{00000000-0006-0000-0100-00003D010000}">
      <text>
        <r>
          <rPr>
            <sz val="11"/>
            <color theme="1"/>
            <rFont val="Calibri"/>
            <family val="2"/>
            <scheme val="minor"/>
          </rPr>
          <t>Equity issuance CF
WHY: Residual FCF buybacks after debt CF — prevents artificial cash stockpiling.
PATTERN: ={c}20
LINK: https://www.sec.gov/Archives/edgar/data/814547/000081454725000030/fico-20250930.htm</t>
        </r>
      </text>
    </comment>
    <comment ref="J73" authorId="0" shapeId="0" xr:uid="{00000000-0006-0000-0100-00003E010000}">
      <text>
        <r>
          <rPr>
            <sz val="11"/>
            <color theme="1"/>
            <rFont val="Calibri"/>
            <family val="2"/>
            <scheme val="minor"/>
          </rPr>
          <t>Equity issuance CF
FORMULA: =J20
WHY: Residual FCF buybacks after debt CF — prevents artificial cash stockpiling.
LINK: https://www.sec.gov/Archives/edgar/data/814547/000081454725000030/fico-20250930.htm</t>
        </r>
      </text>
    </comment>
    <comment ref="K73" authorId="0" shapeId="0" xr:uid="{00000000-0006-0000-0100-00003F010000}">
      <text>
        <r>
          <rPr>
            <sz val="11"/>
            <color theme="1"/>
            <rFont val="Calibri"/>
            <family val="2"/>
            <scheme val="minor"/>
          </rPr>
          <t>Equity issuance CF
FORMULA: =K20
WHY: Residual FCF buybacks after debt CF — prevents artificial cash stockpiling.
LINK: https://www.sec.gov/Archives/edgar/data/814547/000081454725000030/fico-20250930.htm</t>
        </r>
      </text>
    </comment>
    <comment ref="L73" authorId="0" shapeId="0" xr:uid="{00000000-0006-0000-0100-000040010000}">
      <text>
        <r>
          <rPr>
            <sz val="11"/>
            <color theme="1"/>
            <rFont val="Calibri"/>
            <family val="2"/>
            <scheme val="minor"/>
          </rPr>
          <t>Equity issuance CF
FORMULA: =L20
WHY: Residual FCF buybacks after debt CF — prevents artificial cash stockpiling.
LINK: https://www.sec.gov/Archives/edgar/data/814547/000081454725000030/fico-20250930.htm</t>
        </r>
      </text>
    </comment>
    <comment ref="M73" authorId="0" shapeId="0" xr:uid="{00000000-0006-0000-0100-000041010000}">
      <text>
        <r>
          <rPr>
            <sz val="11"/>
            <color theme="1"/>
            <rFont val="Calibri"/>
            <family val="2"/>
            <scheme val="minor"/>
          </rPr>
          <t>Equity issuance CF
FORMULA: =M20
WHY: Residual FCF buybacks after debt CF — prevents artificial cash stockpiling.
LINK: https://www.sec.gov/Archives/edgar/data/814547/000081454725000030/fico-20250930.htm</t>
        </r>
      </text>
    </comment>
    <comment ref="N73" authorId="0" shapeId="0" xr:uid="{00000000-0006-0000-0100-000042010000}">
      <text>
        <r>
          <rPr>
            <sz val="11"/>
            <color theme="1"/>
            <rFont val="Calibri"/>
            <family val="2"/>
            <scheme val="minor"/>
          </rPr>
          <t>Equity issuance CF
FORMULA: =N20
WHY: Residual FCF buybacks after debt CF — prevents artificial cash stockpiling.
LINK: https://www.sec.gov/Archives/edgar/data/814547/000081454725000030/fico-20250930.htm</t>
        </r>
      </text>
    </comment>
    <comment ref="B74" authorId="0" shapeId="0" xr:uid="{00000000-0006-0000-0100-000043010000}">
      <text>
        <r>
          <rPr>
            <sz val="11"/>
            <color theme="1"/>
            <rFont val="Calibri"/>
            <family val="2"/>
            <scheme val="minor"/>
          </rPr>
          <t>Cash from financing
WHY: Debt plus equity financing cash; excluded from FCFF by design.
PATTERN: ={c}19+{c}20
LINK: https://www.sec.gov/Archives/edgar/data/814547/000081454725000030/fico-20250930.htm</t>
        </r>
      </text>
    </comment>
    <comment ref="J74" authorId="0" shapeId="0" xr:uid="{00000000-0006-0000-0100-000044010000}">
      <text>
        <r>
          <rPr>
            <sz val="11"/>
            <color theme="1"/>
            <rFont val="Calibri"/>
            <family val="2"/>
            <scheme val="minor"/>
          </rPr>
          <t>Cash from financing
FORMULA: =J19+J20
WHY: Debt plus equity financing cash; excluded from FCFF by design.
LINK: https://www.sec.gov/Archives/edgar/data/814547/000081454725000030/fico-20250930.htm</t>
        </r>
      </text>
    </comment>
    <comment ref="K74" authorId="0" shapeId="0" xr:uid="{00000000-0006-0000-0100-000045010000}">
      <text>
        <r>
          <rPr>
            <sz val="11"/>
            <color theme="1"/>
            <rFont val="Calibri"/>
            <family val="2"/>
            <scheme val="minor"/>
          </rPr>
          <t>Cash from financing
FORMULA: =K19+K20
WHY: Debt plus equity financing cash; excluded from FCFF by design.
LINK: https://www.sec.gov/Archives/edgar/data/814547/000081454725000030/fico-20250930.htm</t>
        </r>
      </text>
    </comment>
    <comment ref="L74" authorId="0" shapeId="0" xr:uid="{00000000-0006-0000-0100-000046010000}">
      <text>
        <r>
          <rPr>
            <sz val="11"/>
            <color theme="1"/>
            <rFont val="Calibri"/>
            <family val="2"/>
            <scheme val="minor"/>
          </rPr>
          <t>Cash from financing
FORMULA: =L19+L20
WHY: Debt plus equity financing cash; excluded from FCFF by design.
LINK: https://www.sec.gov/Archives/edgar/data/814547/000081454725000030/fico-20250930.htm</t>
        </r>
      </text>
    </comment>
    <comment ref="M74" authorId="0" shapeId="0" xr:uid="{00000000-0006-0000-0100-000047010000}">
      <text>
        <r>
          <rPr>
            <sz val="11"/>
            <color theme="1"/>
            <rFont val="Calibri"/>
            <family val="2"/>
            <scheme val="minor"/>
          </rPr>
          <t>Cash from financing
FORMULA: =M19+M20
WHY: Debt plus equity financing cash; excluded from FCFF by design.
LINK: https://www.sec.gov/Archives/edgar/data/814547/000081454725000030/fico-20250930.htm</t>
        </r>
      </text>
    </comment>
    <comment ref="N74" authorId="0" shapeId="0" xr:uid="{00000000-0006-0000-0100-000048010000}">
      <text>
        <r>
          <rPr>
            <sz val="11"/>
            <color theme="1"/>
            <rFont val="Calibri"/>
            <family val="2"/>
            <scheme val="minor"/>
          </rPr>
          <t>Cash from financing
FORMULA: =N19+N20
WHY: Debt plus equity financing cash; excluded from FCFF by design.
LINK: https://www.sec.gov/Archives/edgar/data/814547/000081454725000030/fico-20250930.htm</t>
        </r>
      </text>
    </comment>
    <comment ref="B76" authorId="0" shapeId="0" xr:uid="{00000000-0006-0000-0100-000049010000}">
      <text>
        <r>
          <rPr>
            <sz val="11"/>
            <color theme="1"/>
            <rFont val="Calibri"/>
            <family val="2"/>
            <scheme val="minor"/>
          </rPr>
          <t>Δ Cash
WHY: CFO minus CapEx plus financing; net change that rolls opening cash to closing.
PATTERN: ={c}66-{c}69+{c}74
LINK: https://www.sec.gov/Archives/edgar/data/814547/000081454725000030/fico-20250930.htm</t>
        </r>
      </text>
    </comment>
    <comment ref="J76" authorId="0" shapeId="0" xr:uid="{00000000-0006-0000-0100-00004A010000}">
      <text>
        <r>
          <rPr>
            <sz val="11"/>
            <color theme="1"/>
            <rFont val="Calibri"/>
            <family val="2"/>
            <scheme val="minor"/>
          </rPr>
          <t>Δ Cash
FORMULA: =J66-J69+J74
WHY: CFO minus CapEx plus financing; net change that rolls opening cash to closing.
LINK: https://www.sec.gov/Archives/edgar/data/814547/000081454725000030/fico-20250930.htm</t>
        </r>
      </text>
    </comment>
    <comment ref="K76" authorId="0" shapeId="0" xr:uid="{00000000-0006-0000-0100-00004B010000}">
      <text>
        <r>
          <rPr>
            <sz val="11"/>
            <color theme="1"/>
            <rFont val="Calibri"/>
            <family val="2"/>
            <scheme val="minor"/>
          </rPr>
          <t>Δ Cash
FORMULA: =K66-K69+K74
WHY: CFO minus CapEx plus financing; net change that rolls opening cash to closing.
LINK: https://www.sec.gov/Archives/edgar/data/814547/000081454725000030/fico-20250930.htm</t>
        </r>
      </text>
    </comment>
    <comment ref="L76" authorId="0" shapeId="0" xr:uid="{00000000-0006-0000-0100-00004C010000}">
      <text>
        <r>
          <rPr>
            <sz val="11"/>
            <color theme="1"/>
            <rFont val="Calibri"/>
            <family val="2"/>
            <scheme val="minor"/>
          </rPr>
          <t>Δ Cash
FORMULA: =L66-L69+L74
WHY: CFO minus CapEx plus financing; net change that rolls opening cash to closing.
LINK: https://www.sec.gov/Archives/edgar/data/814547/000081454725000030/fico-20250930.htm</t>
        </r>
      </text>
    </comment>
    <comment ref="M76" authorId="0" shapeId="0" xr:uid="{00000000-0006-0000-0100-00004D010000}">
      <text>
        <r>
          <rPr>
            <sz val="11"/>
            <color theme="1"/>
            <rFont val="Calibri"/>
            <family val="2"/>
            <scheme val="minor"/>
          </rPr>
          <t>Δ Cash
FORMULA: =M66-M69+M74
WHY: CFO minus CapEx plus financing; net change that rolls opening cash to closing.
LINK: https://www.sec.gov/Archives/edgar/data/814547/000081454725000030/fico-20250930.htm</t>
        </r>
      </text>
    </comment>
    <comment ref="N76" authorId="0" shapeId="0" xr:uid="{00000000-0006-0000-0100-00004E010000}">
      <text>
        <r>
          <rPr>
            <sz val="11"/>
            <color theme="1"/>
            <rFont val="Calibri"/>
            <family val="2"/>
            <scheme val="minor"/>
          </rPr>
          <t>Δ Cash
FORMULA: =N66-N69+N74
WHY: CFO minus CapEx plus financing; net change that rolls opening cash to closing.
LINK: https://www.sec.gov/Archives/edgar/data/814547/000081454725000030/fico-20250930.htm</t>
        </r>
      </text>
    </comment>
    <comment ref="B77" authorId="0" shapeId="0" xr:uid="{00000000-0006-0000-0100-00004F010000}">
      <text>
        <r>
          <rPr>
            <sz val="11"/>
            <color theme="1"/>
            <rFont val="Calibri"/>
            <family val="2"/>
            <scheme val="minor"/>
          </rPr>
          <t>Opening cash
WHY: Starts at prior balance-sheet cash so the cash roll-forward matches history.
PATTERN: ={p}41
LINK: https://www.sec.gov/Archives/edgar/data/814547/000081454725000030/fico-20250930.htm</t>
        </r>
      </text>
    </comment>
    <comment ref="J77" authorId="0" shapeId="0" xr:uid="{00000000-0006-0000-0100-000050010000}">
      <text>
        <r>
          <rPr>
            <sz val="11"/>
            <color theme="1"/>
            <rFont val="Calibri"/>
            <family val="2"/>
            <scheme val="minor"/>
          </rPr>
          <t>Opening cash
FORMULA: =I41
WHY: Starts at prior balance-sheet cash so the cash roll-forward matches history.
LINK: https://www.sec.gov/Archives/edgar/data/814547/000081454725000030/fico-20250930.htm</t>
        </r>
      </text>
    </comment>
    <comment ref="K77" authorId="0" shapeId="0" xr:uid="{00000000-0006-0000-0100-000051010000}">
      <text>
        <r>
          <rPr>
            <sz val="11"/>
            <color theme="1"/>
            <rFont val="Calibri"/>
            <family val="2"/>
            <scheme val="minor"/>
          </rPr>
          <t>Opening cash
FORMULA: =J41
WHY: Starts at prior balance-sheet cash so the cash roll-forward matches history.
LINK: https://www.sec.gov/Archives/edgar/data/814547/000081454725000030/fico-20250930.htm</t>
        </r>
      </text>
    </comment>
    <comment ref="L77" authorId="0" shapeId="0" xr:uid="{00000000-0006-0000-0100-000052010000}">
      <text>
        <r>
          <rPr>
            <sz val="11"/>
            <color theme="1"/>
            <rFont val="Calibri"/>
            <family val="2"/>
            <scheme val="minor"/>
          </rPr>
          <t>Opening cash
FORMULA: =K41
WHY: Starts at prior balance-sheet cash so the cash roll-forward matches history.
LINK: https://www.sec.gov/Archives/edgar/data/814547/000081454725000030/fico-20250930.htm</t>
        </r>
      </text>
    </comment>
    <comment ref="M77" authorId="0" shapeId="0" xr:uid="{00000000-0006-0000-0100-000053010000}">
      <text>
        <r>
          <rPr>
            <sz val="11"/>
            <color theme="1"/>
            <rFont val="Calibri"/>
            <family val="2"/>
            <scheme val="minor"/>
          </rPr>
          <t>Opening cash
FORMULA: =L41
WHY: Starts at prior balance-sheet cash so the cash roll-forward matches history.
LINK: https://www.sec.gov/Archives/edgar/data/814547/000081454725000030/fico-20250930.htm</t>
        </r>
      </text>
    </comment>
    <comment ref="N77" authorId="0" shapeId="0" xr:uid="{00000000-0006-0000-0100-000054010000}">
      <text>
        <r>
          <rPr>
            <sz val="11"/>
            <color theme="1"/>
            <rFont val="Calibri"/>
            <family val="2"/>
            <scheme val="minor"/>
          </rPr>
          <t>Opening cash
FORMULA: =M41
WHY: Starts at prior balance-sheet cash so the cash roll-forward matches history.
LINK: https://www.sec.gov/Archives/edgar/data/814547/000081454725000030/fico-20250930.htm</t>
        </r>
      </text>
    </comment>
    <comment ref="B78" authorId="0" shapeId="0" xr:uid="{00000000-0006-0000-0100-000055010000}">
      <text>
        <r>
          <rPr>
            <sz val="11"/>
            <color theme="1"/>
            <rFont val="Calibri"/>
            <family val="2"/>
            <scheme val="minor"/>
          </rPr>
          <t>Closing cash
WHY: Opening cash plus Δ cash; feeds BS cash and the cash-flow check.
PATTERN: ={c}77+{c}76
LINK: https://www.sec.gov/Archives/edgar/data/814547/000081454725000030/fico-20250930.htm</t>
        </r>
      </text>
    </comment>
    <comment ref="J78" authorId="0" shapeId="0" xr:uid="{00000000-0006-0000-0100-000056010000}">
      <text>
        <r>
          <rPr>
            <sz val="11"/>
            <color theme="1"/>
            <rFont val="Calibri"/>
            <family val="2"/>
            <scheme val="minor"/>
          </rPr>
          <t>Closing cash
FORMULA: =J77+J76
WHY: Opening cash plus Δ cash; feeds BS cash and the cash-flow check.
LINK: https://www.sec.gov/Archives/edgar/data/814547/000081454725000030/fico-20250930.htm</t>
        </r>
      </text>
    </comment>
    <comment ref="K78" authorId="0" shapeId="0" xr:uid="{00000000-0006-0000-0100-000057010000}">
      <text>
        <r>
          <rPr>
            <sz val="11"/>
            <color theme="1"/>
            <rFont val="Calibri"/>
            <family val="2"/>
            <scheme val="minor"/>
          </rPr>
          <t>Closing cash
FORMULA: =K77+K76
WHY: Opening cash plus Δ cash; feeds BS cash and the cash-flow check.
LINK: https://www.sec.gov/Archives/edgar/data/814547/000081454725000030/fico-20250930.htm</t>
        </r>
      </text>
    </comment>
    <comment ref="L78" authorId="0" shapeId="0" xr:uid="{00000000-0006-0000-0100-000058010000}">
      <text>
        <r>
          <rPr>
            <sz val="11"/>
            <color theme="1"/>
            <rFont val="Calibri"/>
            <family val="2"/>
            <scheme val="minor"/>
          </rPr>
          <t>Closing cash
FORMULA: =L77+L76
WHY: Opening cash plus Δ cash; feeds BS cash and the cash-flow check.
LINK: https://www.sec.gov/Archives/edgar/data/814547/000081454725000030/fico-20250930.htm</t>
        </r>
      </text>
    </comment>
    <comment ref="M78" authorId="0" shapeId="0" xr:uid="{00000000-0006-0000-0100-000059010000}">
      <text>
        <r>
          <rPr>
            <sz val="11"/>
            <color theme="1"/>
            <rFont val="Calibri"/>
            <family val="2"/>
            <scheme val="minor"/>
          </rPr>
          <t>Closing cash
FORMULA: =M77+M76
WHY: Opening cash plus Δ cash; feeds BS cash and the cash-flow check.
LINK: https://www.sec.gov/Archives/edgar/data/814547/000081454725000030/fico-20250930.htm</t>
        </r>
      </text>
    </comment>
    <comment ref="N78" authorId="0" shapeId="0" xr:uid="{00000000-0006-0000-0100-00005A010000}">
      <text>
        <r>
          <rPr>
            <sz val="11"/>
            <color theme="1"/>
            <rFont val="Calibri"/>
            <family val="2"/>
            <scheme val="minor"/>
          </rPr>
          <t>Closing cash
FORMULA: =N77+N76
WHY: Opening cash plus Δ cash; feeds BS cash and the cash-flow check.
LINK: https://www.sec.gov/Archives/edgar/data/814547/000081454725000030/fico-20250930.htm</t>
        </r>
      </text>
    </comment>
    <comment ref="B80" authorId="0" shapeId="0" xr:uid="{00000000-0006-0000-0100-00005B010000}">
      <text>
        <r>
          <rPr>
            <sz val="11"/>
            <color theme="1"/>
            <rFont val="Calibri"/>
            <family val="2"/>
            <scheme val="minor"/>
          </rPr>
          <t>Cash check
WHY: Closing CF cash minus BS cash; must be zero when statements are linked.
PATTERN: ={c}78-{c}41
LINK: https://www.sec.gov/Archives/edgar/data/814547/000081454725000030/fico-20250930.htm</t>
        </r>
      </text>
    </comment>
    <comment ref="J80" authorId="0" shapeId="0" xr:uid="{00000000-0006-0000-0100-00005C010000}">
      <text>
        <r>
          <rPr>
            <sz val="11"/>
            <color theme="1"/>
            <rFont val="Calibri"/>
            <family val="2"/>
            <scheme val="minor"/>
          </rPr>
          <t>Cash check
FORMULA: =J78-J41
WHY: Closing CF cash minus BS cash; must be zero when statements are linked.
LINK: https://www.sec.gov/Archives/edgar/data/814547/000081454725000030/fico-20250930.htm</t>
        </r>
      </text>
    </comment>
    <comment ref="K80" authorId="0" shapeId="0" xr:uid="{00000000-0006-0000-0100-00005D010000}">
      <text>
        <r>
          <rPr>
            <sz val="11"/>
            <color theme="1"/>
            <rFont val="Calibri"/>
            <family val="2"/>
            <scheme val="minor"/>
          </rPr>
          <t>Cash check
FORMULA: =K78-K41
WHY: Closing CF cash minus BS cash; must be zero when statements are linked.
LINK: https://www.sec.gov/Archives/edgar/data/814547/000081454725000030/fico-20250930.htm</t>
        </r>
      </text>
    </comment>
    <comment ref="L80" authorId="0" shapeId="0" xr:uid="{00000000-0006-0000-0100-00005E010000}">
      <text>
        <r>
          <rPr>
            <sz val="11"/>
            <color theme="1"/>
            <rFont val="Calibri"/>
            <family val="2"/>
            <scheme val="minor"/>
          </rPr>
          <t>Cash check
FORMULA: =L78-L41
WHY: Closing CF cash minus BS cash; must be zero when statements are linked.
LINK: https://www.sec.gov/Archives/edgar/data/814547/000081454725000030/fico-20250930.htm</t>
        </r>
      </text>
    </comment>
    <comment ref="M80" authorId="0" shapeId="0" xr:uid="{00000000-0006-0000-0100-00005F010000}">
      <text>
        <r>
          <rPr>
            <sz val="11"/>
            <color theme="1"/>
            <rFont val="Calibri"/>
            <family val="2"/>
            <scheme val="minor"/>
          </rPr>
          <t>Cash check
FORMULA: =M78-M41
WHY: Closing CF cash minus BS cash; must be zero when statements are linked.
LINK: https://www.sec.gov/Archives/edgar/data/814547/000081454725000030/fico-20250930.htm</t>
        </r>
      </text>
    </comment>
    <comment ref="N80" authorId="0" shapeId="0" xr:uid="{00000000-0006-0000-0100-000060010000}">
      <text>
        <r>
          <rPr>
            <sz val="11"/>
            <color theme="1"/>
            <rFont val="Calibri"/>
            <family val="2"/>
            <scheme val="minor"/>
          </rPr>
          <t>Cash check
FORMULA: =N78-N41
WHY: Closing CF cash minus BS cash; must be zero when statements are linked.
LINK: https://www.sec.gov/Archives/edgar/data/814547/000081454725000030/fico-20250930.htm</t>
        </r>
      </text>
    </comment>
    <comment ref="B81" authorId="0" shapeId="0" xr:uid="{00000000-0006-0000-0100-000061010000}">
      <text>
        <r>
          <rPr>
            <sz val="11"/>
            <color theme="1"/>
            <rFont val="Calibri"/>
            <family val="2"/>
            <scheme val="minor"/>
          </rPr>
          <t>CF + Δ Deferred
WHY: Explicit Deferred cash source (SaaS/maintenance billed upfront); also in CFO.
PATTERN: ={c}88−prev88
LINK: https://www.sec.gov/Archives/edgar/data/814547/000081454725000030/fico-20250930.htm</t>
        </r>
      </text>
    </comment>
    <comment ref="J81" authorId="0" shapeId="0" xr:uid="{00000000-0006-0000-0100-000062010000}">
      <text>
        <r>
          <rPr>
            <sz val="11"/>
            <color theme="1"/>
            <rFont val="Calibri"/>
            <family val="2"/>
            <scheme val="minor"/>
          </rPr>
          <t>CF + Δ Deferred
FORMULA: =J88−prev88
WHY: Explicit Deferred cash source (SaaS/maintenance billed upfront); also in CFO.
LINK: https://www.sec.gov/Archives/edgar/data/814547/000081454725000030/fico-20250930.htm</t>
        </r>
      </text>
    </comment>
    <comment ref="K81" authorId="0" shapeId="0" xr:uid="{00000000-0006-0000-0100-000063010000}">
      <text>
        <r>
          <rPr>
            <sz val="11"/>
            <color theme="1"/>
            <rFont val="Calibri"/>
            <family val="2"/>
            <scheme val="minor"/>
          </rPr>
          <t>CF + Δ Deferred
FORMULA: =K88−prev88
WHY: Explicit Deferred cash source (SaaS/maintenance billed upfront); also in CFO.
LINK: https://www.sec.gov/Archives/edgar/data/814547/000081454725000030/fico-20250930.htm</t>
        </r>
      </text>
    </comment>
    <comment ref="L81" authorId="0" shapeId="0" xr:uid="{00000000-0006-0000-0100-000064010000}">
      <text>
        <r>
          <rPr>
            <sz val="11"/>
            <color theme="1"/>
            <rFont val="Calibri"/>
            <family val="2"/>
            <scheme val="minor"/>
          </rPr>
          <t>CF + Δ Deferred
FORMULA: =L88−prev88
WHY: Explicit Deferred cash source (SaaS/maintenance billed upfront); also in CFO.
LINK: https://www.sec.gov/Archives/edgar/data/814547/000081454725000030/fico-20250930.htm</t>
        </r>
      </text>
    </comment>
    <comment ref="M81" authorId="0" shapeId="0" xr:uid="{00000000-0006-0000-0100-000065010000}">
      <text>
        <r>
          <rPr>
            <sz val="11"/>
            <color theme="1"/>
            <rFont val="Calibri"/>
            <family val="2"/>
            <scheme val="minor"/>
          </rPr>
          <t>CF + Δ Deferred
FORMULA: =M88−prev88
WHY: Explicit Deferred cash source (SaaS/maintenance billed upfront); also in CFO.
LINK: https://www.sec.gov/Archives/edgar/data/814547/000081454725000030/fico-20250930.htm</t>
        </r>
      </text>
    </comment>
    <comment ref="N81" authorId="0" shapeId="0" xr:uid="{00000000-0006-0000-0100-000066010000}">
      <text>
        <r>
          <rPr>
            <sz val="11"/>
            <color theme="1"/>
            <rFont val="Calibri"/>
            <family val="2"/>
            <scheme val="minor"/>
          </rPr>
          <t>CF + Δ Deferred
FORMULA: =N88−prev88
WHY: Explicit Deferred cash source (SaaS/maintenance billed upfront); also in CFO.
LINK: https://www.sec.gov/Archives/edgar/data/814547/000081454725000030/fico-20250930.htm</t>
        </r>
      </text>
    </comment>
    <comment ref="B85" authorId="0" shapeId="0" xr:uid="{00000000-0006-0000-0100-000067010000}">
      <text>
        <r>
          <rPr>
            <sz val="11"/>
            <color theme="1"/>
            <rFont val="Calibri"/>
            <family val="2"/>
            <scheme val="minor"/>
          </rPr>
          <t>WC: AR (from DSO)
WHY: WC AR mirrors BS AR built from DSO (Rev × DSO/365).
PATTERN: ={c}42
LINK: https://www.sec.gov/Archives/edgar/data/814547/000081454725000030/fico-20250930.htm</t>
        </r>
      </text>
    </comment>
    <comment ref="J85" authorId="0" shapeId="0" xr:uid="{00000000-0006-0000-0100-000068010000}">
      <text>
        <r>
          <rPr>
            <sz val="11"/>
            <color theme="1"/>
            <rFont val="Calibri"/>
            <family val="2"/>
            <scheme val="minor"/>
          </rPr>
          <t>WC: AR (from DSO)
FORMULA: =J42
WHY: WC AR mirrors BS AR built from DSO (Rev × DSO/365).
LINK: https://www.sec.gov/Archives/edgar/data/814547/000081454725000030/fico-20250930.htm</t>
        </r>
      </text>
    </comment>
    <comment ref="K85" authorId="0" shapeId="0" xr:uid="{00000000-0006-0000-0100-000069010000}">
      <text>
        <r>
          <rPr>
            <sz val="11"/>
            <color theme="1"/>
            <rFont val="Calibri"/>
            <family val="2"/>
            <scheme val="minor"/>
          </rPr>
          <t>WC: AR (from DSO)
FORMULA: =K42
WHY: WC AR mirrors BS AR built from DSO (Rev × DSO/365).
LINK: https://www.sec.gov/Archives/edgar/data/814547/000081454725000030/fico-20250930.htm</t>
        </r>
      </text>
    </comment>
    <comment ref="L85" authorId="0" shapeId="0" xr:uid="{00000000-0006-0000-0100-00006A010000}">
      <text>
        <r>
          <rPr>
            <sz val="11"/>
            <color theme="1"/>
            <rFont val="Calibri"/>
            <family val="2"/>
            <scheme val="minor"/>
          </rPr>
          <t>WC: AR (from DSO)
FORMULA: =L42
WHY: WC AR mirrors BS AR built from DSO (Rev × DSO/365).
LINK: https://www.sec.gov/Archives/edgar/data/814547/000081454725000030/fico-20250930.htm</t>
        </r>
      </text>
    </comment>
    <comment ref="M85" authorId="0" shapeId="0" xr:uid="{00000000-0006-0000-0100-00006B010000}">
      <text>
        <r>
          <rPr>
            <sz val="11"/>
            <color theme="1"/>
            <rFont val="Calibri"/>
            <family val="2"/>
            <scheme val="minor"/>
          </rPr>
          <t>WC: AR (from DSO)
FORMULA: =M42
WHY: WC AR mirrors BS AR built from DSO (Rev × DSO/365).
LINK: https://www.sec.gov/Archives/edgar/data/814547/000081454725000030/fico-20250930.htm</t>
        </r>
      </text>
    </comment>
    <comment ref="N85" authorId="0" shapeId="0" xr:uid="{00000000-0006-0000-0100-00006C010000}">
      <text>
        <r>
          <rPr>
            <sz val="11"/>
            <color theme="1"/>
            <rFont val="Calibri"/>
            <family val="2"/>
            <scheme val="minor"/>
          </rPr>
          <t>WC: AR (from DSO)
FORMULA: =N42
WHY: WC AR mirrors BS AR built from DSO (Rev × DSO/365).
LINK: https://www.sec.gov/Archives/edgar/data/814547/000081454725000030/fico-20250930.htm</t>
        </r>
      </text>
    </comment>
    <comment ref="B86" authorId="0" shapeId="0" xr:uid="{00000000-0006-0000-0100-00006D010000}">
      <text>
        <r>
          <rPr>
            <sz val="11"/>
            <color theme="1"/>
            <rFont val="Calibri"/>
            <family val="2"/>
            <scheme val="minor"/>
          </rPr>
          <t>WC: Inventory
WHY: Working-capital inventory mirrors BS inventory (zero for this software business).
PATTERN: ={c}43
LINK: https://www.sec.gov/Archives/edgar/data/814547/000081454725000030/fico-20250930.htm</t>
        </r>
      </text>
    </comment>
    <comment ref="J86" authorId="0" shapeId="0" xr:uid="{00000000-0006-0000-0100-00006E010000}">
      <text>
        <r>
          <rPr>
            <sz val="11"/>
            <color theme="1"/>
            <rFont val="Calibri"/>
            <family val="2"/>
            <scheme val="minor"/>
          </rPr>
          <t>WC: Inventory
FORMULA: =J43
WHY: Working-capital inventory mirrors BS inventory (zero for this software business).
LINK: https://www.sec.gov/Archives/edgar/data/814547/000081454725000030/fico-20250930.htm</t>
        </r>
      </text>
    </comment>
    <comment ref="K86" authorId="0" shapeId="0" xr:uid="{00000000-0006-0000-0100-00006F010000}">
      <text>
        <r>
          <rPr>
            <sz val="11"/>
            <color theme="1"/>
            <rFont val="Calibri"/>
            <family val="2"/>
            <scheme val="minor"/>
          </rPr>
          <t>WC: Inventory
FORMULA: =K43
WHY: Working-capital inventory mirrors BS inventory (zero for this software business).
LINK: https://www.sec.gov/Archives/edgar/data/814547/000081454725000030/fico-20250930.htm</t>
        </r>
      </text>
    </comment>
    <comment ref="L86" authorId="0" shapeId="0" xr:uid="{00000000-0006-0000-0100-000070010000}">
      <text>
        <r>
          <rPr>
            <sz val="11"/>
            <color theme="1"/>
            <rFont val="Calibri"/>
            <family val="2"/>
            <scheme val="minor"/>
          </rPr>
          <t>WC: Inventory
FORMULA: =L43
WHY: Working-capital inventory mirrors BS inventory (zero for this software business).
LINK: https://www.sec.gov/Archives/edgar/data/814547/000081454725000030/fico-20250930.htm</t>
        </r>
      </text>
    </comment>
    <comment ref="M86" authorId="0" shapeId="0" xr:uid="{00000000-0006-0000-0100-000071010000}">
      <text>
        <r>
          <rPr>
            <sz val="11"/>
            <color theme="1"/>
            <rFont val="Calibri"/>
            <family val="2"/>
            <scheme val="minor"/>
          </rPr>
          <t>WC: Inventory
FORMULA: =M43
WHY: Working-capital inventory mirrors BS inventory (zero for this software business).
LINK: https://www.sec.gov/Archives/edgar/data/814547/000081454725000030/fico-20250930.htm</t>
        </r>
      </text>
    </comment>
    <comment ref="N86" authorId="0" shapeId="0" xr:uid="{00000000-0006-0000-0100-000072010000}">
      <text>
        <r>
          <rPr>
            <sz val="11"/>
            <color theme="1"/>
            <rFont val="Calibri"/>
            <family val="2"/>
            <scheme val="minor"/>
          </rPr>
          <t>WC: Inventory
FORMULA: =N43
WHY: Working-capital inventory mirrors BS inventory (zero for this software business).
LINK: https://www.sec.gov/Archives/edgar/data/814547/000081454725000030/fico-20250930.htm</t>
        </r>
      </text>
    </comment>
    <comment ref="B87" authorId="0" shapeId="0" xr:uid="{00000000-0006-0000-0100-000073010000}">
      <text>
        <r>
          <rPr>
            <sz val="11"/>
            <color theme="1"/>
            <rFont val="Calibri"/>
            <family val="2"/>
            <scheme val="minor"/>
          </rPr>
          <t>WC: AP (from DPO)
WHY: WC AP mirrors BS AP built from DPO (COGS × DPO/365).
PATTERN: ={c}48
LINK: https://www.sec.gov/Archives/edgar/data/814547/000081454725000030/fico-20250930.htm</t>
        </r>
      </text>
    </comment>
    <comment ref="J87" authorId="0" shapeId="0" xr:uid="{00000000-0006-0000-0100-000074010000}">
      <text>
        <r>
          <rPr>
            <sz val="11"/>
            <color theme="1"/>
            <rFont val="Calibri"/>
            <family val="2"/>
            <scheme val="minor"/>
          </rPr>
          <t>WC: AP (from DPO)
FORMULA: =J48
WHY: WC AP mirrors BS AP built from DPO (COGS × DPO/365).
LINK: https://www.sec.gov/Archives/edgar/data/814547/000081454725000030/fico-20250930.htm</t>
        </r>
      </text>
    </comment>
    <comment ref="K87" authorId="0" shapeId="0" xr:uid="{00000000-0006-0000-0100-000075010000}">
      <text>
        <r>
          <rPr>
            <sz val="11"/>
            <color theme="1"/>
            <rFont val="Calibri"/>
            <family val="2"/>
            <scheme val="minor"/>
          </rPr>
          <t>WC: AP (from DPO)
FORMULA: =K48
WHY: WC AP mirrors BS AP built from DPO (COGS × DPO/365).
LINK: https://www.sec.gov/Archives/edgar/data/814547/000081454725000030/fico-20250930.htm</t>
        </r>
      </text>
    </comment>
    <comment ref="L87" authorId="0" shapeId="0" xr:uid="{00000000-0006-0000-0100-000076010000}">
      <text>
        <r>
          <rPr>
            <sz val="11"/>
            <color theme="1"/>
            <rFont val="Calibri"/>
            <family val="2"/>
            <scheme val="minor"/>
          </rPr>
          <t>WC: AP (from DPO)
FORMULA: =L48
WHY: WC AP mirrors BS AP built from DPO (COGS × DPO/365).
LINK: https://www.sec.gov/Archives/edgar/data/814547/000081454725000030/fico-20250930.htm</t>
        </r>
      </text>
    </comment>
    <comment ref="M87" authorId="0" shapeId="0" xr:uid="{00000000-0006-0000-0100-000077010000}">
      <text>
        <r>
          <rPr>
            <sz val="11"/>
            <color theme="1"/>
            <rFont val="Calibri"/>
            <family val="2"/>
            <scheme val="minor"/>
          </rPr>
          <t>WC: AP (from DPO)
FORMULA: =M48
WHY: WC AP mirrors BS AP built from DPO (COGS × DPO/365).
LINK: https://www.sec.gov/Archives/edgar/data/814547/000081454725000030/fico-20250930.htm</t>
        </r>
      </text>
    </comment>
    <comment ref="N87" authorId="0" shapeId="0" xr:uid="{00000000-0006-0000-0100-000078010000}">
      <text>
        <r>
          <rPr>
            <sz val="11"/>
            <color theme="1"/>
            <rFont val="Calibri"/>
            <family val="2"/>
            <scheme val="minor"/>
          </rPr>
          <t>WC: AP (from DPO)
FORMULA: =N48
WHY: WC AP mirrors BS AP built from DPO (COGS × DPO/365).
LINK: https://www.sec.gov/Archives/edgar/data/814547/000081454725000030/fico-20250930.htm</t>
        </r>
      </text>
    </comment>
    <comment ref="B88" authorId="0" shapeId="0" xr:uid="{00000000-0006-0000-0100-000079010000}">
      <text>
        <r>
          <rPr>
            <sz val="11"/>
            <color theme="1"/>
            <rFont val="Calibri"/>
            <family val="2"/>
            <scheme val="minor"/>
          </rPr>
          <t>WC: Deferred Revenue
WHY: BS contract liability; ΔDef is explicit CFO cash source (not inside Op NWC).
PATTERN: ={c}24×(SaaS%+OnPrem%)×(I88/(I24×softmix))
LINK: https://www.sec.gov/Archives/edgar/data/814547/000081454725000030/fico-20250930.htm</t>
        </r>
      </text>
    </comment>
    <comment ref="J88" authorId="0" shapeId="0" xr:uid="{00000000-0006-0000-0100-00007A010000}">
      <text>
        <r>
          <rPr>
            <sz val="11"/>
            <color theme="1"/>
            <rFont val="Calibri"/>
            <family val="2"/>
            <scheme val="minor"/>
          </rPr>
          <t>WC: Deferred Revenue
FORMULA: =J24×(SaaS%+OnPrem%)×(I88/(I24×softmix))
WHY: BS contract liability; ΔDef is explicit CFO cash source (not inside Op NWC).
LINK: https://www.sec.gov/Archives/edgar/data/814547/000081454725000030/fico-20250930.htm</t>
        </r>
      </text>
    </comment>
    <comment ref="K88" authorId="0" shapeId="0" xr:uid="{00000000-0006-0000-0100-00007B010000}">
      <text>
        <r>
          <rPr>
            <sz val="11"/>
            <color theme="1"/>
            <rFont val="Calibri"/>
            <family val="2"/>
            <scheme val="minor"/>
          </rPr>
          <t>WC: Deferred Revenue
FORMULA: =K24×(SaaS%+OnPrem%)×(I88/(I24×softmix))
WHY: BS contract liability; ΔDef is explicit CFO cash source (not inside Op NWC).
LINK: https://www.sec.gov/Archives/edgar/data/814547/000081454725000030/fico-20250930.htm</t>
        </r>
      </text>
    </comment>
    <comment ref="L88" authorId="0" shapeId="0" xr:uid="{00000000-0006-0000-0100-00007C010000}">
      <text>
        <r>
          <rPr>
            <sz val="11"/>
            <color theme="1"/>
            <rFont val="Calibri"/>
            <family val="2"/>
            <scheme val="minor"/>
          </rPr>
          <t>WC: Deferred Revenue
FORMULA: =L24×(SaaS%+OnPrem%)×(I88/(I24×softmix))
WHY: BS contract liability; ΔDef is explicit CFO cash source (not inside Op NWC).
LINK: https://www.sec.gov/Archives/edgar/data/814547/000081454725000030/fico-20250930.htm</t>
        </r>
      </text>
    </comment>
    <comment ref="M88" authorId="0" shapeId="0" xr:uid="{00000000-0006-0000-0100-00007D010000}">
      <text>
        <r>
          <rPr>
            <sz val="11"/>
            <color theme="1"/>
            <rFont val="Calibri"/>
            <family val="2"/>
            <scheme val="minor"/>
          </rPr>
          <t>WC: Deferred Revenue
FORMULA: =M24×(SaaS%+OnPrem%)×(I88/(I24×softmix))
WHY: BS contract liability; ΔDef is explicit CFO cash source (not inside Op NWC).
LINK: https://www.sec.gov/Archives/edgar/data/814547/000081454725000030/fico-20250930.htm</t>
        </r>
      </text>
    </comment>
    <comment ref="N88" authorId="0" shapeId="0" xr:uid="{00000000-0006-0000-0100-00007E010000}">
      <text>
        <r>
          <rPr>
            <sz val="11"/>
            <color theme="1"/>
            <rFont val="Calibri"/>
            <family val="2"/>
            <scheme val="minor"/>
          </rPr>
          <t>WC: Deferred Revenue
FORMULA: =N24×(SaaS%+OnPrem%)×(I88/(I24×softmix))
WHY: BS contract liability; ΔDef is explicit CFO cash source (not inside Op NWC).
LINK: https://www.sec.gov/Archives/edgar/data/814547/000081454725000030/fico-20250930.htm</t>
        </r>
      </text>
    </comment>
    <comment ref="B89" authorId="0" shapeId="0" xr:uid="{00000000-0006-0000-0100-00007F010000}">
      <text>
        <r>
          <rPr>
            <sz val="11"/>
            <color theme="1"/>
            <rFont val="Calibri"/>
            <family val="2"/>
            <scheme val="minor"/>
          </rPr>
          <t>Operating NWC
WHY: AR + inventory − AP only; Deferred excluded (no double count with CF row 81).
PATTERN: ={c}85+{c}86-{c}87
LINK: https://www.sec.gov/Archives/edgar/data/814547/000081454725000030/fico-20250930.htm</t>
        </r>
      </text>
    </comment>
    <comment ref="J89" authorId="0" shapeId="0" xr:uid="{00000000-0006-0000-0100-000080010000}">
      <text>
        <r>
          <rPr>
            <sz val="11"/>
            <color theme="1"/>
            <rFont val="Calibri"/>
            <family val="2"/>
            <scheme val="minor"/>
          </rPr>
          <t>Operating NWC
FORMULA: =J85+J86-J87
WHY: AR + inventory − AP only; Deferred excluded (no double count with CF row 81).
LINK: https://www.sec.gov/Archives/edgar/data/814547/000081454725000030/fico-20250930.htm</t>
        </r>
      </text>
    </comment>
    <comment ref="K89" authorId="0" shapeId="0" xr:uid="{00000000-0006-0000-0100-000081010000}">
      <text>
        <r>
          <rPr>
            <sz val="11"/>
            <color theme="1"/>
            <rFont val="Calibri"/>
            <family val="2"/>
            <scheme val="minor"/>
          </rPr>
          <t>Operating NWC
FORMULA: =K85+K86-K87
WHY: AR + inventory − AP only; Deferred excluded (no double count with CF row 81).
LINK: https://www.sec.gov/Archives/edgar/data/814547/000081454725000030/fico-20250930.htm</t>
        </r>
      </text>
    </comment>
    <comment ref="L89" authorId="0" shapeId="0" xr:uid="{00000000-0006-0000-0100-000082010000}">
      <text>
        <r>
          <rPr>
            <sz val="11"/>
            <color theme="1"/>
            <rFont val="Calibri"/>
            <family val="2"/>
            <scheme val="minor"/>
          </rPr>
          <t>Operating NWC
FORMULA: =L85+L86-L87
WHY: AR + inventory − AP only; Deferred excluded (no double count with CF row 81).
LINK: https://www.sec.gov/Archives/edgar/data/814547/000081454725000030/fico-20250930.htm</t>
        </r>
      </text>
    </comment>
    <comment ref="M89" authorId="0" shapeId="0" xr:uid="{00000000-0006-0000-0100-000083010000}">
      <text>
        <r>
          <rPr>
            <sz val="11"/>
            <color theme="1"/>
            <rFont val="Calibri"/>
            <family val="2"/>
            <scheme val="minor"/>
          </rPr>
          <t>Operating NWC
FORMULA: =M85+M86-M87
WHY: AR + inventory − AP only; Deferred excluded (no double count with CF row 81).
LINK: https://www.sec.gov/Archives/edgar/data/814547/000081454725000030/fico-20250930.htm</t>
        </r>
      </text>
    </comment>
    <comment ref="N89" authorId="0" shapeId="0" xr:uid="{00000000-0006-0000-0100-000084010000}">
      <text>
        <r>
          <rPr>
            <sz val="11"/>
            <color theme="1"/>
            <rFont val="Calibri"/>
            <family val="2"/>
            <scheme val="minor"/>
          </rPr>
          <t>Operating NWC
FORMULA: =N85+N86-N87
WHY: AR + inventory − AP only; Deferred excluded (no double count with CF row 81).
LINK: https://www.sec.gov/Archives/edgar/data/814547/000081454725000030/fico-20250930.htm</t>
        </r>
      </text>
    </comment>
    <comment ref="B90" authorId="0" shapeId="0" xr:uid="{00000000-0006-0000-0100-000085010000}">
      <text>
        <r>
          <rPr>
            <sz val="11"/>
            <color theme="1"/>
            <rFont val="Calibri"/>
            <family val="2"/>
            <scheme val="minor"/>
          </rPr>
          <t>Change in Op NWC
WHY: Year-over-year Op NWC change; AR/AP cash use — Deferred handled separately.
PATTERN: ={c}89-{p}89
LINK: https://www.sec.gov/Archives/edgar/data/814547/000081454725000030/fico-20250930.htm</t>
        </r>
      </text>
    </comment>
    <comment ref="J90" authorId="0" shapeId="0" xr:uid="{00000000-0006-0000-0100-000086010000}">
      <text>
        <r>
          <rPr>
            <sz val="11"/>
            <color theme="1"/>
            <rFont val="Calibri"/>
            <family val="2"/>
            <scheme val="minor"/>
          </rPr>
          <t>Change in Op NWC
FORMULA: =J89-I89
WHY: Year-over-year Op NWC change; AR/AP cash use — Deferred handled separately.
LINK: https://www.sec.gov/Archives/edgar/data/814547/000081454725000030/fico-20250930.htm</t>
        </r>
      </text>
    </comment>
    <comment ref="K90" authorId="0" shapeId="0" xr:uid="{00000000-0006-0000-0100-000087010000}">
      <text>
        <r>
          <rPr>
            <sz val="11"/>
            <color theme="1"/>
            <rFont val="Calibri"/>
            <family val="2"/>
            <scheme val="minor"/>
          </rPr>
          <t>Change in Op NWC
FORMULA: =K89-J89
WHY: Year-over-year Op NWC change; AR/AP cash use — Deferred handled separately.
LINK: https://www.sec.gov/Archives/edgar/data/814547/000081454725000030/fico-20250930.htm</t>
        </r>
      </text>
    </comment>
    <comment ref="L90" authorId="0" shapeId="0" xr:uid="{00000000-0006-0000-0100-000088010000}">
      <text>
        <r>
          <rPr>
            <sz val="11"/>
            <color theme="1"/>
            <rFont val="Calibri"/>
            <family val="2"/>
            <scheme val="minor"/>
          </rPr>
          <t>Change in Op NWC
FORMULA: =L89-K89
WHY: Year-over-year Op NWC change; AR/AP cash use — Deferred handled separately.
LINK: https://www.sec.gov/Archives/edgar/data/814547/000081454725000030/fico-20250930.htm</t>
        </r>
      </text>
    </comment>
    <comment ref="M90" authorId="0" shapeId="0" xr:uid="{00000000-0006-0000-0100-000089010000}">
      <text>
        <r>
          <rPr>
            <sz val="11"/>
            <color theme="1"/>
            <rFont val="Calibri"/>
            <family val="2"/>
            <scheme val="minor"/>
          </rPr>
          <t>Change in Op NWC
FORMULA: =M89-L89
WHY: Year-over-year Op NWC change; AR/AP cash use — Deferred handled separately.
LINK: https://www.sec.gov/Archives/edgar/data/814547/000081454725000030/fico-20250930.htm</t>
        </r>
      </text>
    </comment>
    <comment ref="N90" authorId="0" shapeId="0" xr:uid="{00000000-0006-0000-0100-00008A010000}">
      <text>
        <r>
          <rPr>
            <sz val="11"/>
            <color theme="1"/>
            <rFont val="Calibri"/>
            <family val="2"/>
            <scheme val="minor"/>
          </rPr>
          <t>Change in Op NWC
FORMULA: =N89-M89
WHY: Year-over-year Op NWC change; AR/AP cash use — Deferred handled separately.
LINK: https://www.sec.gov/Archives/edgar/data/814547/000081454725000030/fico-20250930.htm</t>
        </r>
      </text>
    </comment>
    <comment ref="B92" authorId="0" shapeId="0" xr:uid="{00000000-0006-0000-0100-00008B010000}">
      <text>
        <r>
          <rPr>
            <sz val="11"/>
            <color theme="1"/>
            <rFont val="Calibri"/>
            <family val="2"/>
            <scheme val="minor"/>
          </rPr>
          <t>PPE opening
WHY: Prior closing PP&amp;E (FY1 opens at last historical I44); base for CapEx and D&amp;A.
PATTERN: ={p}95 or I44
LINK: https://www.sec.gov/Archives/edgar/data/814547/000081454725000030/fico-20250930.htm</t>
        </r>
      </text>
    </comment>
    <comment ref="J92" authorId="0" shapeId="0" xr:uid="{00000000-0006-0000-0100-00008C010000}">
      <text>
        <r>
          <rPr>
            <sz val="11"/>
            <color theme="1"/>
            <rFont val="Calibri"/>
            <family val="2"/>
            <scheme val="minor"/>
          </rPr>
          <t>PPE opening
FORMULA: =I95 or I44
WHY: Prior closing PP&amp;E (FY1 opens at last historical I44); base for CapEx and D&amp;A.
LINK: https://www.sec.gov/Archives/edgar/data/814547/000081454725000030/fico-20250930.htm</t>
        </r>
      </text>
    </comment>
    <comment ref="K92" authorId="0" shapeId="0" xr:uid="{00000000-0006-0000-0100-00008D010000}">
      <text>
        <r>
          <rPr>
            <sz val="11"/>
            <color theme="1"/>
            <rFont val="Calibri"/>
            <family val="2"/>
            <scheme val="minor"/>
          </rPr>
          <t>PPE opening
FORMULA: =J95 or I44
WHY: Prior closing PP&amp;E (FY1 opens at last historical I44); base for CapEx and D&amp;A.
LINK: https://www.sec.gov/Archives/edgar/data/814547/000081454725000030/fico-20250930.htm</t>
        </r>
      </text>
    </comment>
    <comment ref="L92" authorId="0" shapeId="0" xr:uid="{00000000-0006-0000-0100-00008E010000}">
      <text>
        <r>
          <rPr>
            <sz val="11"/>
            <color theme="1"/>
            <rFont val="Calibri"/>
            <family val="2"/>
            <scheme val="minor"/>
          </rPr>
          <t>PPE opening
FORMULA: =K95 or I44
WHY: Prior closing PP&amp;E (FY1 opens at last historical I44); base for CapEx and D&amp;A.
LINK: https://www.sec.gov/Archives/edgar/data/814547/000081454725000030/fico-20250930.htm</t>
        </r>
      </text>
    </comment>
    <comment ref="M92" authorId="0" shapeId="0" xr:uid="{00000000-0006-0000-0100-00008F010000}">
      <text>
        <r>
          <rPr>
            <sz val="11"/>
            <color theme="1"/>
            <rFont val="Calibri"/>
            <family val="2"/>
            <scheme val="minor"/>
          </rPr>
          <t>PPE opening
FORMULA: =L95 or I44
WHY: Prior closing PP&amp;E (FY1 opens at last historical I44); base for CapEx and D&amp;A.
LINK: https://www.sec.gov/Archives/edgar/data/814547/000081454725000030/fico-20250930.htm</t>
        </r>
      </text>
    </comment>
    <comment ref="N92" authorId="0" shapeId="0" xr:uid="{00000000-0006-0000-0100-000090010000}">
      <text>
        <r>
          <rPr>
            <sz val="11"/>
            <color theme="1"/>
            <rFont val="Calibri"/>
            <family val="2"/>
            <scheme val="minor"/>
          </rPr>
          <t>PPE opening
FORMULA: =M95 or I44
WHY: Prior closing PP&amp;E (FY1 opens at last historical I44); base for CapEx and D&amp;A.
LINK: https://www.sec.gov/Archives/edgar/data/814547/000081454725000030/fico-20250930.htm</t>
        </r>
      </text>
    </comment>
    <comment ref="B93" authorId="0" shapeId="0" xr:uid="{00000000-0006-0000-0100-000091010000}">
      <text>
        <r>
          <rPr>
            <sz val="11"/>
            <color theme="1"/>
            <rFont val="Calibri"/>
            <family val="2"/>
            <scheme val="minor"/>
          </rPr>
          <t>PPE + CapEx
WHY: Same CapEx dollars as CF; additions that grow the gross PP&amp;E stock.
PATTERN: ={c}24*{c}18
LINK: https://www.sec.gov/Archives/edgar/data/814547/000081454725000030/fico-20250930.htm</t>
        </r>
      </text>
    </comment>
    <comment ref="J93" authorId="0" shapeId="0" xr:uid="{00000000-0006-0000-0100-000092010000}">
      <text>
        <r>
          <rPr>
            <sz val="11"/>
            <color theme="1"/>
            <rFont val="Calibri"/>
            <family val="2"/>
            <scheme val="minor"/>
          </rPr>
          <t>PPE + CapEx
FORMULA: =J24*J18
WHY: Same CapEx dollars as CF; additions that grow the gross PP&amp;E stock.
LINK: https://www.sec.gov/Archives/edgar/data/814547/000081454725000030/fico-20250930.htm</t>
        </r>
      </text>
    </comment>
    <comment ref="K93" authorId="0" shapeId="0" xr:uid="{00000000-0006-0000-0100-000093010000}">
      <text>
        <r>
          <rPr>
            <sz val="11"/>
            <color theme="1"/>
            <rFont val="Calibri"/>
            <family val="2"/>
            <scheme val="minor"/>
          </rPr>
          <t>PPE + CapEx
FORMULA: =K24*K18
WHY: Same CapEx dollars as CF; additions that grow the gross PP&amp;E stock.
LINK: https://www.sec.gov/Archives/edgar/data/814547/000081454725000030/fico-20250930.htm</t>
        </r>
      </text>
    </comment>
    <comment ref="L93" authorId="0" shapeId="0" xr:uid="{00000000-0006-0000-0100-000094010000}">
      <text>
        <r>
          <rPr>
            <sz val="11"/>
            <color theme="1"/>
            <rFont val="Calibri"/>
            <family val="2"/>
            <scheme val="minor"/>
          </rPr>
          <t>PPE + CapEx
FORMULA: =L24*L18
WHY: Same CapEx dollars as CF; additions that grow the gross PP&amp;E stock.
LINK: https://www.sec.gov/Archives/edgar/data/814547/000081454725000030/fico-20250930.htm</t>
        </r>
      </text>
    </comment>
    <comment ref="M93" authorId="0" shapeId="0" xr:uid="{00000000-0006-0000-0100-000095010000}">
      <text>
        <r>
          <rPr>
            <sz val="11"/>
            <color theme="1"/>
            <rFont val="Calibri"/>
            <family val="2"/>
            <scheme val="minor"/>
          </rPr>
          <t>PPE + CapEx
FORMULA: =M24*M18
WHY: Same CapEx dollars as CF; additions that grow the gross PP&amp;E stock.
LINK: https://www.sec.gov/Archives/edgar/data/814547/000081454725000030/fico-20250930.htm</t>
        </r>
      </text>
    </comment>
    <comment ref="N93" authorId="0" shapeId="0" xr:uid="{00000000-0006-0000-0100-000096010000}">
      <text>
        <r>
          <rPr>
            <sz val="11"/>
            <color theme="1"/>
            <rFont val="Calibri"/>
            <family val="2"/>
            <scheme val="minor"/>
          </rPr>
          <t>PPE + CapEx
FORMULA: =N24*N18
WHY: Same CapEx dollars as CF; additions that grow the gross PP&amp;E stock.
LINK: https://www.sec.gov/Archives/edgar/data/814547/000081454725000030/fico-20250930.htm</t>
        </r>
      </text>
    </comment>
    <comment ref="B94" authorId="0" shapeId="0" xr:uid="{00000000-0006-0000-0100-000097010000}">
      <text>
        <r>
          <rPr>
            <sz val="11"/>
            <color theme="1"/>
            <rFont val="Calibri"/>
            <family val="2"/>
            <scheme val="minor"/>
          </rPr>
          <t>PPE − D&amp;A
WHY: Same total D&amp;A as the IS (Rev × DA%); reduces net PP&amp;E and adds back in FCFF.
PATTERN: ={c}30
LINK: https://www.sec.gov/Archives/edgar/data/814547/000081454725000030/fico-20250930.htm</t>
        </r>
      </text>
    </comment>
    <comment ref="J94" authorId="0" shapeId="0" xr:uid="{00000000-0006-0000-0100-000098010000}">
      <text>
        <r>
          <rPr>
            <sz val="11"/>
            <color theme="1"/>
            <rFont val="Calibri"/>
            <family val="2"/>
            <scheme val="minor"/>
          </rPr>
          <t>PPE − D&amp;A
FORMULA: =J30
WHY: Same total D&amp;A as the IS (Rev × DA%); reduces net PP&amp;E and adds back in FCFF.
LINK: https://www.sec.gov/Archives/edgar/data/814547/000081454725000030/fico-20250930.htm</t>
        </r>
      </text>
    </comment>
    <comment ref="K94" authorId="0" shapeId="0" xr:uid="{00000000-0006-0000-0100-000099010000}">
      <text>
        <r>
          <rPr>
            <sz val="11"/>
            <color theme="1"/>
            <rFont val="Calibri"/>
            <family val="2"/>
            <scheme val="minor"/>
          </rPr>
          <t>PPE − D&amp;A
FORMULA: =K30
WHY: Same total D&amp;A as the IS (Rev × DA%); reduces net PP&amp;E and adds back in FCFF.
LINK: https://www.sec.gov/Archives/edgar/data/814547/000081454725000030/fico-20250930.htm</t>
        </r>
      </text>
    </comment>
    <comment ref="L94" authorId="0" shapeId="0" xr:uid="{00000000-0006-0000-0100-00009A010000}">
      <text>
        <r>
          <rPr>
            <sz val="11"/>
            <color theme="1"/>
            <rFont val="Calibri"/>
            <family val="2"/>
            <scheme val="minor"/>
          </rPr>
          <t>PPE − D&amp;A
FORMULA: =L30
WHY: Same total D&amp;A as the IS (Rev × DA%); reduces net PP&amp;E and adds back in FCFF.
LINK: https://www.sec.gov/Archives/edgar/data/814547/000081454725000030/fico-20250930.htm</t>
        </r>
      </text>
    </comment>
    <comment ref="M94" authorId="0" shapeId="0" xr:uid="{00000000-0006-0000-0100-00009B010000}">
      <text>
        <r>
          <rPr>
            <sz val="11"/>
            <color theme="1"/>
            <rFont val="Calibri"/>
            <family val="2"/>
            <scheme val="minor"/>
          </rPr>
          <t>PPE − D&amp;A
FORMULA: =M30
WHY: Same total D&amp;A as the IS (Rev × DA%); reduces net PP&amp;E and adds back in FCFF.
LINK: https://www.sec.gov/Archives/edgar/data/814547/000081454725000030/fico-20250930.htm</t>
        </r>
      </text>
    </comment>
    <comment ref="N94" authorId="0" shapeId="0" xr:uid="{00000000-0006-0000-0100-00009C010000}">
      <text>
        <r>
          <rPr>
            <sz val="11"/>
            <color theme="1"/>
            <rFont val="Calibri"/>
            <family val="2"/>
            <scheme val="minor"/>
          </rPr>
          <t>PPE − D&amp;A
FORMULA: =N30
WHY: Same total D&amp;A as the IS (Rev × DA%); reduces net PP&amp;E and adds back in FCFF.
LINK: https://www.sec.gov/Archives/edgar/data/814547/000081454725000030/fico-20250930.htm</t>
        </r>
      </text>
    </comment>
    <comment ref="B95" authorId="0" shapeId="0" xr:uid="{00000000-0006-0000-0100-00009D010000}">
      <text>
        <r>
          <rPr>
            <sz val="11"/>
            <color theme="1"/>
            <rFont val="Calibri"/>
            <family val="2"/>
            <scheme val="minor"/>
          </rPr>
          <t>PPE closing
WHY: Open + CapEx − D&amp;A; closing net PP&amp;E posted to the balance sheet.
PATTERN: ={c}92+{c}93-{c}94
LINK: https://www.sec.gov/Archives/edgar/data/814547/000081454725000030/fico-20250930.htm</t>
        </r>
      </text>
    </comment>
    <comment ref="J95" authorId="0" shapeId="0" xr:uid="{00000000-0006-0000-0100-00009E010000}">
      <text>
        <r>
          <rPr>
            <sz val="11"/>
            <color theme="1"/>
            <rFont val="Calibri"/>
            <family val="2"/>
            <scheme val="minor"/>
          </rPr>
          <t>PPE closing
FORMULA: =J92+J93-J94
WHY: Open + CapEx − D&amp;A; closing net PP&amp;E posted to the balance sheet.
LINK: https://www.sec.gov/Archives/edgar/data/814547/000081454725000030/fico-20250930.htm</t>
        </r>
      </text>
    </comment>
    <comment ref="K95" authorId="0" shapeId="0" xr:uid="{00000000-0006-0000-0100-00009F010000}">
      <text>
        <r>
          <rPr>
            <sz val="11"/>
            <color theme="1"/>
            <rFont val="Calibri"/>
            <family val="2"/>
            <scheme val="minor"/>
          </rPr>
          <t>PPE closing
FORMULA: =K92+K93-K94
WHY: Open + CapEx − D&amp;A; closing net PP&amp;E posted to the balance sheet.
LINK: https://www.sec.gov/Archives/edgar/data/814547/000081454725000030/fico-20250930.htm</t>
        </r>
      </text>
    </comment>
    <comment ref="L95" authorId="0" shapeId="0" xr:uid="{00000000-0006-0000-0100-0000A0010000}">
      <text>
        <r>
          <rPr>
            <sz val="11"/>
            <color theme="1"/>
            <rFont val="Calibri"/>
            <family val="2"/>
            <scheme val="minor"/>
          </rPr>
          <t>PPE closing
FORMULA: =L92+L93-L94
WHY: Open + CapEx − D&amp;A; closing net PP&amp;E posted to the balance sheet.
LINK: https://www.sec.gov/Archives/edgar/data/814547/000081454725000030/fico-20250930.htm</t>
        </r>
      </text>
    </comment>
    <comment ref="M95" authorId="0" shapeId="0" xr:uid="{00000000-0006-0000-0100-0000A1010000}">
      <text>
        <r>
          <rPr>
            <sz val="11"/>
            <color theme="1"/>
            <rFont val="Calibri"/>
            <family val="2"/>
            <scheme val="minor"/>
          </rPr>
          <t>PPE closing
FORMULA: =M92+M93-M94
WHY: Open + CapEx − D&amp;A; closing net PP&amp;E posted to the balance sheet.
LINK: https://www.sec.gov/Archives/edgar/data/814547/000081454725000030/fico-20250930.htm</t>
        </r>
      </text>
    </comment>
    <comment ref="N95" authorId="0" shapeId="0" xr:uid="{00000000-0006-0000-0100-0000A2010000}">
      <text>
        <r>
          <rPr>
            <sz val="11"/>
            <color theme="1"/>
            <rFont val="Calibri"/>
            <family val="2"/>
            <scheme val="minor"/>
          </rPr>
          <t>PPE closing
FORMULA: =N92+N93-N94
WHY: Open + CapEx − D&amp;A; closing net PP&amp;E posted to the balance sheet.
LINK: https://www.sec.gov/Archives/edgar/data/814547/000081454725000030/fico-20250930.htm</t>
        </r>
      </text>
    </comment>
    <comment ref="B98" authorId="0" shapeId="0" xr:uid="{00000000-0006-0000-0100-0000A3010000}">
      <text>
        <r>
          <rPr>
            <sz val="11"/>
            <color theme="1"/>
            <rFont val="Calibri"/>
            <family val="2"/>
            <scheme val="minor"/>
          </rPr>
          <t>Debt opening
WHY: Prior closing debt (FY1 opens at historical I49); base for interest and issuance.
PATTERN: ={p}100 or I49
LINK: https://www.sec.gov/Archives/edgar/data/814547/000081454725000016/fico-20250331.htm</t>
        </r>
      </text>
    </comment>
    <comment ref="J98" authorId="0" shapeId="0" xr:uid="{00000000-0006-0000-0100-0000A4010000}">
      <text>
        <r>
          <rPr>
            <sz val="11"/>
            <color theme="1"/>
            <rFont val="Calibri"/>
            <family val="2"/>
            <scheme val="minor"/>
          </rPr>
          <t>Debt opening
FORMULA: =I100 or I49
WHY: Prior closing debt (FY1 opens at historical I49); base for interest and issuance.
LINK: https://www.sec.gov/Archives/edgar/data/814547/000081454725000016/fico-20250331.htm</t>
        </r>
      </text>
    </comment>
    <comment ref="K98" authorId="0" shapeId="0" xr:uid="{00000000-0006-0000-0100-0000A5010000}">
      <text>
        <r>
          <rPr>
            <sz val="11"/>
            <color theme="1"/>
            <rFont val="Calibri"/>
            <family val="2"/>
            <scheme val="minor"/>
          </rPr>
          <t>Debt opening
FORMULA: =J100 or I49
WHY: Prior closing debt (FY1 opens at historical I49); base for interest and issuance.
LINK: https://www.sec.gov/Archives/edgar/data/814547/000081454725000016/fico-20250331.htm</t>
        </r>
      </text>
    </comment>
    <comment ref="L98" authorId="0" shapeId="0" xr:uid="{00000000-0006-0000-0100-0000A6010000}">
      <text>
        <r>
          <rPr>
            <sz val="11"/>
            <color theme="1"/>
            <rFont val="Calibri"/>
            <family val="2"/>
            <scheme val="minor"/>
          </rPr>
          <t>Debt opening
FORMULA: =K100 or I49
WHY: Prior closing debt (FY1 opens at historical I49); base for interest and issuance.
LINK: https://www.sec.gov/Archives/edgar/data/814547/000081454725000016/fico-20250331.htm</t>
        </r>
      </text>
    </comment>
    <comment ref="M98" authorId="0" shapeId="0" xr:uid="{00000000-0006-0000-0100-0000A7010000}">
      <text>
        <r>
          <rPr>
            <sz val="11"/>
            <color theme="1"/>
            <rFont val="Calibri"/>
            <family val="2"/>
            <scheme val="minor"/>
          </rPr>
          <t>Debt opening
FORMULA: =L100 or I49
WHY: Prior closing debt (FY1 opens at historical I49); base for interest and issuance.
LINK: https://www.sec.gov/Archives/edgar/data/814547/000081454725000016/fico-20250331.htm</t>
        </r>
      </text>
    </comment>
    <comment ref="N98" authorId="0" shapeId="0" xr:uid="{00000000-0006-0000-0100-0000A8010000}">
      <text>
        <r>
          <rPr>
            <sz val="11"/>
            <color theme="1"/>
            <rFont val="Calibri"/>
            <family val="2"/>
            <scheme val="minor"/>
          </rPr>
          <t>Debt opening
FORMULA: =M100 or I49
WHY: Prior closing debt (FY1 opens at historical I49); base for interest and issuance.
LINK: https://www.sec.gov/Archives/edgar/data/814547/000081454725000016/fico-20250331.htm</t>
        </r>
      </text>
    </comment>
    <comment ref="B99" authorId="0" shapeId="0" xr:uid="{00000000-0006-0000-0100-0000A9010000}">
      <text>
        <r>
          <rPr>
            <sz val="11"/>
            <color theme="1"/>
            <rFont val="Calibri"/>
            <family val="2"/>
            <scheme val="minor"/>
          </rPr>
          <t>Debt issuance
WHY: Links the debt policy row into the schedule; base case keeps this at zero.
PATTERN: ={c}19
LINK: https://www.sec.gov/Archives/edgar/data/814547/000081454725000030/fico-20250930.htm</t>
        </r>
      </text>
    </comment>
    <comment ref="J99" authorId="0" shapeId="0" xr:uid="{00000000-0006-0000-0100-0000AA010000}">
      <text>
        <r>
          <rPr>
            <sz val="11"/>
            <color theme="1"/>
            <rFont val="Calibri"/>
            <family val="2"/>
            <scheme val="minor"/>
          </rPr>
          <t>Debt issuance
FORMULA: =J19
WHY: Links the debt policy row into the schedule; base case keeps this at zero.
LINK: https://www.sec.gov/Archives/edgar/data/814547/000081454725000030/fico-20250930.htm</t>
        </r>
      </text>
    </comment>
    <comment ref="K99" authorId="0" shapeId="0" xr:uid="{00000000-0006-0000-0100-0000AB010000}">
      <text>
        <r>
          <rPr>
            <sz val="11"/>
            <color theme="1"/>
            <rFont val="Calibri"/>
            <family val="2"/>
            <scheme val="minor"/>
          </rPr>
          <t>Debt issuance
FORMULA: =K19
WHY: Links the debt policy row into the schedule; base case keeps this at zero.
LINK: https://www.sec.gov/Archives/edgar/data/814547/000081454725000030/fico-20250930.htm</t>
        </r>
      </text>
    </comment>
    <comment ref="L99" authorId="0" shapeId="0" xr:uid="{00000000-0006-0000-0100-0000AC010000}">
      <text>
        <r>
          <rPr>
            <sz val="11"/>
            <color theme="1"/>
            <rFont val="Calibri"/>
            <family val="2"/>
            <scheme val="minor"/>
          </rPr>
          <t>Debt issuance
FORMULA: =L19
WHY: Links the debt policy row into the schedule; base case keeps this at zero.
LINK: https://www.sec.gov/Archives/edgar/data/814547/000081454725000030/fico-20250930.htm</t>
        </r>
      </text>
    </comment>
    <comment ref="M99" authorId="0" shapeId="0" xr:uid="{00000000-0006-0000-0100-0000AD010000}">
      <text>
        <r>
          <rPr>
            <sz val="11"/>
            <color theme="1"/>
            <rFont val="Calibri"/>
            <family val="2"/>
            <scheme val="minor"/>
          </rPr>
          <t>Debt issuance
FORMULA: =M19
WHY: Links the debt policy row into the schedule; base case keeps this at zero.
LINK: https://www.sec.gov/Archives/edgar/data/814547/000081454725000030/fico-20250930.htm</t>
        </r>
      </text>
    </comment>
    <comment ref="N99" authorId="0" shapeId="0" xr:uid="{00000000-0006-0000-0100-0000AE010000}">
      <text>
        <r>
          <rPr>
            <sz val="11"/>
            <color theme="1"/>
            <rFont val="Calibri"/>
            <family val="2"/>
            <scheme val="minor"/>
          </rPr>
          <t>Debt issuance
FORMULA: =N19
WHY: Links the debt policy row into the schedule; base case keeps this at zero.
LINK: https://www.sec.gov/Archives/edgar/data/814547/000081454725000030/fico-20250930.htm</t>
        </r>
      </text>
    </comment>
    <comment ref="B100" authorId="0" shapeId="0" xr:uid="{00000000-0006-0000-0100-0000AF010000}">
      <text>
        <r>
          <rPr>
            <sz val="11"/>
            <color theme="1"/>
            <rFont val="Calibri"/>
            <family val="2"/>
            <scheme val="minor"/>
          </rPr>
          <t>Debt closing
WHY: Open plus issuance/(repayment); closing debt posted to the balance sheet.
PATTERN: ={c}98+{c}99
LINK: https://www.sec.gov/Archives/edgar/data/814547/000081454725000030/fico-20250930.htm</t>
        </r>
      </text>
    </comment>
    <comment ref="J100" authorId="0" shapeId="0" xr:uid="{00000000-0006-0000-0100-0000B0010000}">
      <text>
        <r>
          <rPr>
            <sz val="11"/>
            <color theme="1"/>
            <rFont val="Calibri"/>
            <family val="2"/>
            <scheme val="minor"/>
          </rPr>
          <t>Debt closing
FORMULA: =J98+J99
WHY: Open plus issuance/(repayment); closing debt posted to the balance sheet.
LINK: https://www.sec.gov/Archives/edgar/data/814547/000081454725000030/fico-20250930.htm</t>
        </r>
      </text>
    </comment>
    <comment ref="K100" authorId="0" shapeId="0" xr:uid="{00000000-0006-0000-0100-0000B1010000}">
      <text>
        <r>
          <rPr>
            <sz val="11"/>
            <color theme="1"/>
            <rFont val="Calibri"/>
            <family val="2"/>
            <scheme val="minor"/>
          </rPr>
          <t>Debt closing
FORMULA: =K98+K99
WHY: Open plus issuance/(repayment); closing debt posted to the balance sheet.
LINK: https://www.sec.gov/Archives/edgar/data/814547/000081454725000030/fico-20250930.htm</t>
        </r>
      </text>
    </comment>
    <comment ref="L100" authorId="0" shapeId="0" xr:uid="{00000000-0006-0000-0100-0000B2010000}">
      <text>
        <r>
          <rPr>
            <sz val="11"/>
            <color theme="1"/>
            <rFont val="Calibri"/>
            <family val="2"/>
            <scheme val="minor"/>
          </rPr>
          <t>Debt closing
FORMULA: =L98+L99
WHY: Open plus issuance/(repayment); closing debt posted to the balance sheet.
LINK: https://www.sec.gov/Archives/edgar/data/814547/000081454725000030/fico-20250930.htm</t>
        </r>
      </text>
    </comment>
    <comment ref="M100" authorId="0" shapeId="0" xr:uid="{00000000-0006-0000-0100-0000B3010000}">
      <text>
        <r>
          <rPr>
            <sz val="11"/>
            <color theme="1"/>
            <rFont val="Calibri"/>
            <family val="2"/>
            <scheme val="minor"/>
          </rPr>
          <t>Debt closing
FORMULA: =M98+M99
WHY: Open plus issuance/(repayment); closing debt posted to the balance sheet.
LINK: https://www.sec.gov/Archives/edgar/data/814547/000081454725000030/fico-20250930.htm</t>
        </r>
      </text>
    </comment>
    <comment ref="N100" authorId="0" shapeId="0" xr:uid="{00000000-0006-0000-0100-0000B4010000}">
      <text>
        <r>
          <rPr>
            <sz val="11"/>
            <color theme="1"/>
            <rFont val="Calibri"/>
            <family val="2"/>
            <scheme val="minor"/>
          </rPr>
          <t>Debt closing
FORMULA: =N98+N99
WHY: Open plus issuance/(repayment); closing debt posted to the balance sheet.
LINK: https://www.sec.gov/Archives/edgar/data/814547/000081454725000030/fico-20250930.htm</t>
        </r>
      </text>
    </comment>
    <comment ref="B101" authorId="0" shapeId="0" xr:uid="{00000000-0006-0000-0100-0000B5010000}">
      <text>
        <r>
          <rPr>
            <sz val="11"/>
            <color theme="1"/>
            <rFont val="Calibri"/>
            <family val="2"/>
            <scheme val="minor"/>
          </rPr>
          <t>Interest (schedule)
WHY: Opening debt × interest%; same economics as IS interest, from the debt schedule.
PATTERN: ={c}98*{c}12
LINK: https://www.sec.gov/Archives/edgar/data/814547/000081454725000030/fico-20250930.htm</t>
        </r>
      </text>
    </comment>
    <comment ref="J101" authorId="0" shapeId="0" xr:uid="{00000000-0006-0000-0100-0000B6010000}">
      <text>
        <r>
          <rPr>
            <sz val="11"/>
            <color theme="1"/>
            <rFont val="Calibri"/>
            <family val="2"/>
            <scheme val="minor"/>
          </rPr>
          <t>Interest (schedule)
FORMULA: =J98*J12
WHY: Opening debt × interest%; same economics as IS interest, from the debt schedule.
LINK: https://www.sec.gov/Archives/edgar/data/814547/000081454725000030/fico-20250930.htm</t>
        </r>
      </text>
    </comment>
    <comment ref="K101" authorId="0" shapeId="0" xr:uid="{00000000-0006-0000-0100-0000B7010000}">
      <text>
        <r>
          <rPr>
            <sz val="11"/>
            <color theme="1"/>
            <rFont val="Calibri"/>
            <family val="2"/>
            <scheme val="minor"/>
          </rPr>
          <t>Interest (schedule)
FORMULA: =K98*K12
WHY: Opening debt × interest%; same economics as IS interest, from the debt schedule.
LINK: https://www.sec.gov/Archives/edgar/data/814547/000081454725000030/fico-20250930.htm</t>
        </r>
      </text>
    </comment>
    <comment ref="L101" authorId="0" shapeId="0" xr:uid="{00000000-0006-0000-0100-0000B8010000}">
      <text>
        <r>
          <rPr>
            <sz val="11"/>
            <color theme="1"/>
            <rFont val="Calibri"/>
            <family val="2"/>
            <scheme val="minor"/>
          </rPr>
          <t>Interest (schedule)
FORMULA: =L98*L12
WHY: Opening debt × interest%; same economics as IS interest, from the debt schedule.
LINK: https://www.sec.gov/Archives/edgar/data/814547/000081454725000030/fico-20250930.htm</t>
        </r>
      </text>
    </comment>
    <comment ref="M101" authorId="0" shapeId="0" xr:uid="{00000000-0006-0000-0100-0000B9010000}">
      <text>
        <r>
          <rPr>
            <sz val="11"/>
            <color theme="1"/>
            <rFont val="Calibri"/>
            <family val="2"/>
            <scheme val="minor"/>
          </rPr>
          <t>Interest (schedule)
FORMULA: =M98*M12
WHY: Opening debt × interest%; same economics as IS interest, from the debt schedule.
LINK: https://www.sec.gov/Archives/edgar/data/814547/000081454725000030/fico-20250930.htm</t>
        </r>
      </text>
    </comment>
    <comment ref="N101" authorId="0" shapeId="0" xr:uid="{00000000-0006-0000-0100-0000BA010000}">
      <text>
        <r>
          <rPr>
            <sz val="11"/>
            <color theme="1"/>
            <rFont val="Calibri"/>
            <family val="2"/>
            <scheme val="minor"/>
          </rPr>
          <t>Interest (schedule)
FORMULA: =N98*N12
WHY: Opening debt × interest%; same economics as IS interest, from the debt schedule.
LINK: https://www.sec.gov/Archives/edgar/data/814547/000081454725000030/fico-20250930.htm</t>
        </r>
      </text>
    </comment>
    <comment ref="B104" authorId="0" shapeId="0" xr:uid="{00000000-0006-0000-0100-0000BB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J104" authorId="0" shapeId="0" xr:uid="{00000000-0006-0000-0100-0000BC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K104" authorId="0" shapeId="0" xr:uid="{00000000-0006-0000-0100-0000BD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L104" authorId="0" shapeId="0" xr:uid="{00000000-0006-0000-0100-0000BE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M104" authorId="0" shapeId="0" xr:uid="{00000000-0006-0000-0100-0000BF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N104" authorId="0" shapeId="0" xr:uid="{00000000-0006-0000-0100-0000C0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U104" authorId="0" shapeId="0" xr:uid="{00000000-0006-0000-0100-0000C1010000}">
      <text>
        <r>
          <rPr>
            <sz val="11"/>
            <color theme="1"/>
            <rFont val="Calibri"/>
            <family val="2"/>
            <scheme val="minor"/>
          </rPr>
          <t>Mix % — SaaS / Platform software
HOW: FY25 base 21.08% (SaaS $419,720k / Total $1,990,869k), then +300 bps/yr taken from on-prem. Platform ARR KPI $263.6M is not additive IS revenue.
WHY: Updated SaaS mix shift from Model17 (Previous: +250 bps/yr) to Model18 (New: +300 bps/yr) — Q3 Platform ARR +62% to $413M / SaaS +21%. Deferred → explicit CFO cash (row 81). Source: https://www.sec.gov/Archives/edgar/data/814547/000081454726000011/fico-20251231.htm; EX-99.1 Q3 FY2026.
SOURCE: SEC 10-Q Q1 FY2026 — Deferred revenue / contract liabilities detail
LINK: https://www.sec.gov/Archives/edgar/data/814547/000081454726000011/R45.htm
ASSUMPTIONS LIST PDF: https://raw.githubusercontent.com/vengeanceaiUSC/Rainmaker/cursor/vengeanceaiusmodel18-d3ac/FICO/output/MODEL18_FICO_ASSUMPTIONS_LIST.pdf</t>
        </r>
      </text>
    </comment>
    <comment ref="V104" authorId="0" shapeId="0" xr:uid="{00000000-0006-0000-0100-0000C2010000}">
      <text>
        <r>
          <rPr>
            <sz val="11"/>
            <color theme="1"/>
            <rFont val="Calibri"/>
            <family val="2"/>
            <scheme val="minor"/>
          </rPr>
          <t>Filing source for this row:
https://www.sec.gov/Archives/edgar/data/814547/000081454726000011/R45.htm
Full Assumptions List PDF (click orange title P4):
https://raw.githubusercontent.com/vengeanceaiUSC/Rainmaker/cursor/vengeanceaiusmodel18-d3ac/FICO/output/MODEL18_FICO_ASSUMPTIONS_LIST.pdf</t>
        </r>
      </text>
    </comment>
    <comment ref="B105" authorId="0" shapeId="0" xr:uid="{00000000-0006-0000-0100-0000C3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J105" authorId="0" shapeId="0" xr:uid="{00000000-0006-0000-0100-0000C4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K105" authorId="0" shapeId="0" xr:uid="{00000000-0006-0000-0100-0000C5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L105" authorId="0" shapeId="0" xr:uid="{00000000-0006-0000-0100-0000C6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M105" authorId="0" shapeId="0" xr:uid="{00000000-0006-0000-0100-0000C7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N105" authorId="0" shapeId="0" xr:uid="{00000000-0006-0000-0100-0000C8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U105" authorId="0" shapeId="0" xr:uid="{00000000-0006-0000-0100-0000C9010000}">
      <text>
        <r>
          <rPr>
            <sz val="11"/>
            <color theme="1"/>
            <rFont val="Calibri"/>
            <family val="2"/>
            <scheme val="minor"/>
          </rPr>
          <t>Mix % — B2C Subscriptions (myFICO)
HOW: Yellow POLICY = 11.05% (FY25 B2C Scores $219,980k / Total $1,990,869k).
WHY: Near-zero DSO (card-settled consumer subscriptions). Minimal Deferred Revenue vs annual SaaS invoices. High incremental margin; WC-light cash conversion.
SOURCE: SEC 10-K FY2025 — Scores segment B2C / myFICO disaggregation
LINK: https://www.sec.gov/Archives/edgar/data/814547/000081454725000030/fico-20250930.htm
ASSUMPTIONS LIST PDF: https://raw.githubusercontent.com/vengeanceaiUSC/Rainmaker/cursor/vengeanceaiusmodel18-d3ac/FICO/output/MODEL18_FICO_ASSUMPTIONS_LIST.pdf</t>
        </r>
      </text>
    </comment>
    <comment ref="V105" authorId="0" shapeId="0" xr:uid="{00000000-0006-0000-0100-0000CA01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06" authorId="0" shapeId="0" xr:uid="{00000000-0006-0000-0100-0000CB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J106" authorId="0" shapeId="0" xr:uid="{00000000-0006-0000-0100-0000CC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K106" authorId="0" shapeId="0" xr:uid="{00000000-0006-0000-0100-0000CD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L106" authorId="0" shapeId="0" xr:uid="{00000000-0006-0000-0100-0000CE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M106" authorId="0" shapeId="0" xr:uid="{00000000-0006-0000-0100-0000CF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N106" authorId="0" shapeId="0" xr:uid="{00000000-0006-0000-0100-0000D0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U106" authorId="0" shapeId="0" xr:uid="{00000000-0006-0000-0100-0000D1010000}">
      <text>
        <r>
          <rPr>
            <sz val="11"/>
            <color theme="1"/>
            <rFont val="Calibri"/>
            <family val="2"/>
            <scheme val="minor"/>
          </rPr>
          <t>Mix % — B2B Scores
HOW: Yellow POLICY = 47.65% (FY25 B2B Scores $948,595k / Total $1,990,869k).
WHY: Transactional volume through Experian/TransUnion/Equifax; ~30-day DSO. Does not create SaaS-style Deferred Revenue (usage-based recognition).
SOURCE: SEC 10-K FY2025 — Scores segment B2B disaggregation
LINK: https://www.sec.gov/Archives/edgar/data/814547/000081454725000030/fico-20250930.htm
ASSUMPTIONS LIST PDF: https://raw.githubusercontent.com/vengeanceaiUSC/Rainmaker/cursor/vengeanceaiusmodel18-d3ac/FICO/output/MODEL18_FICO_ASSUMPTIONS_LIST.pdf</t>
        </r>
      </text>
    </comment>
    <comment ref="V106" authorId="0" shapeId="0" xr:uid="{00000000-0006-0000-0100-0000D201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07" authorId="0" shapeId="0" xr:uid="{00000000-0006-0000-0100-0000D3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J107" authorId="0" shapeId="0" xr:uid="{00000000-0006-0000-0100-0000D4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K107" authorId="0" shapeId="0" xr:uid="{00000000-0006-0000-0100-0000D5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L107" authorId="0" shapeId="0" xr:uid="{00000000-0006-0000-0100-0000D6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M107" authorId="0" shapeId="0" xr:uid="{00000000-0006-0000-0100-0000D7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N107" authorId="0" shapeId="0" xr:uid="{00000000-0006-0000-0100-0000D8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U107" authorId="0" shapeId="0" xr:uid="{00000000-0006-0000-0100-0000D9010000}">
      <text>
        <r>
          <rPr>
            <sz val="11"/>
            <color theme="1"/>
            <rFont val="Calibri"/>
            <family val="2"/>
            <scheme val="minor"/>
          </rPr>
          <t>Mix % — Professional Services
HOW: Yellow POLICY = 4.13% (FY25 PS $82,149k / Total $1,990,869k).
WHY: Upfront integration fees convert cash quickly (low DSO) but carry significantly lower gross margin than software/scores — pulls blended COGS up vs pure SaaS.
SOURCE: SEC 10-K FY2025 — Software segment Professional services line
LINK: https://www.sec.gov/Archives/edgar/data/814547/000081454725000030/fico-20250930.htm
ASSUMPTIONS LIST PDF: https://raw.githubusercontent.com/vengeanceaiUSC/Rainmaker/cursor/vengeanceaiusmodel18-d3ac/FICO/output/MODEL18_FICO_ASSUMPTIONS_LIST.pdf</t>
        </r>
      </text>
    </comment>
    <comment ref="V107" authorId="0" shapeId="0" xr:uid="{00000000-0006-0000-0100-0000DA01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08" authorId="0" shapeId="0" xr:uid="{00000000-0006-0000-0100-0000DB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J108" authorId="0" shapeId="0" xr:uid="{00000000-0006-0000-0100-0000DC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K108" authorId="0" shapeId="0" xr:uid="{00000000-0006-0000-0100-0000DD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L108" authorId="0" shapeId="0" xr:uid="{00000000-0006-0000-0100-0000DE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M108" authorId="0" shapeId="0" xr:uid="{00000000-0006-0000-0100-0000DF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N108" authorId="0" shapeId="0" xr:uid="{00000000-0006-0000-0100-0000E0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U108" authorId="0" shapeId="0" xr:uid="{00000000-0006-0000-0100-0000E1010000}">
      <text>
        <r>
          <rPr>
            <sz val="11"/>
            <color theme="1"/>
            <rFont val="Calibri"/>
            <family val="2"/>
            <scheme val="minor"/>
          </rPr>
          <t>Mix % — On-Premises Software
HOW: Yellow POLICY = 16.09% (FY25 on-prem $320,425k / Total $1,990,869k).
WHY: With SaaS mix, drives Deferred Revenue (maintenance billed in advance). Same 45-day DSO policy as SaaS. Completes mix identity to 100% of Total Rev.
SOURCE: SEC 10-K FY2025 — Software on-premises vs SaaS deployment table
LINK: https://www.sec.gov/Archives/edgar/data/814547/000081454725000030/fico-20250930.htm
ASSUMPTIONS LIST PDF: https://raw.githubusercontent.com/vengeanceaiUSC/Rainmaker/cursor/vengeanceaiusmodel18-d3ac/FICO/output/MODEL18_FICO_ASSUMPTIONS_LIST.pdf</t>
        </r>
      </text>
    </comment>
    <comment ref="V108" authorId="0" shapeId="0" xr:uid="{00000000-0006-0000-0100-0000E2010000}">
      <text>
        <r>
          <rPr>
            <sz val="11"/>
            <color theme="1"/>
            <rFont val="Calibri"/>
            <family val="2"/>
            <scheme val="minor"/>
          </rPr>
          <t>Filing source for this row:
https://www.sec.gov/Archives/edgar/data/814547/000081454725000030/fico-20250930.htm
Full Assumptions List PDF (click orange title P4):
https://raw.githubusercontent.com/vengeanceaiUSC/Rainmaker/cursor/vengeanceaiusmodel18-d3ac/FICO/output/MODEL18_FICO_ASSUMPTIONS_LIST.pdf</t>
        </r>
      </text>
    </comment>
    <comment ref="B115" authorId="0" shapeId="0" xr:uid="{00000000-0006-0000-0100-0000E3010000}">
      <text>
        <r>
          <rPr>
            <sz val="11"/>
            <color theme="1"/>
            <rFont val="Calibri"/>
            <family val="2"/>
            <scheme val="minor"/>
          </rPr>
          <t>Blended DSO (ref)
WHY: Segment economics reference; assumption row 15 phases hist→45d (not a cliff).
PATTERN: Σ mix_i×DSO_i
LINK: https://www.sec.gov/Archives/edgar/data/814547/000081454725000030/fico-20250930.htm</t>
        </r>
      </text>
    </comment>
    <comment ref="J115" authorId="0" shapeId="0" xr:uid="{00000000-0006-0000-0100-0000E4010000}">
      <text>
        <r>
          <rPr>
            <sz val="11"/>
            <color theme="1"/>
            <rFont val="Calibri"/>
            <family val="2"/>
            <scheme val="minor"/>
          </rPr>
          <t>Blended DSO (ref)
FORMULA: Σ mix_i×DSO_i
WHY: Segment economics reference; assumption row 15 phases hist→45d (not a cliff).
LINK: https://www.sec.gov/Archives/edgar/data/814547/000081454725000030/fico-20250930.htm</t>
        </r>
      </text>
    </comment>
    <comment ref="K115" authorId="0" shapeId="0" xr:uid="{00000000-0006-0000-0100-0000E5010000}">
      <text>
        <r>
          <rPr>
            <sz val="11"/>
            <color theme="1"/>
            <rFont val="Calibri"/>
            <family val="2"/>
            <scheme val="minor"/>
          </rPr>
          <t>Blended DSO (ref)
FORMULA: Σ mix_i×DSO_i
WHY: Segment economics reference; assumption row 15 phases hist→45d (not a cliff).
LINK: https://www.sec.gov/Archives/edgar/data/814547/000081454725000030/fico-20250930.htm</t>
        </r>
      </text>
    </comment>
    <comment ref="L115" authorId="0" shapeId="0" xr:uid="{00000000-0006-0000-0100-0000E6010000}">
      <text>
        <r>
          <rPr>
            <sz val="11"/>
            <color theme="1"/>
            <rFont val="Calibri"/>
            <family val="2"/>
            <scheme val="minor"/>
          </rPr>
          <t>Blended DSO (ref)
FORMULA: Σ mix_i×DSO_i
WHY: Segment economics reference; assumption row 15 phases hist→45d (not a cliff).
LINK: https://www.sec.gov/Archives/edgar/data/814547/000081454725000030/fico-20250930.htm</t>
        </r>
      </text>
    </comment>
    <comment ref="M115" authorId="0" shapeId="0" xr:uid="{00000000-0006-0000-0100-0000E7010000}">
      <text>
        <r>
          <rPr>
            <sz val="11"/>
            <color theme="1"/>
            <rFont val="Calibri"/>
            <family val="2"/>
            <scheme val="minor"/>
          </rPr>
          <t>Blended DSO (ref)
FORMULA: Σ mix_i×DSO_i
WHY: Segment economics reference; assumption row 15 phases hist→45d (not a cliff).
LINK: https://www.sec.gov/Archives/edgar/data/814547/000081454725000030/fico-20250930.htm</t>
        </r>
      </text>
    </comment>
    <comment ref="N115" authorId="0" shapeId="0" xr:uid="{00000000-0006-0000-0100-0000E8010000}">
      <text>
        <r>
          <rPr>
            <sz val="11"/>
            <color theme="1"/>
            <rFont val="Calibri"/>
            <family val="2"/>
            <scheme val="minor"/>
          </rPr>
          <t>Blended DSO (ref)
FORMULA: Σ mix_i×DSO_i
WHY: Segment economics reference; assumption row 15 phases hist→45d (not a cliff).
LINK: https://www.sec.gov/Archives/edgar/data/814547/000081454725000030/fico-20250930.htm</t>
        </r>
      </text>
    </comment>
    <comment ref="B122" authorId="0" shapeId="0" xr:uid="{00000000-0006-0000-0100-0000E9010000}">
      <text>
        <r>
          <rPr>
            <sz val="11"/>
            <color theme="1"/>
            <rFont val="Calibri"/>
            <family val="2"/>
            <scheme val="minor"/>
          </rPr>
          <t>Blended COGS %
WHY: Feeds assumption row 8; reflects low-margin professional services mix.
PATTERN: 1 − Σ mix_i×GM_i
LINK: https://www.sec.gov/Archives/edgar/data/814547/000081454725000030/fico-20250930.htm</t>
        </r>
      </text>
    </comment>
    <comment ref="J122" authorId="0" shapeId="0" xr:uid="{00000000-0006-0000-0100-0000EA010000}">
      <text>
        <r>
          <rPr>
            <sz val="11"/>
            <color theme="1"/>
            <rFont val="Calibri"/>
            <family val="2"/>
            <scheme val="minor"/>
          </rPr>
          <t>Blended COGS %
FORMULA: 1 − Σ mix_i×GM_i
WHY: Feeds assumption row 8; reflects low-margin professional services mix.
LINK: https://www.sec.gov/Archives/edgar/data/814547/000081454725000030/fico-20250930.htm</t>
        </r>
      </text>
    </comment>
    <comment ref="K122" authorId="0" shapeId="0" xr:uid="{00000000-0006-0000-0100-0000EB010000}">
      <text>
        <r>
          <rPr>
            <sz val="11"/>
            <color theme="1"/>
            <rFont val="Calibri"/>
            <family val="2"/>
            <scheme val="minor"/>
          </rPr>
          <t>Blended COGS %
FORMULA: 1 − Σ mix_i×GM_i
WHY: Feeds assumption row 8; reflects low-margin professional services mix.
LINK: https://www.sec.gov/Archives/edgar/data/814547/000081454725000030/fico-20250930.htm</t>
        </r>
      </text>
    </comment>
    <comment ref="L122" authorId="0" shapeId="0" xr:uid="{00000000-0006-0000-0100-0000EC010000}">
      <text>
        <r>
          <rPr>
            <sz val="11"/>
            <color theme="1"/>
            <rFont val="Calibri"/>
            <family val="2"/>
            <scheme val="minor"/>
          </rPr>
          <t>Blended COGS %
FORMULA: 1 − Σ mix_i×GM_i
WHY: Feeds assumption row 8; reflects low-margin professional services mix.
LINK: https://www.sec.gov/Archives/edgar/data/814547/000081454725000030/fico-20250930.htm</t>
        </r>
      </text>
    </comment>
    <comment ref="M122" authorId="0" shapeId="0" xr:uid="{00000000-0006-0000-0100-0000ED010000}">
      <text>
        <r>
          <rPr>
            <sz val="11"/>
            <color theme="1"/>
            <rFont val="Calibri"/>
            <family val="2"/>
            <scheme val="minor"/>
          </rPr>
          <t>Blended COGS %
FORMULA: 1 − Σ mix_i×GM_i
WHY: Feeds assumption row 8; reflects low-margin professional services mix.
LINK: https://www.sec.gov/Archives/edgar/data/814547/000081454725000030/fico-20250930.htm</t>
        </r>
      </text>
    </comment>
    <comment ref="N122" authorId="0" shapeId="0" xr:uid="{00000000-0006-0000-0100-0000EE010000}">
      <text>
        <r>
          <rPr>
            <sz val="11"/>
            <color theme="1"/>
            <rFont val="Calibri"/>
            <family val="2"/>
            <scheme val="minor"/>
          </rPr>
          <t>Blended COGS %
FORMULA: 1 − Σ mix_i×GM_i
WHY: Feeds assumption row 8; reflects low-margin professional services mix.
LINK: https://www.sec.gov/Archives/edgar/data/814547/000081454725000030/fico-20250930.htm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vengeanceaiUSCMODEL18.0</author>
  </authors>
  <commentList>
    <comment ref="D5" authorId="0" shapeId="0" xr:uid="{00000000-0006-0000-0200-000001000000}">
      <text>
        <r>
          <rPr>
            <sz val="11"/>
            <color theme="1"/>
            <rFont val="Calibri"/>
            <family val="2"/>
            <scheme val="minor"/>
          </rPr>
          <t>Cash tax rate
FORMULA: =3yr IncomeTaxesPaid/EBT
WHY: Cash tax rate for unlevered FCFF (not book tax on 3S J13); also feeds after-tax Rd.</t>
        </r>
      </text>
    </comment>
    <comment ref="D6" authorId="0" shapeId="0" xr:uid="{00000000-0006-0000-0200-000002000000}">
      <text>
        <r>
          <rPr>
            <sz val="11"/>
            <color theme="1"/>
            <rFont val="Calibri"/>
            <family val="2"/>
            <scheme val="minor"/>
          </rPr>
          <t>WACC
FORMULA: Yacktman-adj CAPM = R15
WHY: Updated from Model17 (Previous: Yacktman-adj CAPM ~9.27%) to Model18 (New: stub-period Yacktman-adj CAPM D6←R15).</t>
        </r>
      </text>
    </comment>
    <comment ref="D8" authorId="0" shapeId="0" xr:uid="{00000000-0006-0000-0200-000003000000}">
      <text>
        <r>
          <rPr>
            <sz val="11"/>
            <color theme="1"/>
            <rFont val="Calibri"/>
            <family val="2"/>
            <scheme val="minor"/>
          </rPr>
          <t>Exit EV/EBITDA multiple (BASE)
HOW: Yellow POLICY input D8 = 23.0x; TV = Year-5 EBITDA × D8.
WHY: Exit unchanged vs Model17 (Previous: 23.0x) — pricing-power premium vs peer median (~18.1x). Bull 27x / Bear 17.0x. NOT FICO spot (~25–27x).
SOURCE (peer comps): https://vcpscanner.com/valuation/fico/relative
SOURCE (FICO spot): https://www.alphaspread.com/security/nyse/fico/relative-valuation/ratio/enterprise-value-to-ebitda</t>
        </r>
      </text>
    </comment>
    <comment ref="D9" authorId="0" shapeId="0" xr:uid="{00000000-0006-0000-0200-000004000000}">
      <text>
        <r>
          <rPr>
            <sz val="11"/>
            <color theme="1"/>
            <rFont val="Calibri"/>
            <family val="2"/>
            <scheme val="minor"/>
          </rPr>
          <t>MODEL18 stub-period valuation date.
HOW: D9 = 2026-08-06. FY stub starts 2026-03-30; 129 of 365 days elapsed (35.34%); 64.66% remains.
Y1 FCFF scaled by 0.6466; E18 = D9+118d (mid-stub 2026-12-02).
WHY: Do not discount cash that has already occurred.
SOURCE: Model calendar stub 3/30/2026→3/29/2027; valuation 8/6/2026.</t>
        </r>
      </text>
    </comment>
    <comment ref="R15" authorId="0" shapeId="0" xr:uid="{00000000-0006-0000-0200-000005000000}">
      <text>
        <r>
          <rPr>
            <sz val="11"/>
            <color theme="1"/>
            <rFont val="Calibri"/>
            <family val="2"/>
            <scheme val="minor"/>
          </rPr>
          <t>WACC Yacktman-adj CAPM
FORMULA: =We×Ke+Wd×Rd×(1−t)
WHY: WACC from Yacktman-adjusted CAPM Ke (Blume+AAA β) and after-tax cost of debt.</t>
        </r>
      </text>
    </comment>
    <comment ref="D16" authorId="0" shapeId="0" xr:uid="{00000000-0006-0000-0200-000006000000}">
      <text>
        <r>
          <rPr>
            <sz val="11"/>
            <color theme="1"/>
            <rFont val="Calibri"/>
            <family val="2"/>
            <scheme val="minor"/>
          </rPr>
          <t>Buyback-adjusted share schedule (Yacktman — no SBC double penalty).
HOW: D16 = starting shares (D12 ≈ 21,597.6k post–Q3 @ $1,149). Each year: Shares += 3S EquityIssuance (row 20) / Price. Row 20 = −1.4×(CFO−CapEx) levered buybacks so the share count falls faster.
WHY: SBC is already added back in FCFF — diluting by SBC$/Price would double-penalize. Q3 FY2026 buybacks &gt;&gt; FCF prove levered repurchase capacity.
SOURCE: EX-99.1 Q3 FY2026; 10-K FY2025 repurchase footnote.</t>
        </r>
      </text>
    </comment>
    <comment ref="E21" authorId="0" shapeId="0" xr:uid="{00000000-0006-0000-0200-000007000000}">
      <text>
        <r>
          <rPr>
            <sz val="11"/>
            <color theme="1"/>
            <rFont val="Calibri"/>
            <family val="2"/>
            <scheme val="minor"/>
          </rPr>
          <t>EBIT
FORMULA: GP−SGA−R&amp;D−DA
WHY: Operating profit from 3-statement links.</t>
        </r>
      </text>
    </comment>
    <comment ref="F21" authorId="0" shapeId="0" xr:uid="{00000000-0006-0000-0200-000008000000}">
      <text>
        <r>
          <rPr>
            <sz val="11"/>
            <color theme="1"/>
            <rFont val="Calibri"/>
            <family val="2"/>
            <scheme val="minor"/>
          </rPr>
          <t>EBIT
FORMULA: GP−SGA−R&amp;D−DA
WHY: Operating profit from 3-statement links.</t>
        </r>
      </text>
    </comment>
    <comment ref="G21" authorId="0" shapeId="0" xr:uid="{00000000-0006-0000-0200-000009000000}">
      <text>
        <r>
          <rPr>
            <sz val="11"/>
            <color theme="1"/>
            <rFont val="Calibri"/>
            <family val="2"/>
            <scheme val="minor"/>
          </rPr>
          <t>EBIT
FORMULA: GP−SGA−R&amp;D−DA
WHY: Operating profit from 3-statement links.</t>
        </r>
      </text>
    </comment>
    <comment ref="H21" authorId="0" shapeId="0" xr:uid="{00000000-0006-0000-0200-00000A000000}">
      <text>
        <r>
          <rPr>
            <sz val="11"/>
            <color theme="1"/>
            <rFont val="Calibri"/>
            <family val="2"/>
            <scheme val="minor"/>
          </rPr>
          <t>EBIT
FORMULA: GP−SGA−R&amp;D−DA
WHY: Operating profit from 3-statement links.</t>
        </r>
      </text>
    </comment>
    <comment ref="I21" authorId="0" shapeId="0" xr:uid="{00000000-0006-0000-0200-00000B000000}">
      <text>
        <r>
          <rPr>
            <sz val="11"/>
            <color theme="1"/>
            <rFont val="Calibri"/>
            <family val="2"/>
            <scheme val="minor"/>
          </rPr>
          <t>EBIT
FORMULA: GP−SGA−R&amp;D−DA
WHY: Operating profit from 3-statement links.</t>
        </r>
      </text>
    </comment>
    <comment ref="E22" authorId="0" shapeId="0" xr:uid="{00000000-0006-0000-0200-00000C000000}">
      <text>
        <r>
          <rPr>
            <sz val="11"/>
            <color theme="1"/>
            <rFont val="Calibri"/>
            <family val="2"/>
            <scheme val="minor"/>
          </rPr>
          <t>Unlevered tax
FORMULA: EBIT×t
WHY: All-equity tax on EBIT for FCFF.</t>
        </r>
      </text>
    </comment>
    <comment ref="F22" authorId="0" shapeId="0" xr:uid="{00000000-0006-0000-0200-00000D000000}">
      <text>
        <r>
          <rPr>
            <sz val="11"/>
            <color theme="1"/>
            <rFont val="Calibri"/>
            <family val="2"/>
            <scheme val="minor"/>
          </rPr>
          <t>Unlevered tax
FORMULA: EBIT×t
WHY: All-equity tax on EBIT for FCFF.</t>
        </r>
      </text>
    </comment>
    <comment ref="G22" authorId="0" shapeId="0" xr:uid="{00000000-0006-0000-0200-00000E000000}">
      <text>
        <r>
          <rPr>
            <sz val="11"/>
            <color theme="1"/>
            <rFont val="Calibri"/>
            <family val="2"/>
            <scheme val="minor"/>
          </rPr>
          <t>Unlevered tax
FORMULA: EBIT×t
WHY: All-equity tax on EBIT for FCFF.</t>
        </r>
      </text>
    </comment>
    <comment ref="H22" authorId="0" shapeId="0" xr:uid="{00000000-0006-0000-0200-00000F000000}">
      <text>
        <r>
          <rPr>
            <sz val="11"/>
            <color theme="1"/>
            <rFont val="Calibri"/>
            <family val="2"/>
            <scheme val="minor"/>
          </rPr>
          <t>Unlevered tax
FORMULA: EBIT×t
WHY: All-equity tax on EBIT for FCFF.</t>
        </r>
      </text>
    </comment>
    <comment ref="I22" authorId="0" shapeId="0" xr:uid="{00000000-0006-0000-0200-000010000000}">
      <text>
        <r>
          <rPr>
            <sz val="11"/>
            <color theme="1"/>
            <rFont val="Calibri"/>
            <family val="2"/>
            <scheme val="minor"/>
          </rPr>
          <t>Unlevered tax
FORMULA: EBIT×t
WHY: All-equity tax on EBIT for FCFF.</t>
        </r>
      </text>
    </comment>
    <comment ref="E23" authorId="0" shapeId="0" xr:uid="{00000000-0006-0000-0200-000011000000}">
      <text>
        <r>
          <rPr>
            <sz val="11"/>
            <color theme="1"/>
            <rFont val="Calibri"/>
            <family val="2"/>
            <scheme val="minor"/>
          </rPr>
          <t>D&amp;A
FORMULA: 3S D&amp;A
WHY: Non-cash add-back from 3-statement.</t>
        </r>
      </text>
    </comment>
    <comment ref="F23" authorId="0" shapeId="0" xr:uid="{00000000-0006-0000-0200-000012000000}">
      <text>
        <r>
          <rPr>
            <sz val="11"/>
            <color theme="1"/>
            <rFont val="Calibri"/>
            <family val="2"/>
            <scheme val="minor"/>
          </rPr>
          <t>D&amp;A
FORMULA: 3S D&amp;A
WHY: Non-cash add-back from 3-statement.</t>
        </r>
      </text>
    </comment>
    <comment ref="G23" authorId="0" shapeId="0" xr:uid="{00000000-0006-0000-0200-000013000000}">
      <text>
        <r>
          <rPr>
            <sz val="11"/>
            <color theme="1"/>
            <rFont val="Calibri"/>
            <family val="2"/>
            <scheme val="minor"/>
          </rPr>
          <t>D&amp;A
FORMULA: 3S D&amp;A
WHY: Non-cash add-back from 3-statement.</t>
        </r>
      </text>
    </comment>
    <comment ref="H23" authorId="0" shapeId="0" xr:uid="{00000000-0006-0000-0200-000014000000}">
      <text>
        <r>
          <rPr>
            <sz val="11"/>
            <color theme="1"/>
            <rFont val="Calibri"/>
            <family val="2"/>
            <scheme val="minor"/>
          </rPr>
          <t>D&amp;A
FORMULA: 3S D&amp;A
WHY: Non-cash add-back from 3-statement.</t>
        </r>
      </text>
    </comment>
    <comment ref="I23" authorId="0" shapeId="0" xr:uid="{00000000-0006-0000-0200-000015000000}">
      <text>
        <r>
          <rPr>
            <sz val="11"/>
            <color theme="1"/>
            <rFont val="Calibri"/>
            <family val="2"/>
            <scheme val="minor"/>
          </rPr>
          <t>D&amp;A
FORMULA: 3S D&amp;A
WHY: Non-cash add-back from 3-statement.</t>
        </r>
      </text>
    </comment>
    <comment ref="E24" authorId="0" shapeId="0" xr:uid="{00000000-0006-0000-0200-000016000000}">
      <text>
        <r>
          <rPr>
            <sz val="11"/>
            <color theme="1"/>
            <rFont val="Calibri"/>
            <family val="2"/>
            <scheme val="minor"/>
          </rPr>
          <t>CapEx
FORMULA: 3S CapEx
WHY: Reinvestment outflow from 3-statement CF.</t>
        </r>
      </text>
    </comment>
    <comment ref="F24" authorId="0" shapeId="0" xr:uid="{00000000-0006-0000-0200-000017000000}">
      <text>
        <r>
          <rPr>
            <sz val="11"/>
            <color theme="1"/>
            <rFont val="Calibri"/>
            <family val="2"/>
            <scheme val="minor"/>
          </rPr>
          <t>CapEx
FORMULA: 3S CapEx
WHY: Reinvestment outflow from 3-statement CF.</t>
        </r>
      </text>
    </comment>
    <comment ref="G24" authorId="0" shapeId="0" xr:uid="{00000000-0006-0000-0200-000018000000}">
      <text>
        <r>
          <rPr>
            <sz val="11"/>
            <color theme="1"/>
            <rFont val="Calibri"/>
            <family val="2"/>
            <scheme val="minor"/>
          </rPr>
          <t>CapEx
FORMULA: 3S CapEx
WHY: Reinvestment outflow from 3-statement CF.</t>
        </r>
      </text>
    </comment>
    <comment ref="H24" authorId="0" shapeId="0" xr:uid="{00000000-0006-0000-0200-000019000000}">
      <text>
        <r>
          <rPr>
            <sz val="11"/>
            <color theme="1"/>
            <rFont val="Calibri"/>
            <family val="2"/>
            <scheme val="minor"/>
          </rPr>
          <t>CapEx
FORMULA: 3S CapEx
WHY: Reinvestment outflow from 3-statement CF.</t>
        </r>
      </text>
    </comment>
    <comment ref="I24" authorId="0" shapeId="0" xr:uid="{00000000-0006-0000-0200-00001A000000}">
      <text>
        <r>
          <rPr>
            <sz val="11"/>
            <color theme="1"/>
            <rFont val="Calibri"/>
            <family val="2"/>
            <scheme val="minor"/>
          </rPr>
          <t>CapEx
FORMULA: 3S CapEx
WHY: Reinvestment outflow from 3-statement CF.</t>
        </r>
      </text>
    </comment>
    <comment ref="E25" authorId="0" shapeId="0" xr:uid="{00000000-0006-0000-0200-00001B000000}">
      <text>
        <r>
          <rPr>
            <sz val="11"/>
            <color theme="1"/>
            <rFont val="Calibri"/>
            <family val="2"/>
            <scheme val="minor"/>
          </rPr>
          <t>ΔNWC
FORMULA: 3S ΔNWC
WHY: Working-capital investment from 3-statement.</t>
        </r>
      </text>
    </comment>
    <comment ref="F25" authorId="0" shapeId="0" xr:uid="{00000000-0006-0000-0200-00001C000000}">
      <text>
        <r>
          <rPr>
            <sz val="11"/>
            <color theme="1"/>
            <rFont val="Calibri"/>
            <family val="2"/>
            <scheme val="minor"/>
          </rPr>
          <t>ΔNWC
FORMULA: 3S ΔNWC
WHY: Working-capital investment from 3-statement.</t>
        </r>
      </text>
    </comment>
    <comment ref="G25" authorId="0" shapeId="0" xr:uid="{00000000-0006-0000-0200-00001D000000}">
      <text>
        <r>
          <rPr>
            <sz val="11"/>
            <color theme="1"/>
            <rFont val="Calibri"/>
            <family val="2"/>
            <scheme val="minor"/>
          </rPr>
          <t>ΔNWC
FORMULA: 3S ΔNWC
WHY: Working-capital investment from 3-statement.</t>
        </r>
      </text>
    </comment>
    <comment ref="H25" authorId="0" shapeId="0" xr:uid="{00000000-0006-0000-0200-00001E000000}">
      <text>
        <r>
          <rPr>
            <sz val="11"/>
            <color theme="1"/>
            <rFont val="Calibri"/>
            <family val="2"/>
            <scheme val="minor"/>
          </rPr>
          <t>ΔNWC
FORMULA: 3S ΔNWC
WHY: Working-capital investment from 3-statement.</t>
        </r>
      </text>
    </comment>
    <comment ref="I25" authorId="0" shapeId="0" xr:uid="{00000000-0006-0000-0200-00001F000000}">
      <text>
        <r>
          <rPr>
            <sz val="11"/>
            <color theme="1"/>
            <rFont val="Calibri"/>
            <family val="2"/>
            <scheme val="minor"/>
          </rPr>
          <t>ΔNWC
FORMULA: 3S ΔNWC
WHY: Working-capital investment from 3-statement.</t>
        </r>
      </text>
    </comment>
    <comment ref="E26" authorId="0" shapeId="0" xr:uid="{00000000-0006-0000-0200-000020000000}">
      <text>
        <r>
          <rPr>
            <sz val="11"/>
            <color theme="1"/>
            <rFont val="Calibri"/>
            <family val="2"/>
            <scheme val="minor"/>
          </rPr>
          <t>UFCF
FORMULA: EBIT−tax+DA−CapEx−ΔNWC
WHY: Unlevered free cash flow discounted in DCF.</t>
        </r>
      </text>
    </comment>
    <comment ref="F26" authorId="0" shapeId="0" xr:uid="{00000000-0006-0000-0200-000021000000}">
      <text>
        <r>
          <rPr>
            <sz val="11"/>
            <color theme="1"/>
            <rFont val="Calibri"/>
            <family val="2"/>
            <scheme val="minor"/>
          </rPr>
          <t>UFCF
FORMULA: EBIT−tax+DA−CapEx−ΔNWC
WHY: Unlevered free cash flow discounted in DCF.</t>
        </r>
      </text>
    </comment>
    <comment ref="G26" authorId="0" shapeId="0" xr:uid="{00000000-0006-0000-0200-000022000000}">
      <text>
        <r>
          <rPr>
            <sz val="11"/>
            <color theme="1"/>
            <rFont val="Calibri"/>
            <family val="2"/>
            <scheme val="minor"/>
          </rPr>
          <t>UFCF
FORMULA: EBIT−tax+DA−CapEx−ΔNWC
WHY: Unlevered free cash flow discounted in DCF.</t>
        </r>
      </text>
    </comment>
    <comment ref="H26" authorId="0" shapeId="0" xr:uid="{00000000-0006-0000-0200-000023000000}">
      <text>
        <r>
          <rPr>
            <sz val="11"/>
            <color theme="1"/>
            <rFont val="Calibri"/>
            <family val="2"/>
            <scheme val="minor"/>
          </rPr>
          <t>UFCF
FORMULA: EBIT−tax+DA−CapEx−ΔNWC
WHY: Unlevered free cash flow discounted in DCF.</t>
        </r>
      </text>
    </comment>
    <comment ref="I26" authorId="0" shapeId="0" xr:uid="{00000000-0006-0000-0200-000024000000}">
      <text>
        <r>
          <rPr>
            <sz val="11"/>
            <color theme="1"/>
            <rFont val="Calibri"/>
            <family val="2"/>
            <scheme val="minor"/>
          </rPr>
          <t>UFCF
FORMULA: EBIT−tax+DA−CapEx−ΔNWC
WHY: Unlevered free cash flow discounted in DCF.</t>
        </r>
      </text>
    </comment>
    <comment ref="J27" authorId="0" shapeId="0" xr:uid="{00000000-0006-0000-0200-000025000000}">
      <text>
        <r>
          <rPr>
            <sz val="11"/>
            <color theme="1"/>
            <rFont val="Calibri"/>
            <family val="2"/>
            <scheme val="minor"/>
          </rPr>
          <t>Exit TV
FORMULA: =EBITDA_n×exit multiple
WHY: Terminal enterprise value at year 5 using exit EV/EBITDA (primary exit method).</t>
        </r>
      </text>
    </comment>
    <comment ref="E28" authorId="0" shapeId="0" xr:uid="{00000000-0006-0000-0200-000026000000}">
      <text>
        <r>
          <rPr>
            <sz val="11"/>
            <color theme="1"/>
            <rFont val="Calibri"/>
            <family val="2"/>
            <scheme val="minor"/>
          </rPr>
          <t>Transaction CF
FORMULA: FCFF (+ TV in exit yr)
WHY: Cash flow vector for XNPV.</t>
        </r>
      </text>
    </comment>
    <comment ref="F28" authorId="0" shapeId="0" xr:uid="{00000000-0006-0000-0200-000027000000}">
      <text>
        <r>
          <rPr>
            <sz val="11"/>
            <color theme="1"/>
            <rFont val="Calibri"/>
            <family val="2"/>
            <scheme val="minor"/>
          </rPr>
          <t>Transaction CF
FORMULA: FCFF (+ TV in exit yr)
WHY: Cash flow vector for XNPV.</t>
        </r>
      </text>
    </comment>
    <comment ref="G28" authorId="0" shapeId="0" xr:uid="{00000000-0006-0000-0200-000028000000}">
      <text>
        <r>
          <rPr>
            <sz val="11"/>
            <color theme="1"/>
            <rFont val="Calibri"/>
            <family val="2"/>
            <scheme val="minor"/>
          </rPr>
          <t>Transaction CF
FORMULA: FCFF (+ TV in exit yr)
WHY: Cash flow vector for XNPV.</t>
        </r>
      </text>
    </comment>
    <comment ref="H28" authorId="0" shapeId="0" xr:uid="{00000000-0006-0000-0200-000029000000}">
      <text>
        <r>
          <rPr>
            <sz val="11"/>
            <color theme="1"/>
            <rFont val="Calibri"/>
            <family val="2"/>
            <scheme val="minor"/>
          </rPr>
          <t>Transaction CF
FORMULA: FCFF (+ TV in exit yr)
WHY: Cash flow vector for XNPV.</t>
        </r>
      </text>
    </comment>
    <comment ref="I28" authorId="0" shapeId="0" xr:uid="{00000000-0006-0000-0200-00002A000000}">
      <text>
        <r>
          <rPr>
            <sz val="11"/>
            <color theme="1"/>
            <rFont val="Calibri"/>
            <family val="2"/>
            <scheme val="minor"/>
          </rPr>
          <t>Transaction CF
FORMULA: FCFF (+ TV in exit yr)
WHY: Cash flow vector for XNPV.</t>
        </r>
      </text>
    </comment>
    <comment ref="D32" authorId="0" shapeId="0" xr:uid="{00000000-0006-0000-0200-00002B000000}">
      <text>
        <r>
          <rPr>
            <sz val="11"/>
            <color theme="1"/>
            <rFont val="Calibri"/>
            <family val="2"/>
            <scheme val="minor"/>
          </rPr>
          <t>Enterprise value
FORMULA: =XNPV(WACC, CFs, mid-year dates)
WHY: Present value of FCFF + TV using mid-year dates and the live WACC.</t>
        </r>
      </text>
    </comment>
    <comment ref="D35" authorId="0" shapeId="0" xr:uid="{00000000-0006-0000-0200-00002C000000}">
      <text>
        <r>
          <rPr>
            <sz val="11"/>
            <color theme="1"/>
            <rFont val="Calibri"/>
            <family val="2"/>
            <scheme val="minor"/>
          </rPr>
          <t>Equity value
FORMULA: =EV+Cash−Debt
WHY: Equity bridge: enterprise value plus cash minus gross debt (net debt adjustment).</t>
        </r>
      </text>
    </comment>
    <comment ref="D37" authorId="0" shapeId="0" xr:uid="{00000000-0006-0000-0200-00002D000000}">
      <text>
        <r>
          <rPr>
            <sz val="11"/>
            <color theme="1"/>
            <rFont val="Calibri"/>
            <family val="2"/>
            <scheme val="minor"/>
          </rPr>
          <t>Value / share
FORMULA: =Equity/Shares
WHY: Intrinsic equity value per share using diluted shares outstanding.</t>
        </r>
      </text>
    </comment>
  </commentList>
</comments>
</file>

<file path=xl/sharedStrings.xml><?xml version="1.0" encoding="utf-8"?>
<sst xmlns="http://schemas.openxmlformats.org/spreadsheetml/2006/main" count="662" uniqueCount="582">
  <si>
    <t>FICO — vengeanceaiUSCMODEL18.0 (3-Statement + DCF)</t>
  </si>
  <si>
    <t>Strictly Confidential</t>
  </si>
  <si>
    <t>Table of Contents</t>
  </si>
  <si>
    <t>3 Statement Model</t>
  </si>
  <si>
    <t>Notes</t>
  </si>
  <si>
    <t>Named Ranges mark INPUT cells only. Formula cells (Gross Profit, NI, UFCF, EV) have NO names and must never be overwritten. Open in Excel to recalculate.</t>
  </si>
  <si>
    <t>vengeanceaiUSCMODEL18.0: MODEL17=7.0/10; stub 64.7% of Y1 FCFF from 2026-08-06; WACC Yacktman-adj 7.68% (β 0.854); SBC 7%/6%/6%/6%/5%; SaaS +300bps; exit 23.0x; shares 21.6M @ $1,149. ASSUMPTIONS PDF DOWNLOAD is the orange banner on Cover row 13 (C13). Also listed in Source Index (cols E–G).</t>
  </si>
  <si>
    <t>© 2019 CFI Education Inc.</t>
  </si>
  <si>
    <t>vengeanceaiUSCMODEL18.0 — SOURCE INDEX (click any link)</t>
  </si>
  <si>
    <t xml:space="preserve">All rights reserved.  The contents of this publication, including but not limited to all written material, content layout, images, formulas, and code, are protected under international copyright and trademark laws.  </t>
  </si>
  <si>
    <t>Every assumption / WACC / filing source used in this workbook. Same links appear on 3-statement col U/V and DCF col U/V.</t>
  </si>
  <si>
    <t xml:space="preserve">No part of this publication may be modified, manipulated, reproduced, distributed, or transmitted in any form by any means, including photocopying, recording, or other electronic or mechanical methods, </t>
  </si>
  <si>
    <t>Source</t>
  </si>
  <si>
    <t>Clickable link</t>
  </si>
  <si>
    <t>URL</t>
  </si>
  <si>
    <t>without prior written permission of the publisher, except in the case of certain noncommercial uses permitted by copyright law.</t>
  </si>
  <si>
    <t>10-K FY2025</t>
  </si>
  <si>
    <t>https://www.sec.gov/Archives/edgar/data/814547/000081454725000030/fico-20250930.htm</t>
  </si>
  <si>
    <t>10-Q Q3 FY2026</t>
  </si>
  <si>
    <t>https://www.sec.gov/Archives/edgar/data/814547/000081454726000030/fico-20260630.htm</t>
  </si>
  <si>
    <t>8-K 6.250% notes</t>
  </si>
  <si>
    <t>https://www.sec.gov/Archives/edgar/data/814547/000119312526117936/d56220d8k.htm</t>
  </si>
  <si>
    <t>Blume (1971) — beta adjustment toward 1.0</t>
  </si>
  <si>
    <t>https://www.jstor.org/stable/2329867</t>
  </si>
  <si>
    <t>Damodaran ERP</t>
  </si>
  <si>
    <t>https://pages.stern.nyu.edu/adamodar/New_Home_Page/home.htm</t>
  </si>
  <si>
    <t>Damodaran EV/EBITDA by sector</t>
  </si>
  <si>
    <t>https://pages.stern.nyu.edu/adamodar/New_Home_Page/datafile/vebitda.htm</t>
  </si>
  <si>
    <t>Damodaran FCFF</t>
  </si>
  <si>
    <t>https://pages.stern.nyu.edu/~adamodar/New_Home_Page/datafile/histfcff.html</t>
  </si>
  <si>
    <t>Damodaran Implied ERP</t>
  </si>
  <si>
    <t>Damodaran implied ERP table</t>
  </si>
  <si>
    <t>https://pages.stern.nyu.edu/~adamodar/New_Home_Page/datafile/histimpl.html</t>
  </si>
  <si>
    <t>Equifax statement — FICO 2026 2x mortgage royalty</t>
  </si>
  <si>
    <t>https://www.equifax.com/newsroom/all-news/-/story/equifax-statement-on-fico-2x-price-increase-for-2026-and-mortgage-direct-license-program/</t>
  </si>
  <si>
    <t>FICO EV/EBITDA (Alpha Spread)</t>
  </si>
  <si>
    <t>https://www.alphaspread.com/security/nyse/fico/relative-valuation/ratio/enterprise-value-to-ebitda</t>
  </si>
  <si>
    <t>FICO IR</t>
  </si>
  <si>
    <t>https://www.fico.com/en/investors</t>
  </si>
  <si>
    <t>FICO IR investor presentation — Scores OM ~91%</t>
  </si>
  <si>
    <t>https://investors.fico.com/static-files/66ef723c-1f2e-4501-a452-ab2f3d02ae85</t>
  </si>
  <si>
    <t>FICO IR — FY2025 10-K PDF</t>
  </si>
  <si>
    <t>https://investors.fico.com/static-files/663245db-39a2-4db7-8f89-284034bbccbf</t>
  </si>
  <si>
    <t>FICO IR — Q1 FY2026 10-Q PDF</t>
  </si>
  <si>
    <t>https://investors.fico.com/static-files/935bc755-fe08-44bd-9898-d04a4e3c92f1</t>
  </si>
  <si>
    <t>FICO IR — Q3 FY2026 earnings release</t>
  </si>
  <si>
    <t>https://investors.fico.com/news-releases/news-release-details/fico-announces-earnings-1045-share-third-quarter-fiscal-2026</t>
  </si>
  <si>
    <t>FICO IR — SEC filings hub</t>
  </si>
  <si>
    <t>https://investors.fico.com/financial-information/sec-filings</t>
  </si>
  <si>
    <t>FICO Q3 FY2026 earnings call transcript (Platform ARR $413M)</t>
  </si>
  <si>
    <t>https://stockanalysis.com/stocks/fico/transcripts/656443-q3-2026/</t>
  </si>
  <si>
    <t>FICO peer EV/EBITDA comps (VCP Scanner)</t>
  </si>
  <si>
    <t>https://vcpscanner.com/valuation/fico/relative</t>
  </si>
  <si>
    <t>FRED DGS10</t>
  </si>
  <si>
    <t>https://fred.stlouisfed.org/series/DGS10</t>
  </si>
  <si>
    <t>FRED DGS10 — US 10Y risk-free rate (Rf)</t>
  </si>
  <si>
    <t>FY2026 guidance EX-99.1</t>
  </si>
  <si>
    <t>https://www.sec.gov/Archives/edgar/data/814547/000081454726000031/exhibit991erq32026.htm</t>
  </si>
  <si>
    <t>MODEL18 Assumptions List (PDF download)</t>
  </si>
  <si>
    <t>https://raw.githubusercontent.com/vengeanceaiUSC/Rainmaker/cursor/vengeanceaiusmodel18-d3ac/FICO/output/MODEL18_FICO_ASSUMPTIONS_LIST.pdf</t>
  </si>
  <si>
    <t>MODEL18 Assumptions List (PDF view)</t>
  </si>
  <si>
    <t>https://github.com/vengeanceaiUSC/Rainmaker/blob/cursor/vengeanceaiusmodel18-d3ac/FICO/output/MODEL18_FICO_ASSUMPTIONS_LIST.pdf</t>
  </si>
  <si>
    <t>SEC 10-K FY2025 (HTML)</t>
  </si>
  <si>
    <t>SEC 10-K FY2025 filing index</t>
  </si>
  <si>
    <t>https://www.sec.gov/Archives/edgar/data/814547/000081454725000030/0000814547-25-000030-index.htm</t>
  </si>
  <si>
    <t>SEC 10-Q Q1 FY2026 (deferred revenue)</t>
  </si>
  <si>
    <t>https://www.sec.gov/Archives/edgar/data/814547/000081454726000011/fico-20251231.htm</t>
  </si>
  <si>
    <t>SEC 10-Q Q1 FY2026 — deferred revenue detail</t>
  </si>
  <si>
    <t>https://www.sec.gov/Archives/edgar/data/814547/000081454726000011/R45.htm</t>
  </si>
  <si>
    <t>SEC 8-K — 6.250% Senior Notes due 2034 (Rd)</t>
  </si>
  <si>
    <t>SEC EX-99.1 Q3 FY2026 earnings (Scores +41%, Platform ARR +62%)</t>
  </si>
  <si>
    <t>SEC companyfacts XBRL (SBC / cash tax / CapEx / buybacks)</t>
  </si>
  <si>
    <t>https://data.sec.gov/api/xbrl/companyfacts/CIK0000814547.json</t>
  </si>
  <si>
    <t>Sen. Hawley oversight letter — FICO mortgage pricing</t>
  </si>
  <si>
    <t>https://www.hawley.senate.gov/wp-content/uploads/2026/03/2026-03-23-Hawley-Oversight-Letter-to-FICO.pdf</t>
  </si>
  <si>
    <t>US Treasury yield curve</t>
  </si>
  <si>
    <t>https://home.treasury.gov/resource-center/data-chart-center/interest-rates/TextView?type=daily_treasury_yield_curve</t>
  </si>
  <si>
    <t>Yahoo FICO</t>
  </si>
  <si>
    <t>https://finance.yahoo.com/quote/FICO/key-statistics/</t>
  </si>
  <si>
    <t>Yahoo FICO key statistics — 5Y monthly Beta (raw)</t>
  </si>
  <si>
    <t>Yahoo FICO quote</t>
  </si>
  <si>
    <t>https://finance.yahoo.com/quote/FICO/</t>
  </si>
  <si>
    <t>Yahoo ^TNX — 10Y yield cross-check</t>
  </si>
  <si>
    <t>https://finance.yahoo.com/quote/%5ETNX/</t>
  </si>
  <si>
    <t>companyfacts</t>
  </si>
  <si>
    <t>© Corporate Finance Institute®. All rights reserved.</t>
  </si>
  <si>
    <t>Historical Results</t>
  </si>
  <si>
    <t xml:space="preserve"> Forecast Period</t>
  </si>
  <si>
    <t>FINANCIAL STATEMENTS</t>
  </si>
  <si>
    <t>Balance Sheet Check</t>
  </si>
  <si>
    <t>vengeanceaiUSCMODEL18.0: hover J–N for WHY+SOURCE; col U = filing source; col W = download Assumptions List PDF (no charts)</t>
  </si>
  <si>
    <t>Assumptions</t>
  </si>
  <si>
    <t>Yellow = policy. Green = FY25-linked equations. Orange title above = click to download the Assumptions List PDF (no charts). PDF: https://raw.githubusercontent.com/vengeanceaiUSC/Rainmaker/cursor/vengeanceaiusmodel18-d3ac/FICO/output/MODEL18_FICO_ASSUMPTIONS_LIST.pdf</t>
  </si>
  <si>
    <t>Income statement</t>
  </si>
  <si>
    <t>Row</t>
  </si>
  <si>
    <t>Assumption</t>
  </si>
  <si>
    <t>What it is</t>
  </si>
  <si>
    <t>How set in model</t>
  </si>
  <si>
    <t>Why this choice</t>
  </si>
  <si>
    <t>Source (click)</t>
  </si>
  <si>
    <t>Source URL</t>
  </si>
  <si>
    <t>Revenue Growth (% Change)</t>
  </si>
  <si>
    <t>WHY: Revenue growth path unchanged vs Model17 (30%/18%/14.5%/11%/8.5%). DCF applies stub scaling to Y1 FCFF only — 3S stil… | SOURCE: SEC EX-99.1 Q3 FY2026 — Scores +41% / B2B +49%; FY2026 guidance | LINK: https://www.sec.gov/Archives/edgar/data/814547/000081454726000031/exhibit991erq32026.htm | HOW: Yellow POLICY input: 30.0% / 18.0% / 14.5% / 11.0% / 8.5%. | ASSUMPTIONS PDF: https://raw.githubusercontent.com/vengeanceaiUSC/Rainmaker/cursor/vengeanceaiusmodel18-d3ac/FICO/output/MODEL18_FICO_ASSUMPTIONS_LIST.pdf</t>
  </si>
  <si>
    <t>Revenue Growth</t>
  </si>
  <si>
    <t>Year-over-year % increase in revenue for each forecast year.</t>
  </si>
  <si>
    <t>Yellow POLICY input: 30.0% / 18.0% / 14.5% / 11.0% / 8.5%.</t>
  </si>
  <si>
    <t>Revenue growth path unchanged vs Model17 (30%/18%/14.5%/11%/8.5%). DCF applies stub scaling to Y1 FCFF only — 3S still builds a full fiscal year for BS integrity.</t>
  </si>
  <si>
    <t>COGS % of Revenue (floor 8%; −120bps×t Scores pricing)</t>
  </si>
  <si>
    <t>WHY: MODEL18 Yacktman: Margins unchanged vs Model17 (COGS −120 / SG&amp;A −175 / R&amp;D −50; floor 8%; GM_B2B 97%). Mix % offset … | SOURCE: SEC 10-K FY2025 — Scores +$249M YoY 'primarily attributable to a higher unit price' | LINK: https://www.sec.gov/Archives/edgar/data/814547/000081454725000030/fico-20250930.htm | HOW: Excel: MAX(8%, segment blended COGS base≈12.98% − 120bps × year). | ASSUMPTIONS PDF: https://raw.githubusercontent.com/vengeanceaiUSC/Rainmaker/cursor/vengeanceaiusmodel18-d3ac/FICO/output/MODEL18_FICO_ASSUMPTIONS_LIST.pdf</t>
  </si>
  <si>
    <t>COGS % of Revenue</t>
  </si>
  <si>
    <t>Cost of revenues as a % of sales (gross margin = 1 − this).</t>
  </si>
  <si>
    <t>Excel: MAX(8%, segment blended COGS base≈12.98% − 120bps × year).</t>
  </si>
  <si>
    <t>SG&amp;A % of Revenue (floor 14%, −175bps×t)</t>
  </si>
  <si>
    <t>WHY: SG&amp;A unchanged vs Model17 (−175 bps/yr, floor 14%) — Scores near-100% incremental margins. | SOURCE: SEC 10-K FY2025 — SG&amp;A + Scores pricing commentary | LINK: https://www.sec.gov/Archives/edgar/data/814547/000081454725000030/fico-20250930.htm | HOW: Equation: MAX(14%, (I28 − 10,922)/I24 − 175bps × year). Strips FY25 restructuring; then −1.75% of sales each year. | ASSUMPTIONS PDF: https://raw.githubusercontent.com/vengeanceaiUSC/Rainmaker/cursor/vengeanceaiusmodel18-d3ac/FICO/output/MODEL18_FICO_ASSUMPTIONS_LIST.pdf</t>
  </si>
  <si>
    <t>SG&amp;A % of Revenue</t>
  </si>
  <si>
    <t>Operating opex (SG&amp;A) as % of sales.</t>
  </si>
  <si>
    <t>R&amp;D % of Revenue (floor 7%, −50bps×t)</t>
  </si>
  <si>
    <t>WHY: R&amp;D unchanged vs Model17 (−50 bps/yr, floor 7%) — royalty price dollars do not require 1:1 R&amp;D. | SOURCE: SEC 10-K FY2025 — Research and development | LINK: https://www.sec.gov/Archives/edgar/data/814547/000081454725000030/fico-20250930.htm | HOW: Excel: MAX(7%, I29/I24 − 50bps × year). | ASSUMPTIONS PDF: https://raw.githubusercontent.com/vengeanceaiUSC/Rainmaker/cursor/vengeanceaiusmodel18-d3ac/FICO/output/MODEL18_FICO_ASSUMPTIONS_LIST.pdf</t>
  </si>
  <si>
    <t>R&amp;D % of Revenue</t>
  </si>
  <si>
    <t>Research &amp; development expense as % of sales (IS label: R&amp;D, not Rent).</t>
  </si>
  <si>
    <t>D&amp;A % of Revenue (TOTAL D&amp;A incl. amort. of intangibles — CF add-back)</t>
  </si>
  <si>
    <t>WHY: MODEL18: TOTAL D&amp;A ≈ 0.84% of Rev. SBC is a SEPARATE add-back — no double-count. | SOURCE: SEC companyfacts — DepreciationDepletionAndAmortization (+ AmortizationOfIntangibleAssets) | LINK: https://data.sec.gov/api/xbrl/companyfacts/CIK0000814547.json | HOW: Yellow POLICY input: flat 0.84% (3yr FY23–25 avg TOTAL D&amp;A). Forecast DA$ = Revenue × DA%; CF row 63 adds it back once. | ASSUMPTIONS PDF: https://raw.githubusercontent.com/vengeanceaiUSC/Rainmaker/cursor/vengeanceaiusmodel18-d3ac/FICO/output/MODEL18_FICO_ASSUMPTIONS_LIST.pdf</t>
  </si>
  <si>
    <t>D&amp;A % of Revenue</t>
  </si>
  <si>
    <t>Total depreciation &amp; amortization as % of sales (software-industry driver).</t>
  </si>
  <si>
    <t>Interest (% of Debt Open Bal)</t>
  </si>
  <si>
    <t>WHY: Approximates average coupon / cost of debt on the book. Debt stock follows the net debt issuance assumption (row 19). | SOURCE: SEC 10-K FY2025 — Interest expense; see also 8-K 6.250% notes | LINK: https://www.sec.gov/Archives/edgar/data/814547/000081454725000030/fico-20250930.htm | HOW: Excel equation: I101/I98 (FY25 interest ÷ FY25 opening debt in schedule). | ASSUMPTIONS PDF: https://raw.githubusercontent.com/vengeanceaiUSC/Rainmaker/cursor/vengeanceaiusmodel18-d3ac/FICO/output/MODEL18_FICO_ASSUMPTIONS_LIST.pdf</t>
  </si>
  <si>
    <t>Interest % of Debt Open</t>
  </si>
  <si>
    <t>Interest expense as % of opening debt balance.</t>
  </si>
  <si>
    <t>Tax Rate (% of Earnings Before Tax)</t>
  </si>
  <si>
    <t>WHY: Book rate (~19%) remains on the income statement. DCF unlevered cash taxes use a separate cash tax rate (22.87% = 3yr… | SOURCE: SEC 10-K FY2025 — tax expense; cash taxes from IncomeTaxesPaidNet | LINK: https://data.sec.gov/api/xbrl/companyfacts/CIK0000814547.json | HOW: Excel equation: I35/I33 (FY25 tax ÷ simplified FY25 EBT in this template). | ASSUMPTIONS PDF: https://raw.githubusercontent.com/vengeanceaiUSC/Rainmaker/cursor/vengeanceaiusmodel18-d3ac/FICO/output/MODEL18_FICO_ASSUMPTIONS_LIST.pdf</t>
  </si>
  <si>
    <t>Book Tax Rate (% of EBT)</t>
  </si>
  <si>
    <t>Effective book tax rate applied to forecast EBT → Net Income.</t>
  </si>
  <si>
    <t>Balance Sheet</t>
  </si>
  <si>
    <t>DSO — phased 97→28d over 5yrs (segment blend ref ≈ 27.5d @ row 115; AR=Rev×DSO/365)</t>
  </si>
  <si>
    <t>WHY: DSO path unchanged vs Model17 (97→28d). DSO path unchanged vs Model17 (97→28d). Op NWC = AR+Inv−AP ONLY. +ΔDeferred i… | SOURCE: SEC 10-K FY2025 — AR; Q1 FY2026 deferred detail (R45) | LINK: https://www.sec.gov/Archives/edgar/data/814547/000081454726000011/R45.htm | HOW: Yellow POLICY path: phases 97d (FY25 hist) → 28d over 5 years (Y1≈83.2d … Y5=28d). Segment blend ref ≈ 27.5d on schedule row 115 (SaaS 40/B2C 2/B2B 25/PS 12/On-prem 40). | ASSUMPTIONS PDF: https://raw.githubusercontent.com/vengeanceaiUSC/Rainmaker/cursor/vengeanceaiusmodel18-d3ac/FICO/output/MODEL18_FICO_ASSUMPTIONS_LIST.pdf</t>
  </si>
  <si>
    <t>DSO — Accounts Receivable (Days)</t>
  </si>
  <si>
    <t>Days Sales Outstanding. AR = Revenue × DSO / 365.</t>
  </si>
  <si>
    <t>Yellow POLICY path: phases 97d (FY25 hist) → 28d over 5 years (Y1≈83.2d … Y5=28d). Segment blend ref ≈ 27.5d on schedule row 115 (SaaS 40/B2C 2/B2B 25/PS 12/On-prem 40).</t>
  </si>
  <si>
    <t>Inventory (Days)</t>
  </si>
  <si>
    <t>WHY: No inventory cycle to fund. | SOURCE: SEC 10-K FY2025 — Inventory ≈ $0 | LINK: https://www.sec.gov/Archives/edgar/data/814547/000081454725000030/fico-20250930.htm | HOW: Hard zero — FICO is software / scores; inventory is immaterial. | ASSUMPTIONS PDF: https://raw.githubusercontent.com/vengeanceaiUSC/Rainmaker/cursor/vengeanceaiusmodel18-d3ac/FICO/output/MODEL18_FICO_ASSUMPTIONS_LIST.pdf</t>
  </si>
  <si>
    <t>Inventory days (Inv = COGS × days/365).</t>
  </si>
  <si>
    <t>Hard zero — FICO is software / scores; inventory is immaterial.</t>
  </si>
  <si>
    <t>No inventory cycle to fund.</t>
  </si>
  <si>
    <t>DPO — Accounts Payable (Days)  [AP = COGS × DPO/365]</t>
  </si>
  <si>
    <t>WHY: MODEL18: DPO pairs with phased DSO for Op NWC = AR+Inv−AP. Deferred is a SEPARATE CFO cash source (row 81) — never mi… | SOURCE: SEC 10-K FY2025 — Accounts payable | LINK: https://www.sec.gov/Archives/edgar/data/814547/000081454725000030/fico-20250930.htm | HOW: Excel equation: ROUND(I48/I25×365, 0) from FY25; held flat. | ASSUMPTIONS PDF: https://raw.githubusercontent.com/vengeanceaiUSC/Rainmaker/cursor/vengeanceaiusmodel18-d3ac/FICO/output/MODEL18_FICO_ASSUMPTIONS_LIST.pdf</t>
  </si>
  <si>
    <t>DPO — Accounts Payable (Days)</t>
  </si>
  <si>
    <t>Days Payable Outstanding. AP = COGS × DPO / 365.</t>
  </si>
  <si>
    <t>CapEx % of Revenue (fade 0.85%→0.35%)</t>
  </si>
  <si>
    <t>WHY: MODEL18 Yacktman: Updated CapEx from Model17 (Previous: 1.00% → 0.85% → 0.70% → 0.55% → 0.40%) to Model18 (New: 0.85%… | SOURCE: SEC 10-K / companyfacts — PPE purchases + capitalized software; fade to maintenance | LINK: https://data.sec.gov/api/xbrl/companyfacts/CIK0000814547.json | HOW: Yellow POLICY path: 0.85% / 0.70% / 0.55% / 0.45% / 0.35% (fade with operating leverage). | ASSUMPTIONS PDF: https://raw.githubusercontent.com/vengeanceaiUSC/Rainmaker/cursor/vengeanceaiusmodel18-d3ac/FICO/output/MODEL18_FICO_ASSUMPTIONS_LIST.pdf</t>
  </si>
  <si>
    <t>CapEx % of Revenue</t>
  </si>
  <si>
    <t>Capital investment (PPE + capitalized software) as % of sales.</t>
  </si>
  <si>
    <t>Debt Issuance (Repayment) — funds buybacks above 1.0× FCF (MULT=1.40)</t>
  </si>
  <si>
    <t>WHY: MODEL18: Buybacks unchanged vs Model17 (1.40×(CFO−CapEx); debt funds MULT−1). Q3 FY2026 buybacks $1960M vs FCF $370.3… | SOURCE: SEC EX-99.1 Q3 FY2026 — levered buybacks; companyfacts senior notes / LOC | LINK: https://data.sec.gov/api/xbrl/companyfacts/CIK0000814547.json | HOW: Equation: −(CFO−CapEx) − EquityCF = (1.40−1)×FCF (debt funds buybacks above organic FCF). | ASSUMPTIONS PDF: https://raw.githubusercontent.com/vengeanceaiUSC/Rainmaker/cursor/vengeanceaiusmodel18-d3ac/FICO/output/MODEL18_FICO_ASSUMPTIONS_LIST.pdf</t>
  </si>
  <si>
    <t>Debt Issuance (Repayment)</t>
  </si>
  <si>
    <t>New borrowing (+) or repayment (−) in the forecast ($000s).</t>
  </si>
  <si>
    <t>MODEL18: Buybacks unchanged vs Model17 (1.40×(CFO−CapEx); debt funds MULT−1). Q3 FY2026 buybacks $1960M vs FCF $370.3M (https://www.sec.gov/Archives/edgar/data/814547/000081454726000031/exhibit991erq32026.htm). Financing is excluded from FCFF.</t>
  </si>
  <si>
    <t>Equity Issued (Repaid) — 1.40×(CFO−CapEx) buybacks (hist avg $881M; Q3 FY26 levered)</t>
  </si>
  <si>
    <t>WHY: Buybacks unchanged vs Model17 (1.40× FCF); Y1 DCF share effect stub-scaled. Shares unchanged vs Model17 (21,597.635k … | SOURCE: SEC EX-99.1 Q3 FY2026 — buybacks vs FCF; 10-K FY2025 repurchase footnote | LINK: https://www.sec.gov/Archives/edgar/data/814547/000081454725000030/fico-20250930.htm | HOW: Equation: −1.40×(CFO−CapEx) levered buybacks (hist 3yr avg ≈ $881M/yr; Q3 FY26 &gt;&gt; FCF). | ASSUMPTIONS PDF: https://raw.githubusercontent.com/vengeanceaiUSC/Rainmaker/cursor/vengeanceaiusmodel18-d3ac/FICO/output/MODEL18_FICO_ASSUMPTIONS_LIST.pdf</t>
  </si>
  <si>
    <t>Equity Issued (Repaid)</t>
  </si>
  <si>
    <t>Equation: −1.40×(CFO−CapEx) levered buybacks (hist 3yr avg ≈ $881M/yr; Q3 FY26 &gt;&gt; FCF).</t>
  </si>
  <si>
    <t>SBC % of Revenue (fade path; CF/FCFF add-back ONLY — buybacks cut DCF shares)</t>
  </si>
  <si>
    <t>WHY: MODEL18 Yacktman: Updated SBC from Model17 (Previous: fade 8.25% / 7.80% / 7.40% / 7.00% / 6.60%) to Model18 (New: fa… | SOURCE: SEC 10-K cash flow — ShareBasedCompensation (add-back only; no share dilution) | LINK: https://data.sec.gov/api/xbrl/companyfacts/CIK0000814547.json | HOW: Yellow POLICY fade path: 7.00% / 6.50% / 6.00% / 5.50% / 5.00% (starts at 3yr avg 7.00%). | ASSUMPTIONS PDF: https://raw.githubusercontent.com/vengeanceaiUSC/Rainmaker/cursor/vengeanceaiusmodel18-d3ac/FICO/output/MODEL18_FICO_ASSUMPTIONS_LIST.pdf</t>
  </si>
  <si>
    <t>SBC % of Revenue</t>
  </si>
  <si>
    <t>Yellow POLICY fade path: 7.00% / 6.50% / 6.00% / 5.50% / 5.00% (starts at 3yr avg 7.00%).</t>
  </si>
  <si>
    <t>Income Statement</t>
  </si>
  <si>
    <t>Reveneue</t>
  </si>
  <si>
    <t>eqn: PriorRev × (1 + growth)</t>
  </si>
  <si>
    <t>Cost of Goods Sold (COGS)</t>
  </si>
  <si>
    <t>eqn: Rev × COGS%</t>
  </si>
  <si>
    <t>Gross Profit</t>
  </si>
  <si>
    <t>eqn: Rev − COGS</t>
  </si>
  <si>
    <t>Expenses</t>
  </si>
  <si>
    <t>SG&amp;A Expense</t>
  </si>
  <si>
    <t>eqn: Rev × SG&amp;A%</t>
  </si>
  <si>
    <t>Research &amp; Development (R&amp;D)</t>
  </si>
  <si>
    <t>eqn: Rev × R&amp;D%</t>
  </si>
  <si>
    <t>Depreciation &amp; Amortization</t>
  </si>
  <si>
    <t>eqn: Rev × DA% (total D&amp;A / sales)</t>
  </si>
  <si>
    <t>Interest</t>
  </si>
  <si>
    <t>eqn: Debt_open × Int%</t>
  </si>
  <si>
    <t>Total Expenses</t>
  </si>
  <si>
    <t>Earnings Before Tax</t>
  </si>
  <si>
    <t>eqn: GP − Expenses</t>
  </si>
  <si>
    <t>Taxes</t>
  </si>
  <si>
    <t>eqn: EBT × book tax%</t>
  </si>
  <si>
    <t>Net Earnings</t>
  </si>
  <si>
    <t>eqn: EBT × (1 − book tax%)</t>
  </si>
  <si>
    <t>Assets</t>
  </si>
  <si>
    <t>Cash</t>
  </si>
  <si>
    <t>Accounts Receivable</t>
  </si>
  <si>
    <t>eqn: Rev × phased DSO / 365  (AR ≠ Deferred)</t>
  </si>
  <si>
    <t>Inventory</t>
  </si>
  <si>
    <t>Property &amp; Equipment</t>
  </si>
  <si>
    <t>Total Assets</t>
  </si>
  <si>
    <t>Liabilities (Deferred Revenue = WC row 88, included in Total Liab)</t>
  </si>
  <si>
    <t>Accounts Payable</t>
  </si>
  <si>
    <t>eqn: COGS × DPO / 365</t>
  </si>
  <si>
    <t>Debt</t>
  </si>
  <si>
    <t>Total Liabilities (AP + Debt + Deferred Revenue)</t>
  </si>
  <si>
    <t>eqn: AP + Debt + DeferredRev(88)</t>
  </si>
  <si>
    <t>Shareholder's Equity</t>
  </si>
  <si>
    <t>Equity Capital (BS plug = Assets − Liab − RE)</t>
  </si>
  <si>
    <t>eqn: Assets − Liabilities − RE  (forces BS balance)</t>
  </si>
  <si>
    <t>Retained Earnings</t>
  </si>
  <si>
    <t>eqn: PriorRE + EBT×(1−t)</t>
  </si>
  <si>
    <t>Total Liabilities &amp; Shareholder's Equity</t>
  </si>
  <si>
    <t>Check</t>
  </si>
  <si>
    <t>eqn: (L+E) − Assets   must be 0</t>
  </si>
  <si>
    <t>Cash Flow Statement</t>
  </si>
  <si>
    <t>Operating Cash Flow</t>
  </si>
  <si>
    <t>Plus: D&amp;A (TOTAL — incl. amortization of intangibles)</t>
  </si>
  <si>
    <t>eqn: TOTAL D&amp;A (depr + amort. of intangibles) — single add-back</t>
  </si>
  <si>
    <t>Plus: Stock-Based Compensation (SBC)</t>
  </si>
  <si>
    <t>eqn: Rev × SBC%  (non-cash add-back)</t>
  </si>
  <si>
    <t>Less: Δ Operating NWC (AR+Inv−AP; Deferred NOT here)</t>
  </si>
  <si>
    <t>eqn: Δ Op NWC = OpNWCt − OpNWCt−1  (AR+Inv−AP only)</t>
  </si>
  <si>
    <t>Cash from Operations (incl. +Increase in Deferred)</t>
  </si>
  <si>
    <t>eqn: NI + DA + SBC − ΔOpNWC + ΔDeferred</t>
  </si>
  <si>
    <t>Investing Cash Flow</t>
  </si>
  <si>
    <t>Investments in Property &amp; Equipment</t>
  </si>
  <si>
    <t>eqn: Rev × CapEx% (fade path)</t>
  </si>
  <si>
    <t>Cash from Investing</t>
  </si>
  <si>
    <t>Financing Cash Flow</t>
  </si>
  <si>
    <t>Issuance (repayment) of debt</t>
  </si>
  <si>
    <t>Issuance (repayment) of equity</t>
  </si>
  <si>
    <t>Cash from Financing</t>
  </si>
  <si>
    <t>Net Increase (decrease) in Cash</t>
  </si>
  <si>
    <t>eqn: CFO − CapEx + Financing</t>
  </si>
  <si>
    <t>Opening Cash Balance</t>
  </si>
  <si>
    <t>Closing Cash Balance</t>
  </si>
  <si>
    <t>Cash Check (CF close vs BS cash)</t>
  </si>
  <si>
    <t>Plus: Increase in Deferred Revenue (explicit CFO cash source)</t>
  </si>
  <si>
    <t>eqn: Def_t − Def_t−1  (SaaS/maintenance upfront cash; in CFO)</t>
  </si>
  <si>
    <t>0</t>
  </si>
  <si>
    <t>Supporting Schedules</t>
  </si>
  <si>
    <t>Working Capital Schedule</t>
  </si>
  <si>
    <t>Accounts Receivable (from phased DSO — separate from Deferred)</t>
  </si>
  <si>
    <t>Accounts Payable (from DPO)</t>
  </si>
  <si>
    <t>Deferred Revenue (BS contract liability — SaaS/on-prem; CF source)</t>
  </si>
  <si>
    <t>eqn: Rev × softmix_t × (FY25 Def / FY25 soft Rev) — SaaS shift ↑ Def</t>
  </si>
  <si>
    <t>Operating NWC (AR+Inv−AP; EXCLUDES Deferred — no double count)</t>
  </si>
  <si>
    <t>eqn: AR + Inv − AP   (Deferred excluded — see CF row 81)</t>
  </si>
  <si>
    <t>Change in Operating NWC</t>
  </si>
  <si>
    <t>eqn: OpNWCt − OpNWCt−1  (AR/AP only; Deferred separate)</t>
  </si>
  <si>
    <t>Depreciation Schedule</t>
  </si>
  <si>
    <t>PPE Opening</t>
  </si>
  <si>
    <t>Plus Capex</t>
  </si>
  <si>
    <t>Less Depreciation</t>
  </si>
  <si>
    <t>eqn: Rev × DA% (same as IS D&amp;A — includes intangible amort)</t>
  </si>
  <si>
    <t>PPE Closing</t>
  </si>
  <si>
    <t>Debt &amp; Interest Schedule</t>
  </si>
  <si>
    <t>Debt Opening</t>
  </si>
  <si>
    <t>Issuance (repayment)</t>
  </si>
  <si>
    <t>Debt Closing</t>
  </si>
  <si>
    <t>Interest Expense</t>
  </si>
  <si>
    <t>REVENUE MIX &amp; CASH CONVERSION (FY25 10-K disaggregation — mix offsets within Total Rev row 24; NOT additive)</t>
  </si>
  <si>
    <t>Mix % — SaaS / Platform software (cloud; +300bps/yr shift)</t>
  </si>
  <si>
    <t>WHY: Updated SaaS mix shift from Model17 (Previous: +250 bps/yr) to Model18 (New: +300 bps/yr) — Q3 Platform ARR +62% to $… | SOURCE: SEC 10-Q Q1 FY2026 — Deferred revenue / contract liabilities detail | LINK: https://www.sec.gov/Archives/edgar/data/814547/000081454726000011/R45.htm | HOW: FY25 base 21.08% (SaaS $419,720k / Total $1,990,869k), then +300 bps/yr taken from on-prem. Platform ARR KPI $263.6M is not additive IS revenue. | ASSUMPTIONS PDF: https://raw.githubusercontent.com/vengeanceaiUSC/Rainmaker/cursor/vengeanceaiusmodel18-d3ac/FICO/output/MODEL18_FICO_ASSUMPTIONS_LIST.pdf</t>
  </si>
  <si>
    <t>Mix % — SaaS / Platform software</t>
  </si>
  <si>
    <t>Share of Total Revenue from SaaS / cloud software (incl. FICO Platform cloud).</t>
  </si>
  <si>
    <t>FY25 base 21.08% (SaaS $419,720k / Total $1,990,869k), then +300 bps/yr taken from on-prem. Platform ARR KPI $263.6M is not additive IS revenue.</t>
  </si>
  <si>
    <t>Mix % — B2C Subscriptions (myFICO)</t>
  </si>
  <si>
    <t>WHY: Near-zero DSO (card-settled consumer subscriptions). Minimal Deferred Revenue vs annual SaaS invoices. High increment… | SOURCE: SEC 10-K FY2025 — Scores segment B2C / myFICO disaggregation | LINK: https://www.sec.gov/Archives/edgar/data/814547/000081454725000030/fico-20250930.htm | HOW: Yellow POLICY = 11.05% (FY25 B2C Scores $219,980k / Total $1,990,869k). | ASSUMPTIONS PDF: https://raw.githubusercontent.com/vengeanceaiUSC/Rainmaker/cursor/vengeanceaiusmodel18-d3ac/FICO/output/MODEL18_FICO_ASSUMPTIONS_LIST.pdf</t>
  </si>
  <si>
    <t>Share of Total Revenue from B2C scoring / myFICO.com subscriptions.</t>
  </si>
  <si>
    <t>Yellow POLICY = 11.05% (FY25 B2C Scores $219,980k / Total $1,990,869k).</t>
  </si>
  <si>
    <t>Mix % — B2B Scores (transactional)</t>
  </si>
  <si>
    <t>WHY: Transactional volume through Experian/TransUnion/Equifax; ~30-day DSO. Does not create SaaS-style Deferred Revenue (u… | SOURCE: SEC 10-K FY2025 — Scores segment B2B disaggregation | LINK: https://www.sec.gov/Archives/edgar/data/814547/000081454725000030/fico-20250930.htm | HOW: Yellow POLICY = 47.65% (FY25 B2B Scores $948,595k / Total $1,990,869k). | ASSUMPTIONS PDF: https://raw.githubusercontent.com/vengeanceaiUSC/Rainmaker/cursor/vengeanceaiusmodel18-d3ac/FICO/output/MODEL18_FICO_ASSUMPTIONS_LIST.pdf</t>
  </si>
  <si>
    <t>Mix % — B2B Scores</t>
  </si>
  <si>
    <t>Share of Total Revenue from B2B scoring (mortgage, auto, card via CRAs).</t>
  </si>
  <si>
    <t>Yellow POLICY = 47.65% (FY25 B2B Scores $948,595k / Total $1,990,869k).</t>
  </si>
  <si>
    <t>Mix % — Professional Services (implementation)</t>
  </si>
  <si>
    <t>WHY: Upfront integration fees convert cash quickly (low DSO) but carry significantly lower gross margin than software/scor… | SOURCE: SEC 10-K FY2025 — Software segment Professional services line | LINK: https://www.sec.gov/Archives/edgar/data/814547/000081454725000030/fico-20250930.htm | HOW: Yellow POLICY = 4.13% (FY25 PS $82,149k / Total $1,990,869k). | ASSUMPTIONS PDF: https://raw.githubusercontent.com/vengeanceaiUSC/Rainmaker/cursor/vengeanceaiusmodel18-d3ac/FICO/output/MODEL18_FICO_ASSUMPTIONS_LIST.pdf</t>
  </si>
  <si>
    <t>Mix % — Professional Services</t>
  </si>
  <si>
    <t>Share of Total Revenue from implementation / consulting / training fees.</t>
  </si>
  <si>
    <t>Yellow POLICY = 4.13% (FY25 PS $82,149k / Total $1,990,869k).</t>
  </si>
  <si>
    <t>Mix % — On-Premises Software (−300bps/yr → SaaS)</t>
  </si>
  <si>
    <t>WHY: With SaaS mix, drives Deferred Revenue (maintenance billed in advance). Same 45-day DSO policy as SaaS. Completes mix… | SOURCE: SEC 10-K FY2025 — Software on-premises vs SaaS deployment table | LINK: https://www.sec.gov/Archives/edgar/data/814547/000081454725000030/fico-20250930.htm | HOW: Yellow POLICY = 16.09% (FY25 on-prem $320,425k / Total $1,990,869k). | ASSUMPTIONS PDF: https://raw.githubusercontent.com/vengeanceaiUSC/Rainmaker/cursor/vengeanceaiusmodel18-d3ac/FICO/output/MODEL18_FICO_ASSUMPTIONS_LIST.pdf</t>
  </si>
  <si>
    <t>Mix % — On-Premises Software</t>
  </si>
  <si>
    <t>Share of Total Revenue from on-premises license + maintenance software.</t>
  </si>
  <si>
    <t>Mix check (must equal 100%)</t>
  </si>
  <si>
    <t>eqn: Σ mix = 100%  (flag if ≠ 1)</t>
  </si>
  <si>
    <t>DSO days — SaaS / Platform (30–60 mid)</t>
  </si>
  <si>
    <t>DSO days — B2C myFICO (≈0, card-settled)</t>
  </si>
  <si>
    <t>DSO days — B2B Scores (≈30)</t>
  </si>
  <si>
    <t>DSO days — Professional Services</t>
  </si>
  <si>
    <t>DSO days — On-Premises Software</t>
  </si>
  <si>
    <t>Blended DSO (feeds assumption row 15; rises slightly with SaaS mix)</t>
  </si>
  <si>
    <t>eqn: Σ (mix_i × DSO_i)</t>
  </si>
  <si>
    <t>Gross Margin — SaaS / Platform</t>
  </si>
  <si>
    <t>Gross Margin — B2C myFICO</t>
  </si>
  <si>
    <t>Gross Margin — B2B Scores</t>
  </si>
  <si>
    <t>Gross Margin — Professional Services (low)</t>
  </si>
  <si>
    <t>Gross Margin — On-Premises Software</t>
  </si>
  <si>
    <t>Blended Gross Margin (pre pricing grind)</t>
  </si>
  <si>
    <t>Blended COGS % base (row 8 applies −120bps×t grind)</t>
  </si>
  <si>
    <t>eqn: 1 − blended GM; row 8 = MAX(8%, base − 120bps×t)</t>
  </si>
  <si>
    <t>Software mix % (SaaS + On-Prem — Deferred / CFO WC driver)</t>
  </si>
  <si>
    <t>Segment $ — SaaS (illustrative = Rev × mix; not extra IS revenue)</t>
  </si>
  <si>
    <t>eqn: TotalRev × SaaS%  (offset, not additive)</t>
  </si>
  <si>
    <t>Segment $ — B2C myFICO (illustrative)</t>
  </si>
  <si>
    <t>eqn: TotalRev × B2C%  (offset, not additive)</t>
  </si>
  <si>
    <t>This file is for educational purposes only. E&amp;OE</t>
  </si>
  <si>
    <t xml:space="preserve">Corporate Finance Institute® </t>
  </si>
  <si>
    <t>https://corporatefinanceinstitute.com/</t>
  </si>
  <si>
    <t>vengeanceaiUSCMODEL18.0 — Public Peer EV/EBITDA Comps</t>
  </si>
  <si>
    <t>DCF Model</t>
  </si>
  <si>
    <t>Ticker</t>
  </si>
  <si>
    <t>Company</t>
  </si>
  <si>
    <t>EV/EBITDA</t>
  </si>
  <si>
    <t>vengeanceaiUSCMODEL18.0 — LIVE EQUATIONS + SOURCE LINKS</t>
  </si>
  <si>
    <t>EFX</t>
  </si>
  <si>
    <t>Equifax</t>
  </si>
  <si>
    <t>VCP Scanner peer set</t>
  </si>
  <si>
    <t>Yellow = inputs (edit). Green = formulas. Blue underlined = clickable sources.</t>
  </si>
  <si>
    <t>Assumptions — full list PDF (no charts): MODEL18_FICO_ASSUMPTIONS_LIST.pdf</t>
  </si>
  <si>
    <t>VRSK</t>
  </si>
  <si>
    <t>Verisk Analytics</t>
  </si>
  <si>
    <t>Input</t>
  </si>
  <si>
    <t>Value</t>
  </si>
  <si>
    <t>Description</t>
  </si>
  <si>
    <t>Role</t>
  </si>
  <si>
    <t>Primary source (click)</t>
  </si>
  <si>
    <t>Secondary source (click)</t>
  </si>
  <si>
    <t>Cash Tax Rate (3yr avg IncomeTaxesPaid/EBT = 22.87%)</t>
  </si>
  <si>
    <t>MODEL18 — cash taxes ≠ book tax (3S J13 still book for NI)</t>
  </si>
  <si>
    <t>Tax source: SEC 10-K</t>
  </si>
  <si>
    <t>SPGI</t>
  </si>
  <si>
    <t>S&amp;P Global</t>
  </si>
  <si>
    <t>1) Yacktman-adjusted CAPM → WACC (D6=R15); β=0.3×Blume(1.213)+0.7×AAA(0.70)=0.854 (Yahoo raw 1.32 kept as ref)</t>
  </si>
  <si>
    <t>WACC sources → columns U–V</t>
  </si>
  <si>
    <t>Discount Rate (Yacktman-adj CAPM WACC = R15 ≈ 7.68%; Model17 was 7.68%)</t>
  </si>
  <si>
    <t>WACC algebra unchanged vs Model17 (Previous: 7.68%) in Model18 (New: 7.68% = D6←R15); stub scales Y1 FCFF × 64.66%</t>
  </si>
  <si>
    <t>WACC sources → scroll to col U (Rf/ERP/β/Rd links)</t>
  </si>
  <si>
    <t>SEC 8-K Rd 6.250%</t>
  </si>
  <si>
    <t>MCO</t>
  </si>
  <si>
    <t>Moody's</t>
  </si>
  <si>
    <t>Risk-free rate (Rf)</t>
  </si>
  <si>
    <t>US 10Y Treasury yield</t>
  </si>
  <si>
    <t>CAPM input</t>
  </si>
  <si>
    <t>FRED DGS10 (US 10Y)</t>
  </si>
  <si>
    <t>US Treasury Daily Par Yield Curve</t>
  </si>
  <si>
    <t>Perpetual Growth (g = 3.5% — Gordon cross-check)</t>
  </si>
  <si>
    <t>g unchanged vs Model17 (Previous: 3.5%) in Model18</t>
  </si>
  <si>
    <t>MSCI</t>
  </si>
  <si>
    <t>MSCI Inc.</t>
  </si>
  <si>
    <t>Equity risk premium (ERP)</t>
  </si>
  <si>
    <t>Damodaran implied ERP</t>
  </si>
  <si>
    <t>Damodaran Online — Implied ERP</t>
  </si>
  <si>
    <t>Damodaran histimpl.xls / table</t>
  </si>
  <si>
    <t>Exit EV/EBITDA (BASE 23.0x — Yacktman premium)</t>
  </si>
  <si>
    <t>Exit unchanged vs Model17 (Previous: 23.0x) in Model18 (BASE 23.0x vs peer median 18.1x; Bull 27x / Bear 17.0x).</t>
  </si>
  <si>
    <t>Rd source: SEC 8-K 6.250% notes</t>
  </si>
  <si>
    <t>Peer EV/EBITDA comps (click)</t>
  </si>
  <si>
    <t>FICO spot EV/EBITDA (click)</t>
  </si>
  <si>
    <t>Median</t>
  </si>
  <si>
    <t>Peer set</t>
  </si>
  <si>
    <t>Sorted median (SPGI)</t>
  </si>
  <si>
    <t>Beta (β_Yacktman)</t>
  </si>
  <si>
    <t>0.3×Blume(1.213)+0.7×AAA(0.70); Yahoo raw=1.32</t>
  </si>
  <si>
    <t>Yahoo Finance FICO Key Statistics (raw β)</t>
  </si>
  <si>
    <t>Blume 1971 β adjustment</t>
  </si>
  <si>
    <t>Valuation Date (stub clock; 2026-08-06)</t>
  </si>
  <si>
    <t>Updated from Model17 (Previous: hist FYE 2025-09-30) to Model18 (New: 2026-08-06; 129/365=35.34% elapsed)</t>
  </si>
  <si>
    <t>Base exit (D8)</t>
  </si>
  <si>
    <t>Yacktman premium vs peer median; audit 23.0x</t>
  </si>
  <si>
    <t>Ke = Rf + β × ERP</t>
  </si>
  <si>
    <t>Cost of equity (Yacktman-adj CAPM)</t>
  </si>
  <si>
    <t>→ WACC</t>
  </si>
  <si>
    <t>Derived: R6 + R8 × R7</t>
  </si>
  <si>
    <t>Stub FY End (first forward year end)</t>
  </si>
  <si>
    <t>Stub year ends 2027-03-29</t>
  </si>
  <si>
    <t>Peer comps (click)</t>
  </si>
  <si>
    <t>Pre-tax cost of debt (Rd)</t>
  </si>
  <si>
    <t>6.250% Senior Notes due 2034</t>
  </si>
  <si>
    <t>WACC input</t>
  </si>
  <si>
    <t>SEC 8-K — Notes closing (6.250%)</t>
  </si>
  <si>
    <t>SEC EX-99.1 — Notes pricing press release</t>
  </si>
  <si>
    <t>Current Price</t>
  </si>
  <si>
    <t>Cash tax rate (t)</t>
  </si>
  <si>
    <t>D5 ← 3yr cash tax (IncomeTaxesPaid/EBT)</t>
  </si>
  <si>
    <t>Cash tax ≠ book J13</t>
  </si>
  <si>
    <t>SEC 10-K FY2025 (tax / EBT)</t>
  </si>
  <si>
    <t>SEC companyfacts — IncomeTaxesPaidNet</t>
  </si>
  <si>
    <t>Shares Outstanding — starting (000s, post–Q3 ≈ 21,597.6k)</t>
  </si>
  <si>
    <t>Row 16: levered buybacks reduce shares; SBC add-back does NOT dilute</t>
  </si>
  <si>
    <t>Rd_aftertax = Rd × (1 − t)</t>
  </si>
  <si>
    <t>After-tax cost of debt</t>
  </si>
  <si>
    <t>Derived: R10 × (1 − R11)</t>
  </si>
  <si>
    <t>Debt (10-Q bridge — not 3S FY25 I49)</t>
  </si>
  <si>
    <t>See L39 for 3S FY25 debt ref</t>
  </si>
  <si>
    <t>Equity weight (We)</t>
  </si>
  <si>
    <t>Target ~80% equity at market</t>
  </si>
  <si>
    <t>WACC weight</t>
  </si>
  <si>
    <t>SEC 10-Q Q3 FY2026 (debt / capital)</t>
  </si>
  <si>
    <t>Yahoo market cap for E/(D+E)</t>
  </si>
  <si>
    <t>Cash+mkt secs (10-Q bridge — not 3S FY25 I41)</t>
  </si>
  <si>
    <t>See L38 for 3S FY25 cash ref</t>
  </si>
  <si>
    <t>Debt weight (Wd)</t>
  </si>
  <si>
    <t>Target ~20% debt (We+Wd=100%)</t>
  </si>
  <si>
    <t>SEC 10-Q — total debt $5,582,389k</t>
  </si>
  <si>
    <t>SEC 10-K — senior notes footnote</t>
  </si>
  <si>
    <t>Capex FY1 (linked to 3S J68; stub scales FCFF not CapEx cell)</t>
  </si>
  <si>
    <t>WACC = We×Ke + Wd×Rd_aftertax</t>
  </si>
  <si>
    <t>PRIMARY discount rate → cell D6 (Yacktman-adj CAPM)</t>
  </si>
  <si>
    <t>→ D6</t>
  </si>
  <si>
    <t>SEC filings (tax, debt coupons)</t>
  </si>
  <si>
    <t>Damodaran (ERP methodology)</t>
  </si>
  <si>
    <t>Shares Outstanding — buyback-adjusted (000s)</t>
  </si>
  <si>
    <t>Shares_t = prior + EquityCF/Price; Y1 EquityCF × 64.66% stub</t>
  </si>
  <si>
    <t>Discounted Cash Flow</t>
  </si>
  <si>
    <t>Entry</t>
  </si>
  <si>
    <t>Exit</t>
  </si>
  <si>
    <t>Terminal value &amp; scenarios (vengeanceaiUSCMODEL18.0)</t>
  </si>
  <si>
    <t>2) Unlevered Free Cash Flow</t>
  </si>
  <si>
    <t>Date (Y1 mid-stub +118d; Y2–Y5 EDATE mid-year)</t>
  </si>
  <si>
    <t>Exit EV/EBITDA @ D8 (BASE 23.0x)</t>
  </si>
  <si>
    <t>← used in XNPV</t>
  </si>
  <si>
    <t>FCFF = EBIT − EBIT×t_cash + D&amp;A + SBC − CapEx − ΔOpNWC + ΔDeferred</t>
  </si>
  <si>
    <t>Drivers from SEC XBRL → 3-statement</t>
  </si>
  <si>
    <t>SEC 10-K historical IS/CF</t>
  </si>
  <si>
    <t>Time Periods</t>
  </si>
  <si>
    <t>Gordon cross-check (g=D7)</t>
  </si>
  <si>
    <t>← sanity check</t>
  </si>
  <si>
    <t>Excel (col E example)</t>
  </si>
  <si>
    <t>Year Fraction (display only; XNPV uses exact dates below)</t>
  </si>
  <si>
    <t>Implied Gordon exit multiple</t>
  </si>
  <si>
    <t>← ~bear check</t>
  </si>
  <si>
    <t>Tax on EBIT (unlevered)</t>
  </si>
  <si>
    <t>NOT levered IS tax dollars</t>
  </si>
  <si>
    <t>Tax rate from SEC 10-K effective rate</t>
  </si>
  <si>
    <t>EBIT (3S: EBT + Interest)</t>
  </si>
  <si>
    <t>EBIT</t>
  </si>
  <si>
    <t>BASE TV @ 23.0x (primary)</t>
  </si>
  <si>
    <t>← = D8 policy</t>
  </si>
  <si>
    <t>FCFF check (FY5 / col I)</t>
  </si>
  <si>
    <t>Must equal I21−I22+I23−I24−I25</t>
  </si>
  <si>
    <t>Less: Unlevered Cash Taxes (EBIT × cash tax rate D5)</t>
  </si>
  <si>
    <t>EBIT×t</t>
  </si>
  <si>
    <t>BULL TV @ 27.0x (spot/policy)</t>
  </si>
  <si>
    <t>← sensitivity only</t>
  </si>
  <si>
    <t>Plus: D&amp;A (3S IS row 30)</t>
  </si>
  <si>
    <t>+D&amp;A</t>
  </si>
  <si>
    <t>BEAR TV @ 17.0x (Gordon-implied)</t>
  </si>
  <si>
    <t>3) Terminal Value</t>
  </si>
  <si>
    <t>Less: Capex (3S CF row 68)</t>
  </si>
  <si>
    <t>−CapEx</t>
  </si>
  <si>
    <t>Reconciliation: Bull 27x → Base 23.0x (Yacktman premium vs peer median ~18.1x) → Bear 17.0x</t>
  </si>
  <si>
    <t>TV_exit = EBITDA_n × ExitMultiple   [PRIMARY]</t>
  </si>
  <si>
    <t>Less: ΔOpNWC − ΔDeferred (3S 90 − 81; AR≠Deferred)</t>
  </si>
  <si>
    <t>−ΔOpNWC+ΔDef</t>
  </si>
  <si>
    <t>Excel</t>
  </si>
  <si>
    <t>Exit multiple policy vs Yahoo / market multiples</t>
  </si>
  <si>
    <t>Unlevered FCF (Y1 × 64.66% stub remaining; SBC + Deferred)</t>
  </si>
  <si>
    <t>FCFF=EBIT−cashTax+DA+SBC−CapEx−ΔOpNWC+ΔDeferred</t>
  </si>
  <si>
    <t>vengeanceaiUSCMODEL18.0 — DCF ← 3-Statement linkage audit</t>
  </si>
  <si>
    <t>TV_gordon = FCFF_n×(1+g)/(WACC−g)   [CHECK]</t>
  </si>
  <si>
    <t>(Entry)/Exit TV — Exit EV/EBITDA (BASE 23.0x)</t>
  </si>
  <si>
    <t>DCF item</t>
  </si>
  <si>
    <t>Value / link</t>
  </si>
  <si>
    <t>3-Statement source</t>
  </si>
  <si>
    <t>Gordon g vs Damodaran long-run growth framing</t>
  </si>
  <si>
    <t>Transaction CF</t>
  </si>
  <si>
    <t>Cash tax rate (D5)</t>
  </si>
  <si>
    <t>22.87%</t>
  </si>
  <si>
    <t>3yr avg IncomeTaxesPaidNet/EBT (not book J13)</t>
  </si>
  <si>
    <t>Gordon TV / EBITDA_n</t>
  </si>
  <si>
    <t>DSO (AR days)</t>
  </si>
  <si>
    <t>Phased DSO hist→45d; Op NWC excludes Deferred</t>
  </si>
  <si>
    <t>SBC % of sales</t>
  </si>
  <si>
    <t>SBC add-back in CFO row 64 and FCFF</t>
  </si>
  <si>
    <t>4) Enterprise → Equity → $/share</t>
  </si>
  <si>
    <t>Intrinsic Value</t>
  </si>
  <si>
    <t>Market Value</t>
  </si>
  <si>
    <t>CapEx % (FY1)</t>
  </si>
  <si>
    <t>CapEx% fade path → CF CapEx $</t>
  </si>
  <si>
    <t>EV = XNPV(WACC, TransactionCF, mid-year dates)</t>
  </si>
  <si>
    <t>Enterprise Value (XNPV; Y1 mid-stub dates)</t>
  </si>
  <si>
    <t>Market Cap</t>
  </si>
  <si>
    <t>Revenue growth FY1</t>
  </si>
  <si>
    <t>Policy path on 3S assumption row 7</t>
  </si>
  <si>
    <t>Plus: Cash</t>
  </si>
  <si>
    <t>Plus: Debt</t>
  </si>
  <si>
    <t>EBIT FY1 (DCF E21)</t>
  </si>
  <si>
    <t>EBT + Interest = GP − SG&amp;A − R&amp;D − D&amp;A</t>
  </si>
  <si>
    <t>Equity = EV + Cash − Debt</t>
  </si>
  <si>
    <t>Net debt from 10-Q bridge</t>
  </si>
  <si>
    <t>SEC 10-Q — cash, mkt secs, total debt</t>
  </si>
  <si>
    <t>SEC 10-K — FY debt footnote</t>
  </si>
  <si>
    <t>Less: Debt</t>
  </si>
  <si>
    <t>Less: Cash</t>
  </si>
  <si>
    <t>EBIT cross-check</t>
  </si>
  <si>
    <t>GP−SGA−R&amp;D−DA</t>
  </si>
  <si>
    <t>Must equal E21 (live check)</t>
  </si>
  <si>
    <t>$/share = Equity / Shares</t>
  </si>
  <si>
    <t>Shares outstanding (Yahoo)</t>
  </si>
  <si>
    <t>Yahoo Finance — shares outstanding</t>
  </si>
  <si>
    <t>Yahoo FICO quote (price)</t>
  </si>
  <si>
    <t>Equity Value</t>
  </si>
  <si>
    <t>Enterprise Value</t>
  </si>
  <si>
    <t>D&amp;A FY1</t>
  </si>
  <si>
    <t>Rev × DA% (total D&amp;A / sales) from 3S IS</t>
  </si>
  <si>
    <t>Upside vs market</t>
  </si>
  <si>
    <t>Intrinsic / Current Price − 1</t>
  </si>
  <si>
    <t>SBC FY1</t>
  </si>
  <si>
    <t>Rev × SBC%; added in FCFF</t>
  </si>
  <si>
    <t>Equity Value/Share (÷ Y5 buyback-adjusted shares I16)</t>
  </si>
  <si>
    <t>MODEL18: SBC add-back in FCFF; 1.4×FCF buybacks cut shares (no SBC dilution)</t>
  </si>
  <si>
    <t>Equity Value/Share</t>
  </si>
  <si>
    <t>CapEx FY1</t>
  </si>
  <si>
    <t>3S CF CapEx (also D15)</t>
  </si>
  <si>
    <t>5) Op NWC + Deferred (feeds FCFF; AR ≠ Deferred)</t>
  </si>
  <si>
    <t>Net WC use FY1</t>
  </si>
  <si>
    <t>ΔOpNWC − ΔDeferred (AR≠Deferred)</t>
  </si>
  <si>
    <t>OpNWC = AR+Inv−AP; +ΔDeferred separate CFO source</t>
  </si>
  <si>
    <t>SEC 10-K — AR / AP / deferred revenue</t>
  </si>
  <si>
    <t>XBRL DeferredRevenueCurrent</t>
  </si>
  <si>
    <t>EBITDA FY5 (TV base)</t>
  </si>
  <si>
    <t>EBIT+D&amp;A; Exit TV = this × D8</t>
  </si>
  <si>
    <t>Net WC use = ΔOpNWC − ΔDeferred</t>
  </si>
  <si>
    <t>3S row 90 − row 81 (Deferred growth = cash source)</t>
  </si>
  <si>
    <t>3S FY25 Cash (ref)</t>
  </si>
  <si>
    <t>FYE reference only — bridge uses 10-Q D14</t>
  </si>
  <si>
    <t>Instructions</t>
  </si>
  <si>
    <t>3S FY25 Debt (ref)</t>
  </si>
  <si>
    <t>FYE reference only — bridge uses 10-Q D13</t>
  </si>
  <si>
    <t>6) Full source index (all clickable)</t>
  </si>
  <si>
    <t>Step 1: Get EBIT and D&amp;A from the income statement</t>
  </si>
  <si>
    <t>EBIT link OK?</t>
  </si>
  <si>
    <t>Flags if EBIT link ≠ GP−opex build</t>
  </si>
  <si>
    <t>SEC 10-K FY2025</t>
  </si>
  <si>
    <t>Tax 18.8%, IS/BS/CF, senior notes</t>
  </si>
  <si>
    <t>Step 2: Calculate the net working capital</t>
  </si>
  <si>
    <t>Green cells are live links. FCFF = EBIT − cash tax + D&amp;A + SBC − CapEx − ΔOpNWC + ΔDeferred. D6 = Yacktman-adj CAPM 7.68% (D6←R15; raw CAPM ref 9.27%). $/share uses I16 (Y5 buyback-adjusted shares). SBC add-back does NOT dilute.</t>
  </si>
  <si>
    <t>SEC 10-Q Q3 FY2026</t>
  </si>
  <si>
    <t>Debt $5,582M, cash+mkt secs net-debt bridge</t>
  </si>
  <si>
    <t>There are two ways to find NWC:</t>
  </si>
  <si>
    <t>SEC 8-K 6.250% notes</t>
  </si>
  <si>
    <t>Pre-tax Rd coupon 6.250% due 2034</t>
  </si>
  <si>
    <t>1. NWC = Current Assets (less cash) - Current Liabilities (less debt)</t>
  </si>
  <si>
    <t>SEC EX-99.1 pricing</t>
  </si>
  <si>
    <t>Notes priced at par / offering terms</t>
  </si>
  <si>
    <t>2. NWC = Accounts Receivable + Inventory - Accounts Payable</t>
  </si>
  <si>
    <t>SEC companyfacts XBRL</t>
  </si>
  <si>
    <t>Pipeline data source (CIK 0000814547)</t>
  </si>
  <si>
    <t>Risk-free rate (US 10Y)</t>
  </si>
  <si>
    <t>Official daily par yields</t>
  </si>
  <si>
    <t>Equity risk premium</t>
  </si>
  <si>
    <t>Damodaran histimpl</t>
  </si>
  <si>
    <t>Historical implied ERP table</t>
  </si>
  <si>
    <t>Yahoo FICO stats</t>
  </si>
  <si>
    <t>Beta 5Y monthly + shares out</t>
  </si>
  <si>
    <t>SENSITIVITY — Enterprise Value ($000s)</t>
  </si>
  <si>
    <t>WACC \ Exit EV/EBITDA</t>
  </si>
  <si>
    <t>SENSITIVITY — Equity Value / Share ($)</t>
  </si>
  <si>
    <t>Yellow = base (Yacktman WACC=7.68%, Exit 23.0x; CAPM ref ≈9.27%). EV formula: XNPV(explicit FCFF) + (Y5 FCFF + Exit×EBITDA) / (1+WACC)^daycount. Peer median ~18.1x → base 23.0x; bull 27x; bear 17.0x.</t>
  </si>
  <si>
    <t>Model 18 keeps previous profit assumptions. Yearly, product costs drop 1.2% (stopping at an 8% floor), overhead drops 1.75%, and R&amp;D drops 0.5%. Sales percentages shift within one revenue forecast.</t>
  </si>
  <si>
    <t>Yes, it's reasonable. The formula removes a one-time $10.9 million restructuring fee from last year's overhead. Then, it realistically shrinks future overhead by 1.75% annually, stopping at a 14% floor.</t>
  </si>
  <si>
    <t>Yes, it is reasonable. In the model, SG&amp;A dropped from 30.1% of revenue in 2021 to 25.8% in 2025. This proves the historical trend of increasing efficiency. wait is that around 175 BSP yearly? This is capped to 14%</t>
  </si>
  <si>
    <t>This formula reduces R&amp;D costs by 0.5% of total revenue each year as the company scales. The MAX function ensures that these expenses never drop below a hard 7% floor.</t>
  </si>
  <si>
    <t>Yes. From 2021 to 2025, FICO's R&amp;D dropped from 13.0% to 9.5% of revenue, averaging an 89 bps annual decline. Your 50 bps projected reduction is realistic and conservative.</t>
  </si>
  <si>
    <t>flat 0.84% (3yr FY23–25 avg TOTAL D&amp;A). Depreciation costs stay fixed at 0.84% of total revenue based on past averages, and are added back to cash flow.</t>
  </si>
  <si>
    <t>FICO’s asset-light model needs minimal capital, so non-cash D&amp;A predictably stays flat at its 0.84% historical revenue average.</t>
  </si>
  <si>
    <t>Yes. The 6.1% rate is straight-lined across all forecast years because it directly reflects FICO's actual FY2025 effective interest rate (FY25 interest divided by opening debt).</t>
  </si>
  <si>
    <t>Assume a flat 6.1% interest rate based on FY25's effective cost of debt. Future interest expense scales as net debt issuances fluctuate to fund leveraged share buybacks.</t>
  </si>
  <si>
    <t>The equation calculates the 19.1% tax rate flatlined</t>
  </si>
  <si>
    <t>by dividing FY25 income tax expense by FY25 earnings before taxes, then holds this 19.1% rate flat for all future forecast years.  Commentary: NO My 3 Statement straightlines 19.1% but we have 22.87% on the DCF explain:  built the DCF on the 22.87% 3-year cash tax average.   The 3-year cash tax average covers FY2023, FY2024, and FY2025 (FY23–FY25).</t>
  </si>
  <si>
    <r>
      <t xml:space="preserve">FY 2025 used had 97 DSO, however we averaged. Historical 97 days included legacy multi-year software contract billings and unbilled accruals, while subsegment targets reflect steady-state standard payment terms. Historical 97 days included legacy multi-year software contract billings and unbilled accruals, while subsegment targets reflect steady-state standard payment terms. (SaaS 40/B2C 2/B2B 25/PS 12/On-prem 40). </t>
    </r>
    <r>
      <rPr>
        <b/>
        <sz val="9"/>
        <rFont val="Calibri"/>
        <family val="2"/>
      </rPr>
      <t xml:space="preserve">  SIDE:NOTE: </t>
    </r>
    <r>
      <rPr>
        <sz val="9"/>
        <rFont val="Calibri"/>
        <family val="2"/>
      </rPr>
      <t xml:space="preserve">Op NWC = AR+Inv−AP ONLY. +ΔDeferred is a SEPARATE CFO/FCFF source. No AR/unearned double-count. Source: https://www.sec.gov/Archives/edgar/data/814547/000081454726000011/R45.htm. Deferred = Rev × (SaaS%+OnPrem%) × (FY25 Def/FY25 soft Rev); +ΔDeferred in CFO row 81. Faster SaaS mix (+300 bps/yr) raises Deferred cash vs Model17 (+250). Detail: https://www.sec.gov/Archives/edgar/data/814547/000081454726000011/R45.htm. wait we should include the math equations there 
</t>
    </r>
  </si>
  <si>
    <t xml:space="preserve">Excel equation: ROUND(I48/I25×365, 0) from FY25; held flat. </t>
  </si>
  <si>
    <r>
      <rPr>
        <b/>
        <sz val="9"/>
        <rFont val="Calibri"/>
        <family val="2"/>
      </rPr>
      <t>DPO is held flat at 33 days because FICO's FY25 actuals equaled 33.3 days. This reflects stable, standardized vendor payment terms, allowing Accounts Payable to scale predictably alongside future COGS.  FY21-24 DPO ~ 20 but im giving FICO Benefit of the doubt. RAINMAKER ANTI-DOUBLECOUNT</t>
    </r>
    <r>
      <rPr>
        <sz val="9"/>
        <rFont val="Calibri"/>
        <family val="2"/>
      </rPr>
      <t>:MODEL18: DPO pairs with phased DSO for Op NWC = AR+Inv−AP. Deferred is a SEPARATE CFO cash source (row 81) — never mixed into AR/DPO.a</t>
    </r>
  </si>
  <si>
    <t>Yellow POLICY path: 0.85% / 0.70% / 0.55% / 0.45% / 0.35% (fade with operating leverage).   15 BSP fade  4-Year Historical Average (0.70%)
Sum of FY21 through FY24 divided by 4:
(0.58% + 0.44% + 0.28% + 1.49%) / 4 = 2.79% / 4 = 0.695% (rounds to 0.70%)
5-Year Historical Average (0.95%)
Sum of FY21 through FY25 divided by 5:
(0.58% + 0.44% + 0.28% + 1.49% + 1.98%) / 5 = 4.77% / 5 = 0.952% (rounds to 0.95%)
Policy Baseline (0.85%)
Midpoint between the 4-year and 5-year averages:
(0.70% + 0.95%) / 2 = 1.65% / 2 = 0.825% (set to 0.85% model starting baseline)</t>
  </si>
  <si>
    <r>
      <t xml:space="preserve">CapEx fades below D&amp;A because FICO's Scores segment requires almost zero physical capital, while software expansion runs on public cloud OpEx rather than capitalized PPE, unlocking strong asset-light operating leverage. TLDR: since its software the cost increases are diverted to Opex as annual cloud usage                                                                          </t>
    </r>
    <r>
      <rPr>
        <b/>
        <sz val="18"/>
        <rFont val="Calibri"/>
        <family val="2"/>
      </rPr>
      <t>How Will Capex Fall:  CapEx fades from 0.85% to 0.35% as FICO shifts to cloud OpEx, completes upfront platform buildouts, and leverages asset-light growth.</t>
    </r>
    <r>
      <rPr>
        <sz val="9"/>
        <rFont val="Calibri"/>
        <family val="2"/>
      </rPr>
      <t xml:space="preserve"> A 15 bps annual fade is reasonable because it carries a modest $3.8M yearly impact of 2.5B+ Revenue, reflects operating leverage as revenue outpaces CapEx, and smoothly transitions away from recent spending spikes.</t>
    </r>
  </si>
  <si>
    <t xml:space="preserve">Net Debt Issued = Total Share Buybacks - Free Cash Flow  The model calculates net debt issuance by subtracting organic Free Cash Flow from total share buybacks, automatically financing any repurchases that exceed 100% of the organic cash generated from operations. is that true for new debt we are only looking at the money borrowed for share buybacks? </t>
  </si>
  <si>
    <t xml:space="preserve">New equity issued (+) or buybacks (−) in the forecast BS/CF.  Equity issued means selling new stock to raise capital (increasing share count). In contrast, buybacks are payouts where the company repurchases its own shares using cash or debt. FCF (Free Cash Flow): The leftover cash a company generates after paying for operating expenses and capital investments, used for dividends, buybacks, or debt. ==CFO- Capex
CFO (Cash Flow from Operations): Cash generated from everyday core business operations.
CapEx (Capital Expenditures): Money spent to purchase or upgrade physical assets (equipment, buildings, software). </t>
  </si>
  <si>
    <t>Over three years, average free cash flow was 377.6 million while share buybacks averaged 1,003.6 million annually. Repurchases reached 2.66 times cash flow, fully justifying the conservative 1.40x model policy.</t>
  </si>
  <si>
    <t>Stock-based compensation as % of sales; non-cash add-back in CFO and FCFF.  Added Back to Income Statement</t>
  </si>
  <si>
    <t>Why
Stock grants dilute shareholders, but revenue is growing from price increases rather than new hiring. Therefore, penalizing stock compensation too harshly would unfairly distort and understate the company's real profits. TLDR: Revenue seems to be increasing from profit instead of hiring/scaling so we will reduce SBC conservatively 50 Basis points '   Proof That Revenue/Profit Comes From Pricing, Not Hiring (30 Words)
SEC filings confirm revenue growth came primarily from higher unit prices on Scores with near 100 percent incremental margins, proving profits increased from pricing power, not headcount or hiring expansion.</t>
  </si>
  <si>
    <t>Updated SaaS mix shift from Model17 (Previous: +250 bps/yr) to Model18 (New: +300 bps/yr) Evidence: From SEC Q3 earnings filings, 62% represents year-over-year growth in Platform Annual Recurring Revenue to $413M, while 21% represents recognized GAAP SaaS revenue growth on the income statement.      CFO cash (row 81). Source: https://www.sec.gov/Archives/edgar/data/814547/000081454726000011/fico-20251231.htm; EX-99.1 Q3 FY2026.</t>
  </si>
  <si>
    <t xml:space="preserve">Near-zero DSO (card-settled consumer subscriptions). Minimal Deferred Revenue vs annual SaaS invoices. High incremental margin; WC-light cash conversion.  The revenue itself will grow, but this percentage stays predictable- we know this demogrpahic consistantly pays with credit cards </t>
  </si>
  <si>
    <t>Transactional volume through Experian/TransUnion/Equifax; ~30-day DSO. Does not create SaaS-style Deferred Revenue (usage-based recognition). Straight Line scoring revenue income predictable most known part of business</t>
  </si>
  <si>
    <t xml:space="preserve">Upfront integration fees convert cash quickly (low DSO) but carry significantly lower gross margin than software/scores — pulls blended COGS up vs pure SaaS.  Services scale linearly with expensive human labor, unlike zero-marginal-cost software. SO the human labor costs % arent going up, to drive this income sector , so we keep it flatlined </t>
  </si>
  <si>
    <t>Yellow POLICY = 16.09% (FY25 on-prem $320,425k / Total $1,990,869k).  How Much (30 Words)
This line item does not increase; it actually decreases by 3.0 percentage points (300 basis points) annually, dropping from its 16.09 percent FY25 baseline down to a two percent floor.
Why (30 Words)</t>
  </si>
  <si>
    <t xml:space="preserve">Revenue is DIVERTED to software With SaaS mix, drives Deferred Revenue (maintenance billed in advance). Same 45-day DSO policy as SaaS. Completes mix identity to 100% of Total Rev.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</si>
</sst>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_-;\(#,##0\)_-;_-* &quot;-&quot;_-;_-@_-"/>
    <numFmt numFmtId="165" formatCode="0.0000_ ;\-0.0000\ "/>
    <numFmt numFmtId="166" formatCode="0.0%"/>
    <numFmt numFmtId="167" formatCode="_-* #,##0_-;\-* #,##0_-;_-* &quot;-&quot;??_-;_-@_-"/>
    <numFmt numFmtId="168" formatCode="_(* #,##0_);_(* \(#,##0\);_(* &quot;-&quot;??_);_(@_)"/>
    <numFmt numFmtId="169" formatCode="0.000"/>
    <numFmt numFmtId="170" formatCode="_ * #,##0_ ;_ * \-#,##0_ ;_ * &quot;-&quot;??_ ;_ @_ "/>
    <numFmt numFmtId="171" formatCode="0.00&quot;x&quot;"/>
    <numFmt numFmtId="172" formatCode="0.0"/>
    <numFmt numFmtId="173" formatCode="yyyy\-mm\-dd"/>
    <numFmt numFmtId="174" formatCode="0.0&quot;x&quot;"/>
    <numFmt numFmtId="175" formatCode="#,##0.000"/>
    <numFmt numFmtId="176" formatCode="#,##0.0"/>
    <numFmt numFmtId="177" formatCode="_-* #,##0.00_-;\(#,##0.00\)_-;_-* &quot;-&quot;_-;_-@_-"/>
    <numFmt numFmtId="178" formatCode="\$#,##0.00"/>
    <numFmt numFmtId="179" formatCode="0.00\x"/>
    <numFmt numFmtId="180" formatCode="#,##0.0;\(#,##0.0\);\-"/>
  </numFmts>
  <fonts count="70" x14ac:knownFonts="1">
    <font>
      <sz val="11"/>
      <color theme="1"/>
      <name val="Calibri"/>
      <family val="2"/>
      <scheme val="minor"/>
    </font>
    <font>
      <sz val="11"/>
      <color theme="1"/>
      <name val="Calibri"/>
      <family val="2"/>
      <scheme val="minor"/>
    </font>
    <font>
      <sz val="12"/>
      <color theme="1"/>
      <name val="Arial Narrow"/>
      <family val="2"/>
    </font>
    <font>
      <b/>
      <sz val="14"/>
      <color theme="0"/>
      <name val="Arial Narrow"/>
      <family val="2"/>
    </font>
    <font>
      <b/>
      <sz val="12"/>
      <color theme="1"/>
      <name val="Arial Narrow"/>
      <family val="2"/>
    </font>
    <font>
      <i/>
      <sz val="12"/>
      <color theme="1"/>
      <name val="Arial Narrow"/>
      <family val="2"/>
    </font>
    <font>
      <b/>
      <sz val="12"/>
      <name val="Arial Narrow"/>
      <family val="2"/>
    </font>
    <font>
      <b/>
      <sz val="12"/>
      <color rgb="FF0000FF"/>
      <name val="Arial Narrow"/>
      <family val="2"/>
    </font>
    <font>
      <sz val="12"/>
      <color rgb="FF0000FF"/>
      <name val="Arial Narrow"/>
      <family val="2"/>
    </font>
    <font>
      <sz val="12"/>
      <name val="Arial Narrow"/>
      <family val="2"/>
    </font>
    <font>
      <sz val="12"/>
      <color theme="0"/>
      <name val="Arial Narrow"/>
      <family val="2"/>
    </font>
    <font>
      <sz val="8"/>
      <color theme="0"/>
      <name val="Arial Narrow"/>
      <family val="2"/>
    </font>
    <font>
      <b/>
      <sz val="12"/>
      <color theme="0"/>
      <name val="Arial Narrow"/>
      <family val="2"/>
    </font>
    <font>
      <b/>
      <sz val="16"/>
      <color theme="0"/>
      <name val="Arial Narrow"/>
      <family val="2"/>
    </font>
    <font>
      <u/>
      <sz val="11"/>
      <color theme="10"/>
      <name val="Calibri"/>
      <family val="2"/>
      <scheme val="minor"/>
    </font>
    <font>
      <sz val="12"/>
      <color theme="1"/>
      <name val="Calibri"/>
      <family val="2"/>
      <scheme val="minor"/>
    </font>
    <font>
      <u/>
      <sz val="12"/>
      <color rgb="FF0070C0"/>
      <name val="Calibri"/>
      <family val="2"/>
      <scheme val="minor"/>
    </font>
    <font>
      <sz val="11"/>
      <color theme="1"/>
      <name val="Open Sans"/>
      <family val="2"/>
    </font>
    <font>
      <sz val="11"/>
      <color theme="1"/>
      <name val="Arial Narrow"/>
      <family val="2"/>
    </font>
    <font>
      <b/>
      <sz val="22"/>
      <color theme="1"/>
      <name val="Arial Narrow"/>
      <family val="2"/>
    </font>
    <font>
      <b/>
      <sz val="11"/>
      <color theme="1"/>
      <name val="Arial Narrow"/>
      <family val="2"/>
    </font>
    <font>
      <u/>
      <sz val="11"/>
      <color rgb="FF0000FF"/>
      <name val="Arial Narrow"/>
      <family val="2"/>
    </font>
    <font>
      <u/>
      <sz val="10"/>
      <color theme="10"/>
      <name val="Arial"/>
      <family val="2"/>
    </font>
    <font>
      <u/>
      <sz val="10"/>
      <color rgb="FF132E57"/>
      <name val="Arial"/>
      <family val="2"/>
    </font>
    <font>
      <sz val="11"/>
      <color theme="0"/>
      <name val="Arial Narrow"/>
      <family val="2"/>
    </font>
    <font>
      <sz val="8"/>
      <color theme="0"/>
      <name val="Open Sans"/>
      <family val="2"/>
    </font>
    <font>
      <sz val="12"/>
      <color theme="1"/>
      <name val="Open Sans"/>
      <family val="2"/>
    </font>
    <font>
      <b/>
      <sz val="10"/>
      <color theme="0"/>
      <name val="Open Sans"/>
      <family val="2"/>
    </font>
    <font>
      <b/>
      <sz val="11"/>
      <color theme="0"/>
      <name val="Open Sans"/>
      <family val="2"/>
    </font>
    <font>
      <sz val="10"/>
      <color theme="1"/>
      <name val="Open Sans"/>
      <family val="2"/>
    </font>
    <font>
      <b/>
      <sz val="10"/>
      <color theme="1"/>
      <name val="Open Sans"/>
      <family val="2"/>
    </font>
    <font>
      <sz val="10"/>
      <color rgb="FF0000FF"/>
      <name val="Open Sans"/>
      <family val="2"/>
    </font>
    <font>
      <b/>
      <sz val="10"/>
      <name val="Open Sans"/>
      <family val="2"/>
    </font>
    <font>
      <sz val="10"/>
      <name val="Open Sans"/>
      <family val="2"/>
    </font>
    <font>
      <i/>
      <sz val="10"/>
      <color theme="1"/>
      <name val="Open Sans"/>
      <family val="2"/>
    </font>
    <font>
      <i/>
      <sz val="10"/>
      <color rgb="FF0000FF"/>
      <name val="Open Sans"/>
      <family val="2"/>
    </font>
    <font>
      <sz val="11"/>
      <color rgb="FF0000FF"/>
      <name val="Calibri"/>
    </font>
    <font>
      <i/>
      <sz val="8"/>
      <color rgb="FF595959"/>
      <name val="Calibri"/>
    </font>
    <font>
      <sz val="11"/>
      <color rgb="FF000000"/>
      <name val="Calibri"/>
    </font>
    <font>
      <u/>
      <sz val="8"/>
      <color rgb="FF0563C1"/>
      <name val="Calibri"/>
    </font>
    <font>
      <b/>
      <sz val="11"/>
      <color rgb="FFFFFFFF"/>
      <name val="Calibri"/>
    </font>
    <font>
      <b/>
      <sz val="9"/>
      <color rgb="FFFFFFFF"/>
      <name val="Calibri"/>
    </font>
    <font>
      <sz val="9"/>
      <name val="Calibri"/>
    </font>
    <font>
      <b/>
      <sz val="9"/>
      <name val="Calibri"/>
    </font>
    <font>
      <b/>
      <sz val="11"/>
      <color rgb="FF1F4E79"/>
      <name val="Calibri"/>
    </font>
    <font>
      <sz val="8"/>
      <color rgb="FF595959"/>
      <name val="Calibri"/>
    </font>
    <font>
      <sz val="9"/>
      <color rgb="FF000000"/>
      <name val="Consolas"/>
    </font>
    <font>
      <b/>
      <sz val="11"/>
      <color rgb="FF833C0C"/>
      <name val="Calibri"/>
    </font>
    <font>
      <u/>
      <sz val="9"/>
      <color rgb="FF0563C1"/>
      <name val="Calibri"/>
    </font>
    <font>
      <b/>
      <u/>
      <sz val="10"/>
      <color rgb="FF0563C1"/>
      <name val="Calibri"/>
    </font>
    <font>
      <b/>
      <u/>
      <sz val="20"/>
      <color rgb="FFFFFFFF"/>
      <name val="Calibri"/>
    </font>
    <font>
      <i/>
      <sz val="9"/>
      <color rgb="FF595959"/>
      <name val="Calibri"/>
    </font>
    <font>
      <b/>
      <sz val="11"/>
      <color rgb="FFFFFFFF"/>
      <name val="Calibri"/>
    </font>
    <font>
      <b/>
      <sz val="9"/>
      <color rgb="FF833C0C"/>
      <name val="Calibri"/>
    </font>
    <font>
      <b/>
      <sz val="12"/>
      <color rgb="FFFFFFFF"/>
      <name val="Calibri"/>
    </font>
    <font>
      <i/>
      <sz val="11"/>
      <color rgb="FF666666"/>
      <name val="Calibri"/>
    </font>
    <font>
      <u/>
      <sz val="11"/>
      <color rgb="FF0563C1"/>
      <name val="Calibri"/>
    </font>
    <font>
      <sz val="10"/>
      <color rgb="FF000000"/>
      <name val="Consolas"/>
    </font>
    <font>
      <i/>
      <sz val="9"/>
      <color rgb="FF0563C1"/>
      <name val="Calibri"/>
    </font>
    <font>
      <sz val="8"/>
      <color rgb="FF666666"/>
      <name val="Consolas"/>
    </font>
    <font>
      <b/>
      <u/>
      <sz val="14"/>
      <color rgb="FFFFFFFF"/>
      <name val="Calibri"/>
    </font>
    <font>
      <b/>
      <u/>
      <sz val="10"/>
      <color rgb="FFFF6B00"/>
      <name val="Calibri"/>
    </font>
    <font>
      <i/>
      <sz val="9"/>
      <name val="Calibri"/>
    </font>
    <font>
      <b/>
      <sz val="10"/>
      <color rgb="FFFFFFFF"/>
      <name val="Calibri"/>
    </font>
    <font>
      <b/>
      <sz val="10"/>
      <name val="Calibri"/>
    </font>
    <font>
      <u/>
      <sz val="10"/>
      <color rgb="FF0563C1"/>
      <name val="Calibri"/>
    </font>
    <font>
      <sz val="9"/>
      <color rgb="FF00B050"/>
      <name val="Calibri"/>
      <family val="2"/>
    </font>
    <font>
      <sz val="9"/>
      <name val="Calibri"/>
      <family val="2"/>
    </font>
    <font>
      <b/>
      <sz val="9"/>
      <name val="Calibri"/>
      <family val="2"/>
    </font>
    <font>
      <b/>
      <sz val="18"/>
      <name val="Calibri"/>
      <family val="2"/>
    </font>
  </fonts>
  <fills count="15">
    <fill>
      <patternFill patternType="none"/>
    </fill>
    <fill>
      <patternFill patternType="gray125"/>
    </fill>
    <fill>
      <patternFill patternType="solid">
        <fgColor rgb="FF132E57"/>
        <bgColor indexed="64"/>
      </patternFill>
    </fill>
    <fill>
      <patternFill patternType="solid">
        <fgColor rgb="FFED942D"/>
        <bgColor indexed="64"/>
      </patternFill>
    </fill>
    <fill>
      <patternFill patternType="solid">
        <fgColor theme="6"/>
        <bgColor indexed="64"/>
      </patternFill>
    </fill>
    <fill>
      <patternFill patternType="solid">
        <fgColor theme="0"/>
        <bgColor indexed="64"/>
      </patternFill>
    </fill>
    <fill>
      <patternFill patternType="solid">
        <fgColor theme="8"/>
        <bgColor indexed="64"/>
      </patternFill>
    </fill>
    <fill>
      <patternFill patternType="solid">
        <fgColor rgb="FFFFF2CC"/>
      </patternFill>
    </fill>
    <fill>
      <patternFill patternType="solid">
        <fgColor rgb="FFE2EFDA"/>
      </patternFill>
    </fill>
    <fill>
      <patternFill patternType="solid">
        <fgColor rgb="FF1F4E79"/>
      </patternFill>
    </fill>
    <fill>
      <patternFill patternType="solid">
        <fgColor rgb="FF833C0C"/>
      </patternFill>
    </fill>
    <fill>
      <patternFill patternType="solid">
        <fgColor rgb="FFD6EAF8"/>
      </patternFill>
    </fill>
    <fill>
      <patternFill patternType="solid">
        <fgColor rgb="FFFF6B00"/>
      </patternFill>
    </fill>
    <fill>
      <patternFill patternType="solid">
        <fgColor rgb="FFC65911"/>
      </patternFill>
    </fill>
    <fill>
      <patternFill patternType="solid">
        <fgColor rgb="FFFCE4D6"/>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9">
    <xf numFmtId="0" fontId="0" fillId="0" borderId="0"/>
    <xf numFmtId="43" fontId="1" fillId="0" borderId="0"/>
    <xf numFmtId="9" fontId="1" fillId="0" borderId="0"/>
    <xf numFmtId="0" fontId="14" fillId="0" borderId="0"/>
    <xf numFmtId="0" fontId="14" fillId="0" borderId="0"/>
    <xf numFmtId="0" fontId="1" fillId="0" borderId="0"/>
    <xf numFmtId="0" fontId="22" fillId="0" borderId="0"/>
    <xf numFmtId="0" fontId="1" fillId="0" borderId="0"/>
    <xf numFmtId="0" fontId="22" fillId="0" borderId="0"/>
  </cellStyleXfs>
  <cellXfs count="216">
    <xf numFmtId="0" fontId="0" fillId="0" borderId="0" xfId="0"/>
    <xf numFmtId="164" fontId="2" fillId="0" borderId="0" xfId="1" applyNumberFormat="1" applyFont="1"/>
    <xf numFmtId="164" fontId="2" fillId="0" borderId="1" xfId="1" applyNumberFormat="1" applyFont="1" applyBorder="1"/>
    <xf numFmtId="164" fontId="4" fillId="0" borderId="0" xfId="1" applyNumberFormat="1" applyFont="1"/>
    <xf numFmtId="164" fontId="4" fillId="0" borderId="2" xfId="1" applyNumberFormat="1" applyFont="1" applyBorder="1"/>
    <xf numFmtId="164" fontId="2" fillId="0" borderId="2" xfId="1" applyNumberFormat="1" applyFont="1" applyBorder="1"/>
    <xf numFmtId="164" fontId="4" fillId="0" borderId="3" xfId="1" applyNumberFormat="1" applyFont="1" applyBorder="1"/>
    <xf numFmtId="165" fontId="5" fillId="0" borderId="0" xfId="1" applyNumberFormat="1" applyFont="1"/>
    <xf numFmtId="164" fontId="5" fillId="0" borderId="0" xfId="1" applyNumberFormat="1" applyFont="1"/>
    <xf numFmtId="164" fontId="7" fillId="0" borderId="0" xfId="1" applyNumberFormat="1" applyFont="1"/>
    <xf numFmtId="164" fontId="8" fillId="0" borderId="0" xfId="1" applyNumberFormat="1" applyFont="1"/>
    <xf numFmtId="164" fontId="4" fillId="0" borderId="0" xfId="1" applyNumberFormat="1" applyFont="1" applyAlignment="1">
      <alignment horizontal="center"/>
    </xf>
    <xf numFmtId="164" fontId="2" fillId="0" borderId="0" xfId="1" applyNumberFormat="1" applyFont="1" applyAlignment="1">
      <alignment horizontal="center"/>
    </xf>
    <xf numFmtId="164" fontId="4" fillId="0" borderId="2" xfId="1" applyNumberFormat="1" applyFont="1" applyBorder="1" applyAlignment="1">
      <alignment horizontal="center"/>
    </xf>
    <xf numFmtId="164" fontId="2" fillId="0" borderId="1" xfId="1" applyNumberFormat="1" applyFont="1" applyBorder="1" applyAlignment="1">
      <alignment horizontal="center"/>
    </xf>
    <xf numFmtId="164" fontId="5" fillId="0" borderId="0" xfId="1" applyNumberFormat="1" applyFont="1" applyAlignment="1">
      <alignment horizontal="center"/>
    </xf>
    <xf numFmtId="164" fontId="4" fillId="0" borderId="3" xfId="1" applyNumberFormat="1" applyFont="1" applyBorder="1" applyAlignment="1">
      <alignment horizontal="center"/>
    </xf>
    <xf numFmtId="165" fontId="5" fillId="0" borderId="0" xfId="1" applyNumberFormat="1" applyFont="1" applyAlignment="1">
      <alignment horizontal="center"/>
    </xf>
    <xf numFmtId="164" fontId="2" fillId="0" borderId="2" xfId="1" applyNumberFormat="1" applyFont="1" applyBorder="1" applyAlignment="1">
      <alignment horizontal="center"/>
    </xf>
    <xf numFmtId="164" fontId="6" fillId="0" borderId="0" xfId="1" applyNumberFormat="1" applyFont="1"/>
    <xf numFmtId="164" fontId="9" fillId="0" borderId="0" xfId="1" applyNumberFormat="1" applyFont="1"/>
    <xf numFmtId="9" fontId="8" fillId="0" borderId="0" xfId="2" applyFont="1" applyAlignment="1">
      <alignment horizontal="center"/>
    </xf>
    <xf numFmtId="166" fontId="9" fillId="0" borderId="0" xfId="2" applyNumberFormat="1" applyFont="1"/>
    <xf numFmtId="166" fontId="8" fillId="0" borderId="0" xfId="2" applyNumberFormat="1" applyFont="1"/>
    <xf numFmtId="164" fontId="4" fillId="0" borderId="4" xfId="1" applyNumberFormat="1" applyFont="1" applyBorder="1"/>
    <xf numFmtId="164" fontId="4" fillId="0" borderId="4" xfId="1" applyNumberFormat="1" applyFont="1" applyBorder="1" applyAlignment="1">
      <alignment horizontal="center"/>
    </xf>
    <xf numFmtId="164" fontId="2" fillId="2" borderId="0" xfId="1" applyNumberFormat="1" applyFont="1" applyFill="1"/>
    <xf numFmtId="164" fontId="11" fillId="2" borderId="0" xfId="1" applyNumberFormat="1" applyFont="1" applyFill="1"/>
    <xf numFmtId="164" fontId="2" fillId="2" borderId="0" xfId="1" applyNumberFormat="1" applyFont="1" applyFill="1" applyAlignment="1">
      <alignment horizontal="center"/>
    </xf>
    <xf numFmtId="164" fontId="12" fillId="2" borderId="0" xfId="1" applyNumberFormat="1" applyFont="1" applyFill="1" applyAlignment="1">
      <alignment horizontal="centerContinuous"/>
    </xf>
    <xf numFmtId="164" fontId="10" fillId="2" borderId="0" xfId="1" applyNumberFormat="1" applyFont="1" applyFill="1" applyAlignment="1">
      <alignment horizontal="centerContinuous"/>
    </xf>
    <xf numFmtId="164" fontId="13" fillId="2" borderId="0" xfId="1" applyNumberFormat="1" applyFont="1" applyFill="1"/>
    <xf numFmtId="164" fontId="3" fillId="2" borderId="0" xfId="1" applyNumberFormat="1" applyFont="1" applyFill="1"/>
    <xf numFmtId="164" fontId="3" fillId="2" borderId="0" xfId="1" applyNumberFormat="1" applyFont="1" applyFill="1" applyAlignment="1">
      <alignment horizontal="center"/>
    </xf>
    <xf numFmtId="37" fontId="3" fillId="3" borderId="0" xfId="0" applyNumberFormat="1" applyFont="1" applyFill="1" applyAlignment="1">
      <alignment vertical="center"/>
    </xf>
    <xf numFmtId="0" fontId="5" fillId="0" borderId="0" xfId="0" applyFont="1"/>
    <xf numFmtId="0" fontId="15" fillId="0" borderId="0" xfId="0" applyFont="1"/>
    <xf numFmtId="170" fontId="15" fillId="0" borderId="0" xfId="1" applyNumberFormat="1" applyFont="1"/>
    <xf numFmtId="0" fontId="16" fillId="0" borderId="0" xfId="3" applyFont="1"/>
    <xf numFmtId="0" fontId="17" fillId="0" borderId="0" xfId="0" applyFont="1"/>
    <xf numFmtId="0" fontId="18" fillId="3" borderId="0" xfId="5" applyFont="1" applyFill="1"/>
    <xf numFmtId="0" fontId="18" fillId="0" borderId="0" xfId="5" applyFont="1"/>
    <xf numFmtId="0" fontId="19" fillId="0" borderId="0" xfId="5" applyFont="1" applyProtection="1">
      <protection locked="0"/>
    </xf>
    <xf numFmtId="0" fontId="20" fillId="0" borderId="0" xfId="5" applyFont="1" applyAlignment="1">
      <alignment horizontal="right"/>
    </xf>
    <xf numFmtId="0" fontId="20" fillId="0" borderId="0" xfId="5" applyFont="1" applyProtection="1">
      <protection locked="0"/>
    </xf>
    <xf numFmtId="0" fontId="23" fillId="0" borderId="0" xfId="6" applyFont="1" applyProtection="1">
      <protection locked="0"/>
    </xf>
    <xf numFmtId="0" fontId="21" fillId="0" borderId="2" xfId="4" quotePrefix="1" applyFont="1" applyBorder="1" applyProtection="1">
      <protection locked="0"/>
    </xf>
    <xf numFmtId="164" fontId="12" fillId="4" borderId="0" xfId="1" applyNumberFormat="1" applyFont="1" applyFill="1" applyAlignment="1">
      <alignment horizontal="centerContinuous"/>
    </xf>
    <xf numFmtId="164" fontId="10" fillId="4" borderId="0" xfId="1" applyNumberFormat="1" applyFont="1" applyFill="1" applyAlignment="1">
      <alignment horizontal="centerContinuous"/>
    </xf>
    <xf numFmtId="0" fontId="18" fillId="3" borderId="0" xfId="7" applyFont="1" applyFill="1"/>
    <xf numFmtId="0" fontId="18" fillId="0" borderId="0" xfId="7" applyFont="1"/>
    <xf numFmtId="0" fontId="18" fillId="0" borderId="2" xfId="7" applyFont="1" applyBorder="1"/>
    <xf numFmtId="0" fontId="24" fillId="2" borderId="0" xfId="7" applyFont="1" applyFill="1"/>
    <xf numFmtId="0" fontId="18" fillId="2" borderId="0" xfId="7" applyFont="1" applyFill="1"/>
    <xf numFmtId="0" fontId="18" fillId="5" borderId="0" xfId="7" applyFont="1" applyFill="1"/>
    <xf numFmtId="164" fontId="25" fillId="2" borderId="0" xfId="0" applyNumberFormat="1" applyFont="1" applyFill="1"/>
    <xf numFmtId="164" fontId="26" fillId="2" borderId="0" xfId="0" applyNumberFormat="1" applyFont="1" applyFill="1"/>
    <xf numFmtId="164" fontId="26" fillId="2" borderId="0" xfId="0" applyNumberFormat="1" applyFont="1" applyFill="1" applyAlignment="1">
      <alignment horizontal="center"/>
    </xf>
    <xf numFmtId="0" fontId="27" fillId="2" borderId="0" xfId="0" applyFont="1" applyFill="1" applyAlignment="1">
      <alignment vertical="center"/>
    </xf>
    <xf numFmtId="0" fontId="28" fillId="2" borderId="0" xfId="0" applyFont="1" applyFill="1"/>
    <xf numFmtId="0" fontId="41" fillId="10" borderId="5" xfId="0" applyFont="1" applyFill="1" applyBorder="1"/>
    <xf numFmtId="164" fontId="41" fillId="10" borderId="5" xfId="0" applyNumberFormat="1" applyFont="1" applyFill="1" applyBorder="1" applyAlignment="1">
      <alignment horizontal="center"/>
    </xf>
    <xf numFmtId="164" fontId="29" fillId="0" borderId="0" xfId="0" applyNumberFormat="1" applyFont="1"/>
    <xf numFmtId="164" fontId="30" fillId="0" borderId="0" xfId="0" applyNumberFormat="1" applyFont="1"/>
    <xf numFmtId="164" fontId="29" fillId="0" borderId="0" xfId="0" applyNumberFormat="1" applyFont="1" applyAlignment="1">
      <alignment horizontal="center"/>
    </xf>
    <xf numFmtId="164" fontId="31" fillId="0" borderId="0" xfId="0" applyNumberFormat="1" applyFont="1"/>
    <xf numFmtId="164" fontId="42" fillId="0" borderId="5" xfId="0" applyNumberFormat="1" applyFont="1" applyBorder="1"/>
    <xf numFmtId="171" fontId="42" fillId="0" borderId="5" xfId="0" applyNumberFormat="1" applyFont="1" applyBorder="1"/>
    <xf numFmtId="164" fontId="32" fillId="6" borderId="0" xfId="0" applyNumberFormat="1" applyFont="1" applyFill="1"/>
    <xf numFmtId="164" fontId="31" fillId="6" borderId="0" xfId="0" applyNumberFormat="1" applyFont="1" applyFill="1"/>
    <xf numFmtId="164" fontId="33" fillId="0" borderId="0" xfId="0" applyNumberFormat="1" applyFont="1"/>
    <xf numFmtId="164" fontId="37" fillId="0" borderId="0" xfId="0" applyNumberFormat="1" applyFont="1"/>
    <xf numFmtId="166" fontId="36" fillId="7" borderId="0" xfId="0" applyNumberFormat="1" applyFont="1" applyFill="1" applyAlignment="1">
      <alignment horizontal="right"/>
    </xf>
    <xf numFmtId="172" fontId="36" fillId="7" borderId="0" xfId="0" applyNumberFormat="1" applyFont="1" applyFill="1" applyAlignment="1">
      <alignment horizontal="right"/>
    </xf>
    <xf numFmtId="164" fontId="39" fillId="0" borderId="0" xfId="0" applyNumberFormat="1" applyFont="1"/>
    <xf numFmtId="164" fontId="43" fillId="11" borderId="5" xfId="0" applyNumberFormat="1" applyFont="1" applyFill="1" applyBorder="1"/>
    <xf numFmtId="171" fontId="43" fillId="11" borderId="5" xfId="0" applyNumberFormat="1" applyFont="1" applyFill="1" applyBorder="1"/>
    <xf numFmtId="173" fontId="36" fillId="7" borderId="0" xfId="0" applyNumberFormat="1" applyFont="1" applyFill="1"/>
    <xf numFmtId="164" fontId="29" fillId="7" borderId="5" xfId="0" applyNumberFormat="1" applyFont="1" applyFill="1" applyBorder="1"/>
    <xf numFmtId="174" fontId="29" fillId="7" borderId="5" xfId="0" applyNumberFormat="1" applyFont="1" applyFill="1" applyBorder="1"/>
    <xf numFmtId="164" fontId="30" fillId="6" borderId="0" xfId="0" applyNumberFormat="1" applyFont="1" applyFill="1"/>
    <xf numFmtId="164" fontId="29" fillId="6" borderId="0" xfId="0" applyNumberFormat="1" applyFont="1" applyFill="1"/>
    <xf numFmtId="164" fontId="30" fillId="6" borderId="0" xfId="0" applyNumberFormat="1" applyFont="1" applyFill="1" applyAlignment="1">
      <alignment horizontal="right"/>
    </xf>
    <xf numFmtId="173" fontId="38" fillId="8" borderId="0" xfId="0" applyNumberFormat="1" applyFont="1" applyFill="1"/>
    <xf numFmtId="164" fontId="34" fillId="0" borderId="0" xfId="0" applyNumberFormat="1" applyFont="1"/>
    <xf numFmtId="14" fontId="34" fillId="0" borderId="0" xfId="0" applyNumberFormat="1" applyFont="1"/>
    <xf numFmtId="168" fontId="29" fillId="0" borderId="0" xfId="0" applyNumberFormat="1" applyFont="1"/>
    <xf numFmtId="164" fontId="29" fillId="0" borderId="2" xfId="0" applyNumberFormat="1" applyFont="1" applyBorder="1"/>
    <xf numFmtId="164" fontId="41" fillId="10" borderId="5" xfId="0" applyNumberFormat="1" applyFont="1" applyFill="1" applyBorder="1"/>
    <xf numFmtId="10" fontId="38" fillId="8" borderId="5" xfId="0" applyNumberFormat="1" applyFont="1" applyFill="1" applyBorder="1"/>
    <xf numFmtId="164" fontId="45" fillId="0" borderId="5" xfId="0" applyNumberFormat="1" applyFont="1" applyBorder="1"/>
    <xf numFmtId="164" fontId="37" fillId="0" borderId="5" xfId="0" applyNumberFormat="1" applyFont="1" applyBorder="1"/>
    <xf numFmtId="164" fontId="38" fillId="8" borderId="5" xfId="0" applyNumberFormat="1" applyFont="1" applyFill="1" applyBorder="1"/>
    <xf numFmtId="164" fontId="42" fillId="6" borderId="5" xfId="0" applyNumberFormat="1" applyFont="1" applyFill="1" applyBorder="1"/>
    <xf numFmtId="9" fontId="38" fillId="8" borderId="5" xfId="0" applyNumberFormat="1" applyFont="1" applyFill="1" applyBorder="1"/>
    <xf numFmtId="176" fontId="38" fillId="8" borderId="5" xfId="0" applyNumberFormat="1" applyFont="1" applyFill="1" applyBorder="1"/>
    <xf numFmtId="177" fontId="29" fillId="0" borderId="0" xfId="0" applyNumberFormat="1" applyFont="1"/>
    <xf numFmtId="164" fontId="29" fillId="6" borderId="0" xfId="0" applyNumberFormat="1" applyFont="1" applyFill="1" applyAlignment="1">
      <alignment horizontal="center"/>
    </xf>
    <xf numFmtId="0" fontId="42" fillId="0" borderId="5" xfId="0" applyFont="1" applyBorder="1"/>
    <xf numFmtId="0" fontId="38" fillId="8" borderId="5" xfId="0" applyFont="1" applyFill="1" applyBorder="1"/>
    <xf numFmtId="0" fontId="45" fillId="0" borderId="5" xfId="0" applyFont="1" applyBorder="1" applyAlignment="1">
      <alignment horizontal="right"/>
    </xf>
    <xf numFmtId="164" fontId="29" fillId="0" borderId="0" xfId="0" applyNumberFormat="1" applyFont="1" applyAlignment="1">
      <alignment horizontal="left" indent="5"/>
    </xf>
    <xf numFmtId="0" fontId="15" fillId="0" borderId="0" xfId="0" applyFont="1" applyAlignment="1">
      <alignment horizontal="right"/>
    </xf>
    <xf numFmtId="0" fontId="14" fillId="0" borderId="0" xfId="0" applyFont="1" applyAlignment="1">
      <alignment horizontal="right"/>
    </xf>
    <xf numFmtId="174" fontId="41" fillId="10" borderId="5" xfId="0" applyNumberFormat="1" applyFont="1" applyFill="1" applyBorder="1" applyAlignment="1">
      <alignment horizontal="center"/>
    </xf>
    <xf numFmtId="10" fontId="43" fillId="11" borderId="5" xfId="0" applyNumberFormat="1" applyFont="1" applyFill="1" applyBorder="1"/>
    <xf numFmtId="176" fontId="38" fillId="7" borderId="5" xfId="0" applyNumberFormat="1" applyFont="1" applyFill="1" applyBorder="1"/>
    <xf numFmtId="0" fontId="43" fillId="11" borderId="5" xfId="0" applyFont="1" applyFill="1" applyBorder="1"/>
    <xf numFmtId="174" fontId="41" fillId="10" borderId="5" xfId="0" applyNumberFormat="1" applyFont="1" applyFill="1" applyBorder="1"/>
    <xf numFmtId="178" fontId="38" fillId="8" borderId="5" xfId="0" applyNumberFormat="1" applyFont="1" applyFill="1" applyBorder="1"/>
    <xf numFmtId="178" fontId="38" fillId="7" borderId="5" xfId="0" applyNumberFormat="1" applyFont="1" applyFill="1" applyBorder="1"/>
    <xf numFmtId="0" fontId="60" fillId="12" borderId="0" xfId="5" applyFont="1" applyFill="1"/>
    <xf numFmtId="0" fontId="61" fillId="0" borderId="0" xfId="8" applyFont="1"/>
    <xf numFmtId="0" fontId="63" fillId="10" borderId="5" xfId="7" applyFont="1" applyFill="1" applyBorder="1"/>
    <xf numFmtId="0" fontId="64" fillId="2" borderId="5" xfId="7" applyFont="1" applyFill="1" applyBorder="1" applyAlignment="1">
      <alignment vertical="center" wrapText="1"/>
    </xf>
    <xf numFmtId="0" fontId="65" fillId="2" borderId="5" xfId="7" applyFont="1" applyFill="1" applyBorder="1" applyAlignment="1">
      <alignment vertical="center" wrapText="1"/>
    </xf>
    <xf numFmtId="0" fontId="64" fillId="5" borderId="5" xfId="7" applyFont="1" applyFill="1" applyBorder="1" applyAlignment="1">
      <alignment vertical="center" wrapText="1"/>
    </xf>
    <xf numFmtId="0" fontId="65" fillId="5" borderId="5" xfId="7" applyFont="1" applyFill="1" applyBorder="1" applyAlignment="1">
      <alignment vertical="center" wrapText="1"/>
    </xf>
    <xf numFmtId="0" fontId="64" fillId="0" borderId="5" xfId="0" applyFont="1" applyBorder="1" applyAlignment="1">
      <alignment vertical="center" wrapText="1"/>
    </xf>
    <xf numFmtId="0" fontId="65" fillId="0" borderId="5" xfId="0" applyFont="1" applyBorder="1" applyAlignment="1">
      <alignment vertical="center" wrapText="1"/>
    </xf>
    <xf numFmtId="1" fontId="36" fillId="7" borderId="0" xfId="1" applyNumberFormat="1" applyFont="1" applyFill="1"/>
    <xf numFmtId="1" fontId="3" fillId="4" borderId="0" xfId="1" applyNumberFormat="1" applyFont="1" applyFill="1"/>
    <xf numFmtId="1" fontId="13" fillId="2" borderId="0" xfId="0" applyNumberFormat="1" applyFont="1" applyFill="1"/>
    <xf numFmtId="180" fontId="38" fillId="8" borderId="5" xfId="1" applyNumberFormat="1" applyFont="1" applyFill="1" applyBorder="1" applyAlignment="1">
      <alignment horizontal="right"/>
    </xf>
    <xf numFmtId="0" fontId="49" fillId="0" borderId="5" xfId="0" applyFont="1" applyBorder="1" applyAlignment="1">
      <alignment vertical="top" wrapText="1"/>
    </xf>
    <xf numFmtId="0" fontId="44" fillId="11" borderId="0" xfId="0" applyFont="1" applyFill="1"/>
    <xf numFmtId="0" fontId="52" fillId="13" borderId="5" xfId="0" applyFont="1" applyFill="1" applyBorder="1" applyAlignment="1">
      <alignment vertical="center"/>
    </xf>
    <xf numFmtId="164" fontId="37" fillId="0" borderId="0" xfId="1" applyNumberFormat="1" applyFont="1" applyAlignment="1">
      <alignment vertical="top" wrapText="1"/>
    </xf>
    <xf numFmtId="166" fontId="36" fillId="7" borderId="5" xfId="2" applyNumberFormat="1" applyFont="1" applyFill="1" applyBorder="1"/>
    <xf numFmtId="0" fontId="53" fillId="14" borderId="5" xfId="0" applyFont="1" applyFill="1" applyBorder="1" applyAlignment="1">
      <alignment vertical="top" wrapText="1"/>
    </xf>
    <xf numFmtId="0" fontId="42" fillId="0" borderId="5" xfId="0" applyFont="1" applyBorder="1" applyAlignment="1">
      <alignment vertical="top" wrapText="1"/>
    </xf>
    <xf numFmtId="0" fontId="48" fillId="0" borderId="5" xfId="0" applyFont="1" applyBorder="1" applyAlignment="1">
      <alignment vertical="top" wrapText="1"/>
    </xf>
    <xf numFmtId="166" fontId="38" fillId="8" borderId="5" xfId="2" applyNumberFormat="1" applyFont="1" applyFill="1" applyBorder="1"/>
    <xf numFmtId="180" fontId="9" fillId="0" borderId="0" xfId="1" applyNumberFormat="1" applyFont="1"/>
    <xf numFmtId="166" fontId="38" fillId="8" borderId="5" xfId="1" applyNumberFormat="1" applyFont="1" applyFill="1" applyBorder="1"/>
    <xf numFmtId="0" fontId="37" fillId="0" borderId="0" xfId="0" applyFont="1" applyAlignment="1">
      <alignment vertical="top" wrapText="1"/>
    </xf>
    <xf numFmtId="180" fontId="36" fillId="7" borderId="5" xfId="1" applyNumberFormat="1" applyFont="1" applyFill="1" applyBorder="1"/>
    <xf numFmtId="180" fontId="38" fillId="8" borderId="5" xfId="1" applyNumberFormat="1" applyFont="1" applyFill="1" applyBorder="1"/>
    <xf numFmtId="166" fontId="36" fillId="7" borderId="5" xfId="1" applyNumberFormat="1" applyFont="1" applyFill="1" applyBorder="1"/>
    <xf numFmtId="164" fontId="46" fillId="0" borderId="0" xfId="1" applyNumberFormat="1" applyFont="1"/>
    <xf numFmtId="180" fontId="36" fillId="7" borderId="0" xfId="1" applyNumberFormat="1" applyFont="1" applyFill="1"/>
    <xf numFmtId="164" fontId="46" fillId="0" borderId="2" xfId="1" applyNumberFormat="1" applyFont="1" applyBorder="1"/>
    <xf numFmtId="180" fontId="6" fillId="0" borderId="2" xfId="1" applyNumberFormat="1" applyFont="1" applyBorder="1"/>
    <xf numFmtId="0" fontId="46" fillId="0" borderId="0" xfId="0" applyFont="1"/>
    <xf numFmtId="164" fontId="46" fillId="0" borderId="1" xfId="1" applyNumberFormat="1" applyFont="1" applyBorder="1"/>
    <xf numFmtId="180" fontId="36" fillId="7" borderId="1" xfId="1" applyNumberFormat="1" applyFont="1" applyFill="1" applyBorder="1"/>
    <xf numFmtId="180" fontId="6" fillId="0" borderId="0" xfId="1" applyNumberFormat="1" applyFont="1"/>
    <xf numFmtId="164" fontId="46" fillId="0" borderId="4" xfId="1" applyNumberFormat="1" applyFont="1" applyBorder="1"/>
    <xf numFmtId="180" fontId="6" fillId="0" borderId="4" xfId="1" applyNumberFormat="1" applyFont="1" applyBorder="1"/>
    <xf numFmtId="180" fontId="38" fillId="8" borderId="2" xfId="1" applyNumberFormat="1" applyFont="1" applyFill="1" applyBorder="1"/>
    <xf numFmtId="165" fontId="46" fillId="0" borderId="0" xfId="1" applyNumberFormat="1" applyFont="1"/>
    <xf numFmtId="180" fontId="2" fillId="0" borderId="0" xfId="1" applyNumberFormat="1" applyFont="1"/>
    <xf numFmtId="180" fontId="38" fillId="8" borderId="0" xfId="1" applyNumberFormat="1" applyFont="1" applyFill="1"/>
    <xf numFmtId="180" fontId="36" fillId="7" borderId="2" xfId="1" applyNumberFormat="1" applyFont="1" applyFill="1" applyBorder="1" applyAlignment="1">
      <alignment horizontal="center"/>
    </xf>
    <xf numFmtId="180" fontId="5" fillId="0" borderId="0" xfId="1" applyNumberFormat="1" applyFont="1"/>
    <xf numFmtId="176" fontId="38" fillId="8" borderId="5" xfId="1" applyNumberFormat="1" applyFont="1" applyFill="1" applyBorder="1"/>
    <xf numFmtId="180" fontId="38" fillId="8" borderId="5" xfId="0" applyNumberFormat="1" applyFont="1" applyFill="1" applyBorder="1"/>
    <xf numFmtId="180" fontId="36" fillId="7" borderId="2" xfId="1" applyNumberFormat="1" applyFont="1" applyFill="1" applyBorder="1"/>
    <xf numFmtId="180" fontId="36" fillId="7" borderId="0" xfId="0" applyNumberFormat="1" applyFont="1" applyFill="1"/>
    <xf numFmtId="0" fontId="47" fillId="0" borderId="0" xfId="0" applyFont="1"/>
    <xf numFmtId="180" fontId="36" fillId="7" borderId="5" xfId="0" applyNumberFormat="1" applyFont="1" applyFill="1" applyBorder="1"/>
    <xf numFmtId="37" fontId="37" fillId="3" borderId="0" xfId="0" applyNumberFormat="1" applyFont="1" applyFill="1" applyAlignment="1">
      <alignment vertical="top" wrapText="1"/>
    </xf>
    <xf numFmtId="180" fontId="36" fillId="7" borderId="5" xfId="0" applyNumberFormat="1" applyFont="1" applyFill="1" applyBorder="1" applyAlignment="1">
      <alignment vertical="center"/>
    </xf>
    <xf numFmtId="166" fontId="38" fillId="8" borderId="5" xfId="0" applyNumberFormat="1" applyFont="1" applyFill="1" applyBorder="1"/>
    <xf numFmtId="172" fontId="36" fillId="7" borderId="5" xfId="0" applyNumberFormat="1" applyFont="1" applyFill="1" applyBorder="1"/>
    <xf numFmtId="172" fontId="38" fillId="8" borderId="5" xfId="0" applyNumberFormat="1" applyFont="1" applyFill="1" applyBorder="1"/>
    <xf numFmtId="2" fontId="38" fillId="8" borderId="5" xfId="0" applyNumberFormat="1" applyFont="1" applyFill="1" applyBorder="1"/>
    <xf numFmtId="10" fontId="36" fillId="7" borderId="5" xfId="0" applyNumberFormat="1" applyFont="1" applyFill="1" applyBorder="1"/>
    <xf numFmtId="164" fontId="49" fillId="0" borderId="5" xfId="0" applyNumberFormat="1" applyFont="1" applyBorder="1" applyAlignment="1">
      <alignment vertical="top" wrapText="1"/>
    </xf>
    <xf numFmtId="164" fontId="48" fillId="6" borderId="0" xfId="0" applyNumberFormat="1" applyFont="1" applyFill="1"/>
    <xf numFmtId="0" fontId="44" fillId="11" borderId="5" xfId="0" applyFont="1" applyFill="1" applyBorder="1"/>
    <xf numFmtId="164" fontId="56" fillId="0" borderId="5" xfId="0" applyNumberFormat="1" applyFont="1" applyBorder="1" applyAlignment="1">
      <alignment vertical="center" wrapText="1"/>
    </xf>
    <xf numFmtId="164" fontId="58" fillId="0" borderId="0" xfId="0" applyNumberFormat="1" applyFont="1"/>
    <xf numFmtId="166" fontId="38" fillId="8" borderId="5" xfId="0" applyNumberFormat="1" applyFont="1" applyFill="1" applyBorder="1" applyAlignment="1">
      <alignment horizontal="right"/>
    </xf>
    <xf numFmtId="0" fontId="38" fillId="0" borderId="0" xfId="0" applyFont="1" applyAlignment="1">
      <alignment vertical="center" wrapText="1"/>
    </xf>
    <xf numFmtId="0" fontId="56" fillId="0" borderId="5" xfId="0" applyFont="1" applyBorder="1" applyAlignment="1">
      <alignment vertical="center" wrapText="1"/>
    </xf>
    <xf numFmtId="169" fontId="36" fillId="7" borderId="5" xfId="0" applyNumberFormat="1" applyFont="1" applyFill="1" applyBorder="1"/>
    <xf numFmtId="0" fontId="57" fillId="0" borderId="0" xfId="0" applyFont="1" applyAlignment="1">
      <alignment vertical="center" wrapText="1"/>
    </xf>
    <xf numFmtId="178" fontId="36" fillId="7" borderId="0" xfId="0" applyNumberFormat="1" applyFont="1" applyFill="1" applyAlignment="1">
      <alignment horizontal="right"/>
    </xf>
    <xf numFmtId="175" fontId="36" fillId="7" borderId="0" xfId="0" applyNumberFormat="1" applyFont="1" applyFill="1" applyAlignment="1">
      <alignment horizontal="right"/>
    </xf>
    <xf numFmtId="167" fontId="36" fillId="7" borderId="0" xfId="0" applyNumberFormat="1" applyFont="1" applyFill="1" applyAlignment="1">
      <alignment horizontal="right"/>
    </xf>
    <xf numFmtId="9" fontId="36" fillId="7" borderId="5" xfId="0" applyNumberFormat="1" applyFont="1" applyFill="1" applyBorder="1"/>
    <xf numFmtId="180" fontId="38" fillId="8" borderId="0" xfId="0" applyNumberFormat="1" applyFont="1" applyFill="1"/>
    <xf numFmtId="1" fontId="30" fillId="6" borderId="0" xfId="0" applyNumberFormat="1" applyFont="1" applyFill="1"/>
    <xf numFmtId="180" fontId="35" fillId="0" borderId="0" xfId="0" applyNumberFormat="1" applyFont="1"/>
    <xf numFmtId="180" fontId="34" fillId="0" borderId="0" xfId="0" applyNumberFormat="1" applyFont="1"/>
    <xf numFmtId="164" fontId="59" fillId="0" borderId="0" xfId="0" applyNumberFormat="1" applyFont="1"/>
    <xf numFmtId="180" fontId="38" fillId="8" borderId="2" xfId="0" applyNumberFormat="1" applyFont="1" applyFill="1" applyBorder="1"/>
    <xf numFmtId="180" fontId="29" fillId="0" borderId="0" xfId="0" applyNumberFormat="1" applyFont="1"/>
    <xf numFmtId="180" fontId="29" fillId="0" borderId="2" xfId="0" applyNumberFormat="1" applyFont="1" applyBorder="1"/>
    <xf numFmtId="179" fontId="38" fillId="8" borderId="5" xfId="0" applyNumberFormat="1" applyFont="1" applyFill="1" applyBorder="1"/>
    <xf numFmtId="0" fontId="66" fillId="0" borderId="5" xfId="0" applyFont="1" applyBorder="1" applyAlignment="1">
      <alignment vertical="top" wrapText="1"/>
    </xf>
    <xf numFmtId="0" fontId="67" fillId="0" borderId="5" xfId="0" applyFont="1" applyBorder="1" applyAlignment="1">
      <alignment vertical="top" wrapText="1"/>
    </xf>
    <xf numFmtId="0" fontId="14" fillId="0" borderId="0" xfId="4"/>
    <xf numFmtId="0" fontId="51" fillId="0" borderId="0" xfId="0" applyFont="1"/>
    <xf numFmtId="0" fontId="0" fillId="0" borderId="0" xfId="0"/>
    <xf numFmtId="0" fontId="50" fillId="12" borderId="5" xfId="0" applyFont="1" applyFill="1" applyBorder="1" applyAlignment="1">
      <alignment horizontal="left" vertical="center" wrapText="1"/>
    </xf>
    <xf numFmtId="0" fontId="0" fillId="0" borderId="6" xfId="0" applyBorder="1"/>
    <xf numFmtId="0" fontId="0" fillId="0" borderId="7" xfId="0" applyBorder="1"/>
    <xf numFmtId="0" fontId="50" fillId="12" borderId="0" xfId="5" applyFont="1" applyFill="1" applyAlignment="1" applyProtection="1">
      <alignment horizontal="center" vertical="center" wrapText="1"/>
      <protection locked="0"/>
    </xf>
    <xf numFmtId="0" fontId="0" fillId="0" borderId="0" xfId="0" applyProtection="1">
      <protection locked="0"/>
    </xf>
    <xf numFmtId="0" fontId="54" fillId="13" borderId="0" xfId="7" applyFont="1" applyFill="1"/>
    <xf numFmtId="0" fontId="18" fillId="3" borderId="0" xfId="7" applyFont="1" applyFill="1"/>
    <xf numFmtId="0" fontId="62" fillId="14" borderId="0" xfId="7" applyFont="1" applyFill="1"/>
    <xf numFmtId="164" fontId="40" fillId="9" borderId="0" xfId="0" applyNumberFormat="1" applyFont="1" applyFill="1" applyAlignment="1">
      <alignment horizontal="center"/>
    </xf>
    <xf numFmtId="0" fontId="56" fillId="0" borderId="5" xfId="0" applyFont="1" applyBorder="1" applyAlignment="1">
      <alignment vertical="center" wrapText="1"/>
    </xf>
    <xf numFmtId="0" fontId="54" fillId="9" borderId="0" xfId="0" applyFont="1" applyFill="1"/>
    <xf numFmtId="0" fontId="38" fillId="0" borderId="0" xfId="0" applyFont="1" applyAlignment="1">
      <alignment vertical="center" wrapText="1"/>
    </xf>
    <xf numFmtId="0" fontId="44" fillId="11" borderId="0" xfId="0" applyFont="1" applyFill="1"/>
    <xf numFmtId="0" fontId="37" fillId="0" borderId="0" xfId="0" applyFont="1"/>
    <xf numFmtId="164" fontId="37" fillId="0" borderId="0" xfId="0" applyNumberFormat="1" applyFont="1"/>
    <xf numFmtId="0" fontId="57" fillId="0" borderId="0" xfId="0" applyFont="1" applyAlignment="1">
      <alignment vertical="center" wrapText="1"/>
    </xf>
    <xf numFmtId="164" fontId="44" fillId="6" borderId="0" xfId="0" applyNumberFormat="1" applyFont="1" applyFill="1"/>
    <xf numFmtId="0" fontId="55" fillId="0" borderId="0" xfId="0" applyFont="1"/>
    <xf numFmtId="164" fontId="40" fillId="9" borderId="0" xfId="0" applyNumberFormat="1" applyFont="1" applyFill="1"/>
    <xf numFmtId="0" fontId="40" fillId="9" borderId="0" xfId="0" applyFont="1" applyFill="1"/>
  </cellXfs>
  <cellStyles count="9">
    <cellStyle name="Comma" xfId="1" builtinId="3"/>
    <cellStyle name="Hyperlink" xfId="4" builtinId="8"/>
    <cellStyle name="Hyperlink 2" xfId="6" xr:uid="{00000000-0005-0000-0000-000006000000}"/>
    <cellStyle name="Hyperlink 2 2" xfId="8" xr:uid="{00000000-0005-0000-0000-000008000000}"/>
    <cellStyle name="Hyperlink 3" xfId="3" xr:uid="{00000000-0005-0000-0000-000003000000}"/>
    <cellStyle name="Normal" xfId="0" builtinId="0"/>
    <cellStyle name="Normal 2" xfId="5" xr:uid="{00000000-0005-0000-0000-000005000000}"/>
    <cellStyle name="Normal 2 2 2" xfId="7" xr:uid="{00000000-0005-0000-0000-000007000000}"/>
    <cellStyle name="Percent" xfId="2" builtinId="5"/>
  </cellStyles>
  <dxfs count="2">
    <dxf>
      <font>
        <color rgb="FF9C0006"/>
      </font>
      <fill>
        <patternFill>
          <bgColor rgb="FFFFC7CE"/>
        </patternFill>
      </fill>
    </dxf>
    <dxf>
      <font>
        <color rgb="FF006100"/>
      </font>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t>Earnings (2012 - 2016)</a:t>
            </a:r>
          </a:p>
        </c:rich>
      </c:tx>
      <c:overlay val="0"/>
      <c:spPr>
        <a:noFill/>
        <a:ln>
          <a:noFill/>
          <a:prstDash val="solid"/>
        </a:ln>
      </c:spPr>
    </c:title>
    <c:autoTitleDeleted val="0"/>
    <c:plotArea>
      <c:layout/>
      <c:barChart>
        <c:barDir val="col"/>
        <c:grouping val="clustered"/>
        <c:varyColors val="0"/>
        <c:ser>
          <c:idx val="0"/>
          <c:order val="0"/>
          <c:tx>
            <c:strRef>
              <c:f>'3 Statement Model'!$B$121</c:f>
              <c:strCache>
                <c:ptCount val="1"/>
                <c:pt idx="0">
                  <c:v> Blended Gross Margin (pre pricing grind) </c:v>
                </c:pt>
              </c:strCache>
            </c:strRef>
          </c:tx>
          <c:spPr>
            <a:solidFill>
              <a:schemeClr val="accent1"/>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Model'!$E$121:$I$121</c:f>
              <c:numCache>
                <c:formatCode>_-* #,##0_-;\(#,##0\)_-;_-* "-"_-;_-@_-</c:formatCode>
                <c:ptCount val="5"/>
              </c:numCache>
            </c:numRef>
          </c:val>
          <c:extLst>
            <c:ext xmlns:c16="http://schemas.microsoft.com/office/drawing/2014/chart" uri="{C3380CC4-5D6E-409C-BE32-E72D297353CC}">
              <c16:uniqueId val="{00000000-D783-4BAE-A4FC-75CB72FE0D79}"/>
            </c:ext>
          </c:extLst>
        </c:ser>
        <c:ser>
          <c:idx val="1"/>
          <c:order val="1"/>
          <c:tx>
            <c:strRef>
              <c:f>'3 Statement Model'!$B$122</c:f>
              <c:strCache>
                <c:ptCount val="1"/>
                <c:pt idx="0">
                  <c:v> Blended COGS % base (row 8 applies −120bps×t grind) </c:v>
                </c:pt>
              </c:strCache>
            </c:strRef>
          </c:tx>
          <c:spPr>
            <a:solidFill>
              <a:schemeClr val="accent3"/>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Model'!$E$122:$I$122</c:f>
              <c:numCache>
                <c:formatCode>_-* #,##0_-;\(#,##0\)_-;_-* "-"_-;_-@_-</c:formatCode>
                <c:ptCount val="5"/>
              </c:numCache>
            </c:numRef>
          </c:val>
          <c:extLst>
            <c:ext xmlns:c16="http://schemas.microsoft.com/office/drawing/2014/chart" uri="{C3380CC4-5D6E-409C-BE32-E72D297353CC}">
              <c16:uniqueId val="{00000001-D783-4BAE-A4FC-75CB72FE0D79}"/>
            </c:ext>
          </c:extLst>
        </c:ser>
        <c:ser>
          <c:idx val="2"/>
          <c:order val="2"/>
          <c:tx>
            <c:strRef>
              <c:f>'3 Statement Model'!$B$123</c:f>
              <c:strCache>
                <c:ptCount val="1"/>
                <c:pt idx="0">
                  <c:v> Software mix % (SaaS + On-Prem — Deferred / CFO WC driver) </c:v>
                </c:pt>
              </c:strCache>
            </c:strRef>
          </c:tx>
          <c:spPr>
            <a:solidFill>
              <a:schemeClr val="accent2"/>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Model'!$E$123:$I$123</c:f>
              <c:numCache>
                <c:formatCode>_-* #,##0_-;\(#,##0\)_-;_-* "-"_-;_-@_-</c:formatCode>
                <c:ptCount val="5"/>
              </c:numCache>
            </c:numRef>
          </c:val>
          <c:extLst>
            <c:ext xmlns:c16="http://schemas.microsoft.com/office/drawing/2014/chart" uri="{C3380CC4-5D6E-409C-BE32-E72D297353CC}">
              <c16:uniqueId val="{00000002-D783-4BAE-A4FC-75CB72FE0D79}"/>
            </c:ext>
          </c:extLst>
        </c:ser>
        <c:dLbls>
          <c:showLegendKey val="0"/>
          <c:showVal val="0"/>
          <c:showCatName val="0"/>
          <c:showSerName val="0"/>
          <c:showPercent val="0"/>
          <c:showBubbleSize val="0"/>
        </c:dLbls>
        <c:gapWidth val="60"/>
        <c:axId val="626472968"/>
        <c:axId val="626472640"/>
      </c:barChart>
      <c:catAx>
        <c:axId val="626472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6472640"/>
        <c:crosses val="autoZero"/>
        <c:auto val="1"/>
        <c:lblAlgn val="ctr"/>
        <c:lblOffset val="100"/>
        <c:noMultiLvlLbl val="0"/>
      </c:catAx>
      <c:valAx>
        <c:axId val="626472640"/>
        <c:scaling>
          <c:orientation val="minMax"/>
        </c:scaling>
        <c:delete val="0"/>
        <c:axPos val="l"/>
        <c:numFmt formatCode="&quot;$&quot;#,##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647296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t>Cash Flows (2012</a:t>
            </a:r>
            <a:r>
              <a:rPr lang="en-US" baseline="0"/>
              <a:t> - 2016)</a:t>
            </a:r>
            <a:endParaRPr lang="en-US"/>
          </a:p>
        </c:rich>
      </c:tx>
      <c:layout>
        <c:manualLayout>
          <c:xMode val="edge"/>
          <c:yMode val="edge"/>
          <c:x val="0.6450045293590303"/>
          <c:y val="0.92432315970908474"/>
        </c:manualLayout>
      </c:layout>
      <c:overlay val="0"/>
      <c:spPr>
        <a:noFill/>
        <a:ln>
          <a:noFill/>
          <a:prstDash val="solid"/>
        </a:ln>
      </c:spPr>
    </c:title>
    <c:autoTitleDeleted val="0"/>
    <c:plotArea>
      <c:layout>
        <c:manualLayout>
          <c:layoutTarget val="inner"/>
          <c:xMode val="edge"/>
          <c:yMode val="edge"/>
          <c:x val="0.1446575355325031"/>
          <c:y val="0.22799401984277126"/>
          <c:w val="0.85534246446749695"/>
          <c:h val="0.75155914995585826"/>
        </c:manualLayout>
      </c:layout>
      <c:barChart>
        <c:barDir val="col"/>
        <c:grouping val="stacked"/>
        <c:varyColors val="0"/>
        <c:ser>
          <c:idx val="1"/>
          <c:order val="0"/>
          <c:tx>
            <c:v>Operating</c:v>
          </c:tx>
          <c:spPr>
            <a:solidFill>
              <a:schemeClr val="accent2"/>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Model'!$E$125:$I$125</c:f>
              <c:numCache>
                <c:formatCode>_-* #,##0_-;\(#,##0\)_-;_-* "-"_-;_-@_-</c:formatCode>
                <c:ptCount val="5"/>
              </c:numCache>
            </c:numRef>
          </c:val>
          <c:extLst>
            <c:ext xmlns:c16="http://schemas.microsoft.com/office/drawing/2014/chart" uri="{C3380CC4-5D6E-409C-BE32-E72D297353CC}">
              <c16:uniqueId val="{00000000-7B51-463E-B76F-CA694D69CA6C}"/>
            </c:ext>
          </c:extLst>
        </c:ser>
        <c:ser>
          <c:idx val="2"/>
          <c:order val="1"/>
          <c:tx>
            <c:v>Investing</c:v>
          </c:tx>
          <c:spPr>
            <a:solidFill>
              <a:schemeClr val="accent3"/>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Model'!$E$126:$I$126</c:f>
              <c:numCache>
                <c:formatCode>_-* #,##0_-;\(#,##0\)_-;_-* "-"_-;_-@_-</c:formatCode>
                <c:ptCount val="5"/>
                <c:pt idx="0">
                  <c:v>-7569</c:v>
                </c:pt>
                <c:pt idx="1">
                  <c:v>-6029</c:v>
                </c:pt>
                <c:pt idx="2">
                  <c:v>-4237</c:v>
                </c:pt>
                <c:pt idx="3">
                  <c:v>-25551</c:v>
                </c:pt>
                <c:pt idx="4">
                  <c:v>-39407</c:v>
                </c:pt>
              </c:numCache>
            </c:numRef>
          </c:val>
          <c:extLst>
            <c:ext xmlns:c16="http://schemas.microsoft.com/office/drawing/2014/chart" uri="{C3380CC4-5D6E-409C-BE32-E72D297353CC}">
              <c16:uniqueId val="{00000001-7B51-463E-B76F-CA694D69CA6C}"/>
            </c:ext>
          </c:extLst>
        </c:ser>
        <c:ser>
          <c:idx val="3"/>
          <c:order val="2"/>
          <c:tx>
            <c:v>FInancing</c:v>
          </c:tx>
          <c:spPr>
            <a:solidFill>
              <a:schemeClr val="accent4"/>
            </a:solidFill>
            <a:ln>
              <a:noFill/>
              <a:prstDash val="solid"/>
            </a:ln>
          </c:spPr>
          <c:invertIfNegative val="0"/>
          <c:cat>
            <c:numRef>
              <c:f>'3 Statement Model'!$E$2:$I$2</c:f>
              <c:numCache>
                <c:formatCode>0</c:formatCode>
                <c:ptCount val="5"/>
                <c:pt idx="0">
                  <c:v>2021</c:v>
                </c:pt>
                <c:pt idx="1">
                  <c:v>2022</c:v>
                </c:pt>
                <c:pt idx="2">
                  <c:v>2023</c:v>
                </c:pt>
                <c:pt idx="3">
                  <c:v>2024</c:v>
                </c:pt>
                <c:pt idx="4">
                  <c:v>2025</c:v>
                </c:pt>
              </c:numCache>
            </c:numRef>
          </c:cat>
          <c:val>
            <c:numRef>
              <c:f>'3 Statement Model'!$E$127:$I$127</c:f>
              <c:numCache>
                <c:formatCode>_-* #,##0_-;\(#,##0\)_-;_-* "-"_-;_-@_-</c:formatCode>
                <c:ptCount val="5"/>
                <c:pt idx="0">
                  <c:v>-362340</c:v>
                </c:pt>
                <c:pt idx="1">
                  <c:v>-550067</c:v>
                </c:pt>
                <c:pt idx="2">
                  <c:v>-491112</c:v>
                </c:pt>
                <c:pt idx="3">
                  <c:v>-594629</c:v>
                </c:pt>
                <c:pt idx="4">
                  <c:v>-723078</c:v>
                </c:pt>
              </c:numCache>
            </c:numRef>
          </c:val>
          <c:extLst>
            <c:ext xmlns:c16="http://schemas.microsoft.com/office/drawing/2014/chart" uri="{C3380CC4-5D6E-409C-BE32-E72D297353CC}">
              <c16:uniqueId val="{00000002-7B51-463E-B76F-CA694D69CA6C}"/>
            </c:ext>
          </c:extLst>
        </c:ser>
        <c:dLbls>
          <c:showLegendKey val="0"/>
          <c:showVal val="0"/>
          <c:showCatName val="0"/>
          <c:showSerName val="0"/>
          <c:showPercent val="0"/>
          <c:showBubbleSize val="0"/>
        </c:dLbls>
        <c:gapWidth val="150"/>
        <c:overlap val="100"/>
        <c:axId val="626556256"/>
        <c:axId val="626558224"/>
      </c:barChart>
      <c:catAx>
        <c:axId val="6265562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6558224"/>
        <c:crosses val="autoZero"/>
        <c:auto val="1"/>
        <c:lblAlgn val="ctr"/>
        <c:lblOffset val="100"/>
        <c:noMultiLvlLbl val="0"/>
      </c:catAx>
      <c:valAx>
        <c:axId val="626558224"/>
        <c:scaling>
          <c:orientation val="minMax"/>
        </c:scaling>
        <c:delete val="0"/>
        <c:axPos val="l"/>
        <c:numFmt formatCode="&quot;$&quot;#,##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2655625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714374</xdr:colOff>
      <xdr:row>3</xdr:row>
      <xdr:rowOff>19050</xdr:rowOff>
    </xdr:from>
    <xdr:to>
      <xdr:col>4</xdr:col>
      <xdr:colOff>661827</xdr:colOff>
      <xdr:row>9</xdr:row>
      <xdr:rowOff>114300</xdr:rowOff>
    </xdr:to>
    <xdr:pic>
      <xdr:nvPicPr>
        <xdr:cNvPr id="2" name="Picture 1">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47799" y="762000"/>
          <a:ext cx="3359943" cy="15811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570970</xdr:colOff>
      <xdr:row>105</xdr:row>
      <xdr:rowOff>17991</xdr:rowOff>
    </xdr:from>
    <xdr:to>
      <xdr:col>6</xdr:col>
      <xdr:colOff>485245</xdr:colOff>
      <xdr:row>118</xdr:row>
      <xdr:rowOff>165101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42333</xdr:colOff>
      <xdr:row>105</xdr:row>
      <xdr:rowOff>17991</xdr:rowOff>
    </xdr:from>
    <xdr:to>
      <xdr:col>12</xdr:col>
      <xdr:colOff>413809</xdr:colOff>
      <xdr:row>118</xdr:row>
      <xdr:rowOff>165101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38101</xdr:colOff>
      <xdr:row>131</xdr:row>
      <xdr:rowOff>129314</xdr:rowOff>
    </xdr:from>
    <xdr:to>
      <xdr:col>1</xdr:col>
      <xdr:colOff>783591</xdr:colOff>
      <xdr:row>135</xdr:row>
      <xdr:rowOff>144143</xdr:rowOff>
    </xdr:to>
    <xdr:pic>
      <xdr:nvPicPr>
        <xdr:cNvPr id="4" name="Picture 3">
          <a:hlinkClick xmlns:r="http://schemas.openxmlformats.org/officeDocument/2006/relationships" r:id=""/>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647701" y="5158514"/>
          <a:ext cx="742950" cy="813659"/>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alphaspread.com/security/nyse/fico/relative-valuation/ratio/enterprise-value-to-ebitda" TargetMode="External"/><Relationship Id="rId21" Type="http://schemas.openxmlformats.org/officeDocument/2006/relationships/hyperlink" Target="https://pages.stern.nyu.edu/~adamodar/New_Home_Page/datafile/histimpl.html" TargetMode="External"/><Relationship Id="rId42" Type="http://schemas.openxmlformats.org/officeDocument/2006/relationships/hyperlink" Target="https://vcpscanner.com/valuation/fico/relative" TargetMode="External"/><Relationship Id="rId47" Type="http://schemas.openxmlformats.org/officeDocument/2006/relationships/hyperlink" Target="https://www.sec.gov/Archives/edgar/data/814547/000081454726000031/exhibit991erq32026.htm" TargetMode="External"/><Relationship Id="rId63" Type="http://schemas.openxmlformats.org/officeDocument/2006/relationships/hyperlink" Target="https://www.sec.gov/Archives/edgar/data/814547/000081454726000031/exhibit991erq32026.htm" TargetMode="External"/><Relationship Id="rId68" Type="http://schemas.openxmlformats.org/officeDocument/2006/relationships/hyperlink" Target="https://www.hawley.senate.gov/wp-content/uploads/2026/03/2026-03-23-Hawley-Oversight-Letter-to-FICO.pdf" TargetMode="External"/><Relationship Id="rId16" Type="http://schemas.openxmlformats.org/officeDocument/2006/relationships/hyperlink" Target="https://pages.stern.nyu.edu/adamodar/New_Home_Page/datafile/vebitda.htm" TargetMode="External"/><Relationship Id="rId11" Type="http://schemas.openxmlformats.org/officeDocument/2006/relationships/hyperlink" Target="https://www.jstor.org/stable/2329867" TargetMode="External"/><Relationship Id="rId32" Type="http://schemas.openxmlformats.org/officeDocument/2006/relationships/hyperlink" Target="https://investors.fico.com/static-files/663245db-39a2-4db7-8f89-284034bbccbf" TargetMode="External"/><Relationship Id="rId37" Type="http://schemas.openxmlformats.org/officeDocument/2006/relationships/hyperlink" Target="https://investors.fico.com/financial-information/sec-filings" TargetMode="External"/><Relationship Id="rId53" Type="http://schemas.openxmlformats.org/officeDocument/2006/relationships/hyperlink" Target="https://www.sec.gov/Archives/edgar/data/814547/000081454725000030/fico-20250930.htm" TargetMode="External"/><Relationship Id="rId58" Type="http://schemas.openxmlformats.org/officeDocument/2006/relationships/hyperlink" Target="https://www.sec.gov/Archives/edgar/data/814547/000081454726000011/fico-20251231.htm" TargetMode="External"/><Relationship Id="rId74" Type="http://schemas.openxmlformats.org/officeDocument/2006/relationships/hyperlink" Target="https://finance.yahoo.com/quote/FICO/key-statistics/" TargetMode="External"/><Relationship Id="rId79" Type="http://schemas.openxmlformats.org/officeDocument/2006/relationships/hyperlink" Target="https://data.sec.gov/api/xbrl/companyfacts/CIK0000814547.json" TargetMode="External"/><Relationship Id="rId5" Type="http://schemas.openxmlformats.org/officeDocument/2006/relationships/hyperlink" Target="https://www.sec.gov/Archives/edgar/data/814547/000081454725000030/fico-20250930.htm" TargetMode="External"/><Relationship Id="rId61" Type="http://schemas.openxmlformats.org/officeDocument/2006/relationships/hyperlink" Target="https://www.sec.gov/Archives/edgar/data/814547/000119312526117936/d56220d8k.htm" TargetMode="External"/><Relationship Id="rId19" Type="http://schemas.openxmlformats.org/officeDocument/2006/relationships/hyperlink" Target="https://pages.stern.nyu.edu/adamodar/New_Home_Page/home.htm" TargetMode="External"/><Relationship Id="rId14" Type="http://schemas.openxmlformats.org/officeDocument/2006/relationships/hyperlink" Target="https://pages.stern.nyu.edu/adamodar/New_Home_Page/home.htm" TargetMode="External"/><Relationship Id="rId22" Type="http://schemas.openxmlformats.org/officeDocument/2006/relationships/hyperlink" Target="https://pages.stern.nyu.edu/~adamodar/New_Home_Page/datafile/histimpl.html" TargetMode="External"/><Relationship Id="rId27" Type="http://schemas.openxmlformats.org/officeDocument/2006/relationships/hyperlink" Target="https://www.fico.com/en/investors" TargetMode="External"/><Relationship Id="rId30" Type="http://schemas.openxmlformats.org/officeDocument/2006/relationships/hyperlink" Target="https://investors.fico.com/static-files/66ef723c-1f2e-4501-a452-ab2f3d02ae85" TargetMode="External"/><Relationship Id="rId35" Type="http://schemas.openxmlformats.org/officeDocument/2006/relationships/hyperlink" Target="https://investors.fico.com/news-releases/news-release-details/fico-announces-earnings-1045-share-third-quarter-fiscal-2026" TargetMode="External"/><Relationship Id="rId43" Type="http://schemas.openxmlformats.org/officeDocument/2006/relationships/hyperlink" Target="https://fred.stlouisfed.org/series/DGS10" TargetMode="External"/><Relationship Id="rId48" Type="http://schemas.openxmlformats.org/officeDocument/2006/relationships/hyperlink" Target="https://www.sec.gov/Archives/edgar/data/814547/000081454726000031/exhibit991erq32026.htm" TargetMode="External"/><Relationship Id="rId56" Type="http://schemas.openxmlformats.org/officeDocument/2006/relationships/hyperlink" Target="https://www.sec.gov/Archives/edgar/data/814547/000081454725000030/0000814547-25-000030-index.htm" TargetMode="External"/><Relationship Id="rId64" Type="http://schemas.openxmlformats.org/officeDocument/2006/relationships/hyperlink" Target="https://www.sec.gov/Archives/edgar/data/814547/000081454726000031/exhibit991erq32026.htm" TargetMode="External"/><Relationship Id="rId69" Type="http://schemas.openxmlformats.org/officeDocument/2006/relationships/hyperlink" Target="https://home.treasury.gov/resource-center/data-chart-center/interest-rates/TextView?type=daily_treasury_yield_curve" TargetMode="External"/><Relationship Id="rId77" Type="http://schemas.openxmlformats.org/officeDocument/2006/relationships/hyperlink" Target="https://finance.yahoo.com/quote/%5ETNX/" TargetMode="External"/><Relationship Id="rId8" Type="http://schemas.openxmlformats.org/officeDocument/2006/relationships/hyperlink" Target="https://www.sec.gov/Archives/edgar/data/814547/000081454726000030/fico-20260630.htm" TargetMode="External"/><Relationship Id="rId51" Type="http://schemas.openxmlformats.org/officeDocument/2006/relationships/hyperlink" Target="https://github.com/vengeanceaiUSC/Rainmaker/blob/cursor/vengeanceaiusmodel18-d3ac/FICO/output/MODEL18_FICO_ASSUMPTIONS_LIST.pdf" TargetMode="External"/><Relationship Id="rId72" Type="http://schemas.openxmlformats.org/officeDocument/2006/relationships/hyperlink" Target="https://finance.yahoo.com/quote/FICO/key-statistics/" TargetMode="External"/><Relationship Id="rId80" Type="http://schemas.openxmlformats.org/officeDocument/2006/relationships/hyperlink" Target="https://data.sec.gov/api/xbrl/companyfacts/CIK0000814547.json" TargetMode="External"/><Relationship Id="rId3" Type="http://schemas.openxmlformats.org/officeDocument/2006/relationships/hyperlink" Target="https://raw.githubusercontent.com/vengeanceaiUSC/Rainmaker/cursor/vengeanceaiusmodel18-d3ac/FICO/output/MODEL18_FICO_ASSUMPTIONS_LIST.pdf" TargetMode="External"/><Relationship Id="rId12" Type="http://schemas.openxmlformats.org/officeDocument/2006/relationships/hyperlink" Target="https://www.jstor.org/stable/2329867" TargetMode="External"/><Relationship Id="rId17" Type="http://schemas.openxmlformats.org/officeDocument/2006/relationships/hyperlink" Target="https://pages.stern.nyu.edu/~adamodar/New_Home_Page/datafile/histfcff.html" TargetMode="External"/><Relationship Id="rId25" Type="http://schemas.openxmlformats.org/officeDocument/2006/relationships/hyperlink" Target="https://www.alphaspread.com/security/nyse/fico/relative-valuation/ratio/enterprise-value-to-ebitda" TargetMode="External"/><Relationship Id="rId33" Type="http://schemas.openxmlformats.org/officeDocument/2006/relationships/hyperlink" Target="https://investors.fico.com/static-files/935bc755-fe08-44bd-9898-d04a4e3c92f1" TargetMode="External"/><Relationship Id="rId38" Type="http://schemas.openxmlformats.org/officeDocument/2006/relationships/hyperlink" Target="https://investors.fico.com/financial-information/sec-filings" TargetMode="External"/><Relationship Id="rId46" Type="http://schemas.openxmlformats.org/officeDocument/2006/relationships/hyperlink" Target="https://fred.stlouisfed.org/series/DGS10" TargetMode="External"/><Relationship Id="rId59" Type="http://schemas.openxmlformats.org/officeDocument/2006/relationships/hyperlink" Target="https://www.sec.gov/Archives/edgar/data/814547/000081454726000011/R45.htm" TargetMode="External"/><Relationship Id="rId67" Type="http://schemas.openxmlformats.org/officeDocument/2006/relationships/hyperlink" Target="https://www.hawley.senate.gov/wp-content/uploads/2026/03/2026-03-23-Hawley-Oversight-Letter-to-FICO.pdf" TargetMode="External"/><Relationship Id="rId20" Type="http://schemas.openxmlformats.org/officeDocument/2006/relationships/hyperlink" Target="https://pages.stern.nyu.edu/adamodar/New_Home_Page/home.htm" TargetMode="External"/><Relationship Id="rId41" Type="http://schemas.openxmlformats.org/officeDocument/2006/relationships/hyperlink" Target="https://vcpscanner.com/valuation/fico/relative" TargetMode="External"/><Relationship Id="rId54" Type="http://schemas.openxmlformats.org/officeDocument/2006/relationships/hyperlink" Target="https://www.sec.gov/Archives/edgar/data/814547/000081454725000030/fico-20250930.htm" TargetMode="External"/><Relationship Id="rId62" Type="http://schemas.openxmlformats.org/officeDocument/2006/relationships/hyperlink" Target="https://www.sec.gov/Archives/edgar/data/814547/000119312526117936/d56220d8k.htm" TargetMode="External"/><Relationship Id="rId70" Type="http://schemas.openxmlformats.org/officeDocument/2006/relationships/hyperlink" Target="https://home.treasury.gov/resource-center/data-chart-center/interest-rates/TextView?type=daily_treasury_yield_curve" TargetMode="External"/><Relationship Id="rId75" Type="http://schemas.openxmlformats.org/officeDocument/2006/relationships/hyperlink" Target="https://finance.yahoo.com/quote/FICO/" TargetMode="External"/><Relationship Id="rId1" Type="http://schemas.openxmlformats.org/officeDocument/2006/relationships/hyperlink" Target="https://raw.githubusercontent.com/vengeanceaiUSC/Rainmaker/cursor/vengeanceaiusmodel18-d3ac/FICO/output/MODEL18_FICO_ASSUMPTIONS_LIST.pdf" TargetMode="External"/><Relationship Id="rId6" Type="http://schemas.openxmlformats.org/officeDocument/2006/relationships/hyperlink" Target="https://www.sec.gov/Archives/edgar/data/814547/000081454725000030/fico-20250930.htm" TargetMode="External"/><Relationship Id="rId15" Type="http://schemas.openxmlformats.org/officeDocument/2006/relationships/hyperlink" Target="https://pages.stern.nyu.edu/adamodar/New_Home_Page/datafile/vebitda.htm" TargetMode="External"/><Relationship Id="rId23" Type="http://schemas.openxmlformats.org/officeDocument/2006/relationships/hyperlink" Target="https://www.equifax.com/newsroom/all-news/-/story/equifax-statement-on-fico-2x-price-increase-for-2026-and-mortgage-direct-license-program/" TargetMode="External"/><Relationship Id="rId28" Type="http://schemas.openxmlformats.org/officeDocument/2006/relationships/hyperlink" Target="https://www.fico.com/en/investors" TargetMode="External"/><Relationship Id="rId36" Type="http://schemas.openxmlformats.org/officeDocument/2006/relationships/hyperlink" Target="https://investors.fico.com/news-releases/news-release-details/fico-announces-earnings-1045-share-third-quarter-fiscal-2026" TargetMode="External"/><Relationship Id="rId49" Type="http://schemas.openxmlformats.org/officeDocument/2006/relationships/hyperlink" Target="https://raw.githubusercontent.com/vengeanceaiUSC/Rainmaker/cursor/vengeanceaiusmodel18-d3ac/FICO/output/MODEL18_FICO_ASSUMPTIONS_LIST.pdf" TargetMode="External"/><Relationship Id="rId57" Type="http://schemas.openxmlformats.org/officeDocument/2006/relationships/hyperlink" Target="https://www.sec.gov/Archives/edgar/data/814547/000081454726000011/fico-20251231.htm" TargetMode="External"/><Relationship Id="rId10" Type="http://schemas.openxmlformats.org/officeDocument/2006/relationships/hyperlink" Target="https://www.sec.gov/Archives/edgar/data/814547/000119312526117936/d56220d8k.htm" TargetMode="External"/><Relationship Id="rId31" Type="http://schemas.openxmlformats.org/officeDocument/2006/relationships/hyperlink" Target="https://investors.fico.com/static-files/663245db-39a2-4db7-8f89-284034bbccbf" TargetMode="External"/><Relationship Id="rId44" Type="http://schemas.openxmlformats.org/officeDocument/2006/relationships/hyperlink" Target="https://fred.stlouisfed.org/series/DGS10" TargetMode="External"/><Relationship Id="rId52" Type="http://schemas.openxmlformats.org/officeDocument/2006/relationships/hyperlink" Target="https://github.com/vengeanceaiUSC/Rainmaker/blob/cursor/vengeanceaiusmodel18-d3ac/FICO/output/MODEL18_FICO_ASSUMPTIONS_LIST.pdf" TargetMode="External"/><Relationship Id="rId60" Type="http://schemas.openxmlformats.org/officeDocument/2006/relationships/hyperlink" Target="https://www.sec.gov/Archives/edgar/data/814547/000081454726000011/R45.htm" TargetMode="External"/><Relationship Id="rId65" Type="http://schemas.openxmlformats.org/officeDocument/2006/relationships/hyperlink" Target="https://data.sec.gov/api/xbrl/companyfacts/CIK0000814547.json" TargetMode="External"/><Relationship Id="rId73" Type="http://schemas.openxmlformats.org/officeDocument/2006/relationships/hyperlink" Target="https://finance.yahoo.com/quote/FICO/key-statistics/" TargetMode="External"/><Relationship Id="rId78" Type="http://schemas.openxmlformats.org/officeDocument/2006/relationships/hyperlink" Target="https://finance.yahoo.com/quote/%5ETNX/" TargetMode="External"/><Relationship Id="rId81" Type="http://schemas.openxmlformats.org/officeDocument/2006/relationships/drawing" Target="../drawings/drawing1.xml"/><Relationship Id="rId4" Type="http://schemas.openxmlformats.org/officeDocument/2006/relationships/hyperlink" Target="https://raw.githubusercontent.com/vengeanceaiUSC/Rainmaker/cursor/vengeanceaiusmodel18-d3ac/FICO/output/MODEL18_FICO_ASSUMPTIONS_LIST.pdf" TargetMode="External"/><Relationship Id="rId9" Type="http://schemas.openxmlformats.org/officeDocument/2006/relationships/hyperlink" Target="https://www.sec.gov/Archives/edgar/data/814547/000119312526117936/d56220d8k.htm" TargetMode="External"/><Relationship Id="rId13" Type="http://schemas.openxmlformats.org/officeDocument/2006/relationships/hyperlink" Target="https://pages.stern.nyu.edu/adamodar/New_Home_Page/home.htm" TargetMode="External"/><Relationship Id="rId18" Type="http://schemas.openxmlformats.org/officeDocument/2006/relationships/hyperlink" Target="https://pages.stern.nyu.edu/~adamodar/New_Home_Page/datafile/histfcff.html" TargetMode="External"/><Relationship Id="rId39" Type="http://schemas.openxmlformats.org/officeDocument/2006/relationships/hyperlink" Target="https://stockanalysis.com/stocks/fico/transcripts/656443-q3-2026/" TargetMode="External"/><Relationship Id="rId34" Type="http://schemas.openxmlformats.org/officeDocument/2006/relationships/hyperlink" Target="https://investors.fico.com/static-files/935bc755-fe08-44bd-9898-d04a4e3c92f1" TargetMode="External"/><Relationship Id="rId50" Type="http://schemas.openxmlformats.org/officeDocument/2006/relationships/hyperlink" Target="https://raw.githubusercontent.com/vengeanceaiUSC/Rainmaker/cursor/vengeanceaiusmodel18-d3ac/FICO/output/MODEL18_FICO_ASSUMPTIONS_LIST.pdf" TargetMode="External"/><Relationship Id="rId55" Type="http://schemas.openxmlformats.org/officeDocument/2006/relationships/hyperlink" Target="https://www.sec.gov/Archives/edgar/data/814547/000081454725000030/0000814547-25-000030-index.htm" TargetMode="External"/><Relationship Id="rId76" Type="http://schemas.openxmlformats.org/officeDocument/2006/relationships/hyperlink" Target="https://finance.yahoo.com/quote/FICO/" TargetMode="External"/><Relationship Id="rId7" Type="http://schemas.openxmlformats.org/officeDocument/2006/relationships/hyperlink" Target="https://www.sec.gov/Archives/edgar/data/814547/000081454726000030/fico-20260630.htm" TargetMode="External"/><Relationship Id="rId71" Type="http://schemas.openxmlformats.org/officeDocument/2006/relationships/hyperlink" Target="https://finance.yahoo.com/quote/FICO/key-statistics/" TargetMode="External"/><Relationship Id="rId2" Type="http://schemas.openxmlformats.org/officeDocument/2006/relationships/hyperlink" Target="https://raw.githubusercontent.com/vengeanceaiUSC/Rainmaker/cursor/vengeanceaiusmodel18-d3ac/FICO/output/MODEL18_FICO_ASSUMPTIONS_LIST.pdf" TargetMode="External"/><Relationship Id="rId29" Type="http://schemas.openxmlformats.org/officeDocument/2006/relationships/hyperlink" Target="https://investors.fico.com/static-files/66ef723c-1f2e-4501-a452-ab2f3d02ae85" TargetMode="External"/><Relationship Id="rId24" Type="http://schemas.openxmlformats.org/officeDocument/2006/relationships/hyperlink" Target="https://www.equifax.com/newsroom/all-news/-/story/equifax-statement-on-fico-2x-price-increase-for-2026-and-mortgage-direct-license-program/" TargetMode="External"/><Relationship Id="rId40" Type="http://schemas.openxmlformats.org/officeDocument/2006/relationships/hyperlink" Target="https://stockanalysis.com/stocks/fico/transcripts/656443-q3-2026/" TargetMode="External"/><Relationship Id="rId45" Type="http://schemas.openxmlformats.org/officeDocument/2006/relationships/hyperlink" Target="https://fred.stlouisfed.org/series/DGS10" TargetMode="External"/><Relationship Id="rId66" Type="http://schemas.openxmlformats.org/officeDocument/2006/relationships/hyperlink" Target="https://data.sec.gov/api/xbrl/companyfacts/CIK0000814547.jso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sec.gov/Archives/edgar/data/814547/000081454725000030/fico-20250930.htm" TargetMode="External"/><Relationship Id="rId18" Type="http://schemas.openxmlformats.org/officeDocument/2006/relationships/hyperlink" Target="https://www.sec.gov/Archives/edgar/data/814547/000081454726000011/R45.htm" TargetMode="External"/><Relationship Id="rId26" Type="http://schemas.openxmlformats.org/officeDocument/2006/relationships/hyperlink" Target="https://data.sec.gov/api/xbrl/companyfacts/CIK0000814547.json" TargetMode="External"/><Relationship Id="rId39" Type="http://schemas.openxmlformats.org/officeDocument/2006/relationships/hyperlink" Target="https://www.sec.gov/Archives/edgar/data/814547/000081454725000030/fico-20250930.htm" TargetMode="External"/><Relationship Id="rId21" Type="http://schemas.openxmlformats.org/officeDocument/2006/relationships/hyperlink" Target="https://www.sec.gov/Archives/edgar/data/814547/000081454725000030/fico-20250930.htm" TargetMode="External"/><Relationship Id="rId34" Type="http://schemas.openxmlformats.org/officeDocument/2006/relationships/hyperlink" Target="https://www.sec.gov/Archives/edgar/data/814547/000081454725000030/fico-20250930.htm" TargetMode="External"/><Relationship Id="rId42" Type="http://schemas.openxmlformats.org/officeDocument/2006/relationships/drawing" Target="../drawings/drawing2.xml"/><Relationship Id="rId7" Type="http://schemas.openxmlformats.org/officeDocument/2006/relationships/hyperlink" Target="https://www.sec.gov/Archives/edgar/data/814547/000081454725000030/fico-20250930.htm" TargetMode="External"/><Relationship Id="rId2" Type="http://schemas.openxmlformats.org/officeDocument/2006/relationships/hyperlink" Target="https://raw.githubusercontent.com/vengeanceaiUSC/Rainmaker/cursor/vengeanceaiusmodel18-d3ac/FICO/output/MODEL18_FICO_ASSUMPTIONS_LIST.pdf" TargetMode="External"/><Relationship Id="rId16" Type="http://schemas.openxmlformats.org/officeDocument/2006/relationships/hyperlink" Target="https://data.sec.gov/api/xbrl/companyfacts/CIK0000814547.json" TargetMode="External"/><Relationship Id="rId20" Type="http://schemas.openxmlformats.org/officeDocument/2006/relationships/hyperlink" Target="https://www.sec.gov/Archives/edgar/data/814547/000081454725000030/fico-20250930.htm" TargetMode="External"/><Relationship Id="rId29" Type="http://schemas.openxmlformats.org/officeDocument/2006/relationships/hyperlink" Target="https://data.sec.gov/api/xbrl/companyfacts/CIK0000814547.json" TargetMode="External"/><Relationship Id="rId41" Type="http://schemas.openxmlformats.org/officeDocument/2006/relationships/hyperlink" Target="https://corporatefinanceinstitute.com/" TargetMode="External"/><Relationship Id="rId1" Type="http://schemas.openxmlformats.org/officeDocument/2006/relationships/hyperlink" Target="https://raw.githubusercontent.com/vengeanceaiUSC/Rainmaker/cursor/vengeanceaiusmodel18-d3ac/FICO/output/MODEL18_FICO_ASSUMPTIONS_LIST.pdf" TargetMode="External"/><Relationship Id="rId6" Type="http://schemas.openxmlformats.org/officeDocument/2006/relationships/hyperlink" Target="https://www.sec.gov/Archives/edgar/data/814547/000081454725000030/fico-20250930.htm" TargetMode="External"/><Relationship Id="rId11" Type="http://schemas.openxmlformats.org/officeDocument/2006/relationships/hyperlink" Target="https://data.sec.gov/api/xbrl/companyfacts/CIK0000814547.json" TargetMode="External"/><Relationship Id="rId24" Type="http://schemas.openxmlformats.org/officeDocument/2006/relationships/hyperlink" Target="https://data.sec.gov/api/xbrl/companyfacts/CIK0000814547.json" TargetMode="External"/><Relationship Id="rId32" Type="http://schemas.openxmlformats.org/officeDocument/2006/relationships/hyperlink" Target="https://www.sec.gov/Archives/edgar/data/814547/000081454726000011/R45.htm" TargetMode="External"/><Relationship Id="rId37" Type="http://schemas.openxmlformats.org/officeDocument/2006/relationships/hyperlink" Target="https://www.sec.gov/Archives/edgar/data/814547/000081454725000030/fico-20250930.htm" TargetMode="External"/><Relationship Id="rId40" Type="http://schemas.openxmlformats.org/officeDocument/2006/relationships/hyperlink" Target="https://www.sec.gov/Archives/edgar/data/814547/000081454725000030/fico-20250930.htm" TargetMode="External"/><Relationship Id="rId5" Type="http://schemas.openxmlformats.org/officeDocument/2006/relationships/hyperlink" Target="https://www.sec.gov/Archives/edgar/data/814547/000081454725000030/fico-20250930.htm" TargetMode="External"/><Relationship Id="rId15" Type="http://schemas.openxmlformats.org/officeDocument/2006/relationships/hyperlink" Target="https://data.sec.gov/api/xbrl/companyfacts/CIK0000814547.json" TargetMode="External"/><Relationship Id="rId23" Type="http://schemas.openxmlformats.org/officeDocument/2006/relationships/hyperlink" Target="https://data.sec.gov/api/xbrl/companyfacts/CIK0000814547.json" TargetMode="External"/><Relationship Id="rId28" Type="http://schemas.openxmlformats.org/officeDocument/2006/relationships/hyperlink" Target="https://www.sec.gov/Archives/edgar/data/814547/000081454725000030/fico-20250930.htm" TargetMode="External"/><Relationship Id="rId36" Type="http://schemas.openxmlformats.org/officeDocument/2006/relationships/hyperlink" Target="https://www.sec.gov/Archives/edgar/data/814547/000081454725000030/fico-20250930.htm" TargetMode="External"/><Relationship Id="rId10" Type="http://schemas.openxmlformats.org/officeDocument/2006/relationships/hyperlink" Target="https://www.sec.gov/Archives/edgar/data/814547/000081454725000030/fico-20250930.htm" TargetMode="External"/><Relationship Id="rId19" Type="http://schemas.openxmlformats.org/officeDocument/2006/relationships/hyperlink" Target="https://www.sec.gov/Archives/edgar/data/814547/000081454725000030/fico-20250930.htm" TargetMode="External"/><Relationship Id="rId31" Type="http://schemas.openxmlformats.org/officeDocument/2006/relationships/hyperlink" Target="https://www.sec.gov/Archives/edgar/data/814547/000081454726000011/R45.htm" TargetMode="External"/><Relationship Id="rId44" Type="http://schemas.openxmlformats.org/officeDocument/2006/relationships/comments" Target="../comments1.xml"/><Relationship Id="rId4" Type="http://schemas.openxmlformats.org/officeDocument/2006/relationships/hyperlink" Target="https://www.sec.gov/Archives/edgar/data/814547/000081454726000031/exhibit991erq32026.htm" TargetMode="External"/><Relationship Id="rId9" Type="http://schemas.openxmlformats.org/officeDocument/2006/relationships/hyperlink" Target="https://www.sec.gov/Archives/edgar/data/814547/000081454725000030/fico-20250930.htm" TargetMode="External"/><Relationship Id="rId14" Type="http://schemas.openxmlformats.org/officeDocument/2006/relationships/hyperlink" Target="https://www.sec.gov/Archives/edgar/data/814547/000081454725000030/fico-20250930.htm" TargetMode="External"/><Relationship Id="rId22" Type="http://schemas.openxmlformats.org/officeDocument/2006/relationships/hyperlink" Target="https://www.sec.gov/Archives/edgar/data/814547/000081454725000030/fico-20250930.htm" TargetMode="External"/><Relationship Id="rId27" Type="http://schemas.openxmlformats.org/officeDocument/2006/relationships/hyperlink" Target="https://www.sec.gov/Archives/edgar/data/814547/000081454725000030/fico-20250930.htm" TargetMode="External"/><Relationship Id="rId30" Type="http://schemas.openxmlformats.org/officeDocument/2006/relationships/hyperlink" Target="https://data.sec.gov/api/xbrl/companyfacts/CIK0000814547.json" TargetMode="External"/><Relationship Id="rId35" Type="http://schemas.openxmlformats.org/officeDocument/2006/relationships/hyperlink" Target="https://www.sec.gov/Archives/edgar/data/814547/000081454725000030/fico-20250930.htm" TargetMode="External"/><Relationship Id="rId43" Type="http://schemas.openxmlformats.org/officeDocument/2006/relationships/vmlDrawing" Target="../drawings/vmlDrawing1.vml"/><Relationship Id="rId8" Type="http://schemas.openxmlformats.org/officeDocument/2006/relationships/hyperlink" Target="https://www.sec.gov/Archives/edgar/data/814547/000081454725000030/fico-20250930.htm" TargetMode="External"/><Relationship Id="rId3" Type="http://schemas.openxmlformats.org/officeDocument/2006/relationships/hyperlink" Target="https://www.sec.gov/Archives/edgar/data/814547/000081454726000031/exhibit991erq32026.htm" TargetMode="External"/><Relationship Id="rId12" Type="http://schemas.openxmlformats.org/officeDocument/2006/relationships/hyperlink" Target="https://data.sec.gov/api/xbrl/companyfacts/CIK0000814547.json" TargetMode="External"/><Relationship Id="rId17" Type="http://schemas.openxmlformats.org/officeDocument/2006/relationships/hyperlink" Target="https://www.sec.gov/Archives/edgar/data/814547/000081454726000011/R45.htm" TargetMode="External"/><Relationship Id="rId25" Type="http://schemas.openxmlformats.org/officeDocument/2006/relationships/hyperlink" Target="https://data.sec.gov/api/xbrl/companyfacts/CIK0000814547.json" TargetMode="External"/><Relationship Id="rId33" Type="http://schemas.openxmlformats.org/officeDocument/2006/relationships/hyperlink" Target="https://www.sec.gov/Archives/edgar/data/814547/000081454725000030/fico-20250930.htm" TargetMode="External"/><Relationship Id="rId38" Type="http://schemas.openxmlformats.org/officeDocument/2006/relationships/hyperlink" Target="https://www.sec.gov/Archives/edgar/data/814547/000081454725000030/fico-20250930.ht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lphaspread.com/security/nyse/fico/relative-valuation/ratio/enterprise-value-to-ebitda" TargetMode="External"/><Relationship Id="rId18" Type="http://schemas.openxmlformats.org/officeDocument/2006/relationships/hyperlink" Target="https://www.sec.gov/Archives/edgar/data/814547/000119312526117936/d56220d8k.htm" TargetMode="External"/><Relationship Id="rId26" Type="http://schemas.openxmlformats.org/officeDocument/2006/relationships/hyperlink" Target="https://www.sec.gov/Archives/edgar/data/814547/000081454725000030/fico-20250930.htm" TargetMode="External"/><Relationship Id="rId39" Type="http://schemas.openxmlformats.org/officeDocument/2006/relationships/hyperlink" Target="https://www.sec.gov/Archives/edgar/data/814547/000081454725000030/fico-20250930.htm" TargetMode="External"/><Relationship Id="rId21" Type="http://schemas.openxmlformats.org/officeDocument/2006/relationships/hyperlink" Target="https://data.sec.gov/api/xbrl/companyfacts/CIK0000814547.json" TargetMode="External"/><Relationship Id="rId34" Type="http://schemas.openxmlformats.org/officeDocument/2006/relationships/hyperlink" Target="https://www.sec.gov/Archives/edgar/data/814547/000081454725000030/fico-20250930.htm" TargetMode="External"/><Relationship Id="rId42" Type="http://schemas.openxmlformats.org/officeDocument/2006/relationships/hyperlink" Target="https://www.sec.gov/Archives/edgar/data/814547/000119312526102450/d92566dex991.htm" TargetMode="External"/><Relationship Id="rId47" Type="http://schemas.openxmlformats.org/officeDocument/2006/relationships/hyperlink" Target="https://pages.stern.nyu.edu/~adamodar/New_Home_Page/datafile/histimpl.html" TargetMode="External"/><Relationship Id="rId50" Type="http://schemas.openxmlformats.org/officeDocument/2006/relationships/comments" Target="../comments2.xml"/><Relationship Id="rId7" Type="http://schemas.openxmlformats.org/officeDocument/2006/relationships/hyperlink" Target="https://fred.stlouisfed.org/series/DGS10" TargetMode="External"/><Relationship Id="rId2" Type="http://schemas.openxmlformats.org/officeDocument/2006/relationships/hyperlink" Target="https://github.com/vengeanceaiUSC/Rainmaker/blob/cursor/vengeanceaiusmodel18-d3ac/FICO/output/MODEL18_FICO_ASSUMPTIONS_LIST.pdf" TargetMode="External"/><Relationship Id="rId16" Type="http://schemas.openxmlformats.org/officeDocument/2006/relationships/hyperlink" Target="https://vcpscanner.com/valuation/fico/relative" TargetMode="External"/><Relationship Id="rId29" Type="http://schemas.openxmlformats.org/officeDocument/2006/relationships/hyperlink" Target="https://www.sec.gov/Archives/edgar/data/814547/000081454725000030/fico-20250930.htm" TargetMode="External"/><Relationship Id="rId11" Type="http://schemas.openxmlformats.org/officeDocument/2006/relationships/hyperlink" Target="https://www.sec.gov/Archives/edgar/data/814547/000119312526117936/d56220d8k.htm" TargetMode="External"/><Relationship Id="rId24" Type="http://schemas.openxmlformats.org/officeDocument/2006/relationships/hyperlink" Target="https://www.sec.gov/Archives/edgar/data/814547/000081454726000030/fico-20260630.htm" TargetMode="External"/><Relationship Id="rId32" Type="http://schemas.openxmlformats.org/officeDocument/2006/relationships/hyperlink" Target="https://pages.stern.nyu.edu/adamodar/New_Home_Page/home.htm" TargetMode="External"/><Relationship Id="rId37" Type="http://schemas.openxmlformats.org/officeDocument/2006/relationships/hyperlink" Target="https://www.sec.gov/Archives/edgar/data/814547/000081454725000030/fico-20250930.htm" TargetMode="External"/><Relationship Id="rId40" Type="http://schemas.openxmlformats.org/officeDocument/2006/relationships/hyperlink" Target="https://www.sec.gov/Archives/edgar/data/814547/000081454726000030/fico-20260630.htm" TargetMode="External"/><Relationship Id="rId45" Type="http://schemas.openxmlformats.org/officeDocument/2006/relationships/hyperlink" Target="https://home.treasury.gov/resource-center/data-chart-center/interest-rates/TextView?type=daily_treasury_yield_curve" TargetMode="External"/><Relationship Id="rId5" Type="http://schemas.openxmlformats.org/officeDocument/2006/relationships/hyperlink" Target="https://pages.stern.nyu.edu/adamodar/New_Home_Page/home.htm" TargetMode="External"/><Relationship Id="rId15" Type="http://schemas.openxmlformats.org/officeDocument/2006/relationships/hyperlink" Target="https://www.jstor.org/stable/2329867" TargetMode="External"/><Relationship Id="rId23" Type="http://schemas.openxmlformats.org/officeDocument/2006/relationships/hyperlink" Target="https://finance.yahoo.com/quote/FICO/key-statistics/" TargetMode="External"/><Relationship Id="rId28" Type="http://schemas.openxmlformats.org/officeDocument/2006/relationships/hyperlink" Target="https://data.sec.gov/api/xbrl/companyfacts/CIK0000814547.json" TargetMode="External"/><Relationship Id="rId36" Type="http://schemas.openxmlformats.org/officeDocument/2006/relationships/hyperlink" Target="https://finance.yahoo.com/quote/FICO/" TargetMode="External"/><Relationship Id="rId49" Type="http://schemas.openxmlformats.org/officeDocument/2006/relationships/vmlDrawing" Target="../drawings/vmlDrawing2.vml"/><Relationship Id="rId10" Type="http://schemas.openxmlformats.org/officeDocument/2006/relationships/hyperlink" Target="https://pages.stern.nyu.edu/~adamodar/New_Home_Page/datafile/histimpl.html" TargetMode="External"/><Relationship Id="rId19" Type="http://schemas.openxmlformats.org/officeDocument/2006/relationships/hyperlink" Target="https://www.sec.gov/Archives/edgar/data/814547/000119312526102450/d92566dex991.htm" TargetMode="External"/><Relationship Id="rId31" Type="http://schemas.openxmlformats.org/officeDocument/2006/relationships/hyperlink" Target="https://finance.yahoo.com/quote/FICO/key-statistics/" TargetMode="External"/><Relationship Id="rId44" Type="http://schemas.openxmlformats.org/officeDocument/2006/relationships/hyperlink" Target="https://fred.stlouisfed.org/series/DGS10" TargetMode="External"/><Relationship Id="rId4" Type="http://schemas.openxmlformats.org/officeDocument/2006/relationships/hyperlink" Target="https://fred.stlouisfed.org/series/DGS10" TargetMode="External"/><Relationship Id="rId9" Type="http://schemas.openxmlformats.org/officeDocument/2006/relationships/hyperlink" Target="https://pages.stern.nyu.edu/adamodar/New_Home_Page/home.htm" TargetMode="External"/><Relationship Id="rId14" Type="http://schemas.openxmlformats.org/officeDocument/2006/relationships/hyperlink" Target="https://finance.yahoo.com/quote/FICO/key-statistics/" TargetMode="External"/><Relationship Id="rId22" Type="http://schemas.openxmlformats.org/officeDocument/2006/relationships/hyperlink" Target="https://www.sec.gov/Archives/edgar/data/814547/000081454726000030/fico-20260630.htm" TargetMode="External"/><Relationship Id="rId27" Type="http://schemas.openxmlformats.org/officeDocument/2006/relationships/hyperlink" Target="https://pages.stern.nyu.edu/adamodar/New_Home_Page/home.htm" TargetMode="External"/><Relationship Id="rId30" Type="http://schemas.openxmlformats.org/officeDocument/2006/relationships/hyperlink" Target="https://www.sec.gov/Archives/edgar/data/814547/000081454725000030/fico-20250930.htm" TargetMode="External"/><Relationship Id="rId35" Type="http://schemas.openxmlformats.org/officeDocument/2006/relationships/hyperlink" Target="https://finance.yahoo.com/quote/FICO/key-statistics/" TargetMode="External"/><Relationship Id="rId43" Type="http://schemas.openxmlformats.org/officeDocument/2006/relationships/hyperlink" Target="https://data.sec.gov/api/xbrl/companyfacts/CIK0000814547.json" TargetMode="External"/><Relationship Id="rId48" Type="http://schemas.openxmlformats.org/officeDocument/2006/relationships/hyperlink" Target="https://finance.yahoo.com/quote/FICO/key-statistics/" TargetMode="External"/><Relationship Id="rId8" Type="http://schemas.openxmlformats.org/officeDocument/2006/relationships/hyperlink" Target="https://home.treasury.gov/resource-center/data-chart-center/interest-rates/TextView?type=daily_treasury_yield_curve" TargetMode="External"/><Relationship Id="rId3" Type="http://schemas.openxmlformats.org/officeDocument/2006/relationships/hyperlink" Target="https://www.sec.gov/Archives/edgar/data/814547/000081454725000030/fico-20250930.htm" TargetMode="External"/><Relationship Id="rId12" Type="http://schemas.openxmlformats.org/officeDocument/2006/relationships/hyperlink" Target="https://vcpscanner.com/valuation/fico/relative" TargetMode="External"/><Relationship Id="rId17" Type="http://schemas.openxmlformats.org/officeDocument/2006/relationships/hyperlink" Target="https://www.alphaspread.com/security/nyse/fico/relative-valuation/ratio/enterprise-value-to-ebitda" TargetMode="External"/><Relationship Id="rId25" Type="http://schemas.openxmlformats.org/officeDocument/2006/relationships/hyperlink" Target="https://www.sec.gov/Archives/edgar/data/814547/000081454725000030/fico-20250930.htm" TargetMode="External"/><Relationship Id="rId33" Type="http://schemas.openxmlformats.org/officeDocument/2006/relationships/hyperlink" Target="https://www.sec.gov/Archives/edgar/data/814547/000081454726000030/fico-20260630.htm" TargetMode="External"/><Relationship Id="rId38" Type="http://schemas.openxmlformats.org/officeDocument/2006/relationships/hyperlink" Target="https://data.sec.gov/api/xbrl/companyfacts/CIK0000814547.json" TargetMode="External"/><Relationship Id="rId46" Type="http://schemas.openxmlformats.org/officeDocument/2006/relationships/hyperlink" Target="https://pages.stern.nyu.edu/adamodar/New_Home_Page/home.htm" TargetMode="External"/><Relationship Id="rId20" Type="http://schemas.openxmlformats.org/officeDocument/2006/relationships/hyperlink" Target="https://www.sec.gov/Archives/edgar/data/814547/000081454725000030/fico-20250930.htm" TargetMode="External"/><Relationship Id="rId41" Type="http://schemas.openxmlformats.org/officeDocument/2006/relationships/hyperlink" Target="https://www.sec.gov/Archives/edgar/data/814547/000119312526117936/d56220d8k.htm" TargetMode="External"/><Relationship Id="rId1" Type="http://schemas.openxmlformats.org/officeDocument/2006/relationships/hyperlink" Target="https://raw.githubusercontent.com/vengeanceaiUSC/Rainmaker/cursor/vengeanceaiusmodel18-d3ac/FICO/output/MODEL18_FICO_ASSUMPTIONS_LIST.pdf" TargetMode="External"/><Relationship Id="rId6" Type="http://schemas.openxmlformats.org/officeDocument/2006/relationships/hyperlink" Target="https://www.sec.gov/Archives/edgar/data/814547/000119312526117936/d56220d8k.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4"/>
  <sheetViews>
    <sheetView showGridLines="0" topLeftCell="A58" zoomScale="76" zoomScaleNormal="100" workbookViewId="0">
      <selection activeCell="C22" sqref="C22"/>
    </sheetView>
  </sheetViews>
  <sheetFormatPr defaultColWidth="9.08984375" defaultRowHeight="14.5" x14ac:dyDescent="0.35"/>
  <cols>
    <col min="1" max="2" width="11" style="40" customWidth="1"/>
    <col min="3" max="3" width="29.08984375" style="40" customWidth="1"/>
    <col min="4" max="4" width="11" style="40" customWidth="1"/>
    <col min="5" max="5" width="28" customWidth="1"/>
    <col min="6" max="6" width="36" customWidth="1"/>
    <col min="7" max="7" width="70" customWidth="1"/>
    <col min="8" max="22" width="11" style="40" customWidth="1"/>
    <col min="23" max="27" width="9.08984375" style="40" customWidth="1"/>
    <col min="28" max="16384" width="9.08984375" style="40"/>
  </cols>
  <sheetData>
    <row r="1" spans="2:15" ht="19.5" customHeight="1" x14ac:dyDescent="0.35"/>
    <row r="2" spans="2:15" ht="19.5" customHeight="1" x14ac:dyDescent="0.35"/>
    <row r="3" spans="2:15" ht="19.5" customHeight="1" x14ac:dyDescent="0.3">
      <c r="B3" s="41"/>
      <c r="C3" s="41"/>
      <c r="D3" s="41"/>
      <c r="E3" s="41"/>
      <c r="F3" s="41"/>
      <c r="G3" s="41"/>
      <c r="H3" s="41"/>
      <c r="I3" s="41"/>
      <c r="J3" s="41"/>
      <c r="K3" s="41"/>
      <c r="L3" s="41"/>
      <c r="M3" s="41"/>
      <c r="N3" s="41"/>
      <c r="O3" s="41"/>
    </row>
    <row r="4" spans="2:15" ht="19.5" customHeight="1" x14ac:dyDescent="0.3">
      <c r="B4" s="41"/>
      <c r="C4" s="41"/>
      <c r="D4" s="41"/>
      <c r="E4" s="41"/>
      <c r="F4" s="41"/>
      <c r="G4" s="41"/>
      <c r="H4" s="41"/>
      <c r="I4" s="41"/>
      <c r="J4" s="41"/>
      <c r="K4" s="41"/>
      <c r="L4" s="41"/>
      <c r="M4" s="41"/>
      <c r="N4" s="41"/>
      <c r="O4" s="41"/>
    </row>
    <row r="5" spans="2:15" ht="19.5" customHeight="1" x14ac:dyDescent="0.3">
      <c r="B5" s="41"/>
      <c r="C5" s="41"/>
      <c r="D5" s="41"/>
      <c r="E5" s="41"/>
      <c r="F5" s="41"/>
      <c r="G5" s="41"/>
      <c r="H5" s="41"/>
      <c r="I5" s="41"/>
      <c r="J5" s="41"/>
      <c r="K5" s="41"/>
      <c r="L5" s="41"/>
      <c r="M5" s="41"/>
      <c r="N5" s="41"/>
      <c r="O5" s="41"/>
    </row>
    <row r="6" spans="2:15" ht="19.5" customHeight="1" x14ac:dyDescent="0.3">
      <c r="B6" s="41"/>
      <c r="C6" s="41"/>
      <c r="D6" s="41"/>
      <c r="E6" s="41"/>
      <c r="F6" s="41"/>
      <c r="G6" s="41"/>
      <c r="H6" s="41"/>
      <c r="I6" s="41"/>
      <c r="J6" s="41"/>
      <c r="K6" s="41"/>
      <c r="L6" s="41"/>
      <c r="M6" s="41"/>
      <c r="N6" s="41"/>
      <c r="O6" s="41"/>
    </row>
    <row r="7" spans="2:15" ht="19.5" customHeight="1" x14ac:dyDescent="0.3">
      <c r="B7" s="41"/>
      <c r="C7" s="41"/>
      <c r="D7" s="41"/>
      <c r="E7" s="41"/>
      <c r="F7" s="41"/>
      <c r="G7" s="41"/>
      <c r="H7" s="41"/>
      <c r="I7" s="41"/>
      <c r="J7" s="41"/>
      <c r="K7" s="41"/>
      <c r="L7" s="41"/>
      <c r="M7" s="41"/>
      <c r="N7" s="41"/>
      <c r="O7" s="41"/>
    </row>
    <row r="8" spans="2:15" ht="19.5" customHeight="1" x14ac:dyDescent="0.3">
      <c r="B8" s="41"/>
      <c r="C8" s="41"/>
      <c r="D8" s="41"/>
      <c r="E8" s="41"/>
      <c r="F8" s="41"/>
      <c r="G8" s="41"/>
      <c r="H8" s="41"/>
      <c r="I8" s="41"/>
      <c r="J8" s="41"/>
      <c r="K8" s="41"/>
      <c r="L8" s="41"/>
      <c r="M8" s="41"/>
      <c r="N8" s="41"/>
      <c r="O8" s="41"/>
    </row>
    <row r="9" spans="2:15" ht="19.5" customHeight="1" x14ac:dyDescent="0.3">
      <c r="B9" s="41"/>
      <c r="C9" s="41"/>
      <c r="D9" s="41"/>
      <c r="E9" s="41"/>
      <c r="F9" s="41"/>
      <c r="G9" s="41"/>
      <c r="H9" s="41"/>
      <c r="I9" s="41"/>
      <c r="J9" s="41"/>
      <c r="K9" s="41"/>
      <c r="L9" s="41"/>
      <c r="M9" s="41"/>
      <c r="N9" s="41"/>
      <c r="O9" s="41"/>
    </row>
    <row r="10" spans="2:15" ht="19.5" customHeight="1" x14ac:dyDescent="0.3">
      <c r="B10" s="41"/>
      <c r="C10" s="41"/>
      <c r="D10" s="41"/>
      <c r="E10" s="41"/>
      <c r="F10" s="41"/>
      <c r="G10" s="41"/>
      <c r="H10" s="41"/>
      <c r="I10" s="41"/>
      <c r="J10" s="41"/>
      <c r="K10" s="41"/>
      <c r="L10" s="41"/>
      <c r="M10" s="41"/>
      <c r="N10" s="41"/>
      <c r="O10" s="41"/>
    </row>
    <row r="11" spans="2:15" ht="19.5" customHeight="1" x14ac:dyDescent="0.3">
      <c r="B11" s="41"/>
      <c r="C11" s="41"/>
      <c r="D11" s="41"/>
      <c r="E11" s="41"/>
      <c r="F11" s="41"/>
      <c r="G11" s="41"/>
      <c r="H11" s="41"/>
      <c r="I11" s="41"/>
      <c r="J11" s="41"/>
      <c r="K11" s="41"/>
      <c r="L11" s="41"/>
      <c r="M11" s="41"/>
      <c r="N11" s="41"/>
      <c r="O11" s="41"/>
    </row>
    <row r="12" spans="2:15" ht="28.25" customHeight="1" x14ac:dyDescent="0.5">
      <c r="B12" s="41"/>
      <c r="C12" s="42" t="s">
        <v>0</v>
      </c>
      <c r="D12" s="41"/>
      <c r="E12" s="111" t="str">
        <f>HYPERLINK("https://raw.githubusercontent.com/vengeanceaiUSC/Rainmaker/cursor/vengeanceaiusmodel18-d3ac/FICO/output/MODEL18_FICO_ASSUMPTIONS_LIST.pdf","⬇ ASSUMPTIONS PDF")</f>
        <v>⬇ ASSUMPTIONS PDF</v>
      </c>
      <c r="F12" s="41"/>
      <c r="G12" s="41"/>
      <c r="H12" s="41"/>
      <c r="I12" s="41"/>
      <c r="J12" s="41"/>
      <c r="K12" s="41"/>
      <c r="L12" s="41"/>
      <c r="M12" s="41"/>
      <c r="N12" s="43" t="s">
        <v>1</v>
      </c>
      <c r="O12" s="41"/>
    </row>
    <row r="13" spans="2:15" ht="44" customHeight="1" x14ac:dyDescent="0.35">
      <c r="B13" s="41"/>
      <c r="C13" s="199" t="str">
        <f>HYPERLINK("https://raw.githubusercontent.com/vengeanceaiUSC/Rainmaker/cursor/vengeanceaiusmodel18-d3ac/FICO/output/MODEL18_FICO_ASSUMPTIONS_LIST.pdf","⬇ CLICK HERE — DOWNLOAD ASSUMPTIONS LIST PDF (NO CHARTS)")</f>
        <v>⬇ CLICK HERE — DOWNLOAD ASSUMPTIONS LIST PDF (NO CHARTS)</v>
      </c>
      <c r="D13" s="200"/>
      <c r="E13" s="200"/>
      <c r="F13" s="200"/>
      <c r="G13" s="200"/>
      <c r="H13" s="41"/>
      <c r="I13" s="41"/>
      <c r="J13" s="41"/>
      <c r="K13" s="41"/>
      <c r="L13" s="41"/>
      <c r="M13" s="41"/>
      <c r="N13" s="41"/>
      <c r="O13" s="41"/>
    </row>
    <row r="14" spans="2:15" ht="19.5" customHeight="1" x14ac:dyDescent="0.3">
      <c r="B14" s="41"/>
      <c r="C14" s="44" t="s">
        <v>2</v>
      </c>
      <c r="D14" s="41"/>
      <c r="E14" s="41"/>
      <c r="F14" s="41"/>
      <c r="G14" s="41"/>
      <c r="H14" s="41"/>
      <c r="I14" s="41"/>
      <c r="J14" s="41"/>
      <c r="K14" s="41"/>
      <c r="L14" s="41"/>
      <c r="M14" s="41"/>
      <c r="N14" s="41"/>
      <c r="O14" s="41"/>
    </row>
    <row r="15" spans="2:15" ht="19.5" customHeight="1" x14ac:dyDescent="0.3">
      <c r="B15" s="41"/>
      <c r="C15" s="46" t="s">
        <v>3</v>
      </c>
      <c r="D15" s="41"/>
      <c r="E15" s="41"/>
      <c r="F15" s="41"/>
      <c r="G15" s="41"/>
      <c r="H15" s="41"/>
      <c r="I15" s="41"/>
      <c r="J15" s="41"/>
      <c r="K15" s="41"/>
      <c r="L15" s="41"/>
      <c r="M15" s="41"/>
      <c r="N15" s="41"/>
      <c r="O15" s="41"/>
    </row>
    <row r="16" spans="2:15" ht="19.5" customHeight="1" x14ac:dyDescent="0.3">
      <c r="B16" s="41"/>
      <c r="C16" s="45"/>
      <c r="D16" s="41"/>
      <c r="E16" s="41"/>
      <c r="F16" s="41"/>
      <c r="G16" s="41"/>
      <c r="H16" s="41"/>
      <c r="I16" s="41"/>
      <c r="J16" s="41"/>
      <c r="K16" s="41"/>
      <c r="L16" s="41"/>
      <c r="M16" s="41"/>
      <c r="N16" s="41"/>
      <c r="O16" s="41"/>
    </row>
    <row r="17" spans="2:15" ht="19.5" customHeight="1" x14ac:dyDescent="0.3">
      <c r="B17" s="41"/>
      <c r="C17" s="45"/>
      <c r="D17" s="41"/>
      <c r="E17" s="41"/>
      <c r="F17" s="41"/>
      <c r="G17" s="41"/>
      <c r="H17" s="41"/>
      <c r="I17" s="41"/>
      <c r="J17" s="41"/>
      <c r="K17" s="41"/>
      <c r="L17" s="41"/>
      <c r="M17" s="41"/>
      <c r="N17" s="41"/>
      <c r="O17" s="41"/>
    </row>
    <row r="18" spans="2:15" ht="19.5" customHeight="1" x14ac:dyDescent="0.3">
      <c r="B18" s="41"/>
      <c r="C18" s="45"/>
      <c r="D18" s="41"/>
      <c r="E18" s="41"/>
      <c r="F18" s="41"/>
      <c r="G18" s="41"/>
      <c r="H18" s="41"/>
      <c r="I18" s="41"/>
      <c r="J18" s="41"/>
      <c r="K18" s="41"/>
      <c r="L18" s="41"/>
      <c r="M18" s="41"/>
      <c r="N18" s="41"/>
      <c r="O18" s="41"/>
    </row>
    <row r="19" spans="2:15" s="49" customFormat="1" ht="19.5" customHeight="1" x14ac:dyDescent="0.3">
      <c r="B19" s="50"/>
      <c r="C19" s="50" t="s">
        <v>4</v>
      </c>
      <c r="D19" s="50"/>
      <c r="E19" s="50"/>
      <c r="F19" s="50"/>
      <c r="G19" s="50"/>
      <c r="H19" s="50"/>
      <c r="I19" s="50"/>
      <c r="J19" s="50"/>
      <c r="K19" s="50"/>
      <c r="L19" s="50"/>
      <c r="M19" s="50"/>
      <c r="N19" s="50"/>
      <c r="O19" s="50"/>
    </row>
    <row r="20" spans="2:15" s="49" customFormat="1" ht="19.5" customHeight="1" x14ac:dyDescent="0.3">
      <c r="B20" s="50"/>
      <c r="C20" s="51" t="s">
        <v>5</v>
      </c>
      <c r="D20" s="51"/>
      <c r="E20" s="51"/>
      <c r="F20" s="51"/>
      <c r="G20" s="51"/>
      <c r="H20" s="51"/>
      <c r="I20" s="51"/>
      <c r="J20" s="51"/>
      <c r="K20" s="51"/>
      <c r="L20" s="51"/>
      <c r="M20" s="51"/>
      <c r="N20" s="51"/>
      <c r="O20" s="50"/>
    </row>
    <row r="21" spans="2:15" s="49" customFormat="1" ht="19.5" customHeight="1" x14ac:dyDescent="0.3">
      <c r="B21" s="50"/>
      <c r="C21" s="50" t="s">
        <v>6</v>
      </c>
      <c r="D21" s="50"/>
      <c r="E21" s="50"/>
      <c r="F21" s="50"/>
      <c r="G21" s="50"/>
      <c r="H21" s="50"/>
      <c r="I21" s="50"/>
      <c r="J21" s="50"/>
      <c r="K21" s="50"/>
      <c r="L21" s="50"/>
      <c r="M21" s="50"/>
      <c r="N21" s="50"/>
      <c r="O21" s="50"/>
    </row>
    <row r="22" spans="2:15" s="49" customFormat="1" ht="30" customHeight="1" x14ac:dyDescent="0.35">
      <c r="B22" s="50"/>
      <c r="C22" s="193" t="str">
        <f>HYPERLINK("https://raw.githubusercontent.com/vengeanceaiUSC/Rainmaker/cursor/vengeanceaiusmodel18-d3ac/FICO/output/MODEL18_FICO_ASSUMPTIONS_LIST.pdf","⬇ DOWNLOAD ASSUMPTIONS LIST PDF — CLICK THIS LINK")</f>
        <v>⬇ DOWNLOAD ASSUMPTIONS LIST PDF — CLICK THIS LINK</v>
      </c>
      <c r="D22" s="50"/>
      <c r="E22" s="50"/>
      <c r="F22" s="50"/>
      <c r="G22" s="50"/>
      <c r="H22" s="50"/>
      <c r="I22" s="50"/>
      <c r="J22" s="50"/>
      <c r="K22" s="50"/>
      <c r="L22" s="50"/>
      <c r="M22" s="50"/>
      <c r="N22" s="50"/>
      <c r="O22" s="50"/>
    </row>
    <row r="23" spans="2:15" s="49" customFormat="1" ht="19.5" customHeight="1" x14ac:dyDescent="0.3">
      <c r="B23" s="50"/>
      <c r="C23" s="112" t="str">
        <f>HYPERLINK("https://raw.githubusercontent.com/vengeanceaiUSC/Rainmaker/cursor/vengeanceaiusmodel18-d3ac/FICO/output/MODEL18_FICO_ASSUMPTIONS_LIST.pdf","https://raw.githubusercontent.com/vengeanceaiUSC/Rainmaker/cursor/vengeanceaiusmodel18-d3ac/FICO/output/MODEL18_FICO_ASSUMPTIONS_LIST.pdf")</f>
        <v>https://raw.githubusercontent.com/vengeanceaiUSC/Rainmaker/cursor/vengeanceaiusmodel18-d3ac/FICO/output/MODEL18_FICO_ASSUMPTIONS_LIST.pdf</v>
      </c>
      <c r="D23" s="50"/>
      <c r="E23" s="50"/>
      <c r="F23" s="50"/>
      <c r="G23" s="50"/>
      <c r="H23" s="50"/>
      <c r="I23" s="50"/>
      <c r="J23" s="50"/>
      <c r="K23" s="50"/>
      <c r="L23" s="50"/>
      <c r="M23" s="50"/>
      <c r="N23" s="50"/>
      <c r="O23" s="50"/>
    </row>
    <row r="24" spans="2:15" s="49" customFormat="1" ht="19.5" customHeight="1" x14ac:dyDescent="0.35">
      <c r="B24" s="50"/>
      <c r="C24" s="52" t="s">
        <v>7</v>
      </c>
      <c r="D24" s="53"/>
      <c r="E24" s="201" t="s">
        <v>8</v>
      </c>
      <c r="F24" s="202"/>
      <c r="G24" s="202"/>
      <c r="H24" s="53"/>
      <c r="I24" s="53"/>
      <c r="J24" s="53"/>
      <c r="K24" s="53"/>
      <c r="L24" s="53"/>
      <c r="M24" s="53"/>
      <c r="N24" s="53"/>
      <c r="O24" s="50"/>
    </row>
    <row r="25" spans="2:15" s="49" customFormat="1" ht="19.5" customHeight="1" x14ac:dyDescent="0.3">
      <c r="B25" s="54"/>
      <c r="C25" s="52" t="s">
        <v>9</v>
      </c>
      <c r="D25" s="52"/>
      <c r="E25" s="203" t="s">
        <v>10</v>
      </c>
      <c r="F25" s="202"/>
      <c r="G25" s="202"/>
      <c r="H25" s="52"/>
      <c r="I25" s="52"/>
      <c r="J25" s="52"/>
      <c r="K25" s="52"/>
      <c r="L25" s="52"/>
      <c r="M25" s="52"/>
      <c r="N25" s="52"/>
      <c r="O25" s="54"/>
    </row>
    <row r="26" spans="2:15" s="49" customFormat="1" ht="19.5" customHeight="1" x14ac:dyDescent="0.3">
      <c r="B26" s="54"/>
      <c r="C26" s="52" t="s">
        <v>11</v>
      </c>
      <c r="D26" s="52"/>
      <c r="E26" s="113" t="s">
        <v>12</v>
      </c>
      <c r="F26" s="113" t="s">
        <v>13</v>
      </c>
      <c r="G26" s="113" t="s">
        <v>14</v>
      </c>
      <c r="H26" s="52"/>
      <c r="I26" s="52"/>
      <c r="J26" s="52"/>
      <c r="K26" s="52"/>
      <c r="L26" s="52"/>
      <c r="M26" s="52"/>
      <c r="N26" s="52"/>
      <c r="O26" s="54"/>
    </row>
    <row r="27" spans="2:15" s="49" customFormat="1" ht="19.5" customHeight="1" x14ac:dyDescent="0.3">
      <c r="B27" s="54"/>
      <c r="C27" s="52" t="s">
        <v>15</v>
      </c>
      <c r="D27" s="52"/>
      <c r="E27" s="114" t="s">
        <v>16</v>
      </c>
      <c r="F27" s="115" t="s">
        <v>16</v>
      </c>
      <c r="G27" s="115" t="s">
        <v>17</v>
      </c>
      <c r="H27" s="52"/>
      <c r="I27" s="52"/>
      <c r="J27" s="52"/>
      <c r="K27" s="52"/>
      <c r="L27" s="52"/>
      <c r="M27" s="52"/>
      <c r="N27" s="52"/>
      <c r="O27" s="54"/>
    </row>
    <row r="28" spans="2:15" s="49" customFormat="1" ht="19.5" customHeight="1" x14ac:dyDescent="0.3">
      <c r="B28" s="54"/>
      <c r="C28" s="52"/>
      <c r="D28" s="52"/>
      <c r="E28" s="114" t="s">
        <v>18</v>
      </c>
      <c r="F28" s="115" t="s">
        <v>18</v>
      </c>
      <c r="G28" s="115" t="s">
        <v>19</v>
      </c>
      <c r="H28" s="52"/>
      <c r="I28" s="52"/>
      <c r="J28" s="52"/>
      <c r="K28" s="52"/>
      <c r="L28" s="52"/>
      <c r="M28" s="52"/>
      <c r="N28" s="52"/>
      <c r="O28" s="54"/>
    </row>
    <row r="29" spans="2:15" s="49" customFormat="1" ht="19.5" customHeight="1" x14ac:dyDescent="0.3">
      <c r="B29" s="54"/>
      <c r="C29" s="54"/>
      <c r="D29" s="54"/>
      <c r="E29" s="116" t="s">
        <v>20</v>
      </c>
      <c r="F29" s="117" t="s">
        <v>20</v>
      </c>
      <c r="G29" s="117" t="s">
        <v>21</v>
      </c>
      <c r="H29" s="54"/>
      <c r="I29" s="54"/>
      <c r="J29" s="54"/>
      <c r="K29" s="54"/>
      <c r="L29" s="54"/>
      <c r="M29" s="54"/>
      <c r="N29" s="54"/>
      <c r="O29" s="54"/>
    </row>
    <row r="30" spans="2:15" ht="19.5" customHeight="1" x14ac:dyDescent="0.3">
      <c r="E30" s="118" t="s">
        <v>22</v>
      </c>
      <c r="F30" s="119" t="s">
        <v>22</v>
      </c>
      <c r="G30" s="119" t="s">
        <v>23</v>
      </c>
    </row>
    <row r="31" spans="2:15" ht="19.5" customHeight="1" x14ac:dyDescent="0.3">
      <c r="E31" s="118" t="s">
        <v>24</v>
      </c>
      <c r="F31" s="119" t="s">
        <v>24</v>
      </c>
      <c r="G31" s="119" t="s">
        <v>25</v>
      </c>
    </row>
    <row r="32" spans="2:15" ht="19.5" customHeight="1" x14ac:dyDescent="0.3">
      <c r="E32" s="118" t="s">
        <v>26</v>
      </c>
      <c r="F32" s="119" t="s">
        <v>26</v>
      </c>
      <c r="G32" s="119" t="s">
        <v>27</v>
      </c>
    </row>
    <row r="33" spans="5:7" ht="19.5" customHeight="1" x14ac:dyDescent="0.3">
      <c r="E33" s="118" t="s">
        <v>28</v>
      </c>
      <c r="F33" s="119" t="s">
        <v>28</v>
      </c>
      <c r="G33" s="119" t="s">
        <v>29</v>
      </c>
    </row>
    <row r="34" spans="5:7" ht="19.5" customHeight="1" x14ac:dyDescent="0.3">
      <c r="E34" s="118" t="s">
        <v>30</v>
      </c>
      <c r="F34" s="119" t="s">
        <v>30</v>
      </c>
      <c r="G34" s="119" t="s">
        <v>25</v>
      </c>
    </row>
    <row r="35" spans="5:7" ht="19.5" customHeight="1" x14ac:dyDescent="0.3">
      <c r="E35" s="118" t="s">
        <v>31</v>
      </c>
      <c r="F35" s="119" t="s">
        <v>31</v>
      </c>
      <c r="G35" s="119" t="s">
        <v>32</v>
      </c>
    </row>
    <row r="36" spans="5:7" ht="19.5" customHeight="1" x14ac:dyDescent="0.3">
      <c r="E36" s="118" t="s">
        <v>33</v>
      </c>
      <c r="F36" s="119" t="s">
        <v>33</v>
      </c>
      <c r="G36" s="119" t="s">
        <v>34</v>
      </c>
    </row>
    <row r="37" spans="5:7" ht="19.5" customHeight="1" x14ac:dyDescent="0.3">
      <c r="E37" s="118" t="s">
        <v>35</v>
      </c>
      <c r="F37" s="119" t="s">
        <v>35</v>
      </c>
      <c r="G37" s="119" t="s">
        <v>36</v>
      </c>
    </row>
    <row r="38" spans="5:7" ht="19.5" customHeight="1" x14ac:dyDescent="0.3">
      <c r="E38" s="118" t="s">
        <v>37</v>
      </c>
      <c r="F38" s="119" t="s">
        <v>37</v>
      </c>
      <c r="G38" s="119" t="s">
        <v>38</v>
      </c>
    </row>
    <row r="39" spans="5:7" ht="19.5" customHeight="1" x14ac:dyDescent="0.3">
      <c r="E39" s="118" t="s">
        <v>39</v>
      </c>
      <c r="F39" s="119" t="s">
        <v>39</v>
      </c>
      <c r="G39" s="119" t="s">
        <v>40</v>
      </c>
    </row>
    <row r="40" spans="5:7" ht="19.5" customHeight="1" x14ac:dyDescent="0.3">
      <c r="E40" s="118" t="s">
        <v>41</v>
      </c>
      <c r="F40" s="119" t="s">
        <v>41</v>
      </c>
      <c r="G40" s="119" t="s">
        <v>42</v>
      </c>
    </row>
    <row r="41" spans="5:7" ht="19.5" customHeight="1" x14ac:dyDescent="0.3">
      <c r="E41" s="118" t="s">
        <v>43</v>
      </c>
      <c r="F41" s="119" t="s">
        <v>43</v>
      </c>
      <c r="G41" s="119" t="s">
        <v>44</v>
      </c>
    </row>
    <row r="42" spans="5:7" ht="19.5" customHeight="1" x14ac:dyDescent="0.3">
      <c r="E42" s="118" t="s">
        <v>45</v>
      </c>
      <c r="F42" s="119" t="s">
        <v>45</v>
      </c>
      <c r="G42" s="119" t="s">
        <v>46</v>
      </c>
    </row>
    <row r="43" spans="5:7" ht="19.5" customHeight="1" x14ac:dyDescent="0.3">
      <c r="E43" s="118" t="s">
        <v>47</v>
      </c>
      <c r="F43" s="119" t="s">
        <v>47</v>
      </c>
      <c r="G43" s="119" t="s">
        <v>48</v>
      </c>
    </row>
    <row r="44" spans="5:7" ht="19.5" customHeight="1" x14ac:dyDescent="0.3">
      <c r="E44" s="118" t="s">
        <v>49</v>
      </c>
      <c r="F44" s="119" t="s">
        <v>49</v>
      </c>
      <c r="G44" s="119" t="s">
        <v>50</v>
      </c>
    </row>
    <row r="45" spans="5:7" ht="19.5" customHeight="1" x14ac:dyDescent="0.3">
      <c r="E45" s="118" t="s">
        <v>51</v>
      </c>
      <c r="F45" s="119" t="s">
        <v>51</v>
      </c>
      <c r="G45" s="119" t="s">
        <v>52</v>
      </c>
    </row>
    <row r="46" spans="5:7" ht="19.5" customHeight="1" x14ac:dyDescent="0.3">
      <c r="E46" s="118" t="s">
        <v>53</v>
      </c>
      <c r="F46" s="119" t="s">
        <v>53</v>
      </c>
      <c r="G46" s="119" t="s">
        <v>54</v>
      </c>
    </row>
    <row r="47" spans="5:7" ht="26" x14ac:dyDescent="0.3">
      <c r="E47" s="118" t="s">
        <v>55</v>
      </c>
      <c r="F47" s="119" t="s">
        <v>55</v>
      </c>
      <c r="G47" s="119" t="s">
        <v>54</v>
      </c>
    </row>
    <row r="48" spans="5:7" ht="26" x14ac:dyDescent="0.3">
      <c r="E48" s="118" t="s">
        <v>56</v>
      </c>
      <c r="F48" s="119" t="s">
        <v>56</v>
      </c>
      <c r="G48" s="119" t="s">
        <v>57</v>
      </c>
    </row>
    <row r="49" spans="5:7" ht="26" x14ac:dyDescent="0.3">
      <c r="E49" s="118" t="s">
        <v>58</v>
      </c>
      <c r="F49" s="119" t="s">
        <v>58</v>
      </c>
      <c r="G49" s="119" t="s">
        <v>59</v>
      </c>
    </row>
    <row r="50" spans="5:7" ht="26" x14ac:dyDescent="0.3">
      <c r="E50" s="118" t="s">
        <v>60</v>
      </c>
      <c r="F50" s="119" t="s">
        <v>60</v>
      </c>
      <c r="G50" s="119" t="s">
        <v>61</v>
      </c>
    </row>
    <row r="51" spans="5:7" ht="26" x14ac:dyDescent="0.3">
      <c r="E51" s="118" t="s">
        <v>62</v>
      </c>
      <c r="F51" s="119" t="s">
        <v>62</v>
      </c>
      <c r="G51" s="119" t="s">
        <v>17</v>
      </c>
    </row>
    <row r="52" spans="5:7" ht="26" x14ac:dyDescent="0.3">
      <c r="E52" s="118" t="s">
        <v>63</v>
      </c>
      <c r="F52" s="119" t="s">
        <v>63</v>
      </c>
      <c r="G52" s="119" t="s">
        <v>64</v>
      </c>
    </row>
    <row r="53" spans="5:7" ht="26" x14ac:dyDescent="0.3">
      <c r="E53" s="118" t="s">
        <v>65</v>
      </c>
      <c r="F53" s="119" t="s">
        <v>65</v>
      </c>
      <c r="G53" s="119" t="s">
        <v>66</v>
      </c>
    </row>
    <row r="54" spans="5:7" ht="26" x14ac:dyDescent="0.3">
      <c r="E54" s="118" t="s">
        <v>67</v>
      </c>
      <c r="F54" s="119" t="s">
        <v>67</v>
      </c>
      <c r="G54" s="119" t="s">
        <v>68</v>
      </c>
    </row>
    <row r="55" spans="5:7" ht="26" x14ac:dyDescent="0.3">
      <c r="E55" s="118" t="s">
        <v>69</v>
      </c>
      <c r="F55" s="119" t="s">
        <v>69</v>
      </c>
      <c r="G55" s="119" t="s">
        <v>21</v>
      </c>
    </row>
    <row r="56" spans="5:7" ht="26" x14ac:dyDescent="0.3">
      <c r="E56" s="118" t="s">
        <v>70</v>
      </c>
      <c r="F56" s="119" t="s">
        <v>70</v>
      </c>
      <c r="G56" s="119" t="s">
        <v>57</v>
      </c>
    </row>
    <row r="57" spans="5:7" ht="26" x14ac:dyDescent="0.3">
      <c r="E57" s="118" t="s">
        <v>71</v>
      </c>
      <c r="F57" s="119" t="s">
        <v>71</v>
      </c>
      <c r="G57" s="119" t="s">
        <v>72</v>
      </c>
    </row>
    <row r="58" spans="5:7" ht="26" x14ac:dyDescent="0.3">
      <c r="E58" s="118" t="s">
        <v>73</v>
      </c>
      <c r="F58" s="119" t="s">
        <v>73</v>
      </c>
      <c r="G58" s="119" t="s">
        <v>74</v>
      </c>
    </row>
    <row r="59" spans="5:7" ht="26" x14ac:dyDescent="0.3">
      <c r="E59" s="118" t="s">
        <v>75</v>
      </c>
      <c r="F59" s="119" t="s">
        <v>75</v>
      </c>
      <c r="G59" s="119" t="s">
        <v>76</v>
      </c>
    </row>
    <row r="60" spans="5:7" ht="14" x14ac:dyDescent="0.3">
      <c r="E60" s="118" t="s">
        <v>77</v>
      </c>
      <c r="F60" s="119" t="s">
        <v>77</v>
      </c>
      <c r="G60" s="119" t="s">
        <v>78</v>
      </c>
    </row>
    <row r="61" spans="5:7" ht="26" x14ac:dyDescent="0.3">
      <c r="E61" s="118" t="s">
        <v>79</v>
      </c>
      <c r="F61" s="119" t="s">
        <v>79</v>
      </c>
      <c r="G61" s="119" t="s">
        <v>78</v>
      </c>
    </row>
    <row r="62" spans="5:7" ht="14" x14ac:dyDescent="0.3">
      <c r="E62" s="118" t="s">
        <v>80</v>
      </c>
      <c r="F62" s="119" t="s">
        <v>80</v>
      </c>
      <c r="G62" s="119" t="s">
        <v>81</v>
      </c>
    </row>
    <row r="63" spans="5:7" ht="26" x14ac:dyDescent="0.3">
      <c r="E63" s="118" t="s">
        <v>82</v>
      </c>
      <c r="F63" s="119" t="s">
        <v>82</v>
      </c>
      <c r="G63" s="119" t="s">
        <v>83</v>
      </c>
    </row>
    <row r="64" spans="5:7" ht="14" x14ac:dyDescent="0.3">
      <c r="E64" s="118" t="s">
        <v>84</v>
      </c>
      <c r="F64" s="119" t="s">
        <v>84</v>
      </c>
      <c r="G64" s="119" t="s">
        <v>72</v>
      </c>
    </row>
  </sheetData>
  <mergeCells count="3">
    <mergeCell ref="C13:G13"/>
    <mergeCell ref="E24:G24"/>
    <mergeCell ref="E25:G25"/>
  </mergeCells>
  <hyperlinks>
    <hyperlink ref="E12" r:id="rId1" display="https://raw.githubusercontent.com/vengeanceaiUSC/Rainmaker/cursor/vengeanceaiusmodel18-d3ac/FICO/output/MODEL18_FICO_ASSUMPTIONS_LIST.pdf" xr:uid="{00000000-0004-0000-0000-000000000000}"/>
    <hyperlink ref="C13" r:id="rId2" display="https://raw.githubusercontent.com/vengeanceaiUSC/Rainmaker/cursor/vengeanceaiusmodel18-d3ac/FICO/output/MODEL18_FICO_ASSUMPTIONS_LIST.pdf" xr:uid="{00000000-0004-0000-0000-000001000000}"/>
    <hyperlink ref="C15" location="'3 Statement Model'!A1" display="3 Statement Model" xr:uid="{00000000-0004-0000-0000-000002000000}"/>
    <hyperlink ref="C22" r:id="rId3" display="https://raw.githubusercontent.com/vengeanceaiUSC/Rainmaker/cursor/vengeanceaiusmodel18-d3ac/FICO/output/MODEL18_FICO_ASSUMPTIONS_LIST.pdf" xr:uid="{00000000-0004-0000-0000-000003000000}"/>
    <hyperlink ref="C23" r:id="rId4" display="https://raw.githubusercontent.com/vengeanceaiUSC/Rainmaker/cursor/vengeanceaiusmodel18-d3ac/FICO/output/MODEL18_FICO_ASSUMPTIONS_LIST.pdf" xr:uid="{00000000-0004-0000-0000-000004000000}"/>
    <hyperlink ref="F27" r:id="rId5" xr:uid="{00000000-0004-0000-0000-000005000000}"/>
    <hyperlink ref="G27" r:id="rId6" xr:uid="{00000000-0004-0000-0000-000006000000}"/>
    <hyperlink ref="F28" r:id="rId7" xr:uid="{00000000-0004-0000-0000-000007000000}"/>
    <hyperlink ref="G28" r:id="rId8" xr:uid="{00000000-0004-0000-0000-000008000000}"/>
    <hyperlink ref="F29" r:id="rId9" xr:uid="{00000000-0004-0000-0000-000009000000}"/>
    <hyperlink ref="G29" r:id="rId10" xr:uid="{00000000-0004-0000-0000-00000A000000}"/>
    <hyperlink ref="F30" r:id="rId11" xr:uid="{00000000-0004-0000-0000-00000B000000}"/>
    <hyperlink ref="G30" r:id="rId12" xr:uid="{00000000-0004-0000-0000-00000C000000}"/>
    <hyperlink ref="F31" r:id="rId13" xr:uid="{00000000-0004-0000-0000-00000D000000}"/>
    <hyperlink ref="G31" r:id="rId14" xr:uid="{00000000-0004-0000-0000-00000E000000}"/>
    <hyperlink ref="F32" r:id="rId15" xr:uid="{00000000-0004-0000-0000-00000F000000}"/>
    <hyperlink ref="G32" r:id="rId16" xr:uid="{00000000-0004-0000-0000-000010000000}"/>
    <hyperlink ref="F33" r:id="rId17" xr:uid="{00000000-0004-0000-0000-000011000000}"/>
    <hyperlink ref="G33" r:id="rId18" xr:uid="{00000000-0004-0000-0000-000012000000}"/>
    <hyperlink ref="F34" r:id="rId19" xr:uid="{00000000-0004-0000-0000-000013000000}"/>
    <hyperlink ref="G34" r:id="rId20" xr:uid="{00000000-0004-0000-0000-000014000000}"/>
    <hyperlink ref="F35" r:id="rId21" xr:uid="{00000000-0004-0000-0000-000015000000}"/>
    <hyperlink ref="G35" r:id="rId22" xr:uid="{00000000-0004-0000-0000-000016000000}"/>
    <hyperlink ref="F36" r:id="rId23" xr:uid="{00000000-0004-0000-0000-000017000000}"/>
    <hyperlink ref="G36" r:id="rId24" xr:uid="{00000000-0004-0000-0000-000018000000}"/>
    <hyperlink ref="F37" r:id="rId25" xr:uid="{00000000-0004-0000-0000-000019000000}"/>
    <hyperlink ref="G37" r:id="rId26" xr:uid="{00000000-0004-0000-0000-00001A000000}"/>
    <hyperlink ref="F38" r:id="rId27" xr:uid="{00000000-0004-0000-0000-00001B000000}"/>
    <hyperlink ref="G38" r:id="rId28" xr:uid="{00000000-0004-0000-0000-00001C000000}"/>
    <hyperlink ref="F39" r:id="rId29" xr:uid="{00000000-0004-0000-0000-00001D000000}"/>
    <hyperlink ref="G39" r:id="rId30" xr:uid="{00000000-0004-0000-0000-00001E000000}"/>
    <hyperlink ref="F40" r:id="rId31" xr:uid="{00000000-0004-0000-0000-00001F000000}"/>
    <hyperlink ref="G40" r:id="rId32" xr:uid="{00000000-0004-0000-0000-000020000000}"/>
    <hyperlink ref="F41" r:id="rId33" xr:uid="{00000000-0004-0000-0000-000021000000}"/>
    <hyperlink ref="G41" r:id="rId34" xr:uid="{00000000-0004-0000-0000-000022000000}"/>
    <hyperlink ref="F42" r:id="rId35" xr:uid="{00000000-0004-0000-0000-000023000000}"/>
    <hyperlink ref="G42" r:id="rId36" xr:uid="{00000000-0004-0000-0000-000024000000}"/>
    <hyperlink ref="F43" r:id="rId37" xr:uid="{00000000-0004-0000-0000-000025000000}"/>
    <hyperlink ref="G43" r:id="rId38" xr:uid="{00000000-0004-0000-0000-000026000000}"/>
    <hyperlink ref="F44" r:id="rId39" xr:uid="{00000000-0004-0000-0000-000027000000}"/>
    <hyperlink ref="G44" r:id="rId40" xr:uid="{00000000-0004-0000-0000-000028000000}"/>
    <hyperlink ref="F45" r:id="rId41" xr:uid="{00000000-0004-0000-0000-000029000000}"/>
    <hyperlink ref="G45" r:id="rId42" xr:uid="{00000000-0004-0000-0000-00002A000000}"/>
    <hyperlink ref="F46" r:id="rId43" xr:uid="{00000000-0004-0000-0000-00002B000000}"/>
    <hyperlink ref="G46" r:id="rId44" xr:uid="{00000000-0004-0000-0000-00002C000000}"/>
    <hyperlink ref="F47" r:id="rId45" xr:uid="{00000000-0004-0000-0000-00002D000000}"/>
    <hyperlink ref="G47" r:id="rId46" xr:uid="{00000000-0004-0000-0000-00002E000000}"/>
    <hyperlink ref="F48" r:id="rId47" xr:uid="{00000000-0004-0000-0000-00002F000000}"/>
    <hyperlink ref="G48" r:id="rId48" xr:uid="{00000000-0004-0000-0000-000030000000}"/>
    <hyperlink ref="F49" r:id="rId49" xr:uid="{00000000-0004-0000-0000-000031000000}"/>
    <hyperlink ref="G49" r:id="rId50" xr:uid="{00000000-0004-0000-0000-000032000000}"/>
    <hyperlink ref="F50" r:id="rId51" xr:uid="{00000000-0004-0000-0000-000033000000}"/>
    <hyperlink ref="G50" r:id="rId52" xr:uid="{00000000-0004-0000-0000-000034000000}"/>
    <hyperlink ref="F51" r:id="rId53" xr:uid="{00000000-0004-0000-0000-000035000000}"/>
    <hyperlink ref="G51" r:id="rId54" xr:uid="{00000000-0004-0000-0000-000036000000}"/>
    <hyperlink ref="F52" r:id="rId55" xr:uid="{00000000-0004-0000-0000-000037000000}"/>
    <hyperlink ref="G52" r:id="rId56" xr:uid="{00000000-0004-0000-0000-000038000000}"/>
    <hyperlink ref="F53" r:id="rId57" xr:uid="{00000000-0004-0000-0000-000039000000}"/>
    <hyperlink ref="G53" r:id="rId58" xr:uid="{00000000-0004-0000-0000-00003A000000}"/>
    <hyperlink ref="F54" r:id="rId59" xr:uid="{00000000-0004-0000-0000-00003B000000}"/>
    <hyperlink ref="G54" r:id="rId60" xr:uid="{00000000-0004-0000-0000-00003C000000}"/>
    <hyperlink ref="F55" r:id="rId61" xr:uid="{00000000-0004-0000-0000-00003D000000}"/>
    <hyperlink ref="G55" r:id="rId62" xr:uid="{00000000-0004-0000-0000-00003E000000}"/>
    <hyperlink ref="F56" r:id="rId63" xr:uid="{00000000-0004-0000-0000-00003F000000}"/>
    <hyperlink ref="G56" r:id="rId64" xr:uid="{00000000-0004-0000-0000-000040000000}"/>
    <hyperlink ref="F57" r:id="rId65" xr:uid="{00000000-0004-0000-0000-000041000000}"/>
    <hyperlink ref="G57" r:id="rId66" xr:uid="{00000000-0004-0000-0000-000042000000}"/>
    <hyperlink ref="F58" r:id="rId67" xr:uid="{00000000-0004-0000-0000-000043000000}"/>
    <hyperlink ref="G58" r:id="rId68" xr:uid="{00000000-0004-0000-0000-000044000000}"/>
    <hyperlink ref="F59" r:id="rId69" xr:uid="{00000000-0004-0000-0000-000045000000}"/>
    <hyperlink ref="G59" r:id="rId70" xr:uid="{00000000-0004-0000-0000-000046000000}"/>
    <hyperlink ref="F60" r:id="rId71" xr:uid="{00000000-0004-0000-0000-000047000000}"/>
    <hyperlink ref="G60" r:id="rId72" xr:uid="{00000000-0004-0000-0000-000048000000}"/>
    <hyperlink ref="F61" r:id="rId73" xr:uid="{00000000-0004-0000-0000-000049000000}"/>
    <hyperlink ref="G61" r:id="rId74" xr:uid="{00000000-0004-0000-0000-00004A000000}"/>
    <hyperlink ref="F62" r:id="rId75" xr:uid="{00000000-0004-0000-0000-00004B000000}"/>
    <hyperlink ref="G62" r:id="rId76" xr:uid="{00000000-0004-0000-0000-00004C000000}"/>
    <hyperlink ref="F63" r:id="rId77" xr:uid="{00000000-0004-0000-0000-00004D000000}"/>
    <hyperlink ref="G63" r:id="rId78" xr:uid="{00000000-0004-0000-0000-00004E000000}"/>
    <hyperlink ref="F64" r:id="rId79" xr:uid="{00000000-0004-0000-0000-00004F000000}"/>
    <hyperlink ref="G64" r:id="rId80" xr:uid="{00000000-0004-0000-0000-000050000000}"/>
  </hyperlinks>
  <pageMargins left="0.7" right="0.7" top="0.75" bottom="0.75" header="0.3" footer="0.3"/>
  <pageSetup scale="64" orientation="landscape"/>
  <drawing r:id="rId8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38"/>
  <sheetViews>
    <sheetView showGridLines="0" tabSelected="1" topLeftCell="Q1" zoomScale="72" zoomScaleNormal="55" workbookViewId="0">
      <pane ySplit="3" topLeftCell="A10" activePane="bottomLeft" state="frozen"/>
      <selection pane="bottomLeft" activeCell="T17" sqref="T17"/>
    </sheetView>
  </sheetViews>
  <sheetFormatPr defaultColWidth="9.08984375" defaultRowHeight="15.5" outlineLevelRow="1" x14ac:dyDescent="0.35"/>
  <cols>
    <col min="1" max="1" width="1.90625" style="1" customWidth="1"/>
    <col min="2" max="2" width="42" style="1" customWidth="1"/>
    <col min="3" max="3" width="80" customWidth="1"/>
    <col min="4" max="4" width="16" style="12" customWidth="1"/>
    <col min="5" max="5" width="16" style="1" customWidth="1"/>
    <col min="6" max="9" width="16" customWidth="1"/>
    <col min="10" max="10" width="16" style="1" customWidth="1"/>
    <col min="11" max="14" width="16" customWidth="1"/>
    <col min="15" max="15" width="9.08984375" style="1" customWidth="1"/>
    <col min="16" max="16" width="8" customWidth="1"/>
    <col min="17" max="17" width="22" customWidth="1"/>
    <col min="18" max="18" width="36" customWidth="1"/>
    <col min="19" max="19" width="42" customWidth="1"/>
    <col min="20" max="20" width="48" customWidth="1"/>
    <col min="21" max="21" width="42" customWidth="1"/>
    <col min="22" max="22" width="55" customWidth="1"/>
    <col min="23" max="16384" width="9.08984375" style="1"/>
  </cols>
  <sheetData>
    <row r="1" spans="1:22" x14ac:dyDescent="0.35">
      <c r="A1" s="26"/>
      <c r="B1" s="27" t="s">
        <v>85</v>
      </c>
      <c r="C1" s="26"/>
      <c r="D1" s="28"/>
      <c r="E1" s="47" t="s">
        <v>86</v>
      </c>
      <c r="F1" s="48"/>
      <c r="G1" s="48"/>
      <c r="H1" s="48"/>
      <c r="I1" s="48"/>
      <c r="J1" s="29" t="s">
        <v>87</v>
      </c>
      <c r="K1" s="30"/>
      <c r="L1" s="30"/>
      <c r="M1" s="30"/>
      <c r="N1" s="30"/>
    </row>
    <row r="2" spans="1:22" ht="21" customHeight="1" x14ac:dyDescent="0.4">
      <c r="A2" s="26"/>
      <c r="B2" s="31" t="s">
        <v>88</v>
      </c>
      <c r="C2" s="32"/>
      <c r="D2" s="33"/>
      <c r="E2" s="120">
        <v>2021</v>
      </c>
      <c r="F2" s="121">
        <f t="shared" ref="F2:N2" si="0">+E2+1</f>
        <v>2022</v>
      </c>
      <c r="G2" s="121">
        <f t="shared" si="0"/>
        <v>2023</v>
      </c>
      <c r="H2" s="121">
        <f t="shared" si="0"/>
        <v>2024</v>
      </c>
      <c r="I2" s="121">
        <f t="shared" si="0"/>
        <v>2025</v>
      </c>
      <c r="J2" s="122">
        <f t="shared" si="0"/>
        <v>2026</v>
      </c>
      <c r="K2" s="122">
        <f t="shared" si="0"/>
        <v>2027</v>
      </c>
      <c r="L2" s="122">
        <f t="shared" si="0"/>
        <v>2028</v>
      </c>
      <c r="M2" s="122">
        <f t="shared" si="0"/>
        <v>2029</v>
      </c>
      <c r="N2" s="122">
        <f t="shared" si="0"/>
        <v>2030</v>
      </c>
    </row>
    <row r="3" spans="1:22" x14ac:dyDescent="0.35">
      <c r="B3" s="1" t="s">
        <v>89</v>
      </c>
      <c r="E3" s="123" t="str">
        <f t="shared" ref="E3:N3" si="1">IFERROR(IF(ABS(E57)&gt;0.5,"ERROR","OK"),"OK")</f>
        <v>OK</v>
      </c>
      <c r="F3" s="123" t="str">
        <f t="shared" si="1"/>
        <v>OK</v>
      </c>
      <c r="G3" s="123" t="str">
        <f t="shared" si="1"/>
        <v>OK</v>
      </c>
      <c r="H3" s="123" t="str">
        <f t="shared" si="1"/>
        <v>OK</v>
      </c>
      <c r="I3" s="123" t="str">
        <f t="shared" si="1"/>
        <v>OK</v>
      </c>
      <c r="J3" s="123" t="str">
        <f t="shared" si="1"/>
        <v>OK</v>
      </c>
      <c r="K3" s="123" t="str">
        <f t="shared" si="1"/>
        <v>OK</v>
      </c>
      <c r="L3" s="123" t="str">
        <f t="shared" si="1"/>
        <v>OK</v>
      </c>
      <c r="M3" s="123" t="str">
        <f t="shared" si="1"/>
        <v>OK</v>
      </c>
      <c r="N3" s="123" t="str">
        <f t="shared" si="1"/>
        <v>OK</v>
      </c>
    </row>
    <row r="4" spans="1:22" ht="44" customHeight="1" x14ac:dyDescent="0.35">
      <c r="A4" s="124" t="str">
        <f>HYPERLINK("https://raw.githubusercontent.com/vengeanceaiUSC/Rainmaker/cursor/vengeanceaiusmodel18-d3ac/FICO/output/MODEL18_FICO_ASSUMPTIONS_LIST.pdf","⬇ Download Assumptions List PDF")</f>
        <v>⬇ Download Assumptions List PDF</v>
      </c>
      <c r="B4" s="125" t="s">
        <v>90</v>
      </c>
      <c r="P4" s="196" t="str">
        <f>HYPERLINK("https://raw.githubusercontent.com/vengeanceaiUSC/Rainmaker/cursor/vengeanceaiusmodel18-d3ac/FICO/output/MODEL18_FICO_ASSUMPTIONS_LIST.pdf","ASSUMPTIONS EXPLAINED — click blue Source (col U) for the filing/data")</f>
        <v>ASSUMPTIONS EXPLAINED — click blue Source (col U) for the filing/data</v>
      </c>
      <c r="Q4" s="197"/>
      <c r="R4" s="197"/>
      <c r="S4" s="197"/>
      <c r="T4" s="197"/>
      <c r="U4" s="197"/>
      <c r="V4" s="198"/>
    </row>
    <row r="5" spans="1:22" ht="18" customHeight="1" x14ac:dyDescent="0.35">
      <c r="B5" s="34" t="s">
        <v>91</v>
      </c>
      <c r="C5" s="34"/>
      <c r="D5" s="34"/>
      <c r="E5" s="34"/>
      <c r="F5" s="34"/>
      <c r="G5" s="34"/>
      <c r="H5" s="34"/>
      <c r="I5" s="34"/>
      <c r="J5" s="34"/>
      <c r="K5" s="34"/>
      <c r="L5" s="34"/>
      <c r="M5" s="34"/>
      <c r="N5" s="34"/>
      <c r="P5" s="194" t="s">
        <v>92</v>
      </c>
      <c r="Q5" s="195"/>
      <c r="R5" s="195"/>
      <c r="S5" s="195"/>
      <c r="T5" s="195"/>
      <c r="U5" s="195"/>
      <c r="V5" s="195"/>
    </row>
    <row r="6" spans="1:22" outlineLevel="1" x14ac:dyDescent="0.35">
      <c r="B6" s="3" t="s">
        <v>93</v>
      </c>
      <c r="C6" s="1"/>
      <c r="F6" s="1"/>
      <c r="G6" s="1"/>
      <c r="H6" s="1"/>
      <c r="I6" s="1"/>
      <c r="K6" s="1"/>
      <c r="L6" s="1"/>
      <c r="M6" s="1"/>
      <c r="N6" s="1"/>
      <c r="P6" s="126" t="s">
        <v>94</v>
      </c>
      <c r="Q6" s="126" t="s">
        <v>95</v>
      </c>
      <c r="R6" s="126" t="s">
        <v>96</v>
      </c>
      <c r="S6" s="126" t="s">
        <v>97</v>
      </c>
      <c r="T6" s="126" t="s">
        <v>98</v>
      </c>
      <c r="U6" s="126" t="s">
        <v>99</v>
      </c>
      <c r="V6" s="126" t="s">
        <v>100</v>
      </c>
    </row>
    <row r="7" spans="1:22" ht="40" customHeight="1" outlineLevel="1" x14ac:dyDescent="0.35">
      <c r="B7" s="1" t="s">
        <v>101</v>
      </c>
      <c r="C7" s="127" t="s">
        <v>102</v>
      </c>
      <c r="D7" s="11"/>
      <c r="E7" s="19"/>
      <c r="F7" s="22">
        <f>F24/E24-1</f>
        <v>4.6131666737559751E-2</v>
      </c>
      <c r="G7" s="22">
        <f>G24/F24-1</f>
        <v>9.8954453375155182E-2</v>
      </c>
      <c r="H7" s="22">
        <f>H24/G24-1</f>
        <v>0.13476136016020535</v>
      </c>
      <c r="I7" s="22">
        <f>I24/H24-1</f>
        <v>0.15914926469817625</v>
      </c>
      <c r="J7" s="128">
        <v>0.3</v>
      </c>
      <c r="K7" s="128">
        <v>0.18</v>
      </c>
      <c r="L7" s="128">
        <v>0.14499999999999999</v>
      </c>
      <c r="M7" s="128">
        <v>0.11</v>
      </c>
      <c r="N7" s="128">
        <v>8.5000000000000006E-2</v>
      </c>
      <c r="P7" s="129">
        <v>7</v>
      </c>
      <c r="Q7" s="129" t="s">
        <v>103</v>
      </c>
      <c r="R7" s="130" t="s">
        <v>104</v>
      </c>
      <c r="S7" s="130" t="s">
        <v>105</v>
      </c>
      <c r="T7" s="130" t="s">
        <v>106</v>
      </c>
      <c r="U7" s="131" t="str">
        <f>HYPERLINK("https://www.sec.gov/Archives/edgar/data/814547/000081454726000031/exhibit991erq32026.htm","SEC EX-99.1 Q3 FY2026 — Scores +41% / B2B +49%; FY2026 guidance")</f>
        <v>SEC EX-99.1 Q3 FY2026 — Scores +41% / B2B +49%; FY2026 guidance</v>
      </c>
      <c r="V7" s="131" t="str">
        <f>HYPERLINK("https://www.sec.gov/Archives/edgar/data/814547/000081454726000031/exhibit991erq32026.htm","https://www.sec.gov/Archives/edgar/data/814547/000081454726000031/exhibit991erq32026.htm")</f>
        <v>https://www.sec.gov/Archives/edgar/data/814547/000081454726000031/exhibit991erq32026.htm</v>
      </c>
    </row>
    <row r="8" spans="1:22" ht="40" customHeight="1" outlineLevel="1" x14ac:dyDescent="0.35">
      <c r="B8" s="1" t="s">
        <v>107</v>
      </c>
      <c r="C8" s="127" t="s">
        <v>108</v>
      </c>
      <c r="E8" s="22">
        <f>E25/E24</f>
        <v>0.25252784580140614</v>
      </c>
      <c r="F8" s="22">
        <f>F25/F24</f>
        <v>0.21940069848323132</v>
      </c>
      <c r="G8" s="22">
        <f>G25/G24</f>
        <v>0.20551125593552141</v>
      </c>
      <c r="H8" s="22">
        <f>H25/H24</f>
        <v>0.20273696002273037</v>
      </c>
      <c r="I8" s="22">
        <f>I25/I24</f>
        <v>0.17767216225678334</v>
      </c>
      <c r="J8" s="132">
        <f>MAX(0.08,J122-0.012)</f>
        <v>0.11661352866512055</v>
      </c>
      <c r="K8" s="132">
        <f>MAX(0.08,K122-0.024)</f>
        <v>0.10341352866512069</v>
      </c>
      <c r="L8" s="132">
        <f>MAX(0.08,L122-0.036)</f>
        <v>9.0213528665120585E-2</v>
      </c>
      <c r="M8" s="132">
        <f>MAX(0.08,M122-0.048)</f>
        <v>0.08</v>
      </c>
      <c r="N8" s="132">
        <f>MAX(0.08,N122-0.06)</f>
        <v>0.08</v>
      </c>
      <c r="P8" s="129">
        <v>8</v>
      </c>
      <c r="Q8" s="129" t="s">
        <v>109</v>
      </c>
      <c r="R8" s="130" t="s">
        <v>110</v>
      </c>
      <c r="S8" s="130" t="s">
        <v>111</v>
      </c>
      <c r="T8" s="130" t="s">
        <v>555</v>
      </c>
      <c r="U8" s="131" t="str">
        <f>HYPERLINK("https://www.sec.gov/Archives/edgar/data/814547/000081454725000030/fico-20250930.htm","SEC 10-K FY2025 — Scores +$249M YoY 'primarily attributable to a higher unit price'")</f>
        <v>SEC 10-K FY2025 — Scores +$249M YoY 'primarily attributable to a higher unit price'</v>
      </c>
      <c r="V8" s="131" t="str">
        <f>HYPERLINK("https://www.sec.gov/Archives/edgar/data/814547/000081454725000030/fico-20250930.htm","https://www.sec.gov/Archives/edgar/data/814547/000081454725000030/fico-20250930.htm")</f>
        <v>https://www.sec.gov/Archives/edgar/data/814547/000081454725000030/fico-20250930.htm</v>
      </c>
    </row>
    <row r="9" spans="1:22" ht="40" customHeight="1" outlineLevel="1" x14ac:dyDescent="0.35">
      <c r="B9" s="1" t="s">
        <v>112</v>
      </c>
      <c r="C9" s="127" t="s">
        <v>113</v>
      </c>
      <c r="E9" s="133">
        <f t="shared" ref="E9:I10" si="2">E28</f>
        <v>396281</v>
      </c>
      <c r="F9" s="133">
        <f t="shared" si="2"/>
        <v>383863</v>
      </c>
      <c r="G9" s="133">
        <f t="shared" si="2"/>
        <v>400565</v>
      </c>
      <c r="H9" s="133">
        <f t="shared" si="2"/>
        <v>462834</v>
      </c>
      <c r="I9" s="133">
        <f t="shared" si="2"/>
        <v>513028</v>
      </c>
      <c r="J9" s="134">
        <f>MAX(0.14,(($I$28-10922)/$I$24)-0.0175)</f>
        <v>0.23470443936793428</v>
      </c>
      <c r="K9" s="134">
        <f>MAX(0.14,(($I$28-10922)/$I$24)-0.035)</f>
        <v>0.21720443936793429</v>
      </c>
      <c r="L9" s="134">
        <f>MAX(0.14,(($I$28-10922)/$I$24)-0.0525)</f>
        <v>0.19970443936793431</v>
      </c>
      <c r="M9" s="134">
        <f>MAX(0.14,(($I$28-10922)/$I$24)-0.07)</f>
        <v>0.18220443936793429</v>
      </c>
      <c r="N9" s="134">
        <f>MAX(0.14,(($I$28-10922)/$I$24)-0.0875)</f>
        <v>0.1647044393679343</v>
      </c>
      <c r="P9" s="129">
        <v>9</v>
      </c>
      <c r="Q9" s="129" t="s">
        <v>114</v>
      </c>
      <c r="R9" s="191" t="s">
        <v>115</v>
      </c>
      <c r="S9" s="191" t="s">
        <v>556</v>
      </c>
      <c r="T9" s="191" t="s">
        <v>557</v>
      </c>
      <c r="U9" s="131" t="str">
        <f>HYPERLINK("https://www.sec.gov/Archives/edgar/data/814547/000081454725000030/fico-20250930.htm","SEC 10-K FY2025 — SG&amp;A + Scores pricing commentary")</f>
        <v>SEC 10-K FY2025 — SG&amp;A + Scores pricing commentary</v>
      </c>
      <c r="V9" s="131" t="str">
        <f>HYPERLINK("https://www.sec.gov/Archives/edgar/data/814547/000081454725000030/fico-20250930.htm","https://www.sec.gov/Archives/edgar/data/814547/000081454725000030/fico-20250930.htm")</f>
        <v>https://www.sec.gov/Archives/edgar/data/814547/000081454725000030/fico-20250930.htm</v>
      </c>
    </row>
    <row r="10" spans="1:22" ht="40" customHeight="1" outlineLevel="1" x14ac:dyDescent="0.35">
      <c r="B10" s="1" t="s">
        <v>116</v>
      </c>
      <c r="C10" s="127" t="s">
        <v>117</v>
      </c>
      <c r="E10" s="133">
        <f t="shared" si="2"/>
        <v>171231</v>
      </c>
      <c r="F10" s="133">
        <f t="shared" si="2"/>
        <v>146758</v>
      </c>
      <c r="G10" s="133">
        <f t="shared" si="2"/>
        <v>159950</v>
      </c>
      <c r="H10" s="133">
        <f t="shared" si="2"/>
        <v>171940</v>
      </c>
      <c r="I10" s="133">
        <f t="shared" si="2"/>
        <v>188347</v>
      </c>
      <c r="J10" s="134">
        <f>MAX(0.07,$I$29/$I$24-0.005)</f>
        <v>8.9605421049802875E-2</v>
      </c>
      <c r="K10" s="134">
        <f>MAX(0.07,$I$29/$I$24-0.01)</f>
        <v>8.4605421049802884E-2</v>
      </c>
      <c r="L10" s="134">
        <f>MAX(0.07,$I$29/$I$24-0.015)</f>
        <v>7.960542104980288E-2</v>
      </c>
      <c r="M10" s="134">
        <f>MAX(0.07,$I$29/$I$24-0.02)</f>
        <v>7.4605421049802875E-2</v>
      </c>
      <c r="N10" s="134">
        <f>MAX(0.07,$I$29/$I$24-0.025)</f>
        <v>7.0000000000000007E-2</v>
      </c>
      <c r="P10" s="129">
        <v>10</v>
      </c>
      <c r="Q10" s="129" t="s">
        <v>118</v>
      </c>
      <c r="R10" s="130" t="s">
        <v>119</v>
      </c>
      <c r="S10" s="192" t="s">
        <v>558</v>
      </c>
      <c r="T10" s="192" t="s">
        <v>559</v>
      </c>
      <c r="U10" s="131" t="str">
        <f>HYPERLINK("https://www.sec.gov/Archives/edgar/data/814547/000081454725000030/fico-20250930.htm","SEC 10-K FY2025 — Research and development")</f>
        <v>SEC 10-K FY2025 — Research and development</v>
      </c>
      <c r="V10" s="131" t="str">
        <f>HYPERLINK("https://www.sec.gov/Archives/edgar/data/814547/000081454725000030/fico-20250930.htm","https://www.sec.gov/Archives/edgar/data/814547/000081454725000030/fico-20250930.htm")</f>
        <v>https://www.sec.gov/Archives/edgar/data/814547/000081454725000030/fico-20250930.htm</v>
      </c>
    </row>
    <row r="11" spans="1:22" ht="40" customHeight="1" outlineLevel="1" x14ac:dyDescent="0.35">
      <c r="B11" s="1" t="s">
        <v>120</v>
      </c>
      <c r="C11" s="127" t="s">
        <v>121</v>
      </c>
      <c r="E11" s="22">
        <f>E30/E92</f>
        <v>0.55132596566061309</v>
      </c>
      <c r="F11" s="22">
        <f>F30/F92</f>
        <v>0.73317092394224914</v>
      </c>
      <c r="G11" s="22">
        <f>G30/G92</f>
        <v>0.832650739476678</v>
      </c>
      <c r="H11" s="22">
        <f>H30/H92</f>
        <v>1.2608973189859567</v>
      </c>
      <c r="I11" s="22">
        <f>I30/I92</f>
        <v>0.38871701546860782</v>
      </c>
      <c r="J11" s="128">
        <v>8.4110000000000001E-3</v>
      </c>
      <c r="K11" s="128">
        <v>8.4110000000000001E-3</v>
      </c>
      <c r="L11" s="128">
        <v>8.4110000000000001E-3</v>
      </c>
      <c r="M11" s="128">
        <v>8.4110000000000001E-3</v>
      </c>
      <c r="N11" s="128">
        <v>8.4110000000000001E-3</v>
      </c>
      <c r="P11" s="129">
        <v>11</v>
      </c>
      <c r="Q11" s="129" t="s">
        <v>122</v>
      </c>
      <c r="R11" s="130" t="s">
        <v>123</v>
      </c>
      <c r="S11" s="192" t="s">
        <v>560</v>
      </c>
      <c r="T11" s="192" t="s">
        <v>561</v>
      </c>
      <c r="U11" s="131" t="str">
        <f>HYPERLINK("https://data.sec.gov/api/xbrl/companyfacts/CIK0000814547.json","SEC companyfacts — DepreciationDepletionAndAmortization (+ AmortizationOfIntangibleAssets)")</f>
        <v>SEC companyfacts — DepreciationDepletionAndAmortization (+ AmortizationOfIntangibleAssets)</v>
      </c>
      <c r="V11" s="131" t="str">
        <f>HYPERLINK("https://data.sec.gov/api/xbrl/companyfacts/CIK0000814547.json","https://data.sec.gov/api/xbrl/companyfacts/CIK0000814547.json")</f>
        <v>https://data.sec.gov/api/xbrl/companyfacts/CIK0000814547.json</v>
      </c>
    </row>
    <row r="12" spans="1:22" ht="40" customHeight="1" outlineLevel="1" x14ac:dyDescent="0.35">
      <c r="B12" s="1" t="s">
        <v>124</v>
      </c>
      <c r="C12" s="127" t="s">
        <v>125</v>
      </c>
      <c r="E12" s="22">
        <f>E101/E98</f>
        <v>5.4219775909985328E-2</v>
      </c>
      <c r="F12" s="22">
        <f>F101/F98</f>
        <v>5.4778406662970666E-2</v>
      </c>
      <c r="G12" s="22">
        <f>G101/G98</f>
        <v>5.1544261677786057E-2</v>
      </c>
      <c r="H12" s="22">
        <f>H101/H98</f>
        <v>5.6744042138781668E-2</v>
      </c>
      <c r="I12" s="22">
        <f>I101/I98</f>
        <v>6.0500556581399634E-2</v>
      </c>
      <c r="J12" s="132">
        <f>IF($I$98=0,0.05,$I$101/$I$98)</f>
        <v>6.0500556581399634E-2</v>
      </c>
      <c r="K12" s="132">
        <f>IF($I$98=0,0.05,$I$101/$I$98)</f>
        <v>6.0500556581399634E-2</v>
      </c>
      <c r="L12" s="132">
        <f>IF($I$98=0,0.05,$I$101/$I$98)</f>
        <v>6.0500556581399634E-2</v>
      </c>
      <c r="M12" s="132">
        <f>IF($I$98=0,0.05,$I$101/$I$98)</f>
        <v>6.0500556581399634E-2</v>
      </c>
      <c r="N12" s="132">
        <f>IF($I$98=0,0.05,$I$101/$I$98)</f>
        <v>6.0500556581399634E-2</v>
      </c>
      <c r="P12" s="129">
        <v>12</v>
      </c>
      <c r="Q12" s="129" t="s">
        <v>126</v>
      </c>
      <c r="R12" s="130" t="s">
        <v>127</v>
      </c>
      <c r="S12" s="192" t="s">
        <v>562</v>
      </c>
      <c r="T12" s="192" t="s">
        <v>563</v>
      </c>
      <c r="U12" s="131" t="str">
        <f>HYPERLINK("https://www.sec.gov/Archives/edgar/data/814547/000081454725000030/fico-20250930.htm","SEC 10-K FY2025 — Interest expense; see also 8-K 6.250% notes")</f>
        <v>SEC 10-K FY2025 — Interest expense; see also 8-K 6.250% notes</v>
      </c>
      <c r="V12" s="131" t="str">
        <f>HYPERLINK("https://www.sec.gov/Archives/edgar/data/814547/000081454725000030/fico-20250930.htm","https://www.sec.gov/Archives/edgar/data/814547/000081454725000030/fico-20250930.htm")</f>
        <v>https://www.sec.gov/Archives/edgar/data/814547/000081454725000030/fico-20250930.htm</v>
      </c>
    </row>
    <row r="13" spans="1:22" ht="40" customHeight="1" outlineLevel="1" x14ac:dyDescent="0.35">
      <c r="B13" s="1" t="s">
        <v>128</v>
      </c>
      <c r="C13" s="127" t="s">
        <v>129</v>
      </c>
      <c r="D13" s="15"/>
      <c r="E13" s="22">
        <f>E35/E33</f>
        <v>0.23101476866603207</v>
      </c>
      <c r="F13" s="22">
        <f>F35/F33</f>
        <v>0.21485442035148328</v>
      </c>
      <c r="G13" s="22">
        <f>G35/G33</f>
        <v>0.23363638927802485</v>
      </c>
      <c r="H13" s="22">
        <f>H35/H33</f>
        <v>0.21007639644209461</v>
      </c>
      <c r="I13" s="22">
        <f>I35/I33</f>
        <v>0.19137978563797284</v>
      </c>
      <c r="J13" s="132">
        <f>IF($I$33=0,0.21,$I$35/$I$33)</f>
        <v>0.19137978563797284</v>
      </c>
      <c r="K13" s="132">
        <f>IF($I$33=0,0.21,$I$35/$I$33)</f>
        <v>0.19137978563797284</v>
      </c>
      <c r="L13" s="132">
        <f>IF($I$33=0,0.21,$I$35/$I$33)</f>
        <v>0.19137978563797284</v>
      </c>
      <c r="M13" s="132">
        <f>IF($I$33=0,0.21,$I$35/$I$33)</f>
        <v>0.19137978563797284</v>
      </c>
      <c r="N13" s="132">
        <f>IF($I$33=0,0.21,$I$35/$I$33)</f>
        <v>0.19137978563797284</v>
      </c>
      <c r="P13" s="129">
        <v>13</v>
      </c>
      <c r="Q13" s="129" t="s">
        <v>130</v>
      </c>
      <c r="R13" s="130" t="s">
        <v>131</v>
      </c>
      <c r="S13" s="192" t="s">
        <v>564</v>
      </c>
      <c r="T13" s="192" t="s">
        <v>565</v>
      </c>
      <c r="U13" s="131" t="str">
        <f>HYPERLINK("https://data.sec.gov/api/xbrl/companyfacts/CIK0000814547.json","SEC 10-K FY2025 — tax expense; cash taxes from IncomeTaxesPaidNet")</f>
        <v>SEC 10-K FY2025 — tax expense; cash taxes from IncomeTaxesPaidNet</v>
      </c>
      <c r="V13" s="131" t="str">
        <f>HYPERLINK("https://data.sec.gov/api/xbrl/companyfacts/CIK0000814547.json","https://data.sec.gov/api/xbrl/companyfacts/CIK0000814547.json")</f>
        <v>https://data.sec.gov/api/xbrl/companyfacts/CIK0000814547.json</v>
      </c>
    </row>
    <row r="14" spans="1:22" outlineLevel="1" x14ac:dyDescent="0.35">
      <c r="B14" s="3" t="s">
        <v>132</v>
      </c>
      <c r="C14" s="1"/>
      <c r="F14" s="1"/>
      <c r="G14" s="1"/>
      <c r="H14" s="1"/>
      <c r="I14" s="1"/>
      <c r="K14" s="1"/>
      <c r="L14" s="1"/>
      <c r="M14" s="1"/>
      <c r="N14" s="1"/>
    </row>
    <row r="15" spans="1:22" ht="40" customHeight="1" outlineLevel="1" x14ac:dyDescent="0.35">
      <c r="B15" s="1" t="s">
        <v>133</v>
      </c>
      <c r="C15" s="135" t="s">
        <v>134</v>
      </c>
      <c r="D15" s="21"/>
      <c r="E15" s="133">
        <f t="shared" ref="E15:I16" si="3">E42/E24*365</f>
        <v>86.529388486148505</v>
      </c>
      <c r="F15" s="133">
        <f t="shared" si="3"/>
        <v>85.444139493345531</v>
      </c>
      <c r="G15" s="133">
        <f t="shared" si="3"/>
        <v>93.554887592604715</v>
      </c>
      <c r="H15" s="133">
        <f t="shared" si="3"/>
        <v>90.667815217935569</v>
      </c>
      <c r="I15" s="133">
        <f t="shared" si="3"/>
        <v>97.012420204443387</v>
      </c>
      <c r="J15" s="136">
        <v>83.2</v>
      </c>
      <c r="K15" s="136">
        <v>69.400000000000006</v>
      </c>
      <c r="L15" s="136">
        <v>55.6</v>
      </c>
      <c r="M15" s="136">
        <v>41.8</v>
      </c>
      <c r="N15" s="136">
        <v>28</v>
      </c>
      <c r="P15" s="129">
        <v>15</v>
      </c>
      <c r="Q15" s="129" t="s">
        <v>135</v>
      </c>
      <c r="R15" s="130" t="s">
        <v>136</v>
      </c>
      <c r="S15" s="192" t="s">
        <v>137</v>
      </c>
      <c r="T15" s="192" t="s">
        <v>566</v>
      </c>
      <c r="U15" s="131" t="str">
        <f>HYPERLINK("https://www.sec.gov/Archives/edgar/data/814547/000081454726000011/R45.htm","SEC 10-K FY2025 — AR; Q1 FY2026 deferred detail (R45)")</f>
        <v>SEC 10-K FY2025 — AR; Q1 FY2026 deferred detail (R45)</v>
      </c>
      <c r="V15" s="131" t="str">
        <f>HYPERLINK("https://www.sec.gov/Archives/edgar/data/814547/000081454726000011/R45.htm","https://www.sec.gov/Archives/edgar/data/814547/000081454726000011/R45.htm")</f>
        <v>https://www.sec.gov/Archives/edgar/data/814547/000081454726000011/R45.htm</v>
      </c>
    </row>
    <row r="16" spans="1:22" ht="40" customHeight="1" outlineLevel="1" x14ac:dyDescent="0.35">
      <c r="B16" s="1" t="s">
        <v>138</v>
      </c>
      <c r="C16" s="135" t="s">
        <v>139</v>
      </c>
      <c r="D16" s="21"/>
      <c r="E16" s="133">
        <f t="shared" si="3"/>
        <v>0</v>
      </c>
      <c r="F16" s="133">
        <f t="shared" si="3"/>
        <v>0</v>
      </c>
      <c r="G16" s="133">
        <f t="shared" si="3"/>
        <v>0</v>
      </c>
      <c r="H16" s="133">
        <f t="shared" si="3"/>
        <v>0</v>
      </c>
      <c r="I16" s="133">
        <f t="shared" si="3"/>
        <v>0</v>
      </c>
      <c r="J16" s="136">
        <v>0</v>
      </c>
      <c r="K16" s="136">
        <v>0</v>
      </c>
      <c r="L16" s="136">
        <v>0</v>
      </c>
      <c r="M16" s="136">
        <v>0</v>
      </c>
      <c r="N16" s="136">
        <v>0</v>
      </c>
      <c r="P16" s="129">
        <v>16</v>
      </c>
      <c r="Q16" s="129" t="s">
        <v>138</v>
      </c>
      <c r="R16" s="130" t="s">
        <v>140</v>
      </c>
      <c r="S16" s="192" t="s">
        <v>141</v>
      </c>
      <c r="T16" s="130" t="s">
        <v>142</v>
      </c>
      <c r="U16" s="131" t="str">
        <f>HYPERLINK("https://www.sec.gov/Archives/edgar/data/814547/000081454725000030/fico-20250930.htm","SEC 10-K FY2025 — Inventory ≈ $0")</f>
        <v>SEC 10-K FY2025 — Inventory ≈ $0</v>
      </c>
      <c r="V16" s="131" t="str">
        <f>HYPERLINK("https://www.sec.gov/Archives/edgar/data/814547/000081454725000030/fico-20250930.htm","https://www.sec.gov/Archives/edgar/data/814547/000081454725000030/fico-20250930.htm")</f>
        <v>https://www.sec.gov/Archives/edgar/data/814547/000081454725000030/fico-20250930.htm</v>
      </c>
    </row>
    <row r="17" spans="2:22" ht="40" customHeight="1" outlineLevel="1" x14ac:dyDescent="0.35">
      <c r="B17" s="1" t="s">
        <v>143</v>
      </c>
      <c r="C17" s="135" t="s">
        <v>144</v>
      </c>
      <c r="D17" s="21"/>
      <c r="E17" s="133">
        <f>E48/E25*365</f>
        <v>22.779701138776762</v>
      </c>
      <c r="F17" s="133">
        <f>F48/F25*365</f>
        <v>20.864286801644088</v>
      </c>
      <c r="G17" s="133">
        <f>G48/G25*365</f>
        <v>22.305796761323631</v>
      </c>
      <c r="H17" s="133">
        <f>H48/H25*365</f>
        <v>23.556874378959581</v>
      </c>
      <c r="I17" s="133">
        <f>I48/I25*365</f>
        <v>33.345324859635532</v>
      </c>
      <c r="J17" s="137">
        <f>IF($I$25=0,0,ROUND($I$48/$I$25*365,0))</f>
        <v>33</v>
      </c>
      <c r="K17" s="137">
        <f>IF($I$25=0,0,ROUND($I$48/$I$25*365,0))</f>
        <v>33</v>
      </c>
      <c r="L17" s="137">
        <f>IF($I$25=0,0,ROUND($I$48/$I$25*365,0))</f>
        <v>33</v>
      </c>
      <c r="M17" s="137">
        <f>IF($I$25=0,0,ROUND($I$48/$I$25*365,0))</f>
        <v>33</v>
      </c>
      <c r="N17" s="137">
        <f>IF($I$25=0,0,ROUND($I$48/$I$25*365,0))</f>
        <v>33</v>
      </c>
      <c r="P17" s="129">
        <v>17</v>
      </c>
      <c r="Q17" s="129" t="s">
        <v>145</v>
      </c>
      <c r="R17" s="192" t="s">
        <v>146</v>
      </c>
      <c r="S17" s="192" t="s">
        <v>567</v>
      </c>
      <c r="T17" s="192" t="s">
        <v>568</v>
      </c>
      <c r="U17" s="131" t="str">
        <f>HYPERLINK("https://www.sec.gov/Archives/edgar/data/814547/000081454725000030/fico-20250930.htm","SEC 10-K FY2025 — Accounts payable")</f>
        <v>SEC 10-K FY2025 — Accounts payable</v>
      </c>
      <c r="V17" s="131" t="str">
        <f>HYPERLINK("https://www.sec.gov/Archives/edgar/data/814547/000081454725000030/fico-20250930.htm","https://www.sec.gov/Archives/edgar/data/814547/000081454725000030/fico-20250930.htm")</f>
        <v>https://www.sec.gov/Archives/edgar/data/814547/000081454725000030/fico-20250930.htm</v>
      </c>
    </row>
    <row r="18" spans="2:22" ht="228" outlineLevel="1" x14ac:dyDescent="0.35">
      <c r="B18" s="1" t="s">
        <v>147</v>
      </c>
      <c r="C18" s="135" t="s">
        <v>148</v>
      </c>
      <c r="E18" s="133">
        <f>E68</f>
        <v>7569</v>
      </c>
      <c r="F18" s="133">
        <f>F68</f>
        <v>6029</v>
      </c>
      <c r="G18" s="133">
        <f>G68</f>
        <v>4237</v>
      </c>
      <c r="H18" s="133">
        <f>H68</f>
        <v>25551</v>
      </c>
      <c r="I18" s="133">
        <f>I68</f>
        <v>39407</v>
      </c>
      <c r="J18" s="138">
        <v>8.5000000000000006E-3</v>
      </c>
      <c r="K18" s="138">
        <v>7.0000000000000001E-3</v>
      </c>
      <c r="L18" s="138">
        <v>5.4999999999999997E-3</v>
      </c>
      <c r="M18" s="138">
        <v>4.4999999999999997E-3</v>
      </c>
      <c r="N18" s="138">
        <v>3.5000000000000001E-3</v>
      </c>
      <c r="P18" s="129">
        <v>18</v>
      </c>
      <c r="Q18" s="129" t="s">
        <v>149</v>
      </c>
      <c r="R18" s="130" t="s">
        <v>150</v>
      </c>
      <c r="S18" s="192" t="s">
        <v>569</v>
      </c>
      <c r="T18" s="192" t="s">
        <v>570</v>
      </c>
      <c r="U18" s="131" t="str">
        <f>HYPERLINK("https://data.sec.gov/api/xbrl/companyfacts/CIK0000814547.json","SEC 10-K / companyfacts — PPE purchases + capitalized software; fade to maintenance")</f>
        <v>SEC 10-K / companyfacts — PPE purchases + capitalized software; fade to maintenance</v>
      </c>
      <c r="V18" s="131" t="str">
        <f>HYPERLINK("https://data.sec.gov/api/xbrl/companyfacts/CIK0000814547.json","https://data.sec.gov/api/xbrl/companyfacts/CIK0000814547.json")</f>
        <v>https://data.sec.gov/api/xbrl/companyfacts/CIK0000814547.json</v>
      </c>
    </row>
    <row r="19" spans="2:22" ht="40" customHeight="1" outlineLevel="1" x14ac:dyDescent="0.35">
      <c r="B19" s="1" t="s">
        <v>151</v>
      </c>
      <c r="C19" s="135" t="s">
        <v>152</v>
      </c>
      <c r="E19" s="133">
        <f>E99</f>
        <v>519583</v>
      </c>
      <c r="F19" s="133">
        <f>F99</f>
        <v>594651</v>
      </c>
      <c r="G19" s="133">
        <f>G99</f>
        <v>7989</v>
      </c>
      <c r="H19" s="133">
        <f>H99</f>
        <v>347363</v>
      </c>
      <c r="I19" s="133">
        <f>I99</f>
        <v>846670</v>
      </c>
      <c r="J19" s="137">
        <f>-(J66-J69)-J20</f>
        <v>469707.54343694216</v>
      </c>
      <c r="K19" s="137">
        <f>-(K66-K69)-K20</f>
        <v>613111.16230144422</v>
      </c>
      <c r="L19" s="137">
        <f>-(L66-L69)-L20</f>
        <v>746453.03017801419</v>
      </c>
      <c r="M19" s="137">
        <f>-(M66-M69)-M20</f>
        <v>867482.59650690202</v>
      </c>
      <c r="N19" s="137">
        <f>-(N66-N69)-N20</f>
        <v>963915.12746774917</v>
      </c>
      <c r="P19" s="129">
        <v>19</v>
      </c>
      <c r="Q19" s="129" t="s">
        <v>153</v>
      </c>
      <c r="R19" s="130" t="s">
        <v>154</v>
      </c>
      <c r="S19" s="192" t="s">
        <v>571</v>
      </c>
      <c r="T19" s="192" t="s">
        <v>155</v>
      </c>
      <c r="U19" s="131" t="str">
        <f>HYPERLINK("https://data.sec.gov/api/xbrl/companyfacts/CIK0000814547.json","SEC EX-99.1 Q3 FY2026 — levered buybacks; companyfacts senior notes / LOC")</f>
        <v>SEC EX-99.1 Q3 FY2026 — levered buybacks; companyfacts senior notes / LOC</v>
      </c>
      <c r="V19" s="131" t="str">
        <f>HYPERLINK("https://data.sec.gov/api/xbrl/companyfacts/CIK0000814547.json","https://data.sec.gov/api/xbrl/companyfacts/CIK0000814547.json")</f>
        <v>https://data.sec.gov/api/xbrl/companyfacts/CIK0000814547.json</v>
      </c>
    </row>
    <row r="20" spans="2:22" ht="40" customHeight="1" outlineLevel="1" x14ac:dyDescent="0.35">
      <c r="B20" s="1" t="s">
        <v>156</v>
      </c>
      <c r="C20" s="135" t="s">
        <v>157</v>
      </c>
      <c r="E20" s="133">
        <f>E73</f>
        <v>-881923</v>
      </c>
      <c r="F20" s="133">
        <f>F73</f>
        <v>-1144718</v>
      </c>
      <c r="G20" s="133">
        <f>G73</f>
        <v>-499101</v>
      </c>
      <c r="H20" s="133">
        <f>H73</f>
        <v>-941992</v>
      </c>
      <c r="I20" s="133">
        <f>I73</f>
        <v>-1569748</v>
      </c>
      <c r="J20" s="137">
        <f>-1.4*(J66-J69)</f>
        <v>-1643976.4020292978</v>
      </c>
      <c r="K20" s="137">
        <f>-1.4*(K66-K69)</f>
        <v>-2145889.0680550546</v>
      </c>
      <c r="L20" s="137">
        <f>-1.4*(L66-L69)</f>
        <v>-2612585.6056230501</v>
      </c>
      <c r="M20" s="137">
        <f>-1.4*(M66-M69)</f>
        <v>-3036189.0877741575</v>
      </c>
      <c r="N20" s="137">
        <f>-1.4*(N66-N69)</f>
        <v>-3373702.9461371228</v>
      </c>
      <c r="P20" s="129">
        <v>20</v>
      </c>
      <c r="Q20" s="129" t="s">
        <v>158</v>
      </c>
      <c r="R20" s="192" t="s">
        <v>572</v>
      </c>
      <c r="S20" s="192" t="s">
        <v>159</v>
      </c>
      <c r="T20" s="192" t="s">
        <v>573</v>
      </c>
      <c r="U20" s="131" t="str">
        <f>HYPERLINK("https://www.sec.gov/Archives/edgar/data/814547/000081454725000030/fico-20250930.htm","SEC EX-99.1 Q3 FY2026 — buybacks vs FCF; 10-K FY2025 repurchase footnote")</f>
        <v>SEC EX-99.1 Q3 FY2026 — buybacks vs FCF; 10-K FY2025 repurchase footnote</v>
      </c>
      <c r="V20" s="131" t="str">
        <f>HYPERLINK("https://www.sec.gov/Archives/edgar/data/814547/000081454725000030/fico-20250930.htm","https://www.sec.gov/Archives/edgar/data/814547/000081454725000030/fico-20250930.htm")</f>
        <v>https://www.sec.gov/Archives/edgar/data/814547/000081454725000030/fico-20250930.htm</v>
      </c>
    </row>
    <row r="21" spans="2:22" ht="144" outlineLevel="1" x14ac:dyDescent="0.35">
      <c r="B21" t="s">
        <v>160</v>
      </c>
      <c r="C21" s="135" t="s">
        <v>161</v>
      </c>
      <c r="E21" s="20"/>
      <c r="F21" s="20"/>
      <c r="G21" s="20"/>
      <c r="H21" s="20"/>
      <c r="I21" s="20"/>
      <c r="J21" s="136">
        <v>7.0000000000000007E-2</v>
      </c>
      <c r="K21" s="136">
        <v>6.5000000000000002E-2</v>
      </c>
      <c r="L21" s="136">
        <v>0.06</v>
      </c>
      <c r="M21" s="136">
        <v>5.5E-2</v>
      </c>
      <c r="N21" s="136">
        <v>0.05</v>
      </c>
      <c r="P21" s="129">
        <v>21</v>
      </c>
      <c r="Q21" s="129" t="s">
        <v>162</v>
      </c>
      <c r="R21" s="192" t="s">
        <v>574</v>
      </c>
      <c r="S21" s="192" t="s">
        <v>163</v>
      </c>
      <c r="T21" s="192" t="s">
        <v>575</v>
      </c>
      <c r="U21" s="131" t="str">
        <f>HYPERLINK("https://data.sec.gov/api/xbrl/companyfacts/CIK0000814547.json","SEC 10-K cash flow — ShareBasedCompensation (add-back only; no share dilution)")</f>
        <v>SEC 10-K cash flow — ShareBasedCompensation (add-back only; no share dilution)</v>
      </c>
      <c r="V21" s="131" t="str">
        <f>HYPERLINK("https://data.sec.gov/api/xbrl/companyfacts/CIK0000814547.json","https://data.sec.gov/api/xbrl/companyfacts/CIK0000814547.json")</f>
        <v>https://data.sec.gov/api/xbrl/companyfacts/CIK0000814547.json</v>
      </c>
    </row>
    <row r="22" spans="2:22" x14ac:dyDescent="0.35">
      <c r="E22" s="20"/>
      <c r="F22" s="20"/>
      <c r="G22" s="20"/>
      <c r="H22" s="20"/>
      <c r="I22" s="20"/>
      <c r="J22" s="10"/>
      <c r="K22" s="10"/>
      <c r="L22" s="10"/>
      <c r="M22" s="10"/>
      <c r="N22" s="10"/>
    </row>
    <row r="23" spans="2:22" ht="18" customHeight="1" x14ac:dyDescent="0.35">
      <c r="B23" s="34" t="s">
        <v>164</v>
      </c>
      <c r="C23" s="34"/>
      <c r="D23" s="34"/>
      <c r="E23" s="34"/>
      <c r="F23" s="34"/>
      <c r="G23" s="34"/>
      <c r="H23" s="34"/>
      <c r="I23" s="34"/>
      <c r="J23" s="34"/>
      <c r="K23" s="34"/>
      <c r="L23" s="34"/>
      <c r="M23" s="34"/>
      <c r="N23" s="34"/>
    </row>
    <row r="24" spans="2:22" outlineLevel="1" x14ac:dyDescent="0.35">
      <c r="B24" s="3" t="s">
        <v>165</v>
      </c>
      <c r="C24" s="139" t="s">
        <v>166</v>
      </c>
      <c r="D24" s="11"/>
      <c r="E24" s="140">
        <v>1316536</v>
      </c>
      <c r="F24" s="140">
        <v>1377270</v>
      </c>
      <c r="G24" s="140">
        <v>1513557</v>
      </c>
      <c r="H24" s="140">
        <v>1717526</v>
      </c>
      <c r="I24" s="140">
        <v>1990869</v>
      </c>
      <c r="J24" s="137">
        <f>I24*(1+J7)</f>
        <v>2588129.7000000002</v>
      </c>
      <c r="K24" s="137">
        <f>J24*(1+K7)</f>
        <v>3053993.0460000001</v>
      </c>
      <c r="L24" s="137">
        <f>K24*(1+L7)</f>
        <v>3496822.03767</v>
      </c>
      <c r="M24" s="137">
        <f>L24*(1+M7)</f>
        <v>3881472.4618137004</v>
      </c>
      <c r="N24" s="137">
        <f>M24*(1+N7)</f>
        <v>4211397.6210678648</v>
      </c>
    </row>
    <row r="25" spans="2:22" outlineLevel="1" x14ac:dyDescent="0.35">
      <c r="B25" s="1" t="s">
        <v>167</v>
      </c>
      <c r="C25" s="139" t="s">
        <v>168</v>
      </c>
      <c r="E25" s="140">
        <v>332462</v>
      </c>
      <c r="F25" s="140">
        <v>302174</v>
      </c>
      <c r="G25" s="140">
        <v>311053</v>
      </c>
      <c r="H25" s="140">
        <v>348206</v>
      </c>
      <c r="I25" s="140">
        <v>353722</v>
      </c>
      <c r="J25" s="137">
        <f>J24*J8</f>
        <v>301810.93695999985</v>
      </c>
      <c r="K25" s="137">
        <f>K24*K8</f>
        <v>315824.19740560022</v>
      </c>
      <c r="L25" s="137">
        <f>L24*L8</f>
        <v>315460.65513216791</v>
      </c>
      <c r="M25" s="137">
        <f>M24*M8</f>
        <v>310517.79694509605</v>
      </c>
      <c r="N25" s="137">
        <f>N24*N8</f>
        <v>336911.80968542921</v>
      </c>
    </row>
    <row r="26" spans="2:22" outlineLevel="1" x14ac:dyDescent="0.35">
      <c r="B26" s="4" t="s">
        <v>169</v>
      </c>
      <c r="C26" s="141" t="s">
        <v>170</v>
      </c>
      <c r="D26" s="13"/>
      <c r="E26" s="142">
        <f t="shared" ref="E26:N26" si="4">E24-E25</f>
        <v>984074</v>
      </c>
      <c r="F26" s="142">
        <f t="shared" si="4"/>
        <v>1075096</v>
      </c>
      <c r="G26" s="142">
        <f t="shared" si="4"/>
        <v>1202504</v>
      </c>
      <c r="H26" s="142">
        <f t="shared" si="4"/>
        <v>1369320</v>
      </c>
      <c r="I26" s="142">
        <f t="shared" si="4"/>
        <v>1637147</v>
      </c>
      <c r="J26" s="137">
        <f t="shared" si="4"/>
        <v>2286318.7630400006</v>
      </c>
      <c r="K26" s="137">
        <f t="shared" si="4"/>
        <v>2738168.8485944001</v>
      </c>
      <c r="L26" s="137">
        <f t="shared" si="4"/>
        <v>3181361.382537832</v>
      </c>
      <c r="M26" s="137">
        <f t="shared" si="4"/>
        <v>3570954.6648686044</v>
      </c>
      <c r="N26" s="137">
        <f t="shared" si="4"/>
        <v>3874485.8113824357</v>
      </c>
    </row>
    <row r="27" spans="2:22" outlineLevel="1" x14ac:dyDescent="0.35">
      <c r="B27" s="3" t="s">
        <v>171</v>
      </c>
      <c r="C27" s="3"/>
      <c r="D27" s="11"/>
      <c r="E27" s="9"/>
      <c r="F27" s="9"/>
      <c r="G27" s="9"/>
      <c r="H27" s="9"/>
      <c r="I27" s="9"/>
      <c r="J27" s="19"/>
      <c r="K27" s="19"/>
      <c r="L27" s="19"/>
      <c r="M27" s="19"/>
      <c r="N27" s="19"/>
    </row>
    <row r="28" spans="2:22" outlineLevel="1" x14ac:dyDescent="0.35">
      <c r="B28" s="1" t="s">
        <v>172</v>
      </c>
      <c r="C28" s="143" t="s">
        <v>173</v>
      </c>
      <c r="E28" s="140">
        <v>396281</v>
      </c>
      <c r="F28" s="140">
        <v>383863</v>
      </c>
      <c r="G28" s="140">
        <v>400565</v>
      </c>
      <c r="H28" s="140">
        <v>462834</v>
      </c>
      <c r="I28" s="140">
        <v>513028</v>
      </c>
      <c r="J28" s="137">
        <f>J24*J9</f>
        <v>607445.53024999995</v>
      </c>
      <c r="K28" s="137">
        <f>K24*K9</f>
        <v>663340.84739000001</v>
      </c>
      <c r="L28" s="137">
        <f>L24*L9</f>
        <v>698330.88460232504</v>
      </c>
      <c r="M28" s="137">
        <f>M24*M9</f>
        <v>707221.51382684102</v>
      </c>
      <c r="N28" s="137">
        <f>N24*N9</f>
        <v>693635.88413343485</v>
      </c>
    </row>
    <row r="29" spans="2:22" outlineLevel="1" x14ac:dyDescent="0.35">
      <c r="B29" s="1" t="s">
        <v>174</v>
      </c>
      <c r="C29" s="143" t="s">
        <v>175</v>
      </c>
      <c r="E29" s="140">
        <v>171231</v>
      </c>
      <c r="F29" s="140">
        <v>146758</v>
      </c>
      <c r="G29" s="140">
        <v>159950</v>
      </c>
      <c r="H29" s="140">
        <v>171940</v>
      </c>
      <c r="I29" s="140">
        <v>188347</v>
      </c>
      <c r="J29" s="137">
        <f>J24*J10</f>
        <v>231910.45150000002</v>
      </c>
      <c r="K29" s="137">
        <f>K24*K10</f>
        <v>258384.36754000004</v>
      </c>
      <c r="L29" s="137">
        <f>L24*L10</f>
        <v>278365.99064495001</v>
      </c>
      <c r="M29" s="137">
        <f>M24*M10</f>
        <v>289578.88730682601</v>
      </c>
      <c r="N29" s="137">
        <f>N24*N10</f>
        <v>294797.83347475057</v>
      </c>
    </row>
    <row r="30" spans="2:22" outlineLevel="1" x14ac:dyDescent="0.35">
      <c r="B30" s="1" t="s">
        <v>176</v>
      </c>
      <c r="C30" s="143" t="s">
        <v>177</v>
      </c>
      <c r="E30" s="140">
        <v>25592</v>
      </c>
      <c r="F30" s="140">
        <v>20465</v>
      </c>
      <c r="G30" s="140">
        <v>14638</v>
      </c>
      <c r="H30" s="140">
        <v>13827</v>
      </c>
      <c r="I30" s="140">
        <v>14952</v>
      </c>
      <c r="J30" s="137">
        <f>J24*J11</f>
        <v>21768.758906700001</v>
      </c>
      <c r="K30" s="137">
        <f>K24*K11</f>
        <v>25687.135509906002</v>
      </c>
      <c r="L30" s="137">
        <f>L24*L11</f>
        <v>29411.77015884237</v>
      </c>
      <c r="M30" s="137">
        <f>M24*M11</f>
        <v>32647.064876315035</v>
      </c>
      <c r="N30" s="137">
        <f>N24*N11</f>
        <v>35422.065390801814</v>
      </c>
    </row>
    <row r="31" spans="2:22" outlineLevel="1" x14ac:dyDescent="0.35">
      <c r="B31" s="2" t="s">
        <v>178</v>
      </c>
      <c r="C31" s="144" t="s">
        <v>179</v>
      </c>
      <c r="D31" s="14"/>
      <c r="E31" s="145">
        <v>40092</v>
      </c>
      <c r="F31" s="145">
        <v>68967</v>
      </c>
      <c r="G31" s="145">
        <v>95546</v>
      </c>
      <c r="H31" s="145">
        <v>105638</v>
      </c>
      <c r="I31" s="145">
        <v>133647</v>
      </c>
      <c r="J31" s="137">
        <f>J98*J12</f>
        <v>184871.00624077363</v>
      </c>
      <c r="K31" s="137">
        <f>K98*K12</f>
        <v>213288.57404919056</v>
      </c>
      <c r="L31" s="137">
        <f>L98*L12</f>
        <v>250382.14061469678</v>
      </c>
      <c r="M31" s="137">
        <f>M98*M12</f>
        <v>295542.96440233896</v>
      </c>
      <c r="N31" s="137">
        <f>N98*N12</f>
        <v>348026.14431568421</v>
      </c>
    </row>
    <row r="32" spans="2:22" outlineLevel="1" x14ac:dyDescent="0.35">
      <c r="B32" s="3" t="s">
        <v>180</v>
      </c>
      <c r="C32" s="1"/>
      <c r="E32" s="146">
        <f t="shared" ref="E32:N32" si="5">SUM(E28:E31)</f>
        <v>633196</v>
      </c>
      <c r="F32" s="146">
        <f t="shared" si="5"/>
        <v>620053</v>
      </c>
      <c r="G32" s="146">
        <f t="shared" si="5"/>
        <v>670699</v>
      </c>
      <c r="H32" s="146">
        <f t="shared" si="5"/>
        <v>754239</v>
      </c>
      <c r="I32" s="146">
        <f t="shared" si="5"/>
        <v>849974</v>
      </c>
      <c r="J32" s="137">
        <f t="shared" si="5"/>
        <v>1045995.7468974736</v>
      </c>
      <c r="K32" s="137">
        <f t="shared" si="5"/>
        <v>1160700.9244890965</v>
      </c>
      <c r="L32" s="137">
        <f t="shared" si="5"/>
        <v>1256490.786020814</v>
      </c>
      <c r="M32" s="137">
        <f t="shared" si="5"/>
        <v>1324990.4304123209</v>
      </c>
      <c r="N32" s="137">
        <f t="shared" si="5"/>
        <v>1371881.9273146715</v>
      </c>
    </row>
    <row r="33" spans="2:14" outlineLevel="1" x14ac:dyDescent="0.35">
      <c r="B33" s="4" t="s">
        <v>181</v>
      </c>
      <c r="C33" s="141" t="s">
        <v>182</v>
      </c>
      <c r="D33" s="13"/>
      <c r="E33" s="142">
        <f t="shared" ref="E33:N33" si="6">E26-E32</f>
        <v>350878</v>
      </c>
      <c r="F33" s="142">
        <f t="shared" si="6"/>
        <v>455043</v>
      </c>
      <c r="G33" s="142">
        <f t="shared" si="6"/>
        <v>531805</v>
      </c>
      <c r="H33" s="142">
        <f t="shared" si="6"/>
        <v>615081</v>
      </c>
      <c r="I33" s="142">
        <f t="shared" si="6"/>
        <v>787173</v>
      </c>
      <c r="J33" s="137">
        <f t="shared" si="6"/>
        <v>1240323.0161425271</v>
      </c>
      <c r="K33" s="137">
        <f t="shared" si="6"/>
        <v>1577467.9241053036</v>
      </c>
      <c r="L33" s="137">
        <f t="shared" si="6"/>
        <v>1924870.596517018</v>
      </c>
      <c r="M33" s="137">
        <f t="shared" si="6"/>
        <v>2245964.2344562835</v>
      </c>
      <c r="N33" s="137">
        <f t="shared" si="6"/>
        <v>2502603.8840677645</v>
      </c>
    </row>
    <row r="34" spans="2:14" outlineLevel="1" x14ac:dyDescent="0.35">
      <c r="B34" s="3"/>
      <c r="C34" s="3"/>
      <c r="D34" s="11"/>
      <c r="E34" s="9"/>
      <c r="F34" s="9"/>
      <c r="G34" s="9"/>
      <c r="H34" s="9"/>
      <c r="I34" s="9"/>
      <c r="J34" s="19"/>
      <c r="K34" s="19"/>
      <c r="L34" s="19"/>
      <c r="M34" s="19"/>
      <c r="N34" s="19"/>
    </row>
    <row r="35" spans="2:14" outlineLevel="1" x14ac:dyDescent="0.35">
      <c r="B35" s="1" t="s">
        <v>183</v>
      </c>
      <c r="C35" s="139" t="s">
        <v>184</v>
      </c>
      <c r="E35" s="140">
        <v>81058</v>
      </c>
      <c r="F35" s="140">
        <v>97768</v>
      </c>
      <c r="G35" s="140">
        <v>124249</v>
      </c>
      <c r="H35" s="140">
        <v>129214</v>
      </c>
      <c r="I35" s="140">
        <v>150649</v>
      </c>
      <c r="J35" s="137">
        <f>J33*J13</f>
        <v>237372.75295120076</v>
      </c>
      <c r="K35" s="137">
        <f>K33*K13</f>
        <v>301895.47316605103</v>
      </c>
      <c r="L35" s="137">
        <f>L33*L13</f>
        <v>368381.32214226382</v>
      </c>
      <c r="M35" s="137">
        <f>M33*M13</f>
        <v>429832.15374079731</v>
      </c>
      <c r="N35" s="137">
        <f>N33*N13</f>
        <v>478947.79486964701</v>
      </c>
    </row>
    <row r="36" spans="2:14" ht="16.25" customHeight="1" outlineLevel="1" thickBot="1" x14ac:dyDescent="0.4">
      <c r="B36" s="24" t="s">
        <v>185</v>
      </c>
      <c r="C36" s="147" t="s">
        <v>186</v>
      </c>
      <c r="D36" s="25"/>
      <c r="E36" s="148">
        <f>E33-E35</f>
        <v>269820</v>
      </c>
      <c r="F36" s="148">
        <f>F33-F35</f>
        <v>357275</v>
      </c>
      <c r="G36" s="148">
        <f>G33-G35</f>
        <v>407556</v>
      </c>
      <c r="H36" s="148">
        <f>H33-H35</f>
        <v>485867</v>
      </c>
      <c r="I36" s="148">
        <f>I33-I35</f>
        <v>636524</v>
      </c>
      <c r="J36" s="137">
        <f>J33*(1-J13)</f>
        <v>1002950.2631913263</v>
      </c>
      <c r="K36" s="137">
        <f>K33*(1-K13)</f>
        <v>1275572.4509392525</v>
      </c>
      <c r="L36" s="137">
        <f>L33*(1-L13)</f>
        <v>1556489.2743747542</v>
      </c>
      <c r="M36" s="137">
        <f>M33*(1-M13)</f>
        <v>1816132.0807154861</v>
      </c>
      <c r="N36" s="137">
        <f>N33*(1-N13)</f>
        <v>2023656.0891981174</v>
      </c>
    </row>
    <row r="37" spans="2:14" ht="16.25" customHeight="1" outlineLevel="1" collapsed="1" thickTop="1" x14ac:dyDescent="0.35">
      <c r="E37" s="10"/>
      <c r="F37" s="10"/>
      <c r="G37" s="10"/>
      <c r="H37" s="10"/>
      <c r="I37" s="10"/>
    </row>
    <row r="38" spans="2:14" x14ac:dyDescent="0.35">
      <c r="E38" s="10"/>
      <c r="F38" s="10"/>
      <c r="G38" s="10"/>
      <c r="H38" s="10"/>
      <c r="I38" s="10"/>
      <c r="J38" s="10"/>
      <c r="K38" s="10"/>
      <c r="L38" s="10"/>
      <c r="M38" s="10"/>
      <c r="N38" s="10"/>
    </row>
    <row r="39" spans="2:14" ht="18" customHeight="1" x14ac:dyDescent="0.35">
      <c r="B39" s="34" t="s">
        <v>132</v>
      </c>
      <c r="C39" s="34"/>
      <c r="D39" s="34"/>
      <c r="E39" s="34"/>
      <c r="F39" s="34"/>
      <c r="G39" s="34"/>
      <c r="H39" s="34"/>
      <c r="I39" s="34"/>
      <c r="J39" s="34"/>
      <c r="K39" s="34"/>
      <c r="L39" s="34"/>
      <c r="M39" s="34"/>
      <c r="N39" s="34"/>
    </row>
    <row r="40" spans="2:14" hidden="1" outlineLevel="1" x14ac:dyDescent="0.35">
      <c r="B40" s="3" t="s">
        <v>187</v>
      </c>
      <c r="E40" s="10"/>
      <c r="F40" s="10"/>
      <c r="G40" s="10"/>
      <c r="H40" s="10"/>
      <c r="I40" s="10"/>
    </row>
    <row r="41" spans="2:14" hidden="1" outlineLevel="1" x14ac:dyDescent="0.35">
      <c r="B41" s="1" t="s">
        <v>188</v>
      </c>
      <c r="E41" s="140">
        <v>195354</v>
      </c>
      <c r="F41" s="140">
        <v>133202</v>
      </c>
      <c r="G41" s="140">
        <v>136778</v>
      </c>
      <c r="H41" s="140">
        <v>150667</v>
      </c>
      <c r="I41" s="140">
        <v>134136</v>
      </c>
      <c r="J41" s="137">
        <f>J78</f>
        <v>134136</v>
      </c>
      <c r="K41" s="137">
        <f>K78</f>
        <v>134136</v>
      </c>
      <c r="L41" s="137">
        <f>L78</f>
        <v>134136</v>
      </c>
      <c r="M41" s="137">
        <f>M78</f>
        <v>134136</v>
      </c>
      <c r="N41" s="137">
        <f>N78</f>
        <v>134136</v>
      </c>
    </row>
    <row r="42" spans="2:14" hidden="1" outlineLevel="1" x14ac:dyDescent="0.35">
      <c r="B42" s="1" t="s">
        <v>189</v>
      </c>
      <c r="C42" s="143" t="s">
        <v>190</v>
      </c>
      <c r="E42" s="140">
        <v>312107</v>
      </c>
      <c r="F42" s="140">
        <v>322410</v>
      </c>
      <c r="G42" s="140">
        <v>387947</v>
      </c>
      <c r="H42" s="140">
        <v>426642</v>
      </c>
      <c r="I42" s="140">
        <v>529148</v>
      </c>
      <c r="J42" s="137">
        <f t="shared" ref="J42:N43" si="7">J24*J15/365</f>
        <v>589951.75627397269</v>
      </c>
      <c r="K42" s="137">
        <f t="shared" si="7"/>
        <v>580677.03395178088</v>
      </c>
      <c r="L42" s="137">
        <f t="shared" si="7"/>
        <v>532666.58984781371</v>
      </c>
      <c r="M42" s="137">
        <f t="shared" si="7"/>
        <v>444508.35316113062</v>
      </c>
      <c r="N42" s="137">
        <f t="shared" si="7"/>
        <v>323066.11887643894</v>
      </c>
    </row>
    <row r="43" spans="2:14" hidden="1" outlineLevel="1" x14ac:dyDescent="0.35">
      <c r="B43" s="1" t="s">
        <v>191</v>
      </c>
      <c r="E43" s="140">
        <v>0</v>
      </c>
      <c r="F43" s="140">
        <v>0</v>
      </c>
      <c r="G43" s="140">
        <v>0</v>
      </c>
      <c r="H43" s="140">
        <v>0</v>
      </c>
      <c r="I43" s="140">
        <v>0</v>
      </c>
      <c r="J43" s="137">
        <f t="shared" si="7"/>
        <v>0</v>
      </c>
      <c r="K43" s="137">
        <f t="shared" si="7"/>
        <v>0</v>
      </c>
      <c r="L43" s="137">
        <f t="shared" si="7"/>
        <v>0</v>
      </c>
      <c r="M43" s="137">
        <f t="shared" si="7"/>
        <v>0</v>
      </c>
      <c r="N43" s="137">
        <f t="shared" si="7"/>
        <v>0</v>
      </c>
    </row>
    <row r="44" spans="2:14" hidden="1" outlineLevel="1" x14ac:dyDescent="0.35">
      <c r="B44" s="1" t="s">
        <v>192</v>
      </c>
      <c r="E44" s="140">
        <v>27913</v>
      </c>
      <c r="F44" s="140">
        <v>17580</v>
      </c>
      <c r="G44" s="140">
        <v>10966</v>
      </c>
      <c r="H44" s="140">
        <v>38465</v>
      </c>
      <c r="I44" s="140">
        <v>67713</v>
      </c>
      <c r="J44" s="137">
        <f>J95</f>
        <v>67943.343543299998</v>
      </c>
      <c r="K44" s="137">
        <f>K95</f>
        <v>63634.159355394004</v>
      </c>
      <c r="L44" s="137">
        <f>L95</f>
        <v>53454.910403736634</v>
      </c>
      <c r="M44" s="137">
        <f>M95</f>
        <v>38274.47160558324</v>
      </c>
      <c r="N44" s="137">
        <f>N95</f>
        <v>17592.297888518951</v>
      </c>
    </row>
    <row r="45" spans="2:14" ht="16.25" hidden="1" customHeight="1" outlineLevel="1" thickBot="1" x14ac:dyDescent="0.4">
      <c r="B45" s="24" t="s">
        <v>193</v>
      </c>
      <c r="C45" s="24"/>
      <c r="D45" s="25"/>
      <c r="E45" s="148">
        <f t="shared" ref="E45:N45" si="8">SUM(E41:E44)</f>
        <v>535374</v>
      </c>
      <c r="F45" s="148">
        <f t="shared" si="8"/>
        <v>473192</v>
      </c>
      <c r="G45" s="148">
        <f t="shared" si="8"/>
        <v>535691</v>
      </c>
      <c r="H45" s="148">
        <f t="shared" si="8"/>
        <v>615774</v>
      </c>
      <c r="I45" s="148">
        <f t="shared" si="8"/>
        <v>730997</v>
      </c>
      <c r="J45" s="137">
        <f t="shared" si="8"/>
        <v>792031.09981727274</v>
      </c>
      <c r="K45" s="137">
        <f t="shared" si="8"/>
        <v>778447.19330717484</v>
      </c>
      <c r="L45" s="137">
        <f t="shared" si="8"/>
        <v>720257.50025155034</v>
      </c>
      <c r="M45" s="137">
        <f t="shared" si="8"/>
        <v>616918.82476671378</v>
      </c>
      <c r="N45" s="137">
        <f t="shared" si="8"/>
        <v>474794.41676495789</v>
      </c>
    </row>
    <row r="46" spans="2:14" ht="16.25" hidden="1" customHeight="1" outlineLevel="1" thickTop="1" x14ac:dyDescent="0.35">
      <c r="B46" s="3"/>
      <c r="C46" s="3"/>
      <c r="D46" s="11"/>
      <c r="E46" s="9"/>
      <c r="F46" s="9"/>
      <c r="G46" s="9"/>
      <c r="H46" s="9"/>
      <c r="I46" s="9"/>
      <c r="J46" s="3"/>
      <c r="K46" s="3"/>
      <c r="L46" s="3"/>
      <c r="M46" s="3"/>
      <c r="N46" s="3"/>
    </row>
    <row r="47" spans="2:14" hidden="1" outlineLevel="1" x14ac:dyDescent="0.35">
      <c r="B47" s="3" t="s">
        <v>194</v>
      </c>
      <c r="E47" s="10"/>
      <c r="F47" s="10"/>
      <c r="G47" s="10"/>
      <c r="H47" s="10"/>
      <c r="I47" s="10"/>
    </row>
    <row r="48" spans="2:14" hidden="1" outlineLevel="1" x14ac:dyDescent="0.35">
      <c r="B48" s="1" t="s">
        <v>195</v>
      </c>
      <c r="C48" s="143" t="s">
        <v>196</v>
      </c>
      <c r="E48" s="140">
        <v>20749</v>
      </c>
      <c r="F48" s="140">
        <v>17273</v>
      </c>
      <c r="G48" s="140">
        <v>19009</v>
      </c>
      <c r="H48" s="140">
        <v>22473</v>
      </c>
      <c r="I48" s="140">
        <v>32315</v>
      </c>
      <c r="J48" s="137">
        <f>J25*J17/365</f>
        <v>27287.016218301356</v>
      </c>
      <c r="K48" s="137">
        <f>K25*K17/365</f>
        <v>28553.968532561117</v>
      </c>
      <c r="L48" s="137">
        <f>L25*L17/365</f>
        <v>28521.100327017917</v>
      </c>
      <c r="M48" s="137">
        <f>M25*M17/365</f>
        <v>28074.211778597728</v>
      </c>
      <c r="N48" s="137">
        <f>N25*N17/365</f>
        <v>30460.519779778533</v>
      </c>
    </row>
    <row r="49" spans="2:14" hidden="1" outlineLevel="1" x14ac:dyDescent="0.35">
      <c r="B49" s="1" t="s">
        <v>197</v>
      </c>
      <c r="E49" s="140">
        <v>1259018</v>
      </c>
      <c r="F49" s="140">
        <v>1853669</v>
      </c>
      <c r="G49" s="140">
        <v>1861658</v>
      </c>
      <c r="H49" s="140">
        <v>2209021</v>
      </c>
      <c r="I49" s="140">
        <v>3055691</v>
      </c>
      <c r="J49" s="137">
        <f>J100</f>
        <v>3525398.5434369422</v>
      </c>
      <c r="K49" s="137">
        <f>K100</f>
        <v>4138509.7057383861</v>
      </c>
      <c r="L49" s="137">
        <f>L100</f>
        <v>4884962.7359164003</v>
      </c>
      <c r="M49" s="137">
        <f>M100</f>
        <v>5752445.3324233023</v>
      </c>
      <c r="N49" s="137">
        <f>N100</f>
        <v>6716360.4598910511</v>
      </c>
    </row>
    <row r="50" spans="2:14" hidden="1" outlineLevel="1" x14ac:dyDescent="0.35">
      <c r="B50" s="4" t="s">
        <v>198</v>
      </c>
      <c r="C50" s="141" t="s">
        <v>199</v>
      </c>
      <c r="D50" s="13"/>
      <c r="E50" s="149">
        <f t="shared" ref="E50:N50" si="9">E48+E49+E88</f>
        <v>1385184</v>
      </c>
      <c r="F50" s="149">
        <f t="shared" si="9"/>
        <v>1990987</v>
      </c>
      <c r="G50" s="149">
        <f t="shared" si="9"/>
        <v>2017397</v>
      </c>
      <c r="H50" s="149">
        <f t="shared" si="9"/>
        <v>2388391</v>
      </c>
      <c r="I50" s="149">
        <f t="shared" si="9"/>
        <v>3275378</v>
      </c>
      <c r="J50" s="137">
        <f t="shared" si="9"/>
        <v>3796269.1596552441</v>
      </c>
      <c r="K50" s="137">
        <f t="shared" si="9"/>
        <v>4454492.3222709484</v>
      </c>
      <c r="L50" s="137">
        <f t="shared" si="9"/>
        <v>5242589.6382034188</v>
      </c>
      <c r="M50" s="137">
        <f t="shared" si="9"/>
        <v>6145826.9843775015</v>
      </c>
      <c r="N50" s="137">
        <f t="shared" si="9"/>
        <v>7143179.5522613563</v>
      </c>
    </row>
    <row r="51" spans="2:14" hidden="1" outlineLevel="1" x14ac:dyDescent="0.35">
      <c r="B51" s="3" t="s">
        <v>200</v>
      </c>
      <c r="E51" s="10"/>
      <c r="F51" s="10"/>
      <c r="G51" s="10"/>
      <c r="H51" s="10"/>
      <c r="I51" s="10"/>
    </row>
    <row r="52" spans="2:14" hidden="1" outlineLevel="1" x14ac:dyDescent="0.35">
      <c r="B52" s="1" t="s">
        <v>201</v>
      </c>
      <c r="C52" s="143" t="s">
        <v>202</v>
      </c>
      <c r="E52" s="137">
        <f t="shared" ref="E52:N52" si="10">E45-E50-E53</f>
        <v>-849810</v>
      </c>
      <c r="F52" s="137">
        <f t="shared" si="10"/>
        <v>-1517795</v>
      </c>
      <c r="G52" s="137">
        <f t="shared" si="10"/>
        <v>-1481706</v>
      </c>
      <c r="H52" s="137">
        <f t="shared" si="10"/>
        <v>-1772617</v>
      </c>
      <c r="I52" s="137">
        <f t="shared" si="10"/>
        <v>-2544381</v>
      </c>
      <c r="J52" s="137">
        <f t="shared" si="10"/>
        <v>-4007188.3230292974</v>
      </c>
      <c r="K52" s="137">
        <f t="shared" si="10"/>
        <v>-5954567.8430943526</v>
      </c>
      <c r="L52" s="137">
        <f t="shared" si="10"/>
        <v>-8357344.1264572013</v>
      </c>
      <c r="M52" s="137">
        <f t="shared" si="10"/>
        <v>-11180052.228831606</v>
      </c>
      <c r="N52" s="137">
        <f t="shared" si="10"/>
        <v>-14343185.293915335</v>
      </c>
    </row>
    <row r="53" spans="2:14" hidden="1" outlineLevel="1" x14ac:dyDescent="0.35">
      <c r="B53" s="1" t="s">
        <v>203</v>
      </c>
      <c r="C53" s="143" t="s">
        <v>204</v>
      </c>
      <c r="E53" s="140">
        <v>0</v>
      </c>
      <c r="F53" s="140">
        <v>0</v>
      </c>
      <c r="G53" s="140">
        <v>0</v>
      </c>
      <c r="H53" s="140">
        <v>0</v>
      </c>
      <c r="I53" s="140">
        <v>0</v>
      </c>
      <c r="J53" s="137">
        <f>I53+J33*(1-J13)</f>
        <v>1002950.2631913263</v>
      </c>
      <c r="K53" s="137">
        <f>J53+K33*(1-K13)</f>
        <v>2278522.7141305786</v>
      </c>
      <c r="L53" s="137">
        <f>K53+L33*(1-L13)</f>
        <v>3835011.9885053327</v>
      </c>
      <c r="M53" s="137">
        <f>L53+M33*(1-M13)</f>
        <v>5651144.0692208186</v>
      </c>
      <c r="N53" s="137">
        <f>M53+N33*(1-N13)</f>
        <v>7674800.1584189357</v>
      </c>
    </row>
    <row r="54" spans="2:14" hidden="1" outlineLevel="1" x14ac:dyDescent="0.35">
      <c r="B54" s="6" t="s">
        <v>200</v>
      </c>
      <c r="C54" s="6"/>
      <c r="D54" s="16"/>
      <c r="E54" s="137">
        <f t="shared" ref="E54:N54" si="11">SUM(E52:E53)</f>
        <v>-849810</v>
      </c>
      <c r="F54" s="137">
        <f t="shared" si="11"/>
        <v>-1517795</v>
      </c>
      <c r="G54" s="137">
        <f t="shared" si="11"/>
        <v>-1481706</v>
      </c>
      <c r="H54" s="137">
        <f t="shared" si="11"/>
        <v>-1772617</v>
      </c>
      <c r="I54" s="137">
        <f t="shared" si="11"/>
        <v>-2544381</v>
      </c>
      <c r="J54" s="137">
        <f t="shared" si="11"/>
        <v>-3004238.0598379709</v>
      </c>
      <c r="K54" s="137">
        <f t="shared" si="11"/>
        <v>-3676045.1289637741</v>
      </c>
      <c r="L54" s="137">
        <f t="shared" si="11"/>
        <v>-4522332.1379518686</v>
      </c>
      <c r="M54" s="137">
        <f t="shared" si="11"/>
        <v>-5528908.1596107874</v>
      </c>
      <c r="N54" s="137">
        <f t="shared" si="11"/>
        <v>-6668385.1354963994</v>
      </c>
    </row>
    <row r="55" spans="2:14" ht="16.25" hidden="1" customHeight="1" outlineLevel="1" thickBot="1" x14ac:dyDescent="0.4">
      <c r="B55" s="24" t="s">
        <v>205</v>
      </c>
      <c r="C55" s="24"/>
      <c r="D55" s="25"/>
      <c r="E55" s="137">
        <f t="shared" ref="E55:N55" si="12">E50+E54</f>
        <v>535374</v>
      </c>
      <c r="F55" s="137">
        <f t="shared" si="12"/>
        <v>473192</v>
      </c>
      <c r="G55" s="137">
        <f t="shared" si="12"/>
        <v>535691</v>
      </c>
      <c r="H55" s="137">
        <f t="shared" si="12"/>
        <v>615774</v>
      </c>
      <c r="I55" s="137">
        <f t="shared" si="12"/>
        <v>730997</v>
      </c>
      <c r="J55" s="137">
        <f t="shared" si="12"/>
        <v>792031.09981727321</v>
      </c>
      <c r="K55" s="137">
        <f t="shared" si="12"/>
        <v>778447.19330717437</v>
      </c>
      <c r="L55" s="137">
        <f t="shared" si="12"/>
        <v>720257.50025155023</v>
      </c>
      <c r="M55" s="137">
        <f t="shared" si="12"/>
        <v>616918.82476671413</v>
      </c>
      <c r="N55" s="137">
        <f t="shared" si="12"/>
        <v>474794.4167649569</v>
      </c>
    </row>
    <row r="56" spans="2:14" ht="16.25" hidden="1" customHeight="1" outlineLevel="1" thickTop="1" x14ac:dyDescent="0.35">
      <c r="E56" s="10"/>
      <c r="F56" s="10"/>
      <c r="G56" s="10"/>
      <c r="H56" s="10"/>
      <c r="I56" s="10"/>
      <c r="J56" s="10"/>
      <c r="K56" s="10"/>
      <c r="L56" s="10"/>
      <c r="M56" s="10"/>
      <c r="N56" s="10"/>
    </row>
    <row r="57" spans="2:14" hidden="1" outlineLevel="1" x14ac:dyDescent="0.35">
      <c r="B57" s="8" t="s">
        <v>206</v>
      </c>
      <c r="C57" s="150" t="s">
        <v>207</v>
      </c>
      <c r="D57" s="17"/>
      <c r="E57" s="137">
        <f t="shared" ref="E57:N57" si="13">E55-E45</f>
        <v>0</v>
      </c>
      <c r="F57" s="137">
        <f t="shared" si="13"/>
        <v>0</v>
      </c>
      <c r="G57" s="137">
        <f t="shared" si="13"/>
        <v>0</v>
      </c>
      <c r="H57" s="137">
        <f t="shared" si="13"/>
        <v>0</v>
      </c>
      <c r="I57" s="137">
        <f t="shared" si="13"/>
        <v>0</v>
      </c>
      <c r="J57" s="137">
        <f t="shared" si="13"/>
        <v>0</v>
      </c>
      <c r="K57" s="137">
        <f t="shared" si="13"/>
        <v>0</v>
      </c>
      <c r="L57" s="137">
        <f t="shared" si="13"/>
        <v>0</v>
      </c>
      <c r="M57" s="137">
        <f t="shared" si="13"/>
        <v>0</v>
      </c>
      <c r="N57" s="137">
        <f t="shared" si="13"/>
        <v>-9.8953023552894592E-10</v>
      </c>
    </row>
    <row r="58" spans="2:14" hidden="1" outlineLevel="1" x14ac:dyDescent="0.35">
      <c r="B58" s="7"/>
      <c r="C58" s="7"/>
      <c r="D58" s="17"/>
      <c r="E58" s="7"/>
      <c r="F58" s="7"/>
      <c r="G58" s="7"/>
      <c r="H58" s="7"/>
      <c r="I58" s="7"/>
      <c r="J58" s="7"/>
      <c r="K58" s="7"/>
      <c r="L58" s="7"/>
      <c r="M58" s="7"/>
      <c r="N58" s="7"/>
    </row>
    <row r="59" spans="2:14" collapsed="1" x14ac:dyDescent="0.35">
      <c r="E59" s="10"/>
      <c r="F59" s="10"/>
      <c r="G59" s="10"/>
      <c r="H59" s="10"/>
      <c r="I59" s="10"/>
    </row>
    <row r="60" spans="2:14" ht="18" customHeight="1" x14ac:dyDescent="0.35">
      <c r="B60" s="34" t="s">
        <v>208</v>
      </c>
      <c r="C60" s="34"/>
      <c r="D60" s="34"/>
      <c r="E60" s="34"/>
      <c r="F60" s="34"/>
      <c r="G60" s="34"/>
      <c r="H60" s="34"/>
      <c r="I60" s="34"/>
      <c r="J60" s="34"/>
      <c r="K60" s="34"/>
      <c r="L60" s="34"/>
      <c r="M60" s="34"/>
      <c r="N60" s="34"/>
    </row>
    <row r="61" spans="2:14" hidden="1" outlineLevel="1" x14ac:dyDescent="0.35">
      <c r="B61" s="3" t="s">
        <v>209</v>
      </c>
      <c r="E61" s="10"/>
      <c r="F61" s="10"/>
      <c r="G61" s="10"/>
      <c r="H61" s="10"/>
      <c r="I61" s="10"/>
    </row>
    <row r="62" spans="2:14" hidden="1" outlineLevel="1" x14ac:dyDescent="0.35">
      <c r="B62" s="1" t="s">
        <v>185</v>
      </c>
      <c r="C62" s="143" t="s">
        <v>186</v>
      </c>
      <c r="E62" s="151">
        <f>E36</f>
        <v>269820</v>
      </c>
      <c r="F62" s="151">
        <f>F36</f>
        <v>357275</v>
      </c>
      <c r="G62" s="151">
        <f>G36</f>
        <v>407556</v>
      </c>
      <c r="H62" s="151">
        <f>H36</f>
        <v>485867</v>
      </c>
      <c r="I62" s="151">
        <f>I36</f>
        <v>636524</v>
      </c>
      <c r="J62" s="137">
        <f>J33*(1-J13)</f>
        <v>1002950.2631913263</v>
      </c>
      <c r="K62" s="137">
        <f>K33*(1-K13)</f>
        <v>1275572.4509392525</v>
      </c>
      <c r="L62" s="137">
        <f>L33*(1-L13)</f>
        <v>1556489.2743747542</v>
      </c>
      <c r="M62" s="137">
        <f>M33*(1-M13)</f>
        <v>1816132.0807154861</v>
      </c>
      <c r="N62" s="137">
        <f>N33*(1-N13)</f>
        <v>2023656.0891981174</v>
      </c>
    </row>
    <row r="63" spans="2:14" hidden="1" outlineLevel="1" x14ac:dyDescent="0.35">
      <c r="B63" s="1" t="s">
        <v>210</v>
      </c>
      <c r="C63" s="143" t="s">
        <v>211</v>
      </c>
      <c r="E63" s="151">
        <f>+E30</f>
        <v>25592</v>
      </c>
      <c r="F63" s="151">
        <f>+F30</f>
        <v>20465</v>
      </c>
      <c r="G63" s="151">
        <f>+G30</f>
        <v>14638</v>
      </c>
      <c r="H63" s="151">
        <f>+H30</f>
        <v>13827</v>
      </c>
      <c r="I63" s="151">
        <f>+I30</f>
        <v>14952</v>
      </c>
      <c r="J63" s="137">
        <f>J30</f>
        <v>21768.758906700001</v>
      </c>
      <c r="K63" s="137">
        <f>K30</f>
        <v>25687.135509906002</v>
      </c>
      <c r="L63" s="137">
        <f>L30</f>
        <v>29411.77015884237</v>
      </c>
      <c r="M63" s="137">
        <f>M30</f>
        <v>32647.064876315035</v>
      </c>
      <c r="N63" s="137">
        <f>N30</f>
        <v>35422.065390801814</v>
      </c>
    </row>
    <row r="64" spans="2:14" hidden="1" outlineLevel="1" x14ac:dyDescent="0.35">
      <c r="B64" s="1" t="s">
        <v>212</v>
      </c>
      <c r="C64" s="143" t="s">
        <v>213</v>
      </c>
      <c r="E64" s="136">
        <v>112457</v>
      </c>
      <c r="F64" s="136">
        <v>115355</v>
      </c>
      <c r="G64" s="136">
        <v>123847</v>
      </c>
      <c r="H64" s="136">
        <v>149439</v>
      </c>
      <c r="I64" s="136">
        <v>156667</v>
      </c>
      <c r="J64" s="137">
        <f>J24*J21</f>
        <v>181169.07900000003</v>
      </c>
      <c r="K64" s="137">
        <f>K24*K21</f>
        <v>198509.54799000002</v>
      </c>
      <c r="L64" s="137">
        <f>L24*L21</f>
        <v>209809.32226019999</v>
      </c>
      <c r="M64" s="137">
        <f>M24*M21</f>
        <v>213480.98539975352</v>
      </c>
      <c r="N64" s="137">
        <f>N24*N21</f>
        <v>210569.88105339324</v>
      </c>
    </row>
    <row r="65" spans="2:14" hidden="1" outlineLevel="1" x14ac:dyDescent="0.35">
      <c r="B65" s="4" t="s">
        <v>214</v>
      </c>
      <c r="C65" s="141" t="s">
        <v>215</v>
      </c>
      <c r="D65" s="18"/>
      <c r="E65" s="137" t="str">
        <f t="shared" ref="E65:N65" si="14">E90</f>
        <v>0</v>
      </c>
      <c r="F65" s="137">
        <f t="shared" si="14"/>
        <v>13779</v>
      </c>
      <c r="G65" s="137">
        <f t="shared" si="14"/>
        <v>63801</v>
      </c>
      <c r="H65" s="137">
        <f t="shared" si="14"/>
        <v>35231</v>
      </c>
      <c r="I65" s="137">
        <f t="shared" si="14"/>
        <v>92664</v>
      </c>
      <c r="J65" s="137">
        <f t="shared" si="14"/>
        <v>65831.740055671311</v>
      </c>
      <c r="K65" s="137">
        <f t="shared" si="14"/>
        <v>-10541.674636451527</v>
      </c>
      <c r="L65" s="137">
        <f t="shared" si="14"/>
        <v>-47977.575898423966</v>
      </c>
      <c r="M65" s="137">
        <f t="shared" si="14"/>
        <v>-87711.348138262925</v>
      </c>
      <c r="N65" s="137">
        <f t="shared" si="14"/>
        <v>-123828.54228587251</v>
      </c>
    </row>
    <row r="66" spans="2:14" hidden="1" outlineLevel="1" x14ac:dyDescent="0.35">
      <c r="B66" s="3" t="s">
        <v>216</v>
      </c>
      <c r="C66" s="139" t="s">
        <v>217</v>
      </c>
      <c r="E66" s="137">
        <f>E62+E63+E64-E65</f>
        <v>407869</v>
      </c>
      <c r="F66" s="137">
        <f t="shared" ref="F66:N66" si="15">F62+F63+F64-F65+(F88-E88)</f>
        <v>493944</v>
      </c>
      <c r="G66" s="137">
        <f t="shared" si="15"/>
        <v>498925</v>
      </c>
      <c r="H66" s="137">
        <f t="shared" si="15"/>
        <v>634069</v>
      </c>
      <c r="I66" s="137">
        <f t="shared" si="15"/>
        <v>745954</v>
      </c>
      <c r="J66" s="137">
        <f t="shared" si="15"/>
        <v>1196267.9610423555</v>
      </c>
      <c r="K66" s="137">
        <f t="shared" si="15"/>
        <v>1554155.8570756104</v>
      </c>
      <c r="L66" s="137">
        <f t="shared" si="15"/>
        <v>1885365.0966522209</v>
      </c>
      <c r="M66" s="137">
        <f t="shared" si="15"/>
        <v>2186173.1173454174</v>
      </c>
      <c r="N66" s="137">
        <f t="shared" si="15"/>
        <v>2424527.7103431113</v>
      </c>
    </row>
    <row r="67" spans="2:14" hidden="1" outlineLevel="1" x14ac:dyDescent="0.35">
      <c r="B67" s="3" t="s">
        <v>218</v>
      </c>
      <c r="E67" s="10"/>
      <c r="F67" s="10"/>
      <c r="G67" s="10"/>
      <c r="H67" s="10"/>
      <c r="I67" s="10"/>
      <c r="K67" s="1"/>
      <c r="L67" s="1"/>
      <c r="M67" s="1"/>
      <c r="N67" s="1"/>
    </row>
    <row r="68" spans="2:14" hidden="1" outlineLevel="1" x14ac:dyDescent="0.35">
      <c r="B68" s="1" t="s">
        <v>219</v>
      </c>
      <c r="C68" s="143" t="s">
        <v>220</v>
      </c>
      <c r="E68" s="140">
        <v>7569</v>
      </c>
      <c r="F68" s="140">
        <v>6029</v>
      </c>
      <c r="G68" s="140">
        <v>4237</v>
      </c>
      <c r="H68" s="140">
        <v>25551</v>
      </c>
      <c r="I68" s="140">
        <v>39407</v>
      </c>
      <c r="J68" s="137">
        <f>J24*J18</f>
        <v>21999.102450000002</v>
      </c>
      <c r="K68" s="137">
        <f>K24*K18</f>
        <v>21377.951322000001</v>
      </c>
      <c r="L68" s="137">
        <f>L24*L18</f>
        <v>19232.521207185</v>
      </c>
      <c r="M68" s="137">
        <f>M24*M18</f>
        <v>17466.626078161651</v>
      </c>
      <c r="N68" s="137">
        <f>N24*N18</f>
        <v>14739.891673737528</v>
      </c>
    </row>
    <row r="69" spans="2:14" hidden="1" outlineLevel="1" x14ac:dyDescent="0.35">
      <c r="B69" s="4" t="s">
        <v>221</v>
      </c>
      <c r="C69" s="5"/>
      <c r="D69" s="18"/>
      <c r="E69" s="137">
        <f t="shared" ref="E69:N69" si="16">E68</f>
        <v>7569</v>
      </c>
      <c r="F69" s="137">
        <f t="shared" si="16"/>
        <v>6029</v>
      </c>
      <c r="G69" s="137">
        <f t="shared" si="16"/>
        <v>4237</v>
      </c>
      <c r="H69" s="137">
        <f t="shared" si="16"/>
        <v>25551</v>
      </c>
      <c r="I69" s="137">
        <f t="shared" si="16"/>
        <v>39407</v>
      </c>
      <c r="J69" s="137">
        <f t="shared" si="16"/>
        <v>21999.102450000002</v>
      </c>
      <c r="K69" s="137">
        <f t="shared" si="16"/>
        <v>21377.951322000001</v>
      </c>
      <c r="L69" s="137">
        <f t="shared" si="16"/>
        <v>19232.521207185</v>
      </c>
      <c r="M69" s="137">
        <f t="shared" si="16"/>
        <v>17466.626078161651</v>
      </c>
      <c r="N69" s="137">
        <f t="shared" si="16"/>
        <v>14739.891673737528</v>
      </c>
    </row>
    <row r="70" spans="2:14" hidden="1" outlineLevel="1" x14ac:dyDescent="0.35">
      <c r="B70" s="3"/>
      <c r="C70" s="1"/>
      <c r="E70" s="9"/>
      <c r="F70" s="9"/>
      <c r="G70" s="9"/>
      <c r="H70" s="9"/>
      <c r="I70" s="9"/>
      <c r="J70" s="3"/>
      <c r="K70" s="3"/>
      <c r="L70" s="3"/>
      <c r="M70" s="3"/>
      <c r="N70" s="3"/>
    </row>
    <row r="71" spans="2:14" hidden="1" outlineLevel="1" x14ac:dyDescent="0.35">
      <c r="B71" s="3" t="s">
        <v>222</v>
      </c>
      <c r="E71" s="10"/>
      <c r="F71" s="10"/>
      <c r="G71" s="10"/>
      <c r="H71" s="10"/>
      <c r="I71" s="10"/>
      <c r="K71" s="1"/>
      <c r="L71" s="1"/>
      <c r="M71" s="1"/>
      <c r="N71" s="1"/>
    </row>
    <row r="72" spans="2:14" hidden="1" outlineLevel="1" x14ac:dyDescent="0.35">
      <c r="B72" s="1" t="s">
        <v>223</v>
      </c>
      <c r="E72" s="140">
        <v>519583</v>
      </c>
      <c r="F72" s="140">
        <v>594651</v>
      </c>
      <c r="G72" s="140">
        <v>7989</v>
      </c>
      <c r="H72" s="140">
        <v>347363</v>
      </c>
      <c r="I72" s="140">
        <v>846670</v>
      </c>
      <c r="J72" s="137">
        <f t="shared" ref="J72:N73" si="17">J19</f>
        <v>469707.54343694216</v>
      </c>
      <c r="K72" s="137">
        <f t="shared" si="17"/>
        <v>613111.16230144422</v>
      </c>
      <c r="L72" s="137">
        <f t="shared" si="17"/>
        <v>746453.03017801419</v>
      </c>
      <c r="M72" s="137">
        <f t="shared" si="17"/>
        <v>867482.59650690202</v>
      </c>
      <c r="N72" s="137">
        <f t="shared" si="17"/>
        <v>963915.12746774917</v>
      </c>
    </row>
    <row r="73" spans="2:14" hidden="1" outlineLevel="1" x14ac:dyDescent="0.35">
      <c r="B73" s="1" t="s">
        <v>224</v>
      </c>
      <c r="E73" s="137">
        <f>E41-E77-E66+E69-E72</f>
        <v>-881923</v>
      </c>
      <c r="F73" s="137">
        <f>F41-F77-F66+F69-F72</f>
        <v>-1144718</v>
      </c>
      <c r="G73" s="137">
        <f>G41-G77-G66+G69-G72</f>
        <v>-499101</v>
      </c>
      <c r="H73" s="137">
        <f>H41-H77-H66+H69-H72</f>
        <v>-941992</v>
      </c>
      <c r="I73" s="137">
        <f>I41-I77-I66+I69-I72</f>
        <v>-1569748</v>
      </c>
      <c r="J73" s="137">
        <f t="shared" si="17"/>
        <v>-1643976.4020292978</v>
      </c>
      <c r="K73" s="137">
        <f t="shared" si="17"/>
        <v>-2145889.0680550546</v>
      </c>
      <c r="L73" s="137">
        <f t="shared" si="17"/>
        <v>-2612585.6056230501</v>
      </c>
      <c r="M73" s="137">
        <f t="shared" si="17"/>
        <v>-3036189.0877741575</v>
      </c>
      <c r="N73" s="137">
        <f t="shared" si="17"/>
        <v>-3373702.9461371228</v>
      </c>
    </row>
    <row r="74" spans="2:14" hidden="1" outlineLevel="1" x14ac:dyDescent="0.35">
      <c r="B74" s="4" t="s">
        <v>225</v>
      </c>
      <c r="C74" s="5"/>
      <c r="D74" s="18"/>
      <c r="E74" s="137">
        <f>E72+E73</f>
        <v>-362340</v>
      </c>
      <c r="F74" s="137">
        <f>F72+F73</f>
        <v>-550067</v>
      </c>
      <c r="G74" s="137">
        <f>G72+G73</f>
        <v>-491112</v>
      </c>
      <c r="H74" s="137">
        <f>H72+H73</f>
        <v>-594629</v>
      </c>
      <c r="I74" s="137">
        <f>I72+I73</f>
        <v>-723078</v>
      </c>
      <c r="J74" s="137">
        <f>J19+J20</f>
        <v>-1174268.8585923556</v>
      </c>
      <c r="K74" s="137">
        <f>K19+K20</f>
        <v>-1532777.9057536104</v>
      </c>
      <c r="L74" s="137">
        <f>L19+L20</f>
        <v>-1866132.5754450359</v>
      </c>
      <c r="M74" s="137">
        <f>M19+M20</f>
        <v>-2168706.4912672555</v>
      </c>
      <c r="N74" s="137">
        <f>N19+N20</f>
        <v>-2409787.8186693736</v>
      </c>
    </row>
    <row r="75" spans="2:14" hidden="1" outlineLevel="1" x14ac:dyDescent="0.35">
      <c r="B75" s="3"/>
      <c r="C75" s="1"/>
      <c r="E75" s="9"/>
      <c r="F75" s="9"/>
      <c r="G75" s="9"/>
      <c r="H75" s="9"/>
      <c r="I75" s="9"/>
      <c r="J75" s="3"/>
      <c r="K75" s="3"/>
      <c r="L75" s="3"/>
      <c r="M75" s="3"/>
      <c r="N75" s="3"/>
    </row>
    <row r="76" spans="2:14" hidden="1" outlineLevel="1" x14ac:dyDescent="0.35">
      <c r="B76" s="1" t="s">
        <v>226</v>
      </c>
      <c r="C76" s="143" t="s">
        <v>227</v>
      </c>
      <c r="E76" s="137">
        <f t="shared" ref="E76:N76" si="18">E66-E69+E74</f>
        <v>37960</v>
      </c>
      <c r="F76" s="137">
        <f t="shared" si="18"/>
        <v>-62152</v>
      </c>
      <c r="G76" s="137">
        <f t="shared" si="18"/>
        <v>3576</v>
      </c>
      <c r="H76" s="137">
        <f t="shared" si="18"/>
        <v>13889</v>
      </c>
      <c r="I76" s="137">
        <f t="shared" si="18"/>
        <v>-16531</v>
      </c>
      <c r="J76" s="137">
        <f t="shared" si="18"/>
        <v>0</v>
      </c>
      <c r="K76" s="137">
        <f t="shared" si="18"/>
        <v>0</v>
      </c>
      <c r="L76" s="137">
        <f t="shared" si="18"/>
        <v>0</v>
      </c>
      <c r="M76" s="137">
        <f t="shared" si="18"/>
        <v>0</v>
      </c>
      <c r="N76" s="137">
        <f t="shared" si="18"/>
        <v>0</v>
      </c>
    </row>
    <row r="77" spans="2:14" hidden="1" outlineLevel="1" x14ac:dyDescent="0.35">
      <c r="B77" s="1" t="s">
        <v>228</v>
      </c>
      <c r="E77" s="140">
        <v>157394</v>
      </c>
      <c r="F77" s="152">
        <f t="shared" ref="F77:N77" si="19">E41</f>
        <v>195354</v>
      </c>
      <c r="G77" s="152">
        <f t="shared" si="19"/>
        <v>133202</v>
      </c>
      <c r="H77" s="152">
        <f t="shared" si="19"/>
        <v>136778</v>
      </c>
      <c r="I77" s="152">
        <f t="shared" si="19"/>
        <v>150667</v>
      </c>
      <c r="J77" s="137">
        <f t="shared" si="19"/>
        <v>134136</v>
      </c>
      <c r="K77" s="137">
        <f t="shared" si="19"/>
        <v>134136</v>
      </c>
      <c r="L77" s="137">
        <f t="shared" si="19"/>
        <v>134136</v>
      </c>
      <c r="M77" s="137">
        <f t="shared" si="19"/>
        <v>134136</v>
      </c>
      <c r="N77" s="137">
        <f t="shared" si="19"/>
        <v>134136</v>
      </c>
    </row>
    <row r="78" spans="2:14" hidden="1" outlineLevel="1" x14ac:dyDescent="0.35">
      <c r="B78" s="4" t="s">
        <v>229</v>
      </c>
      <c r="C78" s="5"/>
      <c r="D78" s="153">
        <v>157394</v>
      </c>
      <c r="E78" s="137">
        <f t="shared" ref="E78:N78" si="20">E77+E76</f>
        <v>195354</v>
      </c>
      <c r="F78" s="137">
        <f t="shared" si="20"/>
        <v>133202</v>
      </c>
      <c r="G78" s="137">
        <f t="shared" si="20"/>
        <v>136778</v>
      </c>
      <c r="H78" s="137">
        <f t="shared" si="20"/>
        <v>150667</v>
      </c>
      <c r="I78" s="137">
        <f t="shared" si="20"/>
        <v>134136</v>
      </c>
      <c r="J78" s="137">
        <f t="shared" si="20"/>
        <v>134136</v>
      </c>
      <c r="K78" s="137">
        <f t="shared" si="20"/>
        <v>134136</v>
      </c>
      <c r="L78" s="137">
        <f t="shared" si="20"/>
        <v>134136</v>
      </c>
      <c r="M78" s="137">
        <f t="shared" si="20"/>
        <v>134136</v>
      </c>
      <c r="N78" s="137">
        <f t="shared" si="20"/>
        <v>134136</v>
      </c>
    </row>
    <row r="79" spans="2:14" hidden="1" outlineLevel="1" x14ac:dyDescent="0.35">
      <c r="B79" s="3"/>
      <c r="E79" s="9"/>
      <c r="F79" s="10"/>
      <c r="G79" s="10"/>
      <c r="H79" s="10"/>
      <c r="I79" s="10"/>
    </row>
    <row r="80" spans="2:14" hidden="1" outlineLevel="1" x14ac:dyDescent="0.35">
      <c r="B80" s="8" t="s">
        <v>230</v>
      </c>
      <c r="C80" s="7"/>
      <c r="D80" s="17"/>
      <c r="E80" s="154">
        <f t="shared" ref="E80:N80" si="21">E78-E41</f>
        <v>0</v>
      </c>
      <c r="F80" s="154">
        <f t="shared" si="21"/>
        <v>0</v>
      </c>
      <c r="G80" s="154">
        <f t="shared" si="21"/>
        <v>0</v>
      </c>
      <c r="H80" s="154">
        <f t="shared" si="21"/>
        <v>0</v>
      </c>
      <c r="I80" s="154">
        <f t="shared" si="21"/>
        <v>0</v>
      </c>
      <c r="J80" s="137">
        <f t="shared" si="21"/>
        <v>0</v>
      </c>
      <c r="K80" s="137">
        <f t="shared" si="21"/>
        <v>0</v>
      </c>
      <c r="L80" s="137">
        <f t="shared" si="21"/>
        <v>0</v>
      </c>
      <c r="M80" s="137">
        <f t="shared" si="21"/>
        <v>0</v>
      </c>
      <c r="N80" s="137">
        <f t="shared" si="21"/>
        <v>0</v>
      </c>
    </row>
    <row r="81" spans="2:14" hidden="1" outlineLevel="1" x14ac:dyDescent="0.35">
      <c r="B81" s="3" t="s">
        <v>231</v>
      </c>
      <c r="C81" s="143" t="s">
        <v>232</v>
      </c>
      <c r="E81" s="155" t="s">
        <v>233</v>
      </c>
      <c r="F81" s="137">
        <f t="shared" ref="F81:N81" si="22">F88-E88</f>
        <v>14628</v>
      </c>
      <c r="G81" s="137">
        <f t="shared" si="22"/>
        <v>16685</v>
      </c>
      <c r="H81" s="137">
        <f t="shared" si="22"/>
        <v>20167</v>
      </c>
      <c r="I81" s="137">
        <f t="shared" si="22"/>
        <v>30475</v>
      </c>
      <c r="J81" s="156">
        <f t="shared" si="22"/>
        <v>56211.600000000733</v>
      </c>
      <c r="K81" s="156">
        <f t="shared" si="22"/>
        <v>43845.048000000126</v>
      </c>
      <c r="L81" s="156">
        <f t="shared" si="22"/>
        <v>41677.153960000142</v>
      </c>
      <c r="M81" s="156">
        <f t="shared" si="22"/>
        <v>36201.638215600047</v>
      </c>
      <c r="N81" s="156">
        <f t="shared" si="22"/>
        <v>31051.132414926135</v>
      </c>
    </row>
    <row r="82" spans="2:14" collapsed="1" x14ac:dyDescent="0.35">
      <c r="E82" s="10"/>
      <c r="F82" s="10"/>
      <c r="G82" s="10"/>
      <c r="H82" s="10"/>
      <c r="I82" s="10"/>
    </row>
    <row r="83" spans="2:14" ht="18" customHeight="1" x14ac:dyDescent="0.35">
      <c r="B83" s="34" t="s">
        <v>234</v>
      </c>
      <c r="C83" s="34"/>
      <c r="D83" s="34"/>
      <c r="E83" s="34"/>
      <c r="F83" s="34"/>
      <c r="G83" s="34"/>
      <c r="H83" s="34"/>
      <c r="I83" s="34"/>
      <c r="J83" s="34"/>
      <c r="K83" s="34"/>
      <c r="L83" s="34"/>
      <c r="M83" s="34"/>
      <c r="N83" s="34"/>
    </row>
    <row r="84" spans="2:14" outlineLevel="1" x14ac:dyDescent="0.35">
      <c r="B84" s="3" t="s">
        <v>235</v>
      </c>
      <c r="F84" s="10"/>
      <c r="G84" s="10"/>
      <c r="H84" s="10"/>
      <c r="I84" s="10"/>
    </row>
    <row r="85" spans="2:14" outlineLevel="1" x14ac:dyDescent="0.35">
      <c r="B85" s="1" t="s">
        <v>236</v>
      </c>
      <c r="E85" s="140">
        <v>312107</v>
      </c>
      <c r="F85" s="140">
        <v>322410</v>
      </c>
      <c r="G85" s="140">
        <v>387947</v>
      </c>
      <c r="H85" s="140">
        <v>426642</v>
      </c>
      <c r="I85" s="140">
        <v>529148</v>
      </c>
      <c r="J85" s="137">
        <f t="shared" ref="J85:N86" si="23">J42</f>
        <v>589951.75627397269</v>
      </c>
      <c r="K85" s="137">
        <f t="shared" si="23"/>
        <v>580677.03395178088</v>
      </c>
      <c r="L85" s="137">
        <f t="shared" si="23"/>
        <v>532666.58984781371</v>
      </c>
      <c r="M85" s="137">
        <f t="shared" si="23"/>
        <v>444508.35316113062</v>
      </c>
      <c r="N85" s="137">
        <f t="shared" si="23"/>
        <v>323066.11887643894</v>
      </c>
    </row>
    <row r="86" spans="2:14" outlineLevel="1" x14ac:dyDescent="0.35">
      <c r="B86" s="1" t="s">
        <v>191</v>
      </c>
      <c r="E86" s="140">
        <v>0</v>
      </c>
      <c r="F86" s="140">
        <v>0</v>
      </c>
      <c r="G86" s="140">
        <v>0</v>
      </c>
      <c r="H86" s="140">
        <v>0</v>
      </c>
      <c r="I86" s="140">
        <v>0</v>
      </c>
      <c r="J86" s="137">
        <f t="shared" si="23"/>
        <v>0</v>
      </c>
      <c r="K86" s="137">
        <f t="shared" si="23"/>
        <v>0</v>
      </c>
      <c r="L86" s="137">
        <f t="shared" si="23"/>
        <v>0</v>
      </c>
      <c r="M86" s="137">
        <f t="shared" si="23"/>
        <v>0</v>
      </c>
      <c r="N86" s="137">
        <f t="shared" si="23"/>
        <v>0</v>
      </c>
    </row>
    <row r="87" spans="2:14" outlineLevel="1" x14ac:dyDescent="0.35">
      <c r="B87" s="1" t="s">
        <v>237</v>
      </c>
      <c r="E87" s="140">
        <v>20749</v>
      </c>
      <c r="F87" s="140">
        <v>17273</v>
      </c>
      <c r="G87" s="140">
        <v>19009</v>
      </c>
      <c r="H87" s="140">
        <v>22473</v>
      </c>
      <c r="I87" s="140">
        <v>32315</v>
      </c>
      <c r="J87" s="137">
        <f>J48</f>
        <v>27287.016218301356</v>
      </c>
      <c r="K87" s="137">
        <f>K48</f>
        <v>28553.968532561117</v>
      </c>
      <c r="L87" s="137">
        <f>L48</f>
        <v>28521.100327017917</v>
      </c>
      <c r="M87" s="137">
        <f>M48</f>
        <v>28074.211778597728</v>
      </c>
      <c r="N87" s="137">
        <f>N48</f>
        <v>30460.519779778533</v>
      </c>
    </row>
    <row r="88" spans="2:14" outlineLevel="1" x14ac:dyDescent="0.35">
      <c r="B88" s="5" t="s">
        <v>238</v>
      </c>
      <c r="C88" s="141" t="s">
        <v>239</v>
      </c>
      <c r="D88" s="18"/>
      <c r="E88" s="157">
        <v>105417</v>
      </c>
      <c r="F88" s="157">
        <v>120045</v>
      </c>
      <c r="G88" s="157">
        <v>136730</v>
      </c>
      <c r="H88" s="157">
        <v>156897</v>
      </c>
      <c r="I88" s="157">
        <v>187372</v>
      </c>
      <c r="J88" s="137">
        <f>J24*(J104+J108)*IF($I$24*(0.210822510170181+0.160947304920615)=0,0,$I$88/($I$24*(0.210822510170181+0.160947304920615)))</f>
        <v>243583.60000000073</v>
      </c>
      <c r="K88" s="137">
        <f>K24*(K104+K108)*IF($I$24*(0.210822510170181+0.160947304920615)=0,0,$I$88/($I$24*(0.210822510170181+0.160947304920615)))</f>
        <v>287428.64800000086</v>
      </c>
      <c r="L88" s="137">
        <f>L24*(L104+L108)*IF($I$24*(0.210822510170181+0.160947304920615)=0,0,$I$88/($I$24*(0.210822510170181+0.160947304920615)))</f>
        <v>329105.801960001</v>
      </c>
      <c r="M88" s="137">
        <f>M24*(M104+M108)*IF($I$24*(0.210822510170181+0.160947304920615)=0,0,$I$88/($I$24*(0.210822510170181+0.160947304920615)))</f>
        <v>365307.44017560105</v>
      </c>
      <c r="N88" s="137">
        <f>N24*(N104+N108)*IF($I$24*(0.210822510170181+0.160947304920615)=0,0,$I$88/($I$24*(0.210822510170181+0.160947304920615)))</f>
        <v>396358.57259052718</v>
      </c>
    </row>
    <row r="89" spans="2:14" outlineLevel="1" x14ac:dyDescent="0.35">
      <c r="B89" s="1" t="s">
        <v>240</v>
      </c>
      <c r="C89" s="143" t="s">
        <v>241</v>
      </c>
      <c r="D89" s="158">
        <v>311147</v>
      </c>
      <c r="E89" s="137">
        <f t="shared" ref="E89:N89" si="24">E85+E86-E87</f>
        <v>291358</v>
      </c>
      <c r="F89" s="137">
        <f t="shared" si="24"/>
        <v>305137</v>
      </c>
      <c r="G89" s="137">
        <f t="shared" si="24"/>
        <v>368938</v>
      </c>
      <c r="H89" s="137">
        <f t="shared" si="24"/>
        <v>404169</v>
      </c>
      <c r="I89" s="137">
        <f t="shared" si="24"/>
        <v>496833</v>
      </c>
      <c r="J89" s="137">
        <f t="shared" si="24"/>
        <v>562664.74005567131</v>
      </c>
      <c r="K89" s="137">
        <f t="shared" si="24"/>
        <v>552123.06541921978</v>
      </c>
      <c r="L89" s="137">
        <f t="shared" si="24"/>
        <v>504145.48952079582</v>
      </c>
      <c r="M89" s="137">
        <f t="shared" si="24"/>
        <v>416434.14138253289</v>
      </c>
      <c r="N89" s="137">
        <f t="shared" si="24"/>
        <v>292605.59909666039</v>
      </c>
    </row>
    <row r="90" spans="2:14" outlineLevel="1" x14ac:dyDescent="0.35">
      <c r="B90" t="s">
        <v>242</v>
      </c>
      <c r="C90" s="143" t="s">
        <v>243</v>
      </c>
      <c r="E90" s="155" t="s">
        <v>233</v>
      </c>
      <c r="F90" s="137">
        <f t="shared" ref="F90:N90" si="25">F89-E89</f>
        <v>13779</v>
      </c>
      <c r="G90" s="137">
        <f t="shared" si="25"/>
        <v>63801</v>
      </c>
      <c r="H90" s="137">
        <f t="shared" si="25"/>
        <v>35231</v>
      </c>
      <c r="I90" s="137">
        <f t="shared" si="25"/>
        <v>92664</v>
      </c>
      <c r="J90" s="156">
        <f t="shared" si="25"/>
        <v>65831.740055671311</v>
      </c>
      <c r="K90" s="156">
        <f t="shared" si="25"/>
        <v>-10541.674636451527</v>
      </c>
      <c r="L90" s="156">
        <f t="shared" si="25"/>
        <v>-47977.575898423966</v>
      </c>
      <c r="M90" s="156">
        <f t="shared" si="25"/>
        <v>-87711.348138262925</v>
      </c>
      <c r="N90" s="156">
        <f t="shared" si="25"/>
        <v>-123828.54228587251</v>
      </c>
    </row>
    <row r="91" spans="2:14" outlineLevel="1" x14ac:dyDescent="0.35">
      <c r="B91" s="3" t="s">
        <v>244</v>
      </c>
      <c r="E91" s="10"/>
      <c r="F91" s="10"/>
      <c r="G91" s="10"/>
      <c r="H91" s="10"/>
      <c r="I91" s="10"/>
    </row>
    <row r="92" spans="2:14" outlineLevel="1" x14ac:dyDescent="0.35">
      <c r="B92" s="1" t="s">
        <v>245</v>
      </c>
      <c r="E92" s="140">
        <v>46419</v>
      </c>
      <c r="F92" s="152">
        <f>E95</f>
        <v>27913</v>
      </c>
      <c r="G92" s="152">
        <f>F95</f>
        <v>17580</v>
      </c>
      <c r="H92" s="152">
        <f>G95</f>
        <v>10966</v>
      </c>
      <c r="I92" s="152">
        <f>H95</f>
        <v>38465</v>
      </c>
      <c r="J92" s="137">
        <f>I44</f>
        <v>67713</v>
      </c>
      <c r="K92" s="137">
        <f>J95</f>
        <v>67943.343543299998</v>
      </c>
      <c r="L92" s="137">
        <f>K95</f>
        <v>63634.159355394004</v>
      </c>
      <c r="M92" s="137">
        <f>L95</f>
        <v>53454.910403736634</v>
      </c>
      <c r="N92" s="137">
        <f>M95</f>
        <v>38274.47160558324</v>
      </c>
    </row>
    <row r="93" spans="2:14" outlineLevel="1" x14ac:dyDescent="0.35">
      <c r="B93" s="1" t="s">
        <v>246</v>
      </c>
      <c r="E93" s="140">
        <v>7569</v>
      </c>
      <c r="F93" s="140">
        <v>6029</v>
      </c>
      <c r="G93" s="140">
        <v>4237</v>
      </c>
      <c r="H93" s="140">
        <v>25551</v>
      </c>
      <c r="I93" s="140">
        <v>39407</v>
      </c>
      <c r="J93" s="137">
        <f>J24*J18</f>
        <v>21999.102450000002</v>
      </c>
      <c r="K93" s="137">
        <f>K24*K18</f>
        <v>21377.951322000001</v>
      </c>
      <c r="L93" s="137">
        <f>L24*L18</f>
        <v>19232.521207185</v>
      </c>
      <c r="M93" s="137">
        <f>M24*M18</f>
        <v>17466.626078161651</v>
      </c>
      <c r="N93" s="137">
        <f>N24*N18</f>
        <v>14739.891673737528</v>
      </c>
    </row>
    <row r="94" spans="2:14" outlineLevel="1" x14ac:dyDescent="0.35">
      <c r="B94" s="1" t="s">
        <v>247</v>
      </c>
      <c r="C94" s="143" t="s">
        <v>248</v>
      </c>
      <c r="E94" s="140">
        <v>25592</v>
      </c>
      <c r="F94" s="140">
        <v>20465</v>
      </c>
      <c r="G94" s="140">
        <v>14638</v>
      </c>
      <c r="H94" s="140">
        <v>13827</v>
      </c>
      <c r="I94" s="140">
        <v>14952</v>
      </c>
      <c r="J94" s="137">
        <f>J30</f>
        <v>21768.758906700001</v>
      </c>
      <c r="K94" s="137">
        <f>K30</f>
        <v>25687.135509906002</v>
      </c>
      <c r="L94" s="137">
        <f>L30</f>
        <v>29411.77015884237</v>
      </c>
      <c r="M94" s="137">
        <f>M30</f>
        <v>32647.064876315035</v>
      </c>
      <c r="N94" s="137">
        <f>N30</f>
        <v>35422.065390801814</v>
      </c>
    </row>
    <row r="95" spans="2:14" outlineLevel="1" x14ac:dyDescent="0.35">
      <c r="B95" s="5" t="s">
        <v>249</v>
      </c>
      <c r="C95" s="5"/>
      <c r="D95" s="18"/>
      <c r="E95" s="157">
        <v>27913</v>
      </c>
      <c r="F95" s="157">
        <v>17580</v>
      </c>
      <c r="G95" s="157">
        <v>10966</v>
      </c>
      <c r="H95" s="157">
        <v>38465</v>
      </c>
      <c r="I95" s="157">
        <v>67713</v>
      </c>
      <c r="J95" s="137">
        <f>J92+J93-J94</f>
        <v>67943.343543299998</v>
      </c>
      <c r="K95" s="137">
        <f>K92+K93-K94</f>
        <v>63634.159355394004</v>
      </c>
      <c r="L95" s="137">
        <f>L92+L93-L94</f>
        <v>53454.910403736634</v>
      </c>
      <c r="M95" s="137">
        <f>M92+M93-M94</f>
        <v>38274.47160558324</v>
      </c>
      <c r="N95" s="137">
        <f>N92+N93-N94</f>
        <v>17592.297888518951</v>
      </c>
    </row>
    <row r="96" spans="2:14" outlineLevel="1" x14ac:dyDescent="0.35">
      <c r="E96" s="10"/>
      <c r="F96" s="10"/>
      <c r="G96" s="10"/>
      <c r="H96" s="10"/>
      <c r="I96" s="10"/>
      <c r="J96" s="10"/>
      <c r="K96" s="10"/>
      <c r="L96" s="10"/>
      <c r="M96" s="10"/>
      <c r="N96" s="10"/>
    </row>
    <row r="97" spans="2:22" outlineLevel="1" x14ac:dyDescent="0.35">
      <c r="B97" s="3" t="s">
        <v>250</v>
      </c>
      <c r="E97" s="10"/>
      <c r="F97" s="10"/>
      <c r="G97" s="10"/>
      <c r="H97" s="10"/>
      <c r="I97" s="10"/>
    </row>
    <row r="98" spans="2:22" outlineLevel="1" x14ac:dyDescent="0.35">
      <c r="B98" s="1" t="s">
        <v>251</v>
      </c>
      <c r="E98" s="140">
        <v>739435</v>
      </c>
      <c r="F98" s="152">
        <f>E100</f>
        <v>1259018</v>
      </c>
      <c r="G98" s="152">
        <f>F100</f>
        <v>1853669</v>
      </c>
      <c r="H98" s="152">
        <f>G100</f>
        <v>1861658</v>
      </c>
      <c r="I98" s="152">
        <f>H100</f>
        <v>2209021</v>
      </c>
      <c r="J98" s="137">
        <f>I49</f>
        <v>3055691</v>
      </c>
      <c r="K98" s="137">
        <f>J100</f>
        <v>3525398.5434369422</v>
      </c>
      <c r="L98" s="137">
        <f>K100</f>
        <v>4138509.7057383861</v>
      </c>
      <c r="M98" s="137">
        <f>L100</f>
        <v>4884962.7359164003</v>
      </c>
      <c r="N98" s="137">
        <f>M100</f>
        <v>5752445.3324233023</v>
      </c>
    </row>
    <row r="99" spans="2:22" outlineLevel="1" x14ac:dyDescent="0.35">
      <c r="B99" s="1" t="s">
        <v>252</v>
      </c>
      <c r="E99" s="140">
        <v>519583</v>
      </c>
      <c r="F99" s="140">
        <v>594651</v>
      </c>
      <c r="G99" s="140">
        <v>7989</v>
      </c>
      <c r="H99" s="140">
        <v>347363</v>
      </c>
      <c r="I99" s="140">
        <v>846670</v>
      </c>
      <c r="J99" s="137">
        <f>J19</f>
        <v>469707.54343694216</v>
      </c>
      <c r="K99" s="137">
        <f>K19</f>
        <v>613111.16230144422</v>
      </c>
      <c r="L99" s="137">
        <f>L19</f>
        <v>746453.03017801419</v>
      </c>
      <c r="M99" s="137">
        <f>M19</f>
        <v>867482.59650690202</v>
      </c>
      <c r="N99" s="137">
        <f>N19</f>
        <v>963915.12746774917</v>
      </c>
    </row>
    <row r="100" spans="2:22" outlineLevel="1" x14ac:dyDescent="0.35">
      <c r="B100" s="5" t="s">
        <v>253</v>
      </c>
      <c r="C100" s="5"/>
      <c r="D100" s="18"/>
      <c r="E100" s="157">
        <v>1259018</v>
      </c>
      <c r="F100" s="157">
        <v>1853669</v>
      </c>
      <c r="G100" s="157">
        <v>1861658</v>
      </c>
      <c r="H100" s="157">
        <v>2209021</v>
      </c>
      <c r="I100" s="157">
        <v>3055691</v>
      </c>
      <c r="J100" s="137">
        <f>J98+J99</f>
        <v>3525398.5434369422</v>
      </c>
      <c r="K100" s="137">
        <f>K98+K99</f>
        <v>4138509.7057383861</v>
      </c>
      <c r="L100" s="137">
        <f>L98+L99</f>
        <v>4884962.7359164003</v>
      </c>
      <c r="M100" s="137">
        <f>M98+M99</f>
        <v>5752445.3324233023</v>
      </c>
      <c r="N100" s="137">
        <f>N98+N99</f>
        <v>6716360.4598910511</v>
      </c>
    </row>
    <row r="101" spans="2:22" outlineLevel="1" x14ac:dyDescent="0.35">
      <c r="B101" s="1" t="s">
        <v>254</v>
      </c>
      <c r="E101" s="140">
        <v>40092</v>
      </c>
      <c r="F101" s="140">
        <v>68967</v>
      </c>
      <c r="G101" s="140">
        <v>95546</v>
      </c>
      <c r="H101" s="140">
        <v>105638</v>
      </c>
      <c r="I101" s="140">
        <v>133647</v>
      </c>
      <c r="J101" s="137">
        <f>J98*J12</f>
        <v>184871.00624077363</v>
      </c>
      <c r="K101" s="137">
        <f>K98*K12</f>
        <v>213288.57404919056</v>
      </c>
      <c r="L101" s="137">
        <f>L98*L12</f>
        <v>250382.14061469678</v>
      </c>
      <c r="M101" s="137">
        <f>M98*M12</f>
        <v>295542.96440233896</v>
      </c>
      <c r="N101" s="137">
        <f>N98*N12</f>
        <v>348026.14431568421</v>
      </c>
    </row>
    <row r="102" spans="2:22" outlineLevel="1" x14ac:dyDescent="0.35">
      <c r="B102" s="159" t="s">
        <v>255</v>
      </c>
      <c r="E102" s="10"/>
      <c r="F102" s="10"/>
      <c r="G102" s="23"/>
      <c r="H102" s="10"/>
      <c r="I102" s="10"/>
    </row>
    <row r="103" spans="2:22" outlineLevel="1" x14ac:dyDescent="0.35">
      <c r="E103" s="10"/>
      <c r="F103" s="10"/>
      <c r="G103" s="10"/>
      <c r="H103" s="10"/>
      <c r="I103" s="10"/>
    </row>
    <row r="104" spans="2:22" ht="40" customHeight="1" x14ac:dyDescent="0.35">
      <c r="B104" t="s">
        <v>256</v>
      </c>
      <c r="C104" s="135" t="s">
        <v>257</v>
      </c>
      <c r="E104" s="10"/>
      <c r="F104" s="10"/>
      <c r="G104" s="10"/>
      <c r="H104" s="10"/>
      <c r="I104" s="10"/>
      <c r="J104" s="160">
        <v>0.240822510170182</v>
      </c>
      <c r="K104" s="160">
        <v>0.270822510170182</v>
      </c>
      <c r="L104" s="160">
        <v>0.30082251017018202</v>
      </c>
      <c r="M104" s="160">
        <v>0.33082251017018199</v>
      </c>
      <c r="N104" s="160">
        <v>0.35176981509079708</v>
      </c>
      <c r="P104" s="129">
        <v>104</v>
      </c>
      <c r="Q104" s="129" t="s">
        <v>258</v>
      </c>
      <c r="R104" s="191" t="s">
        <v>259</v>
      </c>
      <c r="S104" s="191" t="s">
        <v>260</v>
      </c>
      <c r="T104" s="191" t="s">
        <v>576</v>
      </c>
      <c r="U104" s="131" t="str">
        <f>HYPERLINK("https://www.sec.gov/Archives/edgar/data/814547/000081454726000011/R45.htm","SEC 10-Q Q1 FY2026 — Deferred revenue / contract liabilities detail")</f>
        <v>SEC 10-Q Q1 FY2026 — Deferred revenue / contract liabilities detail</v>
      </c>
      <c r="V104" s="131" t="str">
        <f>HYPERLINK("https://www.sec.gov/Archives/edgar/data/814547/000081454726000011/R45.htm","https://www.sec.gov/Archives/edgar/data/814547/000081454726000011/R45.htm")</f>
        <v>https://www.sec.gov/Archives/edgar/data/814547/000081454726000011/R45.htm</v>
      </c>
    </row>
    <row r="105" spans="2:22" ht="40" customHeight="1" x14ac:dyDescent="0.35">
      <c r="B105" s="34" t="s">
        <v>261</v>
      </c>
      <c r="C105" s="161" t="s">
        <v>262</v>
      </c>
      <c r="D105" s="34"/>
      <c r="E105" s="34"/>
      <c r="F105" s="34"/>
      <c r="G105" s="34"/>
      <c r="H105" s="34"/>
      <c r="I105" s="34"/>
      <c r="J105" s="162">
        <v>0.1104944624683995</v>
      </c>
      <c r="K105" s="162">
        <v>0.1104944624683995</v>
      </c>
      <c r="L105" s="162">
        <v>0.1104944624683995</v>
      </c>
      <c r="M105" s="162">
        <v>0.1104944624683995</v>
      </c>
      <c r="N105" s="162">
        <v>0.1104944624683995</v>
      </c>
      <c r="P105" s="129">
        <v>105</v>
      </c>
      <c r="Q105" s="129" t="s">
        <v>261</v>
      </c>
      <c r="R105" s="130" t="s">
        <v>263</v>
      </c>
      <c r="S105" s="192" t="s">
        <v>264</v>
      </c>
      <c r="T105" s="192" t="s">
        <v>577</v>
      </c>
      <c r="U105" s="131" t="str">
        <f>HYPERLINK("https://www.sec.gov/Archives/edgar/data/814547/000081454725000030/fico-20250930.htm","SEC 10-K FY2025 — Scores segment B2C / myFICO disaggregation")</f>
        <v>SEC 10-K FY2025 — Scores segment B2C / myFICO disaggregation</v>
      </c>
      <c r="V105" s="131" t="str">
        <f>HYPERLINK("https://www.sec.gov/Archives/edgar/data/814547/000081454725000030/fico-20250930.htm","https://www.sec.gov/Archives/edgar/data/814547/000081454725000030/fico-20250930.htm")</f>
        <v>https://www.sec.gov/Archives/edgar/data/814547/000081454725000030/fico-20250930.htm</v>
      </c>
    </row>
    <row r="106" spans="2:22" ht="40" customHeight="1" outlineLevel="1" x14ac:dyDescent="0.35">
      <c r="B106" t="s">
        <v>265</v>
      </c>
      <c r="C106" s="135" t="s">
        <v>266</v>
      </c>
      <c r="J106" s="160">
        <v>0.47647283673611868</v>
      </c>
      <c r="K106" s="160">
        <v>0.47647283673611868</v>
      </c>
      <c r="L106" s="160">
        <v>0.47647283673611868</v>
      </c>
      <c r="M106" s="160">
        <v>0.47647283673611868</v>
      </c>
      <c r="N106" s="160">
        <v>0.47647283673611868</v>
      </c>
      <c r="P106" s="129">
        <v>106</v>
      </c>
      <c r="Q106" s="129" t="s">
        <v>267</v>
      </c>
      <c r="R106" s="192" t="s">
        <v>268</v>
      </c>
      <c r="S106" s="192" t="s">
        <v>269</v>
      </c>
      <c r="T106" s="192" t="s">
        <v>578</v>
      </c>
      <c r="U106" s="131" t="str">
        <f>HYPERLINK("https://www.sec.gov/Archives/edgar/data/814547/000081454725000030/fico-20250930.htm","SEC 10-K FY2025 — Scores segment B2B disaggregation")</f>
        <v>SEC 10-K FY2025 — Scores segment B2B disaggregation</v>
      </c>
      <c r="V106" s="131" t="str">
        <f>HYPERLINK("https://www.sec.gov/Archives/edgar/data/814547/000081454725000030/fico-20250930.htm","https://www.sec.gov/Archives/edgar/data/814547/000081454725000030/fico-20250930.htm")</f>
        <v>https://www.sec.gov/Archives/edgar/data/814547/000081454725000030/fico-20250930.htm</v>
      </c>
    </row>
    <row r="107" spans="2:22" ht="40" customHeight="1" outlineLevel="1" x14ac:dyDescent="0.35">
      <c r="B107" t="s">
        <v>270</v>
      </c>
      <c r="C107" s="135" t="s">
        <v>271</v>
      </c>
      <c r="J107" s="160">
        <v>4.126288570468474E-2</v>
      </c>
      <c r="K107" s="160">
        <v>4.126288570468474E-2</v>
      </c>
      <c r="L107" s="160">
        <v>4.126288570468474E-2</v>
      </c>
      <c r="M107" s="160">
        <v>4.126288570468474E-2</v>
      </c>
      <c r="N107" s="160">
        <v>4.126288570468474E-2</v>
      </c>
      <c r="P107" s="129">
        <v>107</v>
      </c>
      <c r="Q107" s="129" t="s">
        <v>272</v>
      </c>
      <c r="R107" s="192" t="s">
        <v>273</v>
      </c>
      <c r="S107" s="130" t="s">
        <v>274</v>
      </c>
      <c r="T107" s="192" t="s">
        <v>579</v>
      </c>
      <c r="U107" s="131" t="str">
        <f>HYPERLINK("https://www.sec.gov/Archives/edgar/data/814547/000081454725000030/fico-20250930.htm","SEC 10-K FY2025 — Software segment Professional services line")</f>
        <v>SEC 10-K FY2025 — Software segment Professional services line</v>
      </c>
      <c r="V107" s="131" t="str">
        <f>HYPERLINK("https://www.sec.gov/Archives/edgar/data/814547/000081454725000030/fico-20250930.htm","https://www.sec.gov/Archives/edgar/data/814547/000081454725000030/fico-20250930.htm")</f>
        <v>https://www.sec.gov/Archives/edgar/data/814547/000081454725000030/fico-20250930.htm</v>
      </c>
    </row>
    <row r="108" spans="2:22" ht="40" customHeight="1" outlineLevel="1" x14ac:dyDescent="0.35">
      <c r="B108" t="s">
        <v>275</v>
      </c>
      <c r="C108" s="135" t="s">
        <v>276</v>
      </c>
      <c r="J108" s="160">
        <v>0.1309473049206151</v>
      </c>
      <c r="K108" s="160">
        <v>0.1009473049206151</v>
      </c>
      <c r="L108" s="160">
        <v>7.0947304920615073E-2</v>
      </c>
      <c r="M108" s="160">
        <v>4.0947304920615053E-2</v>
      </c>
      <c r="N108" s="160">
        <v>2.0000000000000021E-2</v>
      </c>
      <c r="P108" s="129">
        <v>108</v>
      </c>
      <c r="Q108" s="129" t="s">
        <v>277</v>
      </c>
      <c r="R108" s="192" t="s">
        <v>278</v>
      </c>
      <c r="S108" s="130" t="s">
        <v>580</v>
      </c>
      <c r="T108" s="192" t="s">
        <v>581</v>
      </c>
      <c r="U108" s="131" t="str">
        <f>HYPERLINK("https://www.sec.gov/Archives/edgar/data/814547/000081454725000030/fico-20250930.htm","SEC 10-K FY2025 — Software on-premises vs SaaS deployment table")</f>
        <v>SEC 10-K FY2025 — Software on-premises vs SaaS deployment table</v>
      </c>
      <c r="V108" s="131" t="str">
        <f>HYPERLINK("https://www.sec.gov/Archives/edgar/data/814547/000081454725000030/fico-20250930.htm","https://www.sec.gov/Archives/edgar/data/814547/000081454725000030/fico-20250930.htm")</f>
        <v>https://www.sec.gov/Archives/edgar/data/814547/000081454725000030/fico-20250930.htm</v>
      </c>
    </row>
    <row r="109" spans="2:22" outlineLevel="1" x14ac:dyDescent="0.35">
      <c r="B109" t="s">
        <v>279</v>
      </c>
      <c r="C109" s="143" t="s">
        <v>280</v>
      </c>
      <c r="J109" s="163">
        <f>J104+J105+J106+J107+J108</f>
        <v>1</v>
      </c>
      <c r="K109" s="163">
        <f>K104+K105+K106+K107+K108</f>
        <v>1</v>
      </c>
      <c r="L109" s="163">
        <f>L104+L105+L106+L107+L108</f>
        <v>1</v>
      </c>
      <c r="M109" s="163">
        <f>M104+M105+M106+M107+M108</f>
        <v>0.99999999999999989</v>
      </c>
      <c r="N109" s="163">
        <f>N104+N105+N106+N107+N108</f>
        <v>1</v>
      </c>
    </row>
    <row r="110" spans="2:22" outlineLevel="1" x14ac:dyDescent="0.35">
      <c r="B110" t="s">
        <v>281</v>
      </c>
      <c r="J110" s="160">
        <v>40</v>
      </c>
      <c r="K110" s="156">
        <f>$J$110</f>
        <v>40</v>
      </c>
      <c r="L110" s="156">
        <f>$J$110</f>
        <v>40</v>
      </c>
      <c r="M110" s="156">
        <f>$J$110</f>
        <v>40</v>
      </c>
      <c r="N110" s="156">
        <f>$J$110</f>
        <v>40</v>
      </c>
    </row>
    <row r="111" spans="2:22" outlineLevel="1" x14ac:dyDescent="0.35">
      <c r="B111" t="s">
        <v>282</v>
      </c>
      <c r="J111" s="164">
        <v>2</v>
      </c>
      <c r="K111" s="165">
        <f>$J$111</f>
        <v>2</v>
      </c>
      <c r="L111" s="165">
        <f>$J$111</f>
        <v>2</v>
      </c>
      <c r="M111" s="165">
        <f>$J$111</f>
        <v>2</v>
      </c>
      <c r="N111" s="165">
        <f>$J$111</f>
        <v>2</v>
      </c>
    </row>
    <row r="112" spans="2:22" outlineLevel="1" x14ac:dyDescent="0.35">
      <c r="B112" t="s">
        <v>283</v>
      </c>
      <c r="J112" s="164">
        <v>25</v>
      </c>
      <c r="K112" s="165">
        <f>$J$112</f>
        <v>25</v>
      </c>
      <c r="L112" s="165">
        <f>$J$112</f>
        <v>25</v>
      </c>
      <c r="M112" s="165">
        <f>$J$112</f>
        <v>25</v>
      </c>
      <c r="N112" s="165">
        <f>$J$112</f>
        <v>25</v>
      </c>
    </row>
    <row r="113" spans="2:14" outlineLevel="1" x14ac:dyDescent="0.35">
      <c r="B113" t="s">
        <v>284</v>
      </c>
      <c r="J113" s="164">
        <v>12</v>
      </c>
      <c r="K113" s="165">
        <f>$J$113</f>
        <v>12</v>
      </c>
      <c r="L113" s="165">
        <f>$J$113</f>
        <v>12</v>
      </c>
      <c r="M113" s="165">
        <f>$J$113</f>
        <v>12</v>
      </c>
      <c r="N113" s="165">
        <f>$J$113</f>
        <v>12</v>
      </c>
    </row>
    <row r="114" spans="2:14" outlineLevel="1" x14ac:dyDescent="0.35">
      <c r="B114" t="s">
        <v>285</v>
      </c>
      <c r="J114" s="164">
        <v>40</v>
      </c>
      <c r="K114" s="165">
        <f>$J$114</f>
        <v>40</v>
      </c>
      <c r="L114" s="165">
        <f>$J$114</f>
        <v>40</v>
      </c>
      <c r="M114" s="165">
        <f>$J$114</f>
        <v>40</v>
      </c>
      <c r="N114" s="165">
        <f>$J$114</f>
        <v>40</v>
      </c>
    </row>
    <row r="115" spans="2:14" outlineLevel="1" x14ac:dyDescent="0.35">
      <c r="B115" t="s">
        <v>286</v>
      </c>
      <c r="C115" s="143" t="s">
        <v>287</v>
      </c>
      <c r="J115" s="166">
        <f>J104*J110+J105*J111+J106*J112+J107*J113+J108*J114</f>
        <v>27.498757075427864</v>
      </c>
      <c r="K115" s="166">
        <f>K104*K110+K105*K111+K106*K112+K107*K113+K108*K114</f>
        <v>27.498757075427868</v>
      </c>
      <c r="L115" s="166">
        <f>L104*L110+L105*L111+L106*L112+L107*L113+L108*L114</f>
        <v>27.498757075427868</v>
      </c>
      <c r="M115" s="166">
        <f>M104*M110+M105*M111+M106*M112+M107*M113+M108*M114</f>
        <v>27.498757075427864</v>
      </c>
      <c r="N115" s="166">
        <f>N104*N110+N105*N111+N106*N112+N107*N113+N108*N114</f>
        <v>27.498757075427868</v>
      </c>
    </row>
    <row r="116" spans="2:14" outlineLevel="1" x14ac:dyDescent="0.35">
      <c r="B116" t="s">
        <v>288</v>
      </c>
      <c r="J116" s="167">
        <v>0.84</v>
      </c>
      <c r="K116" s="89">
        <f>$J$116</f>
        <v>0.84</v>
      </c>
      <c r="L116" s="89">
        <f>$J$116</f>
        <v>0.84</v>
      </c>
      <c r="M116" s="89">
        <f>$J$116</f>
        <v>0.84</v>
      </c>
      <c r="N116" s="89">
        <f>$J$116</f>
        <v>0.84</v>
      </c>
    </row>
    <row r="117" spans="2:14" outlineLevel="1" x14ac:dyDescent="0.35">
      <c r="B117" t="s">
        <v>289</v>
      </c>
      <c r="J117" s="167">
        <v>0.82</v>
      </c>
      <c r="K117" s="89">
        <f>$J$117</f>
        <v>0.82</v>
      </c>
      <c r="L117" s="89">
        <f>$J$117</f>
        <v>0.82</v>
      </c>
      <c r="M117" s="89">
        <f>$J$117</f>
        <v>0.82</v>
      </c>
      <c r="N117" s="89">
        <f>$J$117</f>
        <v>0.82</v>
      </c>
    </row>
    <row r="118" spans="2:14" outlineLevel="1" x14ac:dyDescent="0.35">
      <c r="B118" t="s">
        <v>290</v>
      </c>
      <c r="C118" s="36"/>
      <c r="D118" s="36"/>
      <c r="J118" s="167">
        <v>0.97</v>
      </c>
      <c r="K118" s="89">
        <f>$J$118</f>
        <v>0.97</v>
      </c>
      <c r="L118" s="89">
        <f>$J$118</f>
        <v>0.97</v>
      </c>
      <c r="M118" s="89">
        <f>$J$118</f>
        <v>0.97</v>
      </c>
      <c r="N118" s="89">
        <f>$J$118</f>
        <v>0.97</v>
      </c>
    </row>
    <row r="119" spans="2:14" outlineLevel="1" x14ac:dyDescent="0.35">
      <c r="B119" s="36" t="s">
        <v>291</v>
      </c>
      <c r="C119" s="36"/>
      <c r="D119" s="36"/>
      <c r="J119" s="167">
        <v>0.28000000000000003</v>
      </c>
      <c r="K119" s="89">
        <f>$J$119</f>
        <v>0.28000000000000003</v>
      </c>
      <c r="L119" s="89">
        <f>$J$119</f>
        <v>0.28000000000000003</v>
      </c>
      <c r="M119" s="89">
        <f>$J$119</f>
        <v>0.28000000000000003</v>
      </c>
      <c r="N119" s="89">
        <f>$J$119</f>
        <v>0.28000000000000003</v>
      </c>
    </row>
    <row r="120" spans="2:14" outlineLevel="1" x14ac:dyDescent="0.35">
      <c r="B120" t="s">
        <v>292</v>
      </c>
      <c r="J120" s="167">
        <v>0.8</v>
      </c>
      <c r="K120" s="89">
        <f>$J$120</f>
        <v>0.8</v>
      </c>
      <c r="L120" s="89">
        <f>$J$120</f>
        <v>0.8</v>
      </c>
      <c r="M120" s="89">
        <f>$J$120</f>
        <v>0.8</v>
      </c>
      <c r="N120" s="89">
        <f>$J$120</f>
        <v>0.8</v>
      </c>
    </row>
    <row r="121" spans="2:14" outlineLevel="1" x14ac:dyDescent="0.35">
      <c r="B121" s="1" t="s">
        <v>293</v>
      </c>
      <c r="F121" s="1"/>
      <c r="G121" s="1"/>
      <c r="H121" s="1"/>
      <c r="I121" s="1"/>
      <c r="J121" s="89">
        <f>J104*J116+J105*J117+J106*J118+J107*J119+J108*J120</f>
        <v>0.87138647133487945</v>
      </c>
      <c r="K121" s="89">
        <f>K104*K116+K105*K117+K106*K118+K107*K119+K108*K120</f>
        <v>0.87258647133487932</v>
      </c>
      <c r="L121" s="89">
        <f>L104*L116+L105*L117+L106*L118+L107*L119+L108*L120</f>
        <v>0.87378647133487941</v>
      </c>
      <c r="M121" s="89">
        <f>M104*M116+M105*M117+M106*M118+M107*M119+M108*M120</f>
        <v>0.87498647133487928</v>
      </c>
      <c r="N121" s="89">
        <f>N104*N116+N105*N117+N106*N118+N107*N119+N108*N120</f>
        <v>0.87582436353170401</v>
      </c>
    </row>
    <row r="122" spans="2:14" outlineLevel="1" x14ac:dyDescent="0.35">
      <c r="B122" s="1" t="s">
        <v>294</v>
      </c>
      <c r="C122" s="143" t="s">
        <v>295</v>
      </c>
      <c r="F122" s="1"/>
      <c r="G122" s="1"/>
      <c r="H122" s="1"/>
      <c r="I122" s="1"/>
      <c r="J122" s="89">
        <f>1-J121</f>
        <v>0.12861352866512055</v>
      </c>
      <c r="K122" s="89">
        <f>1-K121</f>
        <v>0.12741352866512068</v>
      </c>
      <c r="L122" s="89">
        <f>1-L121</f>
        <v>0.12621352866512059</v>
      </c>
      <c r="M122" s="89">
        <f>1-M121</f>
        <v>0.12501352866512072</v>
      </c>
      <c r="N122" s="89">
        <f>1-N121</f>
        <v>0.12417563646829599</v>
      </c>
    </row>
    <row r="123" spans="2:14" outlineLevel="1" x14ac:dyDescent="0.35">
      <c r="B123" s="1" t="s">
        <v>296</v>
      </c>
      <c r="F123" s="1"/>
      <c r="G123" s="1"/>
      <c r="H123" s="1"/>
      <c r="I123" s="1"/>
      <c r="J123" s="89">
        <f>J104+J108</f>
        <v>0.3717698150907971</v>
      </c>
      <c r="K123" s="89">
        <f>K104+K108</f>
        <v>0.3717698150907971</v>
      </c>
      <c r="L123" s="89">
        <f>L104+L108</f>
        <v>0.3717698150907971</v>
      </c>
      <c r="M123" s="89">
        <f>M104+M108</f>
        <v>0.37176981509079704</v>
      </c>
      <c r="N123" s="89">
        <f>N104+N108</f>
        <v>0.3717698150907971</v>
      </c>
    </row>
    <row r="124" spans="2:14" outlineLevel="1" x14ac:dyDescent="0.35">
      <c r="B124" t="s">
        <v>297</v>
      </c>
      <c r="C124" s="143" t="s">
        <v>298</v>
      </c>
      <c r="J124" s="95">
        <f>J24*J104</f>
        <v>623279.89100000018</v>
      </c>
      <c r="K124" s="95">
        <f>K24*K104</f>
        <v>827090.06276000012</v>
      </c>
      <c r="L124" s="95">
        <f>L24*L104</f>
        <v>1051922.7829903001</v>
      </c>
      <c r="M124" s="95">
        <f>M24*M104</f>
        <v>1284078.4629736443</v>
      </c>
      <c r="N124" s="95">
        <f>N24*N104</f>
        <v>1481442.5624368654</v>
      </c>
    </row>
    <row r="125" spans="2:14" outlineLevel="1" x14ac:dyDescent="0.35">
      <c r="B125" s="1" t="s">
        <v>299</v>
      </c>
      <c r="C125" s="143" t="s">
        <v>300</v>
      </c>
      <c r="F125" s="1"/>
      <c r="G125" s="1"/>
      <c r="H125" s="1"/>
      <c r="I125" s="1"/>
      <c r="J125" s="95">
        <f>J24*J105</f>
        <v>285974.00000000006</v>
      </c>
      <c r="K125" s="95">
        <f>K24*K105</f>
        <v>337449.32000000007</v>
      </c>
      <c r="L125" s="95">
        <f>L24*L105</f>
        <v>386379.4714000001</v>
      </c>
      <c r="M125" s="95">
        <f>M24*M105</f>
        <v>428881.21325400012</v>
      </c>
      <c r="N125" s="95">
        <f>N24*N105</f>
        <v>465336.11638059013</v>
      </c>
    </row>
    <row r="126" spans="2:14" outlineLevel="1" x14ac:dyDescent="0.35">
      <c r="B126" s="1" t="s">
        <v>218</v>
      </c>
      <c r="E126" s="1">
        <f>-E69</f>
        <v>-7569</v>
      </c>
      <c r="F126" s="1">
        <f>-F69</f>
        <v>-6029</v>
      </c>
      <c r="G126" s="1">
        <f>-G69</f>
        <v>-4237</v>
      </c>
      <c r="H126" s="1">
        <f>-H69</f>
        <v>-25551</v>
      </c>
      <c r="I126" s="1">
        <f>-I69</f>
        <v>-39407</v>
      </c>
    </row>
    <row r="127" spans="2:14" outlineLevel="1" x14ac:dyDescent="0.35">
      <c r="B127" s="1" t="s">
        <v>222</v>
      </c>
      <c r="E127" s="1">
        <f>E74</f>
        <v>-362340</v>
      </c>
      <c r="F127" s="1">
        <f>F74</f>
        <v>-550067</v>
      </c>
      <c r="G127" s="1">
        <f>G74</f>
        <v>-491112</v>
      </c>
      <c r="H127" s="1">
        <f>H74</f>
        <v>-594629</v>
      </c>
      <c r="I127" s="1">
        <f>I74</f>
        <v>-723078</v>
      </c>
    </row>
    <row r="128" spans="2:14" outlineLevel="1" x14ac:dyDescent="0.35"/>
    <row r="131" spans="2:4" x14ac:dyDescent="0.35">
      <c r="B131" s="35" t="s">
        <v>301</v>
      </c>
    </row>
    <row r="132" spans="2:4" x14ac:dyDescent="0.35">
      <c r="B132" s="36"/>
      <c r="C132" s="36"/>
      <c r="D132" s="36"/>
    </row>
    <row r="133" spans="2:4" x14ac:dyDescent="0.35">
      <c r="B133" s="36"/>
      <c r="C133" s="36"/>
      <c r="D133" s="36"/>
    </row>
    <row r="134" spans="2:4" x14ac:dyDescent="0.35">
      <c r="B134" s="36"/>
      <c r="C134" s="36"/>
      <c r="D134" s="36"/>
    </row>
    <row r="135" spans="2:4" x14ac:dyDescent="0.35">
      <c r="B135" s="36"/>
      <c r="C135" s="36"/>
      <c r="D135" s="36"/>
    </row>
    <row r="136" spans="2:4" x14ac:dyDescent="0.35">
      <c r="B136" s="36"/>
      <c r="C136" s="36"/>
      <c r="D136" s="36"/>
    </row>
    <row r="137" spans="2:4" x14ac:dyDescent="0.35">
      <c r="B137" s="36" t="s">
        <v>302</v>
      </c>
      <c r="C137" s="37"/>
      <c r="D137" s="37"/>
    </row>
    <row r="138" spans="2:4" ht="16.25" customHeight="1" x14ac:dyDescent="0.45">
      <c r="B138" s="38" t="s">
        <v>303</v>
      </c>
      <c r="C138" s="39"/>
      <c r="D138" s="39"/>
    </row>
  </sheetData>
  <mergeCells count="2">
    <mergeCell ref="P5:V5"/>
    <mergeCell ref="P4:V4"/>
  </mergeCells>
  <conditionalFormatting sqref="E3:N3">
    <cfRule type="containsText" dxfId="1" priority="1" operator="containsText" text="OK">
      <formula>NOT(ISERROR(SEARCH("OK",E3)))</formula>
    </cfRule>
    <cfRule type="containsText" dxfId="0" priority="2" operator="containsText" text="ERROR">
      <formula>NOT(ISERROR(SEARCH("ERROR",E3)))</formula>
    </cfRule>
  </conditionalFormatting>
  <hyperlinks>
    <hyperlink ref="A4" r:id="rId1" display="https://raw.githubusercontent.com/vengeanceaiUSC/Rainmaker/cursor/vengeanceaiusmodel18-d3ac/FICO/output/MODEL18_FICO_ASSUMPTIONS_LIST.pdf" xr:uid="{00000000-0004-0000-0100-000000000000}"/>
    <hyperlink ref="P4" r:id="rId2" display="https://raw.githubusercontent.com/vengeanceaiUSC/Rainmaker/cursor/vengeanceaiusmodel18-d3ac/FICO/output/MODEL18_FICO_ASSUMPTIONS_LIST.pdf" xr:uid="{00000000-0004-0000-0100-000001000000}"/>
    <hyperlink ref="U7" r:id="rId3" display="https://www.sec.gov/Archives/edgar/data/814547/000081454726000031/exhibit991erq32026.htm" xr:uid="{00000000-0004-0000-0100-000002000000}"/>
    <hyperlink ref="V7" r:id="rId4" display="https://www.sec.gov/Archives/edgar/data/814547/000081454726000031/exhibit991erq32026.htm" xr:uid="{00000000-0004-0000-0100-000003000000}"/>
    <hyperlink ref="U8" r:id="rId5" display="https://www.sec.gov/Archives/edgar/data/814547/000081454725000030/fico-20250930.htm" xr:uid="{00000000-0004-0000-0100-000004000000}"/>
    <hyperlink ref="V8" r:id="rId6" display="https://www.sec.gov/Archives/edgar/data/814547/000081454725000030/fico-20250930.htm" xr:uid="{00000000-0004-0000-0100-000005000000}"/>
    <hyperlink ref="U9" r:id="rId7" display="https://www.sec.gov/Archives/edgar/data/814547/000081454725000030/fico-20250930.htm" xr:uid="{00000000-0004-0000-0100-000006000000}"/>
    <hyperlink ref="V9" r:id="rId8" display="https://www.sec.gov/Archives/edgar/data/814547/000081454725000030/fico-20250930.htm" xr:uid="{00000000-0004-0000-0100-000007000000}"/>
    <hyperlink ref="U10" r:id="rId9" display="https://www.sec.gov/Archives/edgar/data/814547/000081454725000030/fico-20250930.htm" xr:uid="{00000000-0004-0000-0100-000008000000}"/>
    <hyperlink ref="V10" r:id="rId10" display="https://www.sec.gov/Archives/edgar/data/814547/000081454725000030/fico-20250930.htm" xr:uid="{00000000-0004-0000-0100-000009000000}"/>
    <hyperlink ref="U11" r:id="rId11" display="https://data.sec.gov/api/xbrl/companyfacts/CIK0000814547.json" xr:uid="{00000000-0004-0000-0100-00000A000000}"/>
    <hyperlink ref="V11" r:id="rId12" display="https://data.sec.gov/api/xbrl/companyfacts/CIK0000814547.json" xr:uid="{00000000-0004-0000-0100-00000B000000}"/>
    <hyperlink ref="U12" r:id="rId13" display="https://www.sec.gov/Archives/edgar/data/814547/000081454725000030/fico-20250930.htm" xr:uid="{00000000-0004-0000-0100-00000C000000}"/>
    <hyperlink ref="V12" r:id="rId14" display="https://www.sec.gov/Archives/edgar/data/814547/000081454725000030/fico-20250930.htm" xr:uid="{00000000-0004-0000-0100-00000D000000}"/>
    <hyperlink ref="U13" r:id="rId15" display="https://data.sec.gov/api/xbrl/companyfacts/CIK0000814547.json" xr:uid="{00000000-0004-0000-0100-00000E000000}"/>
    <hyperlink ref="V13" r:id="rId16" display="https://data.sec.gov/api/xbrl/companyfacts/CIK0000814547.json" xr:uid="{00000000-0004-0000-0100-00000F000000}"/>
    <hyperlink ref="U15" r:id="rId17" display="https://www.sec.gov/Archives/edgar/data/814547/000081454726000011/R45.htm" xr:uid="{00000000-0004-0000-0100-000010000000}"/>
    <hyperlink ref="V15" r:id="rId18" display="https://www.sec.gov/Archives/edgar/data/814547/000081454726000011/R45.htm" xr:uid="{00000000-0004-0000-0100-000011000000}"/>
    <hyperlink ref="U16" r:id="rId19" display="https://www.sec.gov/Archives/edgar/data/814547/000081454725000030/fico-20250930.htm" xr:uid="{00000000-0004-0000-0100-000012000000}"/>
    <hyperlink ref="V16" r:id="rId20" display="https://www.sec.gov/Archives/edgar/data/814547/000081454725000030/fico-20250930.htm" xr:uid="{00000000-0004-0000-0100-000013000000}"/>
    <hyperlink ref="U17" r:id="rId21" display="https://www.sec.gov/Archives/edgar/data/814547/000081454725000030/fico-20250930.htm" xr:uid="{00000000-0004-0000-0100-000014000000}"/>
    <hyperlink ref="V17" r:id="rId22" display="https://www.sec.gov/Archives/edgar/data/814547/000081454725000030/fico-20250930.htm" xr:uid="{00000000-0004-0000-0100-000015000000}"/>
    <hyperlink ref="U18" r:id="rId23" display="https://data.sec.gov/api/xbrl/companyfacts/CIK0000814547.json" xr:uid="{00000000-0004-0000-0100-000016000000}"/>
    <hyperlink ref="V18" r:id="rId24" display="https://data.sec.gov/api/xbrl/companyfacts/CIK0000814547.json" xr:uid="{00000000-0004-0000-0100-000017000000}"/>
    <hyperlink ref="U19" r:id="rId25" display="https://data.sec.gov/api/xbrl/companyfacts/CIK0000814547.json" xr:uid="{00000000-0004-0000-0100-000018000000}"/>
    <hyperlink ref="V19" r:id="rId26" display="https://data.sec.gov/api/xbrl/companyfacts/CIK0000814547.json" xr:uid="{00000000-0004-0000-0100-000019000000}"/>
    <hyperlink ref="U20" r:id="rId27" display="https://www.sec.gov/Archives/edgar/data/814547/000081454725000030/fico-20250930.htm" xr:uid="{00000000-0004-0000-0100-00001A000000}"/>
    <hyperlink ref="V20" r:id="rId28" display="https://www.sec.gov/Archives/edgar/data/814547/000081454725000030/fico-20250930.htm" xr:uid="{00000000-0004-0000-0100-00001B000000}"/>
    <hyperlink ref="U21" r:id="rId29" display="https://data.sec.gov/api/xbrl/companyfacts/CIK0000814547.json" xr:uid="{00000000-0004-0000-0100-00001C000000}"/>
    <hyperlink ref="V21" r:id="rId30" display="https://data.sec.gov/api/xbrl/companyfacts/CIK0000814547.json" xr:uid="{00000000-0004-0000-0100-00001D000000}"/>
    <hyperlink ref="U104" r:id="rId31" display="https://www.sec.gov/Archives/edgar/data/814547/000081454726000011/R45.htm" xr:uid="{00000000-0004-0000-0100-00001E000000}"/>
    <hyperlink ref="V104" r:id="rId32" display="https://www.sec.gov/Archives/edgar/data/814547/000081454726000011/R45.htm" xr:uid="{00000000-0004-0000-0100-00001F000000}"/>
    <hyperlink ref="U105" r:id="rId33" display="https://www.sec.gov/Archives/edgar/data/814547/000081454725000030/fico-20250930.htm" xr:uid="{00000000-0004-0000-0100-000020000000}"/>
    <hyperlink ref="V105" r:id="rId34" display="https://www.sec.gov/Archives/edgar/data/814547/000081454725000030/fico-20250930.htm" xr:uid="{00000000-0004-0000-0100-000021000000}"/>
    <hyperlink ref="U106" r:id="rId35" display="https://www.sec.gov/Archives/edgar/data/814547/000081454725000030/fico-20250930.htm" xr:uid="{00000000-0004-0000-0100-000022000000}"/>
    <hyperlink ref="V106" r:id="rId36" display="https://www.sec.gov/Archives/edgar/data/814547/000081454725000030/fico-20250930.htm" xr:uid="{00000000-0004-0000-0100-000023000000}"/>
    <hyperlink ref="U107" r:id="rId37" display="https://www.sec.gov/Archives/edgar/data/814547/000081454725000030/fico-20250930.htm" xr:uid="{00000000-0004-0000-0100-000024000000}"/>
    <hyperlink ref="V107" r:id="rId38" display="https://www.sec.gov/Archives/edgar/data/814547/000081454725000030/fico-20250930.htm" xr:uid="{00000000-0004-0000-0100-000025000000}"/>
    <hyperlink ref="U108" r:id="rId39" display="https://www.sec.gov/Archives/edgar/data/814547/000081454725000030/fico-20250930.htm" xr:uid="{00000000-0004-0000-0100-000026000000}"/>
    <hyperlink ref="V108" r:id="rId40" display="https://www.sec.gov/Archives/edgar/data/814547/000081454725000030/fico-20250930.htm" xr:uid="{00000000-0004-0000-0100-000027000000}"/>
    <hyperlink ref="B138" r:id="rId41" xr:uid="{00000000-0004-0000-0100-000028000000}"/>
  </hyperlinks>
  <pageMargins left="0.70866141732283472" right="0.70866141732283472" top="0.74803149606299213" bottom="0.74803149606299213" header="0.31496062992125978" footer="0.31496062992125978"/>
  <pageSetup scale="78" orientation="landscape"/>
  <rowBreaks count="3" manualBreakCount="3">
    <brk id="37" max="13" man="1"/>
    <brk id="58" max="13" man="1"/>
    <brk id="81" max="13" man="1"/>
  </rowBreaks>
  <drawing r:id="rId42"/>
  <legacyDrawing r:id="rId4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2"/>
  <sheetViews>
    <sheetView topLeftCell="A14" zoomScale="78" workbookViewId="0">
      <selection activeCell="E21" sqref="E21"/>
    </sheetView>
  </sheetViews>
  <sheetFormatPr defaultRowHeight="14.5" x14ac:dyDescent="0.35"/>
  <cols>
    <col min="1" max="1" width="3.54296875" customWidth="1"/>
    <col min="2" max="2" width="36" customWidth="1"/>
    <col min="3" max="11" width="16" customWidth="1"/>
    <col min="12" max="12" width="44" customWidth="1"/>
    <col min="13" max="14" width="18" customWidth="1"/>
    <col min="15" max="15" width="22" customWidth="1"/>
    <col min="16" max="16" width="11.81640625" bestFit="1" customWidth="1"/>
    <col min="17" max="17" width="40" customWidth="1"/>
    <col min="18" max="18" width="14" customWidth="1"/>
    <col min="19" max="19" width="36" customWidth="1"/>
    <col min="20" max="20" width="14" customWidth="1"/>
    <col min="21" max="22" width="52" customWidth="1"/>
  </cols>
  <sheetData>
    <row r="1" spans="1:22" ht="18" customHeight="1" x14ac:dyDescent="0.5">
      <c r="A1" s="55" t="s">
        <v>85</v>
      </c>
      <c r="B1" s="56"/>
      <c r="C1" s="56"/>
      <c r="D1" s="57"/>
      <c r="E1" s="57"/>
      <c r="F1" s="57"/>
      <c r="G1" s="57"/>
      <c r="H1" s="55"/>
      <c r="I1" s="56"/>
      <c r="J1" s="56"/>
      <c r="K1" s="57"/>
      <c r="L1" s="204" t="s">
        <v>304</v>
      </c>
      <c r="M1" s="195"/>
      <c r="N1" s="195"/>
      <c r="O1" s="195"/>
    </row>
    <row r="2" spans="1:22" ht="18" customHeight="1" x14ac:dyDescent="0.5">
      <c r="A2" s="56"/>
      <c r="B2" s="58" t="s">
        <v>305</v>
      </c>
      <c r="C2" s="59"/>
      <c r="D2" s="59"/>
      <c r="E2" s="59"/>
      <c r="F2" s="57"/>
      <c r="G2" s="57"/>
      <c r="H2" s="56"/>
      <c r="I2" s="58"/>
      <c r="J2" s="59"/>
      <c r="K2" s="59"/>
      <c r="L2" s="60" t="s">
        <v>306</v>
      </c>
      <c r="M2" s="61" t="s">
        <v>307</v>
      </c>
      <c r="N2" s="61" t="s">
        <v>308</v>
      </c>
      <c r="O2" s="60" t="s">
        <v>12</v>
      </c>
      <c r="Q2" s="206" t="s">
        <v>309</v>
      </c>
      <c r="R2" s="195"/>
      <c r="S2" s="195"/>
      <c r="T2" s="195"/>
      <c r="U2" s="195"/>
      <c r="V2" s="195"/>
    </row>
    <row r="3" spans="1:22" ht="16" customHeight="1" x14ac:dyDescent="0.4">
      <c r="A3" s="62"/>
      <c r="B3" s="63"/>
      <c r="C3" s="62"/>
      <c r="D3" s="64"/>
      <c r="E3" s="65"/>
      <c r="F3" s="65"/>
      <c r="G3" s="65"/>
      <c r="H3" s="65"/>
      <c r="I3" s="65"/>
      <c r="J3" s="62"/>
      <c r="K3" s="62"/>
      <c r="L3" s="66" t="s">
        <v>310</v>
      </c>
      <c r="M3" s="66" t="s">
        <v>311</v>
      </c>
      <c r="N3" s="67">
        <v>13.88</v>
      </c>
      <c r="O3" s="66" t="s">
        <v>312</v>
      </c>
      <c r="Q3" s="213" t="s">
        <v>313</v>
      </c>
      <c r="R3" s="195"/>
      <c r="S3" s="195"/>
      <c r="T3" s="195"/>
      <c r="U3" s="195"/>
      <c r="V3" s="195"/>
    </row>
    <row r="4" spans="1:22" ht="16" customHeight="1" x14ac:dyDescent="0.4">
      <c r="A4" s="168" t="str">
        <f>HYPERLINK("https://raw.githubusercontent.com/vengeanceaiUSC/Rainmaker/cursor/vengeanceaiusmodel18-d3ac/FICO/output/MODEL18_FICO_ASSUMPTIONS_LIST.pdf","⬇ Download Assumptions List PDF")</f>
        <v>⬇ Download Assumptions List PDF</v>
      </c>
      <c r="B4" s="68" t="s">
        <v>314</v>
      </c>
      <c r="C4" s="169" t="s">
        <v>61</v>
      </c>
      <c r="D4" s="69"/>
      <c r="E4" s="65"/>
      <c r="F4" s="62"/>
      <c r="G4" s="62"/>
      <c r="H4" s="62"/>
      <c r="I4" s="62"/>
      <c r="J4" s="62"/>
      <c r="K4" s="62"/>
      <c r="L4" s="66" t="s">
        <v>315</v>
      </c>
      <c r="M4" s="66" t="s">
        <v>316</v>
      </c>
      <c r="N4" s="67">
        <v>17.420000000000002</v>
      </c>
      <c r="O4" s="66" t="s">
        <v>312</v>
      </c>
      <c r="Q4" s="170" t="s">
        <v>317</v>
      </c>
      <c r="R4" s="170" t="s">
        <v>318</v>
      </c>
      <c r="S4" s="170" t="s">
        <v>319</v>
      </c>
      <c r="T4" s="170" t="s">
        <v>320</v>
      </c>
      <c r="U4" s="170" t="s">
        <v>321</v>
      </c>
      <c r="V4" s="170" t="s">
        <v>322</v>
      </c>
    </row>
    <row r="5" spans="1:22" ht="16" customHeight="1" x14ac:dyDescent="0.4">
      <c r="A5" s="62"/>
      <c r="B5" s="70" t="s">
        <v>323</v>
      </c>
      <c r="C5" s="71" t="s">
        <v>324</v>
      </c>
      <c r="D5" s="72">
        <v>0.22872999999999999</v>
      </c>
      <c r="E5" s="171" t="s">
        <v>325</v>
      </c>
      <c r="F5" s="62"/>
      <c r="G5" s="62"/>
      <c r="H5" s="62"/>
      <c r="I5" s="62"/>
      <c r="J5" s="62"/>
      <c r="K5" s="62"/>
      <c r="L5" s="66" t="s">
        <v>326</v>
      </c>
      <c r="M5" s="66" t="s">
        <v>327</v>
      </c>
      <c r="N5" s="67">
        <v>18.11</v>
      </c>
      <c r="O5" s="66" t="s">
        <v>312</v>
      </c>
      <c r="Q5" s="208" t="s">
        <v>328</v>
      </c>
      <c r="R5" s="195"/>
      <c r="S5" s="195"/>
      <c r="T5" s="195"/>
      <c r="U5" s="195"/>
      <c r="V5" s="195"/>
    </row>
    <row r="6" spans="1:22" ht="16" customHeight="1" x14ac:dyDescent="0.4">
      <c r="A6" s="172" t="s">
        <v>329</v>
      </c>
      <c r="B6" s="70" t="s">
        <v>330</v>
      </c>
      <c r="C6" s="71" t="s">
        <v>331</v>
      </c>
      <c r="D6" s="173">
        <f>R15</f>
        <v>7.6241835000000008E-2</v>
      </c>
      <c r="E6" s="171" t="s">
        <v>332</v>
      </c>
      <c r="F6" s="171" t="s">
        <v>24</v>
      </c>
      <c r="G6" s="171" t="s">
        <v>333</v>
      </c>
      <c r="H6" s="62"/>
      <c r="I6" s="62"/>
      <c r="J6" s="62"/>
      <c r="K6" s="62"/>
      <c r="L6" s="66" t="s">
        <v>334</v>
      </c>
      <c r="M6" s="66" t="s">
        <v>335</v>
      </c>
      <c r="N6" s="67">
        <v>22.2</v>
      </c>
      <c r="O6" s="66" t="s">
        <v>312</v>
      </c>
      <c r="Q6" s="174" t="s">
        <v>336</v>
      </c>
      <c r="R6" s="167">
        <v>4.6699999999999998E-2</v>
      </c>
      <c r="S6" s="174" t="s">
        <v>337</v>
      </c>
      <c r="T6" s="174" t="s">
        <v>338</v>
      </c>
      <c r="U6" s="175" t="s">
        <v>339</v>
      </c>
      <c r="V6" s="175" t="s">
        <v>340</v>
      </c>
    </row>
    <row r="7" spans="1:22" ht="16" customHeight="1" x14ac:dyDescent="0.4">
      <c r="A7" s="62"/>
      <c r="B7" s="62" t="s">
        <v>341</v>
      </c>
      <c r="C7" s="71" t="s">
        <v>342</v>
      </c>
      <c r="D7" s="72">
        <v>3.5000000000000003E-2</v>
      </c>
      <c r="E7" s="62"/>
      <c r="F7" s="62"/>
      <c r="G7" s="62"/>
      <c r="H7" s="62"/>
      <c r="I7" s="62"/>
      <c r="J7" s="62"/>
      <c r="K7" s="62"/>
      <c r="L7" s="66" t="s">
        <v>343</v>
      </c>
      <c r="M7" s="66" t="s">
        <v>344</v>
      </c>
      <c r="N7" s="67">
        <v>23.74</v>
      </c>
      <c r="O7" s="66" t="s">
        <v>312</v>
      </c>
      <c r="Q7" s="174" t="s">
        <v>345</v>
      </c>
      <c r="R7" s="167">
        <v>4.2799999999999998E-2</v>
      </c>
      <c r="S7" s="174" t="s">
        <v>346</v>
      </c>
      <c r="T7" s="174" t="s">
        <v>338</v>
      </c>
      <c r="U7" s="175" t="s">
        <v>347</v>
      </c>
      <c r="V7" s="175" t="s">
        <v>348</v>
      </c>
    </row>
    <row r="8" spans="1:22" ht="16" customHeight="1" x14ac:dyDescent="0.4">
      <c r="A8" s="62"/>
      <c r="B8" s="62" t="s">
        <v>349</v>
      </c>
      <c r="C8" s="71" t="s">
        <v>350</v>
      </c>
      <c r="D8" s="73">
        <v>23</v>
      </c>
      <c r="E8" s="171" t="s">
        <v>351</v>
      </c>
      <c r="F8" s="74" t="s">
        <v>352</v>
      </c>
      <c r="G8" s="74" t="s">
        <v>353</v>
      </c>
      <c r="H8" s="62"/>
      <c r="I8" s="62"/>
      <c r="J8" s="62"/>
      <c r="K8" s="62"/>
      <c r="L8" s="75" t="s">
        <v>354</v>
      </c>
      <c r="M8" s="75" t="s">
        <v>355</v>
      </c>
      <c r="N8" s="76">
        <v>18.11</v>
      </c>
      <c r="O8" s="75" t="s">
        <v>356</v>
      </c>
      <c r="Q8" s="174" t="s">
        <v>357</v>
      </c>
      <c r="R8" s="176">
        <v>0.85399999999999987</v>
      </c>
      <c r="S8" s="174" t="s">
        <v>358</v>
      </c>
      <c r="T8" s="174" t="s">
        <v>338</v>
      </c>
      <c r="U8" s="175" t="s">
        <v>359</v>
      </c>
      <c r="V8" s="175" t="s">
        <v>360</v>
      </c>
    </row>
    <row r="9" spans="1:22" ht="16" customHeight="1" x14ac:dyDescent="0.4">
      <c r="A9" s="62"/>
      <c r="B9" s="62" t="s">
        <v>361</v>
      </c>
      <c r="C9" s="71" t="s">
        <v>362</v>
      </c>
      <c r="D9" s="77">
        <v>46240</v>
      </c>
      <c r="E9" s="62"/>
      <c r="F9" s="62"/>
      <c r="G9" s="62"/>
      <c r="H9" s="62"/>
      <c r="I9" s="62"/>
      <c r="J9" s="62"/>
      <c r="K9" s="62"/>
      <c r="L9" s="78" t="s">
        <v>363</v>
      </c>
      <c r="M9" s="78"/>
      <c r="N9" s="79">
        <v>23</v>
      </c>
      <c r="O9" s="78" t="s">
        <v>364</v>
      </c>
      <c r="Q9" s="177" t="s">
        <v>365</v>
      </c>
      <c r="R9" s="89">
        <f>R6+R8*R7</f>
        <v>8.3251199999999997E-2</v>
      </c>
      <c r="S9" s="174" t="s">
        <v>366</v>
      </c>
      <c r="T9" s="177" t="s">
        <v>367</v>
      </c>
      <c r="U9" s="174" t="s">
        <v>368</v>
      </c>
      <c r="V9" s="174"/>
    </row>
    <row r="10" spans="1:22" ht="16" customHeight="1" x14ac:dyDescent="0.4">
      <c r="A10" s="62"/>
      <c r="B10" s="62" t="s">
        <v>369</v>
      </c>
      <c r="C10" s="71" t="s">
        <v>370</v>
      </c>
      <c r="D10" s="77">
        <v>46475</v>
      </c>
      <c r="E10" s="62"/>
      <c r="F10" s="62"/>
      <c r="G10" s="62"/>
      <c r="H10" s="62"/>
      <c r="I10" s="62"/>
      <c r="J10" s="62"/>
      <c r="K10" s="62"/>
      <c r="L10" s="74" t="s">
        <v>371</v>
      </c>
      <c r="M10" s="74" t="s">
        <v>353</v>
      </c>
      <c r="N10" s="62"/>
      <c r="O10" s="62"/>
      <c r="Q10" s="174" t="s">
        <v>372</v>
      </c>
      <c r="R10" s="167">
        <v>6.25E-2</v>
      </c>
      <c r="S10" s="174" t="s">
        <v>373</v>
      </c>
      <c r="T10" s="174" t="s">
        <v>374</v>
      </c>
      <c r="U10" s="175" t="s">
        <v>375</v>
      </c>
      <c r="V10" s="175" t="s">
        <v>376</v>
      </c>
    </row>
    <row r="11" spans="1:22" ht="16" customHeight="1" x14ac:dyDescent="0.4">
      <c r="A11" s="62"/>
      <c r="B11" s="62" t="s">
        <v>377</v>
      </c>
      <c r="C11" s="62"/>
      <c r="D11" s="178">
        <v>1149</v>
      </c>
      <c r="E11" s="62"/>
      <c r="F11" s="62"/>
      <c r="G11" s="62"/>
      <c r="H11" s="62"/>
      <c r="I11" s="62"/>
      <c r="J11" s="62"/>
      <c r="K11" s="62"/>
      <c r="L11" s="62"/>
      <c r="M11" s="62"/>
      <c r="N11" s="62"/>
      <c r="O11" s="62"/>
      <c r="Q11" s="174" t="s">
        <v>378</v>
      </c>
      <c r="R11" s="89">
        <f>$D$5</f>
        <v>0.22872999999999999</v>
      </c>
      <c r="S11" s="174" t="s">
        <v>379</v>
      </c>
      <c r="T11" s="174" t="s">
        <v>380</v>
      </c>
      <c r="U11" s="175" t="s">
        <v>381</v>
      </c>
      <c r="V11" s="175" t="s">
        <v>382</v>
      </c>
    </row>
    <row r="12" spans="1:22" ht="16" customHeight="1" x14ac:dyDescent="0.4">
      <c r="A12" s="62"/>
      <c r="B12" s="62" t="s">
        <v>383</v>
      </c>
      <c r="C12" s="71" t="s">
        <v>384</v>
      </c>
      <c r="D12" s="179">
        <v>21597.634999999998</v>
      </c>
      <c r="E12" s="62"/>
      <c r="F12" s="62"/>
      <c r="G12" s="62"/>
      <c r="H12" s="62"/>
      <c r="I12" s="62"/>
      <c r="J12" s="62"/>
      <c r="K12" s="62"/>
      <c r="L12" s="62"/>
      <c r="M12" s="62"/>
      <c r="N12" s="62"/>
      <c r="O12" s="62"/>
      <c r="Q12" s="177" t="s">
        <v>385</v>
      </c>
      <c r="R12" s="89">
        <f>R10*(1-R11)</f>
        <v>4.8204375000000001E-2</v>
      </c>
      <c r="S12" s="174" t="s">
        <v>386</v>
      </c>
      <c r="T12" s="177" t="s">
        <v>367</v>
      </c>
      <c r="U12" s="174" t="s">
        <v>387</v>
      </c>
      <c r="V12" s="174"/>
    </row>
    <row r="13" spans="1:22" ht="16" customHeight="1" x14ac:dyDescent="0.4">
      <c r="A13" s="62"/>
      <c r="B13" s="62" t="s">
        <v>388</v>
      </c>
      <c r="C13" s="71" t="s">
        <v>389</v>
      </c>
      <c r="D13" s="180">
        <v>5582389</v>
      </c>
      <c r="E13" s="62"/>
      <c r="F13" s="62"/>
      <c r="G13" s="62"/>
      <c r="H13" s="62"/>
      <c r="I13" s="62"/>
      <c r="J13" s="62"/>
      <c r="K13" s="62"/>
      <c r="L13" s="62"/>
      <c r="M13" s="62"/>
      <c r="N13" s="62"/>
      <c r="O13" s="62"/>
      <c r="Q13" s="174" t="s">
        <v>390</v>
      </c>
      <c r="R13" s="181">
        <v>0.8</v>
      </c>
      <c r="S13" s="174" t="s">
        <v>391</v>
      </c>
      <c r="T13" s="174" t="s">
        <v>392</v>
      </c>
      <c r="U13" s="175" t="s">
        <v>393</v>
      </c>
      <c r="V13" s="175" t="s">
        <v>394</v>
      </c>
    </row>
    <row r="14" spans="1:22" ht="16" customHeight="1" x14ac:dyDescent="0.4">
      <c r="A14" s="62"/>
      <c r="B14" s="62" t="s">
        <v>395</v>
      </c>
      <c r="C14" s="71" t="s">
        <v>396</v>
      </c>
      <c r="D14" s="180">
        <v>304537</v>
      </c>
      <c r="E14" s="62"/>
      <c r="F14" s="62"/>
      <c r="G14" s="62"/>
      <c r="H14" s="62"/>
      <c r="I14" s="62"/>
      <c r="J14" s="62"/>
      <c r="K14" s="62"/>
      <c r="L14" s="62"/>
      <c r="M14" s="62"/>
      <c r="N14" s="62"/>
      <c r="O14" s="62"/>
      <c r="Q14" s="174" t="s">
        <v>397</v>
      </c>
      <c r="R14" s="181">
        <v>0.2</v>
      </c>
      <c r="S14" s="174" t="s">
        <v>398</v>
      </c>
      <c r="T14" s="174" t="s">
        <v>392</v>
      </c>
      <c r="U14" s="175" t="s">
        <v>399</v>
      </c>
      <c r="V14" s="175" t="s">
        <v>400</v>
      </c>
    </row>
    <row r="15" spans="1:22" ht="16" customHeight="1" x14ac:dyDescent="0.4">
      <c r="A15" s="62"/>
      <c r="B15" s="62" t="s">
        <v>401</v>
      </c>
      <c r="C15" s="62"/>
      <c r="D15" s="182">
        <f>'3 Statement Model'!J68</f>
        <v>21999.102450000002</v>
      </c>
      <c r="E15" s="62"/>
      <c r="F15" s="62"/>
      <c r="G15" s="62"/>
      <c r="H15" s="62"/>
      <c r="I15" s="62"/>
      <c r="J15" s="62"/>
      <c r="K15" s="62"/>
      <c r="L15" s="62"/>
      <c r="M15" s="62"/>
      <c r="N15" s="62"/>
      <c r="O15" s="62"/>
      <c r="Q15" s="177" t="s">
        <v>402</v>
      </c>
      <c r="R15" s="89">
        <f>R13*R9+R14*R12</f>
        <v>7.6241835000000008E-2</v>
      </c>
      <c r="S15" s="174" t="s">
        <v>403</v>
      </c>
      <c r="T15" s="177" t="s">
        <v>404</v>
      </c>
      <c r="U15" s="175" t="s">
        <v>405</v>
      </c>
      <c r="V15" s="175" t="s">
        <v>406</v>
      </c>
    </row>
    <row r="16" spans="1:22" ht="16" customHeight="1" x14ac:dyDescent="0.4">
      <c r="A16" s="62"/>
      <c r="B16" s="62" t="s">
        <v>407</v>
      </c>
      <c r="C16" s="71" t="s">
        <v>408</v>
      </c>
      <c r="D16" s="182">
        <f>$D$12</f>
        <v>21597.634999999998</v>
      </c>
      <c r="E16" s="182">
        <f>MAX(1000,D16+0.646575*'3 Statement Model'!J20/$D$11)</f>
        <v>20672.522691782338</v>
      </c>
      <c r="F16" s="182">
        <f>MAX(1000,E16+'3 Statement Model'!K20/$D$11)</f>
        <v>18804.908185207009</v>
      </c>
      <c r="G16" s="182">
        <f>MAX(1000,F16+'3 Statement Model'!L20/$D$11)</f>
        <v>16531.117405726545</v>
      </c>
      <c r="H16" s="182">
        <f>MAX(1000,G16+'3 Statement Model'!M20/$D$11)</f>
        <v>13888.655188342596</v>
      </c>
      <c r="I16" s="182">
        <f>MAX(1000,H16+'3 Statement Model'!N20/$D$11)</f>
        <v>10952.447228258068</v>
      </c>
      <c r="J16" s="62"/>
      <c r="K16" s="62"/>
      <c r="L16" s="62"/>
      <c r="M16" s="62"/>
      <c r="N16" s="62"/>
      <c r="O16" s="62"/>
    </row>
    <row r="17" spans="1:22" ht="16" customHeight="1" x14ac:dyDescent="0.4">
      <c r="A17" s="62"/>
      <c r="B17" s="80" t="s">
        <v>409</v>
      </c>
      <c r="C17" s="81"/>
      <c r="D17" s="82" t="s">
        <v>410</v>
      </c>
      <c r="E17" s="183">
        <f>YEAR(E18)</f>
        <v>2026</v>
      </c>
      <c r="F17" s="183">
        <f>YEAR(F18)</f>
        <v>2027</v>
      </c>
      <c r="G17" s="183">
        <f>YEAR(G18)</f>
        <v>2028</v>
      </c>
      <c r="H17" s="183">
        <f>YEAR(H18)</f>
        <v>2029</v>
      </c>
      <c r="I17" s="183">
        <f>YEAR(I18)</f>
        <v>2030</v>
      </c>
      <c r="J17" s="82" t="s">
        <v>411</v>
      </c>
      <c r="K17" s="62"/>
      <c r="L17" s="212" t="s">
        <v>412</v>
      </c>
      <c r="M17" s="195"/>
      <c r="N17" s="195"/>
      <c r="O17" s="62"/>
      <c r="Q17" s="208" t="s">
        <v>413</v>
      </c>
      <c r="R17" s="195"/>
      <c r="S17" s="195"/>
      <c r="T17" s="195"/>
      <c r="U17" s="195"/>
      <c r="V17" s="195"/>
    </row>
    <row r="18" spans="1:22" ht="16" customHeight="1" x14ac:dyDescent="0.4">
      <c r="A18" s="62"/>
      <c r="B18" s="62" t="s">
        <v>414</v>
      </c>
      <c r="C18" s="62"/>
      <c r="D18" s="182">
        <f>$D$9</f>
        <v>46240</v>
      </c>
      <c r="E18" s="83">
        <v>46358</v>
      </c>
      <c r="F18" s="83">
        <f>EDATE(DATE(2027,3,30),6)</f>
        <v>46660</v>
      </c>
      <c r="G18" s="83">
        <f>EDATE(DATE(2028,3,30),6)</f>
        <v>47026</v>
      </c>
      <c r="H18" s="83">
        <f>EDATE(DATE(2029,3,30),6)</f>
        <v>47391</v>
      </c>
      <c r="I18" s="83">
        <f>EDATE(DATE(2030,3,30),6)</f>
        <v>47756</v>
      </c>
      <c r="J18" s="182">
        <f>I18</f>
        <v>47756</v>
      </c>
      <c r="K18" s="62"/>
      <c r="L18" s="62" t="s">
        <v>415</v>
      </c>
      <c r="M18" s="182">
        <f>J27</f>
        <v>66379198.156807765</v>
      </c>
      <c r="N18" s="62" t="s">
        <v>416</v>
      </c>
      <c r="O18" s="62"/>
      <c r="Q18" s="211" t="s">
        <v>417</v>
      </c>
      <c r="R18" s="195"/>
      <c r="S18" s="195"/>
      <c r="U18" s="175" t="s">
        <v>418</v>
      </c>
      <c r="V18" s="175" t="s">
        <v>419</v>
      </c>
    </row>
    <row r="19" spans="1:22" ht="16" customHeight="1" x14ac:dyDescent="0.4">
      <c r="A19" s="62"/>
      <c r="B19" s="84" t="s">
        <v>420</v>
      </c>
      <c r="C19" s="84"/>
      <c r="D19" s="85"/>
      <c r="E19" s="184">
        <v>0</v>
      </c>
      <c r="F19" s="185">
        <f>E19+1</f>
        <v>1</v>
      </c>
      <c r="G19" s="185">
        <f>F19+1</f>
        <v>2</v>
      </c>
      <c r="H19" s="185">
        <f>G19+1</f>
        <v>3</v>
      </c>
      <c r="I19" s="185">
        <f>H19+1</f>
        <v>4</v>
      </c>
      <c r="J19" s="85"/>
      <c r="K19" s="62"/>
      <c r="L19" s="62" t="s">
        <v>421</v>
      </c>
      <c r="M19" s="182">
        <f>IF(($D$6-$D$7)&lt;=0,"WACC must exceed g",$I$26*(1+$D$7)/($D$6-$D$7))</f>
        <v>64866244.476361148</v>
      </c>
      <c r="N19" s="86" t="s">
        <v>422</v>
      </c>
      <c r="O19" s="62"/>
      <c r="Q19" s="174" t="s">
        <v>423</v>
      </c>
      <c r="R19" s="211">
        <f>E21-E22+E23-E24-E25</f>
        <v>1089358.9100445979</v>
      </c>
      <c r="S19" s="195"/>
      <c r="T19" s="195"/>
    </row>
    <row r="20" spans="1:22" ht="16" customHeight="1" x14ac:dyDescent="0.4">
      <c r="A20" s="62"/>
      <c r="B20" s="84" t="s">
        <v>424</v>
      </c>
      <c r="C20" s="62"/>
      <c r="D20" s="62"/>
      <c r="E20" s="185">
        <f>YEARFRAC(D18,E18)</f>
        <v>0.32222222222222224</v>
      </c>
      <c r="F20" s="185">
        <f>YEARFRAC(E18,F18)</f>
        <v>0.82777777777777772</v>
      </c>
      <c r="G20" s="185">
        <f>YEARFRAC(F18,G18)</f>
        <v>1</v>
      </c>
      <c r="H20" s="185">
        <f>YEARFRAC(G18,H18)</f>
        <v>1</v>
      </c>
      <c r="I20" s="185">
        <f>YEARFRAC(H18,I18)</f>
        <v>1</v>
      </c>
      <c r="J20" s="62"/>
      <c r="K20" s="62"/>
      <c r="L20" s="62" t="s">
        <v>425</v>
      </c>
      <c r="M20" s="182">
        <f>IF(($I$21+$I$23)=0,0,M19/($I$21+$I$23))</f>
        <v>22.475770488096753</v>
      </c>
      <c r="N20" s="87" t="s">
        <v>426</v>
      </c>
      <c r="O20" s="62"/>
      <c r="Q20" s="174" t="s">
        <v>427</v>
      </c>
      <c r="R20" s="177">
        <f>E21*$D$5</f>
        <v>325984.62873973238</v>
      </c>
      <c r="S20" s="174" t="s">
        <v>428</v>
      </c>
      <c r="U20" s="175" t="s">
        <v>429</v>
      </c>
    </row>
    <row r="21" spans="1:22" ht="16" customHeight="1" x14ac:dyDescent="0.4">
      <c r="A21" s="62"/>
      <c r="B21" s="62" t="s">
        <v>430</v>
      </c>
      <c r="C21" s="186" t="s">
        <v>431</v>
      </c>
      <c r="D21" s="62"/>
      <c r="E21" s="182">
        <f>'3 Statement Model'!J33+'3 Statement Model'!J31</f>
        <v>1425194.0223833008</v>
      </c>
      <c r="F21" s="182">
        <f>'3 Statement Model'!K33+'3 Statement Model'!K31</f>
        <v>1790756.4981544942</v>
      </c>
      <c r="G21" s="182">
        <f>'3 Statement Model'!L33+'3 Statement Model'!L31</f>
        <v>2175252.7371317148</v>
      </c>
      <c r="H21" s="182">
        <f>'3 Statement Model'!M33+'3 Statement Model'!M31</f>
        <v>2541507.1988586225</v>
      </c>
      <c r="I21" s="182">
        <f>'3 Statement Model'!N33+'3 Statement Model'!N31</f>
        <v>2850630.0283834487</v>
      </c>
      <c r="J21" s="62"/>
      <c r="K21" s="62"/>
      <c r="L21" s="62" t="s">
        <v>432</v>
      </c>
      <c r="M21" s="182">
        <f>($I$21+$I$23)*23</f>
        <v>66379198.156807765</v>
      </c>
      <c r="N21" s="62" t="s">
        <v>433</v>
      </c>
      <c r="O21" s="62"/>
      <c r="Q21" s="174" t="s">
        <v>434</v>
      </c>
      <c r="R21" s="95">
        <f>I26</f>
        <v>2584737.1514625587</v>
      </c>
      <c r="S21" s="174" t="s">
        <v>435</v>
      </c>
    </row>
    <row r="22" spans="1:22" ht="16" customHeight="1" x14ac:dyDescent="0.4">
      <c r="A22" s="62"/>
      <c r="B22" s="62" t="s">
        <v>436</v>
      </c>
      <c r="C22" s="186" t="s">
        <v>437</v>
      </c>
      <c r="D22" s="62"/>
      <c r="E22" s="182">
        <f>E21*$D$5</f>
        <v>325984.62873973238</v>
      </c>
      <c r="F22" s="182">
        <f>F21*$D$5</f>
        <v>409599.73382287746</v>
      </c>
      <c r="G22" s="182">
        <f>G21*$D$5</f>
        <v>497545.55856413709</v>
      </c>
      <c r="H22" s="182">
        <f>H21*$D$5</f>
        <v>581318.94159493269</v>
      </c>
      <c r="I22" s="182">
        <f>I21*$D$5</f>
        <v>652024.6063921462</v>
      </c>
      <c r="J22" s="62"/>
      <c r="K22" s="62"/>
      <c r="L22" s="62" t="s">
        <v>438</v>
      </c>
      <c r="M22" s="182">
        <f>($I$21+$I$23)*27</f>
        <v>77923406.531904772</v>
      </c>
      <c r="N22" s="62" t="s">
        <v>439</v>
      </c>
      <c r="O22" s="62"/>
    </row>
    <row r="23" spans="1:22" ht="16" customHeight="1" x14ac:dyDescent="0.4">
      <c r="A23" s="62"/>
      <c r="B23" s="62" t="s">
        <v>440</v>
      </c>
      <c r="C23" s="186" t="s">
        <v>441</v>
      </c>
      <c r="D23" s="62"/>
      <c r="E23" s="182">
        <f>'3 Statement Model'!J30</f>
        <v>21768.758906700001</v>
      </c>
      <c r="F23" s="182">
        <f>'3 Statement Model'!K30</f>
        <v>25687.135509906002</v>
      </c>
      <c r="G23" s="182">
        <f>'3 Statement Model'!L30</f>
        <v>29411.77015884237</v>
      </c>
      <c r="H23" s="182">
        <f>'3 Statement Model'!M30</f>
        <v>32647.064876315035</v>
      </c>
      <c r="I23" s="182">
        <f>'3 Statement Model'!N30</f>
        <v>35422.065390801814</v>
      </c>
      <c r="J23" s="62"/>
      <c r="K23" s="62"/>
      <c r="L23" s="62" t="s">
        <v>442</v>
      </c>
      <c r="M23" s="182">
        <f>($I$21+$I$23)*17</f>
        <v>49062885.594162263</v>
      </c>
      <c r="N23" s="62" t="s">
        <v>439</v>
      </c>
      <c r="O23" s="62"/>
      <c r="Q23" s="208" t="s">
        <v>443</v>
      </c>
      <c r="R23" s="195"/>
      <c r="S23" s="195"/>
      <c r="T23" s="195"/>
      <c r="U23" s="195"/>
      <c r="V23" s="195"/>
    </row>
    <row r="24" spans="1:22" ht="16" customHeight="1" x14ac:dyDescent="0.4">
      <c r="A24" s="62"/>
      <c r="B24" s="62" t="s">
        <v>444</v>
      </c>
      <c r="C24" s="186" t="s">
        <v>445</v>
      </c>
      <c r="D24" s="62"/>
      <c r="E24" s="182">
        <f>'3 Statement Model'!J68</f>
        <v>21999.102450000002</v>
      </c>
      <c r="F24" s="182">
        <f>'3 Statement Model'!K68</f>
        <v>21377.951322000001</v>
      </c>
      <c r="G24" s="182">
        <f>'3 Statement Model'!L68</f>
        <v>19232.521207185</v>
      </c>
      <c r="H24" s="182">
        <f>'3 Statement Model'!M68</f>
        <v>17466.626078161651</v>
      </c>
      <c r="I24" s="182">
        <f>'3 Statement Model'!N68</f>
        <v>14739.891673737528</v>
      </c>
      <c r="J24" s="62"/>
      <c r="K24" s="62"/>
      <c r="L24" s="210" t="s">
        <v>446</v>
      </c>
      <c r="M24" s="195"/>
      <c r="N24" s="195"/>
      <c r="O24" s="195"/>
      <c r="Q24" s="211" t="s">
        <v>447</v>
      </c>
      <c r="R24" s="195"/>
      <c r="S24" s="195"/>
    </row>
    <row r="25" spans="1:22" ht="16" customHeight="1" x14ac:dyDescent="0.4">
      <c r="A25" s="62"/>
      <c r="B25" s="62" t="s">
        <v>448</v>
      </c>
      <c r="C25" s="186" t="s">
        <v>449</v>
      </c>
      <c r="D25" s="62"/>
      <c r="E25" s="182">
        <f>'3 Statement Model'!J90-('3 Statement Model'!J88-'3 Statement Model'!I88)</f>
        <v>9620.1400556705776</v>
      </c>
      <c r="F25" s="182">
        <f>'3 Statement Model'!K90-('3 Statement Model'!K88-'3 Statement Model'!J88)</f>
        <v>-54386.722636451654</v>
      </c>
      <c r="G25" s="182">
        <f>'3 Statement Model'!L90-('3 Statement Model'!L88-'3 Statement Model'!K88)</f>
        <v>-89654.729858424107</v>
      </c>
      <c r="H25" s="182">
        <f>'3 Statement Model'!M90-('3 Statement Model'!M88-'3 Statement Model'!L88)</f>
        <v>-123912.98635386297</v>
      </c>
      <c r="I25" s="182">
        <f>'3 Statement Model'!N90-('3 Statement Model'!N88-'3 Statement Model'!M88)</f>
        <v>-154879.67470079864</v>
      </c>
      <c r="J25" s="62"/>
      <c r="K25" s="62"/>
      <c r="L25" s="62"/>
      <c r="M25" s="62"/>
      <c r="N25" s="62"/>
      <c r="O25" s="62"/>
      <c r="Q25" s="174" t="s">
        <v>450</v>
      </c>
      <c r="R25" s="177">
        <f>($I$21+$I$23)*$D$8</f>
        <v>66379198.156807765</v>
      </c>
      <c r="T25" s="95">
        <f>J27</f>
        <v>66379198.156807765</v>
      </c>
      <c r="U25" s="175" t="s">
        <v>451</v>
      </c>
    </row>
    <row r="26" spans="1:22" ht="16" customHeight="1" x14ac:dyDescent="0.4">
      <c r="A26" s="62"/>
      <c r="B26" s="62" t="s">
        <v>452</v>
      </c>
      <c r="C26" s="186" t="s">
        <v>453</v>
      </c>
      <c r="D26" s="62"/>
      <c r="E26" s="187">
        <f>0.646575*(E21-E22+E23+'3 Statement Model'!J64-E24-E25)</f>
        <v>821491.63451651088</v>
      </c>
      <c r="F26" s="187">
        <f>F21-F22+F23+'3 Statement Model'!K64-F24-F25</f>
        <v>1638362.2191459746</v>
      </c>
      <c r="G26" s="187">
        <f>G21-G22+G23+'3 Statement Model'!L64-G24-G25</f>
        <v>1987350.4796378592</v>
      </c>
      <c r="H26" s="187">
        <f>H21-H22+H23+'3 Statement Model'!M64-H24-H25</f>
        <v>2312762.6678154594</v>
      </c>
      <c r="I26" s="187">
        <f>I21-I22+I23+'3 Statement Model'!N64-I24-I25</f>
        <v>2584737.1514625587</v>
      </c>
      <c r="J26" s="62"/>
      <c r="K26" s="62"/>
      <c r="L26" s="214" t="s">
        <v>454</v>
      </c>
      <c r="M26" s="195"/>
      <c r="N26" s="195"/>
      <c r="O26" s="195"/>
      <c r="Q26" s="211" t="s">
        <v>455</v>
      </c>
      <c r="R26" s="195"/>
      <c r="S26" s="195"/>
    </row>
    <row r="27" spans="1:22" ht="16" customHeight="1" x14ac:dyDescent="0.4">
      <c r="A27" s="62"/>
      <c r="B27" s="62" t="s">
        <v>456</v>
      </c>
      <c r="C27" s="62"/>
      <c r="D27" s="188">
        <f>-I35</f>
        <v>-30093534.614999998</v>
      </c>
      <c r="E27" s="62"/>
      <c r="F27" s="62"/>
      <c r="G27" s="62"/>
      <c r="H27" s="62"/>
      <c r="I27" s="62"/>
      <c r="J27" s="182">
        <f>($I$21+$I$23)*$D$8</f>
        <v>66379198.156807765</v>
      </c>
      <c r="K27" s="62"/>
      <c r="L27" s="88" t="s">
        <v>457</v>
      </c>
      <c r="M27" s="88" t="s">
        <v>458</v>
      </c>
      <c r="N27" s="88" t="s">
        <v>459</v>
      </c>
      <c r="O27" s="88" t="s">
        <v>4</v>
      </c>
      <c r="Q27" s="174" t="s">
        <v>450</v>
      </c>
      <c r="R27" s="177">
        <f>IF(($D$6-$D$7)&lt;=0,"err",$I$26*(1+$D$7)/($D$6-$D$7))</f>
        <v>64866244.476361148</v>
      </c>
      <c r="T27" s="95">
        <f>M19</f>
        <v>64866244.476361148</v>
      </c>
      <c r="U27" s="175" t="s">
        <v>460</v>
      </c>
    </row>
    <row r="28" spans="1:22" ht="16" customHeight="1" x14ac:dyDescent="0.4">
      <c r="A28" s="62"/>
      <c r="B28" s="62" t="s">
        <v>461</v>
      </c>
      <c r="C28" s="62"/>
      <c r="D28" s="189">
        <v>0</v>
      </c>
      <c r="E28" s="187">
        <f t="shared" ref="E28:J28" si="0">E27+E26</f>
        <v>821491.63451651088</v>
      </c>
      <c r="F28" s="187">
        <f t="shared" si="0"/>
        <v>1638362.2191459746</v>
      </c>
      <c r="G28" s="187">
        <f t="shared" si="0"/>
        <v>1987350.4796378592</v>
      </c>
      <c r="H28" s="187">
        <f t="shared" si="0"/>
        <v>2312762.6678154594</v>
      </c>
      <c r="I28" s="187">
        <f t="shared" si="0"/>
        <v>2584737.1514625587</v>
      </c>
      <c r="J28" s="187">
        <f t="shared" si="0"/>
        <v>66379198.156807765</v>
      </c>
      <c r="K28" s="62"/>
      <c r="L28" s="66" t="s">
        <v>462</v>
      </c>
      <c r="M28" s="156">
        <f>$D$5</f>
        <v>0.22872999999999999</v>
      </c>
      <c r="N28" s="90" t="s">
        <v>463</v>
      </c>
      <c r="O28" s="91" t="s">
        <v>464</v>
      </c>
      <c r="Q28" s="174" t="s">
        <v>425</v>
      </c>
      <c r="R28" s="190">
        <f>IF(($I$21+$I$23)=0,0,T27/($I$21+$I$23))</f>
        <v>22.475770488096753</v>
      </c>
      <c r="S28" s="174" t="s">
        <v>465</v>
      </c>
    </row>
    <row r="29" spans="1:22" ht="16" customHeight="1" x14ac:dyDescent="0.4">
      <c r="A29" s="62"/>
      <c r="B29" s="62" t="s">
        <v>461</v>
      </c>
      <c r="C29" s="62"/>
      <c r="D29" s="188">
        <f t="shared" ref="D29:I29" si="1">D27+D26</f>
        <v>-30093534.614999998</v>
      </c>
      <c r="E29" s="182">
        <f t="shared" si="1"/>
        <v>821491.63451651088</v>
      </c>
      <c r="F29" s="182">
        <f t="shared" si="1"/>
        <v>1638362.2191459746</v>
      </c>
      <c r="G29" s="182">
        <f t="shared" si="1"/>
        <v>1987350.4796378592</v>
      </c>
      <c r="H29" s="182">
        <f t="shared" si="1"/>
        <v>2312762.6678154594</v>
      </c>
      <c r="I29" s="182">
        <f t="shared" si="1"/>
        <v>2584737.1514625587</v>
      </c>
      <c r="J29" s="182">
        <f>J27</f>
        <v>66379198.156807765</v>
      </c>
      <c r="K29" s="62"/>
      <c r="L29" s="66" t="s">
        <v>466</v>
      </c>
      <c r="M29" s="156">
        <f>'3 Statement Model'!J15</f>
        <v>83.2</v>
      </c>
      <c r="N29" s="92">
        <f>'3 Statement Model'!J15</f>
        <v>83.2</v>
      </c>
      <c r="O29" s="91" t="s">
        <v>467</v>
      </c>
    </row>
    <row r="30" spans="1:22" ht="16" customHeight="1" x14ac:dyDescent="0.4">
      <c r="A30" s="62"/>
      <c r="B30" s="62"/>
      <c r="C30" s="62"/>
      <c r="D30" s="64"/>
      <c r="E30" s="62"/>
      <c r="G30" s="62"/>
      <c r="H30" s="62"/>
      <c r="I30" s="62"/>
      <c r="J30" s="62"/>
      <c r="L30" s="66" t="s">
        <v>468</v>
      </c>
      <c r="M30" s="156">
        <f>'3 Statement Model'!J21</f>
        <v>7.0000000000000007E-2</v>
      </c>
      <c r="N30" s="92">
        <f>'3 Statement Model'!J21</f>
        <v>7.0000000000000007E-2</v>
      </c>
      <c r="O30" s="91" t="s">
        <v>469</v>
      </c>
      <c r="Q30" s="208" t="s">
        <v>470</v>
      </c>
      <c r="R30" s="195"/>
      <c r="S30" s="195"/>
      <c r="T30" s="195"/>
      <c r="U30" s="195"/>
      <c r="V30" s="195"/>
    </row>
    <row r="31" spans="1:22" ht="16" customHeight="1" x14ac:dyDescent="0.4">
      <c r="A31" s="62"/>
      <c r="B31" s="80" t="s">
        <v>471</v>
      </c>
      <c r="C31" s="81"/>
      <c r="D31" s="81"/>
      <c r="E31" s="62"/>
      <c r="G31" s="80" t="s">
        <v>472</v>
      </c>
      <c r="H31" s="81"/>
      <c r="I31" s="81"/>
      <c r="J31" s="62"/>
      <c r="L31" s="93" t="s">
        <v>473</v>
      </c>
      <c r="M31" s="156">
        <f>'3 Statement Model'!J18</f>
        <v>8.5000000000000006E-3</v>
      </c>
      <c r="N31" s="92">
        <f>'3 Statement Model'!J18</f>
        <v>8.5000000000000006E-3</v>
      </c>
      <c r="O31" s="91" t="s">
        <v>474</v>
      </c>
      <c r="Q31" s="211" t="s">
        <v>475</v>
      </c>
      <c r="R31" s="195"/>
      <c r="S31" s="195"/>
    </row>
    <row r="32" spans="1:22" ht="16" customHeight="1" x14ac:dyDescent="0.4">
      <c r="A32" s="62"/>
      <c r="B32" s="62" t="s">
        <v>476</v>
      </c>
      <c r="C32" s="62"/>
      <c r="D32" s="182">
        <f>XNPV(D6,D28:J28,D18:J18)</f>
        <v>56664816.450224385</v>
      </c>
      <c r="E32" s="62"/>
      <c r="G32" s="62" t="s">
        <v>477</v>
      </c>
      <c r="H32" s="62"/>
      <c r="I32" s="188">
        <f>D12*D11</f>
        <v>24815682.614999998</v>
      </c>
      <c r="J32" s="62"/>
      <c r="L32" s="66" t="s">
        <v>478</v>
      </c>
      <c r="M32" s="156">
        <f>'3 Statement Model'!J7</f>
        <v>0.3</v>
      </c>
      <c r="N32" s="94">
        <f>'3 Statement Model'!J7</f>
        <v>0.3</v>
      </c>
      <c r="O32" s="91" t="s">
        <v>479</v>
      </c>
      <c r="Q32" s="174" t="s">
        <v>450</v>
      </c>
      <c r="R32" s="177">
        <f>XNPV(D6,D28:J28,D18:J18)</f>
        <v>56664816.450224385</v>
      </c>
      <c r="T32" s="95">
        <f>D32</f>
        <v>56664816.450224385</v>
      </c>
    </row>
    <row r="33" spans="1:22" ht="16" customHeight="1" x14ac:dyDescent="0.4">
      <c r="A33" s="62"/>
      <c r="B33" s="62" t="s">
        <v>480</v>
      </c>
      <c r="C33" s="62"/>
      <c r="D33" s="188">
        <f>+D14</f>
        <v>304537</v>
      </c>
      <c r="E33" s="62"/>
      <c r="G33" s="62" t="s">
        <v>481</v>
      </c>
      <c r="H33" s="62"/>
      <c r="I33" s="188">
        <f>D13</f>
        <v>5582389</v>
      </c>
      <c r="J33" s="62"/>
      <c r="L33" s="66" t="s">
        <v>482</v>
      </c>
      <c r="M33" s="156">
        <f>$E$21</f>
        <v>1425194.0223833008</v>
      </c>
      <c r="N33" s="95">
        <f>'3 Statement Model'!J33+'3 Statement Model'!J31</f>
        <v>1425194.0223833008</v>
      </c>
      <c r="O33" s="91" t="s">
        <v>483</v>
      </c>
      <c r="Q33" s="177" t="s">
        <v>484</v>
      </c>
      <c r="R33" s="95">
        <f>D35</f>
        <v>51386964.450224385</v>
      </c>
      <c r="S33" s="174" t="s">
        <v>485</v>
      </c>
      <c r="U33" s="175" t="s">
        <v>486</v>
      </c>
      <c r="V33" s="175" t="s">
        <v>487</v>
      </c>
    </row>
    <row r="34" spans="1:22" ht="16" customHeight="1" x14ac:dyDescent="0.4">
      <c r="A34" s="62"/>
      <c r="B34" s="62" t="s">
        <v>488</v>
      </c>
      <c r="C34" s="62"/>
      <c r="D34" s="188">
        <f>+D13</f>
        <v>5582389</v>
      </c>
      <c r="E34" s="62"/>
      <c r="G34" s="62" t="s">
        <v>489</v>
      </c>
      <c r="H34" s="62"/>
      <c r="I34" s="188">
        <f>+D14</f>
        <v>304537</v>
      </c>
      <c r="J34" s="62"/>
      <c r="L34" s="66" t="s">
        <v>490</v>
      </c>
      <c r="M34" s="156">
        <f>'3 Statement Model'!J26-'3 Statement Model'!J28-'3 Statement Model'!J29-'3 Statement Model'!J30</f>
        <v>1425194.0223833008</v>
      </c>
      <c r="N34" s="90" t="s">
        <v>491</v>
      </c>
      <c r="O34" s="91" t="s">
        <v>492</v>
      </c>
      <c r="Q34" s="177" t="s">
        <v>493</v>
      </c>
      <c r="R34" s="109">
        <f>D37</f>
        <v>4691.8248843639694</v>
      </c>
      <c r="S34" s="174" t="s">
        <v>494</v>
      </c>
      <c r="U34" s="175" t="s">
        <v>495</v>
      </c>
      <c r="V34" s="175" t="s">
        <v>496</v>
      </c>
    </row>
    <row r="35" spans="1:22" ht="16" customHeight="1" x14ac:dyDescent="0.4">
      <c r="A35" s="62"/>
      <c r="B35" s="62" t="s">
        <v>497</v>
      </c>
      <c r="C35" s="62"/>
      <c r="D35" s="189">
        <f>D32+D33-D34</f>
        <v>51386964.450224385</v>
      </c>
      <c r="E35" s="62"/>
      <c r="G35" s="62" t="s">
        <v>498</v>
      </c>
      <c r="H35" s="62"/>
      <c r="I35" s="189">
        <f>I32+I33-I34</f>
        <v>30093534.614999998</v>
      </c>
      <c r="J35" s="62"/>
      <c r="L35" s="93" t="s">
        <v>499</v>
      </c>
      <c r="M35" s="156">
        <f>$E$23</f>
        <v>21768.758906700001</v>
      </c>
      <c r="N35" s="95">
        <f>'3 Statement Model'!J30</f>
        <v>21768.758906700001</v>
      </c>
      <c r="O35" s="91" t="s">
        <v>500</v>
      </c>
      <c r="Q35" s="174" t="s">
        <v>501</v>
      </c>
      <c r="R35" s="163">
        <f>D37/D11-1</f>
        <v>3.083398506844186</v>
      </c>
      <c r="S35" s="174" t="s">
        <v>502</v>
      </c>
    </row>
    <row r="36" spans="1:22" ht="16" customHeight="1" x14ac:dyDescent="0.4">
      <c r="A36" s="62"/>
      <c r="B36" s="62"/>
      <c r="C36" s="62"/>
      <c r="D36" s="62"/>
      <c r="E36" s="62"/>
      <c r="G36" s="62"/>
      <c r="H36" s="62"/>
      <c r="I36" s="96"/>
      <c r="J36" s="62"/>
      <c r="L36" s="66" t="s">
        <v>503</v>
      </c>
      <c r="M36" s="156">
        <f>'3 Statement Model'!J64</f>
        <v>181169.07900000003</v>
      </c>
      <c r="N36" s="95">
        <f>'3 Statement Model'!J64</f>
        <v>181169.07900000003</v>
      </c>
      <c r="O36" s="91" t="s">
        <v>504</v>
      </c>
    </row>
    <row r="37" spans="1:22" ht="16" customHeight="1" x14ac:dyDescent="0.4">
      <c r="A37" s="62"/>
      <c r="B37" s="62" t="s">
        <v>505</v>
      </c>
      <c r="C37" s="71" t="s">
        <v>506</v>
      </c>
      <c r="D37" s="182">
        <f>$D$35/$I$16</f>
        <v>4691.8248843639694</v>
      </c>
      <c r="E37" s="62"/>
      <c r="G37" s="62" t="s">
        <v>507</v>
      </c>
      <c r="H37" s="62"/>
      <c r="I37" s="188">
        <f>D11</f>
        <v>1149</v>
      </c>
      <c r="J37" s="62"/>
      <c r="L37" s="66" t="s">
        <v>508</v>
      </c>
      <c r="M37" s="156">
        <f>$E$24</f>
        <v>21999.102450000002</v>
      </c>
      <c r="N37" s="95">
        <f>'3 Statement Model'!J68</f>
        <v>21999.102450000002</v>
      </c>
      <c r="O37" s="91" t="s">
        <v>509</v>
      </c>
      <c r="Q37" s="208" t="s">
        <v>510</v>
      </c>
      <c r="R37" s="195"/>
      <c r="S37" s="195"/>
      <c r="T37" s="195"/>
      <c r="U37" s="195"/>
      <c r="V37" s="195"/>
    </row>
    <row r="38" spans="1:22" ht="16" customHeight="1" x14ac:dyDescent="0.4">
      <c r="A38" s="62"/>
      <c r="B38" s="62"/>
      <c r="C38" s="62"/>
      <c r="D38" s="62"/>
      <c r="E38" s="62"/>
      <c r="G38" s="62"/>
      <c r="H38" s="62"/>
      <c r="I38" s="62"/>
      <c r="J38" s="62"/>
      <c r="L38" s="66" t="s">
        <v>511</v>
      </c>
      <c r="M38" s="156">
        <f>$E$25</f>
        <v>9620.1400556705776</v>
      </c>
      <c r="N38" s="95">
        <f>'3 Statement Model'!J90-('3 Statement Model'!J88-'3 Statement Model'!I88)</f>
        <v>9620.1400556705776</v>
      </c>
      <c r="O38" s="91" t="s">
        <v>512</v>
      </c>
      <c r="Q38" s="211" t="s">
        <v>513</v>
      </c>
      <c r="R38" s="195"/>
      <c r="S38" s="195"/>
      <c r="T38" s="195"/>
      <c r="U38" s="175" t="s">
        <v>514</v>
      </c>
      <c r="V38" s="175" t="s">
        <v>515</v>
      </c>
    </row>
    <row r="39" spans="1:22" ht="16" customHeight="1" x14ac:dyDescent="0.4">
      <c r="A39" s="62"/>
      <c r="C39" s="62"/>
      <c r="D39" s="64"/>
      <c r="E39" s="62"/>
      <c r="G39" s="62"/>
      <c r="H39" s="62"/>
      <c r="I39" s="63"/>
      <c r="J39" s="62"/>
      <c r="L39" s="66" t="s">
        <v>516</v>
      </c>
      <c r="M39" s="156">
        <f>$I$21+$I$23</f>
        <v>2886052.0937742507</v>
      </c>
      <c r="N39" s="95">
        <f>'3 Statement Model'!N33+'3 Statement Model'!N31+'3 Statement Model'!N30</f>
        <v>2886052.0937742507</v>
      </c>
      <c r="O39" s="91" t="s">
        <v>517</v>
      </c>
      <c r="Q39" s="177" t="s">
        <v>518</v>
      </c>
      <c r="S39" s="174" t="s">
        <v>519</v>
      </c>
      <c r="T39" s="95">
        <f>I25</f>
        <v>-154879.67470079864</v>
      </c>
    </row>
    <row r="40" spans="1:22" ht="16" customHeight="1" x14ac:dyDescent="0.4">
      <c r="A40" s="62"/>
      <c r="C40" s="62"/>
      <c r="D40" s="64"/>
      <c r="E40" s="62"/>
      <c r="F40" s="62"/>
      <c r="G40" s="62"/>
      <c r="H40" s="63"/>
      <c r="I40" s="62"/>
      <c r="K40" s="62"/>
      <c r="L40" s="66" t="s">
        <v>520</v>
      </c>
      <c r="M40" s="156">
        <f>'3 Statement Model'!I41</f>
        <v>134136</v>
      </c>
      <c r="N40" s="95">
        <f>'3 Statement Model'!I41</f>
        <v>134136</v>
      </c>
      <c r="O40" s="91" t="s">
        <v>521</v>
      </c>
    </row>
    <row r="41" spans="1:22" ht="16" customHeight="1" x14ac:dyDescent="0.4">
      <c r="A41" s="62"/>
      <c r="B41" s="80" t="s">
        <v>522</v>
      </c>
      <c r="C41" s="81"/>
      <c r="D41" s="97"/>
      <c r="E41" s="81"/>
      <c r="F41" s="81"/>
      <c r="G41" s="81"/>
      <c r="H41" s="81"/>
      <c r="I41" s="81"/>
      <c r="J41" s="81"/>
      <c r="K41" s="81"/>
      <c r="L41" s="93" t="s">
        <v>523</v>
      </c>
      <c r="M41" s="95">
        <f>'3 Statement Model'!I49</f>
        <v>3055691</v>
      </c>
      <c r="N41" s="95">
        <f>'3 Statement Model'!I49</f>
        <v>3055691</v>
      </c>
      <c r="O41" s="91" t="s">
        <v>524</v>
      </c>
      <c r="Q41" s="208" t="s">
        <v>525</v>
      </c>
      <c r="R41" s="195"/>
      <c r="S41" s="195"/>
      <c r="T41" s="195"/>
      <c r="U41" s="195"/>
      <c r="V41" s="195"/>
    </row>
    <row r="42" spans="1:22" ht="16" customHeight="1" x14ac:dyDescent="0.4">
      <c r="A42" s="62"/>
      <c r="B42" s="62" t="s">
        <v>526</v>
      </c>
      <c r="C42" s="62"/>
      <c r="D42" s="64"/>
      <c r="E42" s="62"/>
      <c r="F42" s="62"/>
      <c r="G42" s="62"/>
      <c r="H42" s="62"/>
      <c r="L42" s="98" t="s">
        <v>527</v>
      </c>
      <c r="M42" s="99" t="str">
        <f>IF(ABS(M33-M34)&lt;1,"OK","MISMATCH")</f>
        <v>OK</v>
      </c>
      <c r="N42" s="100"/>
      <c r="O42" s="91" t="s">
        <v>528</v>
      </c>
      <c r="Q42" s="205" t="s">
        <v>529</v>
      </c>
      <c r="R42" s="197"/>
      <c r="S42" s="198"/>
      <c r="T42" s="207" t="s">
        <v>530</v>
      </c>
      <c r="U42" s="195"/>
      <c r="V42" s="195"/>
    </row>
    <row r="43" spans="1:22" ht="16" customHeight="1" x14ac:dyDescent="0.4">
      <c r="A43" s="62"/>
      <c r="B43" s="62" t="s">
        <v>531</v>
      </c>
      <c r="C43" s="62"/>
      <c r="D43" s="64"/>
      <c r="E43" s="62"/>
      <c r="F43" s="62"/>
      <c r="G43" s="62"/>
      <c r="H43" s="62"/>
      <c r="L43" s="209" t="s">
        <v>532</v>
      </c>
      <c r="M43" s="195"/>
      <c r="N43" s="195"/>
      <c r="O43" s="195"/>
      <c r="Q43" s="205" t="s">
        <v>533</v>
      </c>
      <c r="R43" s="197"/>
      <c r="S43" s="198"/>
      <c r="T43" s="207" t="s">
        <v>534</v>
      </c>
      <c r="U43" s="195"/>
      <c r="V43" s="195"/>
    </row>
    <row r="44" spans="1:22" ht="16" customHeight="1" x14ac:dyDescent="0.4">
      <c r="A44" s="62"/>
      <c r="B44" s="101" t="s">
        <v>535</v>
      </c>
      <c r="C44" s="62"/>
      <c r="D44" s="64"/>
      <c r="E44" s="62"/>
      <c r="F44" s="62"/>
      <c r="G44" s="62"/>
      <c r="H44" s="62"/>
      <c r="N44" s="36"/>
      <c r="O44" s="62"/>
      <c r="Q44" s="205" t="s">
        <v>536</v>
      </c>
      <c r="R44" s="197"/>
      <c r="S44" s="198"/>
      <c r="T44" s="207" t="s">
        <v>537</v>
      </c>
      <c r="U44" s="195"/>
      <c r="V44" s="195"/>
    </row>
    <row r="45" spans="1:22" ht="16" customHeight="1" x14ac:dyDescent="0.4">
      <c r="A45" s="62"/>
      <c r="B45" s="101" t="s">
        <v>538</v>
      </c>
      <c r="C45" s="62"/>
      <c r="D45" s="64"/>
      <c r="E45" s="62"/>
      <c r="F45" s="62"/>
      <c r="G45" s="62"/>
      <c r="H45" s="62"/>
      <c r="N45" s="36"/>
      <c r="O45" s="62"/>
      <c r="Q45" s="205" t="s">
        <v>539</v>
      </c>
      <c r="R45" s="197"/>
      <c r="S45" s="198"/>
      <c r="T45" s="207" t="s">
        <v>540</v>
      </c>
      <c r="U45" s="195"/>
      <c r="V45" s="195"/>
    </row>
    <row r="46" spans="1:22" ht="16" customHeight="1" x14ac:dyDescent="0.4">
      <c r="A46" s="62"/>
      <c r="B46" s="101" t="s">
        <v>541</v>
      </c>
      <c r="C46" s="62"/>
      <c r="D46" s="64"/>
      <c r="E46" s="62"/>
      <c r="F46" s="62"/>
      <c r="G46" s="62"/>
      <c r="H46" s="62"/>
      <c r="N46" s="36"/>
      <c r="O46" s="62"/>
      <c r="Q46" s="205" t="s">
        <v>542</v>
      </c>
      <c r="R46" s="197"/>
      <c r="S46" s="198"/>
      <c r="T46" s="207" t="s">
        <v>543</v>
      </c>
      <c r="U46" s="195"/>
      <c r="V46" s="195"/>
    </row>
    <row r="47" spans="1:22" ht="16" customHeight="1" x14ac:dyDescent="0.4">
      <c r="A47" s="62"/>
      <c r="B47" s="62"/>
      <c r="C47" s="62"/>
      <c r="D47" s="64"/>
      <c r="E47" s="62"/>
      <c r="F47" s="62"/>
      <c r="G47" s="62"/>
      <c r="H47" s="62"/>
      <c r="N47" s="36"/>
      <c r="O47" s="62"/>
      <c r="Q47" s="205" t="s">
        <v>53</v>
      </c>
      <c r="R47" s="197"/>
      <c r="S47" s="198"/>
      <c r="T47" s="207" t="s">
        <v>544</v>
      </c>
      <c r="U47" s="195"/>
      <c r="V47" s="195"/>
    </row>
    <row r="48" spans="1:22" ht="16" customHeight="1" x14ac:dyDescent="0.4">
      <c r="A48" s="62"/>
      <c r="B48" s="62"/>
      <c r="C48" s="62"/>
      <c r="D48" s="64"/>
      <c r="E48" s="62"/>
      <c r="F48" s="62"/>
      <c r="G48" s="62"/>
      <c r="H48" s="62"/>
      <c r="N48" s="102" t="s">
        <v>302</v>
      </c>
      <c r="O48" s="62"/>
      <c r="Q48" s="205" t="s">
        <v>75</v>
      </c>
      <c r="R48" s="197"/>
      <c r="S48" s="198"/>
      <c r="T48" s="207" t="s">
        <v>545</v>
      </c>
      <c r="U48" s="195"/>
      <c r="V48" s="195"/>
    </row>
    <row r="49" spans="1:22" ht="16" customHeight="1" x14ac:dyDescent="0.4">
      <c r="A49" s="62"/>
      <c r="B49" s="62"/>
      <c r="C49" s="62"/>
      <c r="D49" s="64"/>
      <c r="E49" s="62"/>
      <c r="F49" s="62"/>
      <c r="G49" s="62"/>
      <c r="H49" s="62"/>
      <c r="N49" s="103" t="s">
        <v>303</v>
      </c>
      <c r="O49" s="62"/>
      <c r="Q49" s="205" t="s">
        <v>30</v>
      </c>
      <c r="R49" s="197"/>
      <c r="S49" s="198"/>
      <c r="T49" s="207" t="s">
        <v>546</v>
      </c>
      <c r="U49" s="195"/>
      <c r="V49" s="195"/>
    </row>
    <row r="50" spans="1:22" ht="16" customHeight="1" x14ac:dyDescent="0.4">
      <c r="A50" s="62"/>
      <c r="B50" s="62"/>
      <c r="C50" s="62"/>
      <c r="D50" s="64"/>
      <c r="E50" s="62"/>
      <c r="F50" s="62"/>
      <c r="G50" s="62"/>
      <c r="H50" s="62"/>
      <c r="O50" s="62"/>
      <c r="Q50" s="205" t="s">
        <v>547</v>
      </c>
      <c r="R50" s="197"/>
      <c r="S50" s="198"/>
      <c r="T50" s="207" t="s">
        <v>548</v>
      </c>
      <c r="U50" s="195"/>
      <c r="V50" s="195"/>
    </row>
    <row r="51" spans="1:22" ht="16" customHeight="1" x14ac:dyDescent="0.4">
      <c r="A51" s="62"/>
      <c r="B51" s="62"/>
      <c r="C51" s="62"/>
      <c r="D51" s="64"/>
      <c r="E51" s="62"/>
      <c r="F51" s="62"/>
      <c r="G51" s="62"/>
      <c r="H51" s="62"/>
      <c r="M51" s="62"/>
      <c r="O51" s="62"/>
      <c r="Q51" s="205" t="s">
        <v>549</v>
      </c>
      <c r="R51" s="197"/>
      <c r="S51" s="198"/>
      <c r="T51" s="207" t="s">
        <v>550</v>
      </c>
      <c r="U51" s="195"/>
      <c r="V51" s="195"/>
    </row>
    <row r="52" spans="1:22" ht="16" customHeight="1" x14ac:dyDescent="0.4">
      <c r="A52" s="62"/>
      <c r="B52" s="62"/>
      <c r="C52" s="62"/>
      <c r="D52" s="64"/>
      <c r="E52" s="62"/>
      <c r="F52" s="62"/>
      <c r="G52" s="62"/>
      <c r="H52" s="62"/>
      <c r="I52" s="62"/>
      <c r="J52" s="62"/>
      <c r="K52" s="62"/>
      <c r="L52" s="62"/>
      <c r="M52" s="62"/>
      <c r="N52" s="62"/>
      <c r="O52" s="62"/>
    </row>
    <row r="53" spans="1:22" ht="16" customHeight="1" x14ac:dyDescent="0.4">
      <c r="A53" s="62"/>
      <c r="B53" s="62"/>
      <c r="C53" s="62"/>
      <c r="D53" s="64"/>
      <c r="E53" s="62"/>
      <c r="F53" s="62"/>
      <c r="G53" s="62"/>
      <c r="H53" s="62"/>
      <c r="I53" s="62"/>
      <c r="J53" s="62"/>
      <c r="K53" s="62"/>
      <c r="L53" s="62"/>
      <c r="M53" s="62"/>
      <c r="N53" s="62"/>
      <c r="O53" s="62"/>
    </row>
    <row r="54" spans="1:22" ht="16" customHeight="1" x14ac:dyDescent="0.4">
      <c r="A54" s="62"/>
      <c r="B54" s="62"/>
      <c r="C54" s="62"/>
      <c r="D54" s="64"/>
      <c r="E54" s="62"/>
      <c r="F54" s="62"/>
      <c r="G54" s="62"/>
      <c r="H54" s="62"/>
      <c r="I54" s="62"/>
      <c r="J54" s="62"/>
      <c r="K54" s="62"/>
      <c r="L54" s="62"/>
      <c r="M54" s="62"/>
      <c r="N54" s="62"/>
      <c r="O54" s="62"/>
    </row>
    <row r="55" spans="1:22" ht="16" customHeight="1" x14ac:dyDescent="0.4">
      <c r="A55" s="62"/>
      <c r="B55" s="62"/>
      <c r="C55" s="62"/>
      <c r="D55" s="64"/>
      <c r="E55" s="62"/>
      <c r="F55" s="62"/>
      <c r="G55" s="62"/>
      <c r="H55" s="62"/>
      <c r="I55" s="62"/>
      <c r="J55" s="62"/>
      <c r="K55" s="62"/>
      <c r="L55" s="214" t="s">
        <v>551</v>
      </c>
      <c r="M55" s="195"/>
      <c r="N55" s="195"/>
      <c r="O55" s="195"/>
      <c r="P55" s="195"/>
      <c r="Q55" s="195"/>
      <c r="R55" s="195"/>
    </row>
    <row r="56" spans="1:22" ht="16" customHeight="1" x14ac:dyDescent="0.4">
      <c r="A56" s="62"/>
      <c r="B56" s="62"/>
      <c r="C56" s="62"/>
      <c r="D56" s="64"/>
      <c r="E56" s="62"/>
      <c r="F56" s="62"/>
      <c r="G56" s="62"/>
      <c r="H56" s="62"/>
      <c r="I56" s="62"/>
      <c r="J56" s="62"/>
      <c r="K56" s="62"/>
      <c r="L56" s="75" t="s">
        <v>552</v>
      </c>
      <c r="M56" s="104">
        <v>17</v>
      </c>
      <c r="N56" s="104">
        <v>20</v>
      </c>
      <c r="O56" s="104">
        <v>23</v>
      </c>
      <c r="P56" s="104">
        <v>25</v>
      </c>
      <c r="Q56" s="104">
        <v>27</v>
      </c>
      <c r="R56" s="104">
        <v>29</v>
      </c>
    </row>
    <row r="57" spans="1:22" ht="16" customHeight="1" x14ac:dyDescent="0.4">
      <c r="A57" s="62"/>
      <c r="B57" s="62"/>
      <c r="C57" s="62"/>
      <c r="D57" s="64"/>
      <c r="E57" s="62"/>
      <c r="F57" s="62"/>
      <c r="G57" s="62"/>
      <c r="H57" s="62"/>
      <c r="I57" s="62"/>
      <c r="J57" s="62"/>
      <c r="K57" s="62"/>
      <c r="L57" s="105">
        <v>6.5000000000000002E-2</v>
      </c>
      <c r="M57" s="95">
        <f t="shared" ref="M57:R62" si="2">XNPV($L57,$D$28:$I$28,$D$18:$I$18)+($I$26+($I$21+$I$23)*M$56)/((1+$L57)^(($J$18-$D$18)/365))</f>
        <v>47711022.063035697</v>
      </c>
      <c r="N57" s="95">
        <f t="shared" si="2"/>
        <v>54376493.709098399</v>
      </c>
      <c r="O57" s="95">
        <f t="shared" si="2"/>
        <v>61041965.355161101</v>
      </c>
      <c r="P57" s="95">
        <f t="shared" si="2"/>
        <v>65485613.119202897</v>
      </c>
      <c r="Q57" s="95">
        <f t="shared" si="2"/>
        <v>69929260.883244708</v>
      </c>
      <c r="R57" s="95">
        <f t="shared" si="2"/>
        <v>74372908.647286505</v>
      </c>
    </row>
    <row r="58" spans="1:22" ht="16" customHeight="1" x14ac:dyDescent="0.4">
      <c r="A58" s="62"/>
      <c r="B58" s="62"/>
      <c r="C58" s="62"/>
      <c r="D58" s="64"/>
      <c r="E58" s="62"/>
      <c r="F58" s="62"/>
      <c r="G58" s="62"/>
      <c r="H58" s="62"/>
      <c r="I58" s="62"/>
      <c r="J58" s="62"/>
      <c r="K58" s="62"/>
      <c r="L58" s="105">
        <v>7.0000000000000007E-2</v>
      </c>
      <c r="M58" s="95">
        <f t="shared" si="2"/>
        <v>46852027.129833698</v>
      </c>
      <c r="N58" s="95">
        <f t="shared" si="2"/>
        <v>53389081.752387568</v>
      </c>
      <c r="O58" s="95">
        <f t="shared" si="2"/>
        <v>59926136.374941438</v>
      </c>
      <c r="P58" s="95">
        <f t="shared" si="2"/>
        <v>64284172.789977357</v>
      </c>
      <c r="Q58" s="95">
        <f t="shared" si="2"/>
        <v>68642209.205013275</v>
      </c>
      <c r="R58" s="95">
        <f t="shared" si="2"/>
        <v>73000245.620049194</v>
      </c>
    </row>
    <row r="59" spans="1:22" ht="16" customHeight="1" x14ac:dyDescent="0.4">
      <c r="A59" s="62"/>
      <c r="B59" s="62"/>
      <c r="C59" s="62"/>
      <c r="D59" s="64"/>
      <c r="E59" s="62"/>
      <c r="F59" s="62"/>
      <c r="G59" s="62"/>
      <c r="H59" s="62"/>
      <c r="I59" s="62"/>
      <c r="J59" s="62"/>
      <c r="K59" s="62"/>
      <c r="L59" s="105">
        <v>7.4999999999999997E-2</v>
      </c>
      <c r="M59" s="95">
        <f t="shared" si="2"/>
        <v>46013049.98233477</v>
      </c>
      <c r="N59" s="95">
        <f t="shared" si="2"/>
        <v>52424743.147048257</v>
      </c>
      <c r="O59" s="95">
        <f t="shared" si="2"/>
        <v>58836436.311761744</v>
      </c>
      <c r="P59" s="95">
        <f t="shared" si="2"/>
        <v>63110898.421570733</v>
      </c>
      <c r="Q59" s="95">
        <f t="shared" si="2"/>
        <v>67385360.53137973</v>
      </c>
      <c r="R59" s="95">
        <f t="shared" si="2"/>
        <v>71659822.641188726</v>
      </c>
    </row>
    <row r="60" spans="1:22" ht="16" customHeight="1" x14ac:dyDescent="0.4">
      <c r="A60" s="62"/>
      <c r="B60" s="62"/>
      <c r="C60" s="62"/>
      <c r="D60" s="64"/>
      <c r="E60" s="62"/>
      <c r="F60" s="62"/>
      <c r="G60" s="62"/>
      <c r="H60" s="62"/>
      <c r="I60" s="62"/>
      <c r="J60" s="62"/>
      <c r="K60" s="62"/>
      <c r="L60" s="105">
        <v>7.6799999999999993E-2</v>
      </c>
      <c r="M60" s="95">
        <f t="shared" si="2"/>
        <v>45715810.130643502</v>
      </c>
      <c r="N60" s="95">
        <f t="shared" si="2"/>
        <v>52083104.443742722</v>
      </c>
      <c r="O60" s="106">
        <f t="shared" si="2"/>
        <v>58450398.756841928</v>
      </c>
      <c r="P60" s="95">
        <f t="shared" si="2"/>
        <v>62695261.632241398</v>
      </c>
      <c r="Q60" s="95">
        <f t="shared" si="2"/>
        <v>66940124.507640883</v>
      </c>
      <c r="R60" s="95">
        <f t="shared" si="2"/>
        <v>71184987.383040354</v>
      </c>
    </row>
    <row r="61" spans="1:22" ht="16" customHeight="1" x14ac:dyDescent="0.4">
      <c r="B61" s="62"/>
      <c r="C61" s="62"/>
      <c r="D61" s="64"/>
      <c r="E61" s="62"/>
      <c r="F61" s="62"/>
      <c r="G61" s="62"/>
      <c r="H61" s="62"/>
      <c r="I61" s="62"/>
      <c r="J61" s="62"/>
      <c r="K61" s="62"/>
      <c r="L61" s="105">
        <v>8.5000000000000006E-2</v>
      </c>
      <c r="M61" s="95">
        <f t="shared" si="2"/>
        <v>44392926.800361015</v>
      </c>
      <c r="N61" s="95">
        <f t="shared" si="2"/>
        <v>50562720.922709972</v>
      </c>
      <c r="O61" s="95">
        <f t="shared" si="2"/>
        <v>56732515.045058928</v>
      </c>
      <c r="P61" s="95">
        <f t="shared" si="2"/>
        <v>60845711.126624905</v>
      </c>
      <c r="Q61" s="95">
        <f t="shared" si="2"/>
        <v>64958907.208190873</v>
      </c>
      <c r="R61" s="95">
        <f t="shared" si="2"/>
        <v>69072103.289756849</v>
      </c>
    </row>
    <row r="62" spans="1:22" x14ac:dyDescent="0.35">
      <c r="L62" s="105">
        <v>9.5000000000000001E-2</v>
      </c>
      <c r="M62" s="95">
        <f t="shared" si="2"/>
        <v>42846386.128903806</v>
      </c>
      <c r="N62" s="95">
        <f t="shared" si="2"/>
        <v>48785502.65415296</v>
      </c>
      <c r="O62" s="95">
        <f t="shared" si="2"/>
        <v>54724619.179402128</v>
      </c>
      <c r="P62" s="95">
        <f t="shared" si="2"/>
        <v>58684030.196234897</v>
      </c>
      <c r="Q62" s="95">
        <f t="shared" si="2"/>
        <v>62643441.213067681</v>
      </c>
      <c r="R62" s="95">
        <f t="shared" si="2"/>
        <v>66602852.229900464</v>
      </c>
    </row>
    <row r="64" spans="1:22" x14ac:dyDescent="0.35">
      <c r="L64" s="215" t="s">
        <v>553</v>
      </c>
      <c r="M64" s="195"/>
      <c r="N64" s="195"/>
      <c r="O64" s="195"/>
      <c r="P64" s="195"/>
      <c r="Q64" s="195"/>
      <c r="R64" s="195"/>
    </row>
    <row r="65" spans="12:18" x14ac:dyDescent="0.35">
      <c r="L65" s="107" t="s">
        <v>552</v>
      </c>
      <c r="M65" s="108">
        <v>17</v>
      </c>
      <c r="N65" s="108">
        <v>20</v>
      </c>
      <c r="O65" s="108">
        <v>23</v>
      </c>
      <c r="P65" s="108">
        <v>25</v>
      </c>
      <c r="Q65" s="108">
        <v>27</v>
      </c>
      <c r="R65" s="108">
        <v>29</v>
      </c>
    </row>
    <row r="66" spans="12:18" x14ac:dyDescent="0.35">
      <c r="L66" s="105">
        <v>6.5000000000000002E-2</v>
      </c>
      <c r="M66" s="109">
        <f t="shared" ref="M66:R71" si="3">(M57+$D$33-$D$34)/$I$16</f>
        <v>3874.3094742839935</v>
      </c>
      <c r="N66" s="109">
        <f t="shared" si="3"/>
        <v>4482.8923331783353</v>
      </c>
      <c r="O66" s="109">
        <f t="shared" si="3"/>
        <v>5091.4751920726767</v>
      </c>
      <c r="P66" s="109">
        <f t="shared" si="3"/>
        <v>5497.197098002237</v>
      </c>
      <c r="Q66" s="109">
        <f t="shared" si="3"/>
        <v>5902.9190039317991</v>
      </c>
      <c r="R66" s="109">
        <f t="shared" si="3"/>
        <v>6308.6409098613594</v>
      </c>
    </row>
    <row r="67" spans="12:18" x14ac:dyDescent="0.35">
      <c r="L67" s="105">
        <v>7.0000000000000007E-2</v>
      </c>
      <c r="M67" s="109">
        <f t="shared" si="3"/>
        <v>3795.8799767205874</v>
      </c>
      <c r="N67" s="109">
        <f t="shared" si="3"/>
        <v>4392.7378739846636</v>
      </c>
      <c r="O67" s="109">
        <f t="shared" si="3"/>
        <v>4989.5957712487398</v>
      </c>
      <c r="P67" s="109">
        <f t="shared" si="3"/>
        <v>5387.5010360914575</v>
      </c>
      <c r="Q67" s="109">
        <f t="shared" si="3"/>
        <v>5785.4063009341753</v>
      </c>
      <c r="R67" s="109">
        <f t="shared" si="3"/>
        <v>6183.311565776894</v>
      </c>
    </row>
    <row r="68" spans="12:18" x14ac:dyDescent="0.35">
      <c r="L68" s="105">
        <v>7.4999999999999997E-2</v>
      </c>
      <c r="M68" s="109">
        <f t="shared" si="3"/>
        <v>3719.278178965807</v>
      </c>
      <c r="N68" s="109">
        <f t="shared" si="3"/>
        <v>4304.6900993420022</v>
      </c>
      <c r="O68" s="109">
        <f t="shared" si="3"/>
        <v>4890.102019718197</v>
      </c>
      <c r="P68" s="109">
        <f t="shared" si="3"/>
        <v>5280.3766333023259</v>
      </c>
      <c r="Q68" s="109">
        <f t="shared" si="3"/>
        <v>5670.6512468864566</v>
      </c>
      <c r="R68" s="109">
        <f t="shared" si="3"/>
        <v>6060.9258604705865</v>
      </c>
    </row>
    <row r="69" spans="12:18" x14ac:dyDescent="0.35">
      <c r="L69" s="105">
        <v>7.6799999999999993E-2</v>
      </c>
      <c r="M69" s="109">
        <f t="shared" si="3"/>
        <v>3692.1390523855512</v>
      </c>
      <c r="N69" s="109">
        <f t="shared" si="3"/>
        <v>4273.4971891014411</v>
      </c>
      <c r="O69" s="110">
        <f t="shared" si="3"/>
        <v>4854.8553258173288</v>
      </c>
      <c r="P69" s="109">
        <f t="shared" si="3"/>
        <v>5242.4274169612545</v>
      </c>
      <c r="Q69" s="109">
        <f t="shared" si="3"/>
        <v>5629.9995081051811</v>
      </c>
      <c r="R69" s="109">
        <f t="shared" si="3"/>
        <v>6017.5715992491068</v>
      </c>
    </row>
    <row r="70" spans="12:18" x14ac:dyDescent="0.35">
      <c r="L70" s="105">
        <v>8.5000000000000006E-2</v>
      </c>
      <c r="M70" s="109">
        <f t="shared" si="3"/>
        <v>3571.354783563022</v>
      </c>
      <c r="N70" s="109">
        <f t="shared" si="3"/>
        <v>4134.6804032866639</v>
      </c>
      <c r="O70" s="109">
        <f t="shared" si="3"/>
        <v>4698.0060230103054</v>
      </c>
      <c r="P70" s="109">
        <f t="shared" si="3"/>
        <v>5073.5564361593997</v>
      </c>
      <c r="Q70" s="109">
        <f t="shared" si="3"/>
        <v>5449.106849308494</v>
      </c>
      <c r="R70" s="109">
        <f t="shared" si="3"/>
        <v>5824.6572624575892</v>
      </c>
    </row>
    <row r="71" spans="12:18" x14ac:dyDescent="0.35">
      <c r="L71" s="105">
        <v>9.5000000000000001E-2</v>
      </c>
      <c r="M71" s="109">
        <f t="shared" si="3"/>
        <v>3430.1497506396927</v>
      </c>
      <c r="N71" s="109">
        <f t="shared" si="3"/>
        <v>3972.4136302524448</v>
      </c>
      <c r="O71" s="109">
        <f t="shared" si="3"/>
        <v>4514.6775098651979</v>
      </c>
      <c r="P71" s="109">
        <f t="shared" si="3"/>
        <v>4876.186762940366</v>
      </c>
      <c r="Q71" s="109">
        <f t="shared" si="3"/>
        <v>5237.6960160155359</v>
      </c>
      <c r="R71" s="109">
        <f t="shared" si="3"/>
        <v>5599.2052690907049</v>
      </c>
    </row>
    <row r="72" spans="12:18" x14ac:dyDescent="0.35">
      <c r="L72" s="209" t="s">
        <v>554</v>
      </c>
      <c r="M72" s="195"/>
      <c r="N72" s="195"/>
      <c r="O72" s="195"/>
      <c r="P72" s="195"/>
      <c r="Q72" s="195"/>
      <c r="R72" s="195"/>
    </row>
  </sheetData>
  <mergeCells count="42">
    <mergeCell ref="T45:V45"/>
    <mergeCell ref="T47:V47"/>
    <mergeCell ref="T50:V50"/>
    <mergeCell ref="T44:V44"/>
    <mergeCell ref="Q5:V5"/>
    <mergeCell ref="Q23:V23"/>
    <mergeCell ref="Q50:S50"/>
    <mergeCell ref="Q26:S26"/>
    <mergeCell ref="Q30:V30"/>
    <mergeCell ref="Q17:V17"/>
    <mergeCell ref="Q18:S18"/>
    <mergeCell ref="Q42:S42"/>
    <mergeCell ref="L72:R72"/>
    <mergeCell ref="Q31:S31"/>
    <mergeCell ref="T51:V51"/>
    <mergeCell ref="Q44:S44"/>
    <mergeCell ref="Q49:S49"/>
    <mergeCell ref="Q46:S46"/>
    <mergeCell ref="T43:V43"/>
    <mergeCell ref="Q48:S48"/>
    <mergeCell ref="T48:V48"/>
    <mergeCell ref="Q47:S47"/>
    <mergeCell ref="T49:V49"/>
    <mergeCell ref="L55:R55"/>
    <mergeCell ref="L64:R64"/>
    <mergeCell ref="T42:V42"/>
    <mergeCell ref="L1:O1"/>
    <mergeCell ref="Q51:S51"/>
    <mergeCell ref="Q2:V2"/>
    <mergeCell ref="T46:V46"/>
    <mergeCell ref="Q45:S45"/>
    <mergeCell ref="Q41:V41"/>
    <mergeCell ref="L43:O43"/>
    <mergeCell ref="L24:O24"/>
    <mergeCell ref="Q38:T38"/>
    <mergeCell ref="L17:N17"/>
    <mergeCell ref="Q43:S43"/>
    <mergeCell ref="Q3:V3"/>
    <mergeCell ref="R19:T19"/>
    <mergeCell ref="Q37:V37"/>
    <mergeCell ref="Q24:S24"/>
    <mergeCell ref="L26:O26"/>
  </mergeCells>
  <hyperlinks>
    <hyperlink ref="A4" r:id="rId1" display="https://raw.githubusercontent.com/vengeanceaiUSC/Rainmaker/cursor/vengeanceaiusmodel18-d3ac/FICO/output/MODEL18_FICO_ASSUMPTIONS_LIST.pdf" xr:uid="{00000000-0004-0000-0200-000000000000}"/>
    <hyperlink ref="C4" r:id="rId2" xr:uid="{00000000-0004-0000-0200-000001000000}"/>
    <hyperlink ref="E5" r:id="rId3" xr:uid="{00000000-0004-0000-0200-000002000000}"/>
    <hyperlink ref="E6" r:id="rId4" xr:uid="{00000000-0004-0000-0200-000003000000}"/>
    <hyperlink ref="F6" r:id="rId5" xr:uid="{00000000-0004-0000-0200-000004000000}"/>
    <hyperlink ref="G6" r:id="rId6" xr:uid="{00000000-0004-0000-0200-000005000000}"/>
    <hyperlink ref="U6" r:id="rId7" xr:uid="{00000000-0004-0000-0200-000006000000}"/>
    <hyperlink ref="V6" r:id="rId8" xr:uid="{00000000-0004-0000-0200-000007000000}"/>
    <hyperlink ref="U7" r:id="rId9" xr:uid="{00000000-0004-0000-0200-000008000000}"/>
    <hyperlink ref="V7" r:id="rId10" xr:uid="{00000000-0004-0000-0200-000009000000}"/>
    <hyperlink ref="E8" r:id="rId11" xr:uid="{00000000-0004-0000-0200-00000A000000}"/>
    <hyperlink ref="F8" r:id="rId12" xr:uid="{00000000-0004-0000-0200-00000B000000}"/>
    <hyperlink ref="G8" r:id="rId13" xr:uid="{00000000-0004-0000-0200-00000C000000}"/>
    <hyperlink ref="U8" r:id="rId14" xr:uid="{00000000-0004-0000-0200-00000D000000}"/>
    <hyperlink ref="V8" r:id="rId15" xr:uid="{00000000-0004-0000-0200-00000E000000}"/>
    <hyperlink ref="L10" r:id="rId16" xr:uid="{00000000-0004-0000-0200-00000F000000}"/>
    <hyperlink ref="M10" r:id="rId17" xr:uid="{00000000-0004-0000-0200-000010000000}"/>
    <hyperlink ref="U10" r:id="rId18" xr:uid="{00000000-0004-0000-0200-000011000000}"/>
    <hyperlink ref="V10" r:id="rId19" xr:uid="{00000000-0004-0000-0200-000012000000}"/>
    <hyperlink ref="U11" r:id="rId20" xr:uid="{00000000-0004-0000-0200-000013000000}"/>
    <hyperlink ref="V11" r:id="rId21" xr:uid="{00000000-0004-0000-0200-000014000000}"/>
    <hyperlink ref="U13" r:id="rId22" xr:uid="{00000000-0004-0000-0200-000015000000}"/>
    <hyperlink ref="V13" r:id="rId23" xr:uid="{00000000-0004-0000-0200-000016000000}"/>
    <hyperlink ref="U14" r:id="rId24" xr:uid="{00000000-0004-0000-0200-000017000000}"/>
    <hyperlink ref="V14" r:id="rId25" xr:uid="{00000000-0004-0000-0200-000018000000}"/>
    <hyperlink ref="U15" r:id="rId26" xr:uid="{00000000-0004-0000-0200-000019000000}"/>
    <hyperlink ref="V15" r:id="rId27" xr:uid="{00000000-0004-0000-0200-00001A000000}"/>
    <hyperlink ref="U18" r:id="rId28" xr:uid="{00000000-0004-0000-0200-00001B000000}"/>
    <hyperlink ref="V18" r:id="rId29" xr:uid="{00000000-0004-0000-0200-00001C000000}"/>
    <hyperlink ref="U20" r:id="rId30" xr:uid="{00000000-0004-0000-0200-00001D000000}"/>
    <hyperlink ref="U25" r:id="rId31" xr:uid="{00000000-0004-0000-0200-00001E000000}"/>
    <hyperlink ref="U27" r:id="rId32" xr:uid="{00000000-0004-0000-0200-00001F000000}"/>
    <hyperlink ref="U33" r:id="rId33" xr:uid="{00000000-0004-0000-0200-000020000000}"/>
    <hyperlink ref="V33" r:id="rId34" xr:uid="{00000000-0004-0000-0200-000021000000}"/>
    <hyperlink ref="U34" r:id="rId35" xr:uid="{00000000-0004-0000-0200-000022000000}"/>
    <hyperlink ref="V34" r:id="rId36" xr:uid="{00000000-0004-0000-0200-000023000000}"/>
    <hyperlink ref="U38" r:id="rId37" xr:uid="{00000000-0004-0000-0200-000024000000}"/>
    <hyperlink ref="V38" r:id="rId38" xr:uid="{00000000-0004-0000-0200-000025000000}"/>
    <hyperlink ref="Q42" r:id="rId39" xr:uid="{00000000-0004-0000-0200-000026000000}"/>
    <hyperlink ref="Q43" r:id="rId40" xr:uid="{00000000-0004-0000-0200-000027000000}"/>
    <hyperlink ref="Q44" r:id="rId41" xr:uid="{00000000-0004-0000-0200-000028000000}"/>
    <hyperlink ref="Q45" r:id="rId42" xr:uid="{00000000-0004-0000-0200-000029000000}"/>
    <hyperlink ref="Q46" r:id="rId43" xr:uid="{00000000-0004-0000-0200-00002A000000}"/>
    <hyperlink ref="Q47" r:id="rId44" xr:uid="{00000000-0004-0000-0200-00002B000000}"/>
    <hyperlink ref="Q48" r:id="rId45" xr:uid="{00000000-0004-0000-0200-00002C000000}"/>
    <hyperlink ref="Q49" r:id="rId46" xr:uid="{00000000-0004-0000-0200-00002D000000}"/>
    <hyperlink ref="Q50" r:id="rId47" xr:uid="{00000000-0004-0000-0200-00002E000000}"/>
    <hyperlink ref="Q51" r:id="rId48" xr:uid="{00000000-0004-0000-0200-00002F000000}"/>
  </hyperlinks>
  <pageMargins left="0.75" right="0.75" top="1" bottom="1" header="0.5" footer="0.5"/>
  <legacyDrawing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57</vt:i4>
      </vt:variant>
    </vt:vector>
  </HeadingPairs>
  <TitlesOfParts>
    <vt:vector size="60" baseType="lpstr">
      <vt:lpstr>Cover Page</vt:lpstr>
      <vt:lpstr>3 Statement Model</vt:lpstr>
      <vt:lpstr>DCF Model</vt:lpstr>
      <vt:lpstr>ASSUM_APDays_Start</vt:lpstr>
      <vt:lpstr>ASSUM_ARDays_Start</vt:lpstr>
      <vt:lpstr>ASSUM_Capex_Start</vt:lpstr>
      <vt:lpstr>ASSUM_COGSPct_Start</vt:lpstr>
      <vt:lpstr>ASSUM_DAPctPPE_Start</vt:lpstr>
      <vt:lpstr>ASSUM_DebtIssuance_Start</vt:lpstr>
      <vt:lpstr>ASSUM_EquityIssuance_Start</vt:lpstr>
      <vt:lpstr>ASSUM_IntPct_Start</vt:lpstr>
      <vt:lpstr>ASSUM_InvDays_Start</vt:lpstr>
      <vt:lpstr>ASSUM_RD_Start</vt:lpstr>
      <vt:lpstr>ASSUM_RevGrowth_Start</vt:lpstr>
      <vt:lpstr>ASSUM_SGA_Start</vt:lpstr>
      <vt:lpstr>ASSUM_TaxRate_Start</vt:lpstr>
      <vt:lpstr>BS_AP_Start</vt:lpstr>
      <vt:lpstr>BS_AR_Start</vt:lpstr>
      <vt:lpstr>BS_Cash_Start</vt:lpstr>
      <vt:lpstr>BS_Debt_Start</vt:lpstr>
      <vt:lpstr>BS_EquityCapital_Start</vt:lpstr>
      <vt:lpstr>BS_Inventory_Start</vt:lpstr>
      <vt:lpstr>BS_PPE_Start</vt:lpstr>
      <vt:lpstr>BS_RE_Start</vt:lpstr>
      <vt:lpstr>CF_Capex_Start</vt:lpstr>
      <vt:lpstr>CF_DebtIssuance_Start</vt:lpstr>
      <vt:lpstr>CF_DeltaNWC_Start</vt:lpstr>
      <vt:lpstr>CF_EquityIssuance_Start</vt:lpstr>
      <vt:lpstr>CF_OpeningCash_FY1</vt:lpstr>
      <vt:lpstr>DCF_Cash</vt:lpstr>
      <vt:lpstr>DCF_Debt</vt:lpstr>
      <vt:lpstr>DCF_ExitMultiple</vt:lpstr>
      <vt:lpstr>DCF_FiscalYearEnd</vt:lpstr>
      <vt:lpstr>DCF_PerpetualGrowth</vt:lpstr>
      <vt:lpstr>DCF_SharePrice</vt:lpstr>
      <vt:lpstr>DCF_Shares</vt:lpstr>
      <vt:lpstr>DCF_TaxRate</vt:lpstr>
      <vt:lpstr>DCF_TransactionDate</vt:lpstr>
      <vt:lpstr>DCF_WACC</vt:lpstr>
      <vt:lpstr>IS_BaseYear</vt:lpstr>
      <vt:lpstr>IS_COGS_FY1</vt:lpstr>
      <vt:lpstr>IS_COGS_FY2</vt:lpstr>
      <vt:lpstr>IS_COGS_FY3</vt:lpstr>
      <vt:lpstr>IS_COGS_FY4</vt:lpstr>
      <vt:lpstr>IS_COGS_FY5</vt:lpstr>
      <vt:lpstr>IS_COGS_Start</vt:lpstr>
      <vt:lpstr>IS_DA_Start</vt:lpstr>
      <vt:lpstr>IS_Interest_Start</vt:lpstr>
      <vt:lpstr>IS_RD_Start</vt:lpstr>
      <vt:lpstr>IS_Revenue_FY1</vt:lpstr>
      <vt:lpstr>IS_Revenue_FY2</vt:lpstr>
      <vt:lpstr>IS_Revenue_FY3</vt:lpstr>
      <vt:lpstr>IS_Revenue_FY4</vt:lpstr>
      <vt:lpstr>IS_Revenue_FY5</vt:lpstr>
      <vt:lpstr>IS_Revenue_Start</vt:lpstr>
      <vt:lpstr>IS_SGA_Start</vt:lpstr>
      <vt:lpstr>IS_Tax_Start</vt:lpstr>
      <vt:lpstr>'3 Statement Model'!Print_Area</vt:lpstr>
      <vt:lpstr>'Cover Page'!Print_Area</vt:lpstr>
      <vt:lpstr>'3 Statement Model'!Print_Titles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Vipond</dc:creator>
  <cp:lastModifiedBy>Christian Gardner</cp:lastModifiedBy>
  <cp:lastPrinted>2014-12-13T23:43:21Z</cp:lastPrinted>
  <dcterms:created xsi:type="dcterms:W3CDTF">2014-11-08T22:00:02Z</dcterms:created>
  <dcterms:modified xsi:type="dcterms:W3CDTF">2026-08-14T14:06:19Z</dcterms:modified>
</cp:coreProperties>
</file>