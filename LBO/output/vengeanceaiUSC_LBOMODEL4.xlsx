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s>
  <fills count="21">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t="inlineStr">
        <is>
          <t>LBO Working Capital Major Variables (col O): AR% (C25), Deferred% (C26), AI AR cut (C13), EOP NWC, CF ΔNWC. AP/Other CA = not major.</t>
        </is>
      </c>
      <c r="D29" t="inlineStr">
        <is>
          <t>See LBO!O75:O86 and LBO!O119</t>
        </is>
      </c>
      <c r="F29" t="inlineStr">
        <is>
          <t>LBO</t>
        </is>
      </c>
      <c r="G29"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2" customWidth="1" style="408" min="12" max="12"/>
    <col width="55" customWidth="1" style="408" min="13" max="13"/>
    <col width="36" customWidth="1" style="408" min="14" max="14"/>
    <col width="38" customWidth="1" style="409" min="15" max="15"/>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SOURCE (click) — Assess + how number enters</t>
        </is>
      </c>
      <c r="M63" s="558" t="inlineStr">
        <is>
          <t>VERBATIM Ctrl+F + EQ derivation (how the % was calculated)</t>
        </is>
      </c>
      <c r="N63" s="558" t="inlineStr">
        <is>
          <t>WHY REASONABLE (≤30 words) — where the number came from</t>
        </is>
      </c>
    </row>
    <row r="64" ht="15" customHeight="1" s="409">
      <c r="B64" s="555" t="inlineStr">
        <is>
          <t>Growth rates &amp; margins</t>
        </is>
      </c>
      <c r="F64" s="515" t="n"/>
      <c r="K64" s="559" t="inlineStr">
        <is>
          <t>Step</t>
        </is>
      </c>
      <c r="L64" s="560" t="inlineStr">
        <is>
          <t>Growth rates &amp; margins — each forecast % must show source quote + arithmetic (EQ)</t>
        </is>
      </c>
    </row>
    <row r="65" ht="75"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563">
        <f>HYPERLINK("https://www.sec.gov/Archives/edgar/data/1794515/000179451526000012/zi-20251231.htm","REASONABLE: ZI FY25 10-K — Drivers C5=+5% (rounded CAGR, not raw +3%)")</f>
        <v/>
      </c>
      <c r="M65" s="564" t="inlineStr">
        <is>
          <t>Ctrl+F: Revenue was $1,249.5 million for the year ended December 31, 2025, an increase of $35.2 million, or 3%
EQ: FY22 rev $1,098.0 → FY25 $1,249.5; CAGR=(1249.5/1098)^(1/3)−1≈4.4% → Drivers C5 rounds to +5%. LBO F65:J65 = Assumptions_Drivers!$C$5.</t>
        </is>
      </c>
      <c r="N65" s="564" t="inlineStr">
        <is>
          <t>10-K shows FY25 +3% ($35.2m). Model uses +5% = rounded 2022–25 CAGR (~4.4%), via Drivers C5 linked here.</t>
        </is>
      </c>
    </row>
    <row r="66" ht="75"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563">
        <f>HYPERLINK("https://www.getaleph.com/answers/saas-gross-margin-2026","REASONABLE: Aleph × Benchmarkit — median GM 80% → Drivers C6")</f>
        <v/>
      </c>
      <c r="M66" s="564" t="inlineStr">
        <is>
          <t>Ctrl+F: The 2025 median software gross margin is 80%
EQ: Drivers C6 = 80% exactly from that median sentence. LBO F66:J66 = Assumptions_Drivers!$C$6. (ZI GAAP GM ~84% is NOT the driver.)</t>
        </is>
      </c>
      <c r="N66" s="564" t="inlineStr">
        <is>
          <t>Aleph’s verbatim median is 80%. That 80% is Drivers C6 and feeds every forecast GM cell here.</t>
        </is>
      </c>
    </row>
    <row r="67" ht="75"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563">
        <f>HYPERLINK("https://www.sec.gov/Archives/edgar/data/1794515/000179451525000045/zi-20241231.htm","REASONABLE: ZI FY24 10-K — R&amp;D $196.1m / Rev $1,214.3m ≈16.15%")</f>
        <v/>
      </c>
      <c r="M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N67" s="564" t="inlineStr">
        <is>
          <t>Ratio from FY24 R&amp;D $196.1m ÷ sales $1,214.3m. Forecast keeps that % by scaling R&amp;D with +5% revenue in AI_Operating.</t>
        </is>
      </c>
    </row>
    <row r="68" ht="75"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563">
        <f>HYPERLINK("https://www.digitalapplied.com/blog/ai-sdr-statistics-2026-outbound-sales-data-points","REASONABLE: Built %, not one page — 18% SDR cut (Digital Applied) + G&amp;A 18% (Blossom) + $24.5m AI")</f>
        <v/>
      </c>
      <c r="M68" s="564" t="inlineStr">
        <is>
          <t>Ctrl+F (Digital Applied): Net SDR headcount in US B2B SaaS companies is down 18% YoY
Ctrl+F (Blossom, Drivers E11): G&amp;A was 18%
EQ: SG&amp;A% = (S&amp;M_human + AI_infra $24.5m + G&amp;A)/Revenue from AI_Operating. S&amp;M_human = FY24 $414.1m×(1−18%); G&amp;A = 18%×Revenue.</t>
        </is>
      </c>
      <c r="N68" s="564" t="inlineStr">
        <is>
          <t>No single “SG&amp;A%” quote. % = AI_Operating (cut S&amp;M 18%, +$24.5m AI, G&amp;A 18% of sales) ÷ revenue.</t>
        </is>
      </c>
    </row>
    <row r="69" ht="75"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563">
        <f>HYPERLINK("https://taxsummaries.pwc.com/united-states/corporate/taxes-on-corporate-income","REASONABLE: PwC — flat 21% → Drivers C19")</f>
        <v/>
      </c>
      <c r="M69" s="564" t="inlineStr">
        <is>
          <t>Ctrl+F: The United States taxes resident corporations at a flat rate of 21%
EQ: Drivers C19 = 21% from that sentence. LBO F69:J69 = Assumptions_Drivers!$C$19.</t>
        </is>
      </c>
      <c r="N69" s="564" t="inlineStr">
        <is>
          <t>PwC’s flat 21% is copied into Drivers C19; this tax row is a direct link to that cell.</t>
        </is>
      </c>
    </row>
    <row r="70" ht="75"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567">
        <f>HYPERLINK("https://www.sec.gov/Archives/edgar/data/1794515/000179451526000012/zi-20251231.htm","CAUTION — Drivers C29: FY25 SBC $116.2m ÷ opex $824.2m = 14.1%; LBO $ = %×opex")</f>
        <v/>
      </c>
      <c r="M70" s="568" t="inlineStr">
        <is>
          <t>Ctrl+F: Total equity-based compensation expense $ 116.2
Ctrl+F: Total operating expenses $ 824.2
EQ: Drivers C29=116.2÷824.2=14.1%. LBO F70:J70=Assumptions_Drivers!$C$29. SBC $=F70×(|F43|+|F45|+|F46|); CF F118=F60.</t>
        </is>
      </c>
      <c r="N70" s="568" t="inlineStr">
        <is>
          <t>Single source: Drivers C29. 14.1% from FY25 10-K; LBO $ and CF rows now formula-linked.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28" customHeight="1" s="409">
      <c r="B75" s="500" t="n"/>
      <c r="C75" s="569" t="n"/>
      <c r="D75" s="569" t="n"/>
      <c r="E75" s="569" t="n"/>
      <c r="F75" s="569" t="n"/>
      <c r="G75" s="569" t="n"/>
      <c r="H75" s="569" t="n"/>
      <c r="I75" s="569" t="n"/>
      <c r="J75" s="569" t="n"/>
      <c r="L75" s="558" t="inlineStr">
        <is>
          <t>SOURCE (click) — Assess + how number enters</t>
        </is>
      </c>
      <c r="M75" s="558" t="inlineStr">
        <is>
          <t>VERBATIM Ctrl+F + EQ derivation</t>
        </is>
      </c>
      <c r="N75" s="558" t="inlineStr">
        <is>
          <t>WHY REASONABLE (≤30 words)</t>
        </is>
      </c>
      <c r="O75" s="558" t="inlineStr">
        <is>
          <t>Major Variable</t>
        </is>
      </c>
    </row>
    <row r="76" ht="70" customHeight="1" s="409">
      <c r="B76" s="557" t="inlineStr">
        <is>
          <t>Accounts receivable, EOP</t>
        </is>
      </c>
      <c r="C76" s="572" t="n"/>
      <c r="D76" s="573" t="n">
        <v>484.8</v>
      </c>
      <c r="E76" s="573" t="n">
        <v>443.7</v>
      </c>
      <c r="F76" s="614">
        <f>F77*F42</f>
        <v/>
      </c>
      <c r="G76" s="614">
        <f>G77*G42</f>
        <v/>
      </c>
      <c r="H76" s="614">
        <f>H77*H42</f>
        <v/>
      </c>
      <c r="I76" s="614">
        <f>I77*I42</f>
        <v/>
      </c>
      <c r="J76" s="614">
        <f>J77*J42</f>
        <v/>
      </c>
      <c r="L76" s="563">
        <f>HYPERLINK("https://www.sec.gov/Archives/edgar/data/1794515/000179451525000045/zi-20241231.htm","REASONABLE: EOP AR = Drivers C25 × Revenue (stock from intensity)")</f>
        <v/>
      </c>
      <c r="M76" s="564" t="inlineStr">
        <is>
          <t>Ctrl+F: Accounts receivable, net | 246.1
EQ: F76=F77×F42. F77=Assumptions_Drivers!$C$25 (59/365). AI FCF uses ΔAR=ΔRev×C25×(1−C13), not this EOP alone.</t>
        </is>
      </c>
      <c r="N76" s="564" t="inlineStr">
        <is>
          <t>EOP AR rebuilt as intensity×sales so the BS tracks Drivers. Live debt-sweep cash uses AI_Operating ΔAR, not BMC AR.</t>
        </is>
      </c>
      <c r="O76" s="810" t="inlineStr">
        <is>
          <t>YES — AR drives ΔAR cash use in FCF → debt paydown / IRR</t>
        </is>
      </c>
    </row>
    <row r="77" ht="70"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563">
        <f>HYPERLINK("https://getfairview.com/blog/working-capital-management-saas","REASONABLE: Fairview median DSO 59d → C25=59/365≈16.2%")</f>
        <v/>
      </c>
      <c r="M77" s="564" t="inlineStr">
        <is>
          <t>Ctrl+F: Median B2B SaaS DSO is 59 days
EQ: Assumptions_Drivers!C25=59/365≈16.164%. LBO F77:J77=Assumptions_Drivers!$C$25. AI also applies C13=10% cut on ΔAR only.</t>
        </is>
      </c>
      <c r="N77" s="564" t="inlineStr">
        <is>
          <t>Fairview’s 59-day median becomes 16.2% AR intensity in Drivers C25; that cell feeds every forecast AR% here.</t>
        </is>
      </c>
      <c r="O77" s="810" t="inlineStr">
        <is>
          <t>YES — primary AR/% assumption; pairs with C13 DSO cut</t>
        </is>
      </c>
    </row>
    <row r="78" ht="70" customHeight="1" s="409">
      <c r="B78" s="557" t="inlineStr">
        <is>
          <t>Other current assets, EOP</t>
        </is>
      </c>
      <c r="C78" s="572" t="n"/>
      <c r="D78" s="573" t="n">
        <v>195.1</v>
      </c>
      <c r="E78" s="573" t="n">
        <v>213.1</v>
      </c>
      <c r="F78" s="614">
        <f>F79*F42</f>
        <v/>
      </c>
      <c r="G78" s="614">
        <f>G79*G42</f>
        <v/>
      </c>
      <c r="H78" s="614">
        <f>H79*H42</f>
        <v/>
      </c>
      <c r="I78" s="614">
        <f>I79*I42</f>
        <v/>
      </c>
      <c r="J78" s="614">
        <f>J79*J42</f>
        <v/>
      </c>
      <c r="L78" s="567">
        <f>HYPERLINK("https://www.sec.gov/Archives/edgar/data/1794515/000179451525000045/zi-20241231.htm","CAUTION — not a Driver: other CA held at FY24 % of sales")</f>
        <v/>
      </c>
      <c r="M78" s="568" t="inlineStr">
        <is>
          <t>Ctrl+F: Prepaid expenses and other current assets (ZI BS)
EQ: Hold E79≈9.7% of sales flat; F78=F79×F42. Not in AI_Operating ΔNWC math (ΔNWC≈ΔAR−ΔDeferred only).</t>
        </is>
      </c>
      <c r="N78" s="568" t="inlineStr">
        <is>
          <t>No yellow Driver for other CA. Held flat vs last hist %. Excluded from core AI ΔNWC used in FCF.</t>
        </is>
      </c>
      <c r="O78" s="811" t="inlineStr">
        <is>
          <t>NO — not in AI ΔNWC; immaterial to LBO FCF/IRR</t>
        </is>
      </c>
    </row>
    <row r="79" ht="70"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567">
        <f>HYPERLINK("https://www.sec.gov/Archives/edgar/data/1794515/000179451525000045/zi-20241231.htm","CAUTION — not a Driver: other CA % held flat")</f>
        <v/>
      </c>
      <c r="M79" s="568" t="inlineStr">
        <is>
          <t>EQ: F79:J79 = E79 (last hist %). Not Assumptions_Drivers. Core model ignores other CA in ΔNWC.</t>
        </is>
      </c>
      <c r="N79" s="568" t="inlineStr">
        <is>
          <t>Placeholder ratio only. Changing it does not move AI_Operating FCF or debt sweep.</t>
        </is>
      </c>
      <c r="O79" s="811" t="inlineStr">
        <is>
          <t>NO — non-core; no Drivers link</t>
        </is>
      </c>
    </row>
    <row r="80" ht="70" customHeight="1" s="409">
      <c r="B80" s="557" t="inlineStr">
        <is>
          <t>Accounts payable, EOP</t>
        </is>
      </c>
      <c r="C80" s="572" t="n"/>
      <c r="D80" s="573" t="n">
        <v>32.7</v>
      </c>
      <c r="E80" s="573" t="n">
        <v>42.1</v>
      </c>
      <c r="F80" s="614">
        <f>F81*(-F43)</f>
        <v/>
      </c>
      <c r="G80" s="614">
        <f>G81*(-G43)</f>
        <v/>
      </c>
      <c r="H80" s="614">
        <f>H81*(-H43)</f>
        <v/>
      </c>
      <c r="I80" s="614">
        <f>I81*(-I43)</f>
        <v/>
      </c>
      <c r="J80" s="614">
        <f>J81*(-J43)</f>
        <v/>
      </c>
      <c r="L80" s="567">
        <f>HYPERLINK("https://www.sec.gov/Archives/edgar/data/1794515/000179451525000045/zi-20241231.htm","CAUTION — ZI AP only $16.6m; hold hist AP/COGS %")</f>
        <v/>
      </c>
      <c r="M80" s="568" t="inlineStr">
        <is>
          <t>Ctrl+F: Accounts payable | $16.6
EQ: F81 held at E81; F80=F81×|COGS|. SaaS AP is tiny vs deferred revenue; not a Drivers lever.</t>
        </is>
      </c>
      <c r="N80" s="568" t="inlineStr">
        <is>
          <t>ZI FY24 AP was $16.6m — small. Held hist AP/COGS %. Not a core LBO cash lever vs deferred/AR.</t>
        </is>
      </c>
      <c r="O80" s="811" t="inlineStr">
        <is>
          <t>NO — small SaaS AP; weak FCF/IRR sensitivity</t>
        </is>
      </c>
    </row>
    <row r="81" ht="70"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567">
        <f>HYPERLINK("https://www.sec.gov/Archives/edgar/data/1794515/000179451525000045/zi-20241231.htm","CAUTION — not a Driver: AP/COGS % held flat")</f>
        <v/>
      </c>
      <c r="M81" s="568" t="inlineStr">
        <is>
          <t>Ctrl+F: Accounts payable | $16.6
EQ: F81:J81 = E81. No Assumptions_Drivers cell for DPO/AP%.</t>
        </is>
      </c>
      <c r="N81" s="568" t="inlineStr">
        <is>
          <t>AP% is residual hist, not a sourced Driver. Core NWC thesis is AR + deferred, not payables.</t>
        </is>
      </c>
      <c r="O81" s="811" t="inlineStr">
        <is>
          <t>NO — not a Drivers assumption</t>
        </is>
      </c>
    </row>
    <row r="82" ht="70"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563">
        <f>HYPERLINK("https://www.sec.gov/Archives/edgar/data/1794515/000179451525000045/zi-20241231.htm","REASONABLE: EOP deferred/accrued ≈ Drivers C26 × Revenue")</f>
        <v/>
      </c>
      <c r="M82" s="564" t="inlineStr">
        <is>
          <t>Ctrl+F: we had unearned revenue of $477.9 million, of which $473.8 million was recorded as a current liability
EQ: F82=F83×F42; F83=Assumptions_Drivers!$C$26. ΔDeferred≈C26×ΔRev is the cash-source leg of AI ΔNWC.</t>
        </is>
      </c>
      <c r="N82" s="564" t="inlineStr">
        <is>
          <t>EOP deferred rebuilt from Drivers 39% so BS matches the unearned-revenue cash source in FCF math.</t>
        </is>
      </c>
      <c r="O82" s="810" t="inlineStr">
        <is>
          <t>YES — deferred revenue is the largest SaaS NWC cash source</t>
        </is>
      </c>
    </row>
    <row r="83" ht="70"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563">
        <f>HYPERLINK("https://www.sec.gov/Archives/edgar/data/1794515/000179451525000045/zi-20241231.htm","REASONABLE: ZI FY24 unearned $473.8m / sales $1,214.3m → C26≈39%")</f>
        <v/>
      </c>
      <c r="M83" s="564" t="inlineStr">
        <is>
          <t>Ctrl+F: 473.8
Ctrl+F: Unearned revenue, current portion
EQ: Assumptions_Drivers!C26=473.8/1,214.3≈39.02%. LBO F83:J83=Assumptions_Drivers!$C$26.</t>
        </is>
      </c>
      <c r="N83" s="564" t="inlineStr">
        <is>
          <t>10-K current unearned $473.8m ÷ FY24 sales $1,214.3m = 39%. That exact ratio is Drivers C26.</t>
        </is>
      </c>
      <c r="O83" s="810" t="inlineStr">
        <is>
          <t>YES — sets ΔDeferred in ΔNWC ≈ ΔAR − ΔDeferred</t>
        </is>
      </c>
    </row>
    <row r="84" ht="15" customHeight="1" s="409">
      <c r="B84" s="574" t="n"/>
      <c r="C84" s="522" t="n"/>
      <c r="D84" s="522" t="n"/>
      <c r="E84" s="522" t="n"/>
    </row>
    <row r="85" ht="70"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563">
        <f>HYPERLINK("https://getfairview.com/blog/working-capital-management-saas","REASONABLE: EOP NWC = AR+OCA−AP−Deferred; FCF uses AI ΔNWC")</f>
        <v/>
      </c>
      <c r="M85" s="564" t="inlineStr">
        <is>
          <t>EQ: F85=F76+F78−F80−F82. Core LBO/DCF cash: AI_Operating ΔNWC≈ΔAR−ΔDeferred with ΔAR=ΔRev×C25×(1−C13), ΔDef=ΔRev×C26. CF row F119=AI_Operating ΔNWC.</t>
        </is>
      </c>
      <c r="N85" s="564" t="inlineStr">
        <is>
          <t>EOP NWC is the BS rollup. Deal cash and debt sweep follow AI_Operating ΔNWC from Drivers C13/C25/C26.</t>
        </is>
      </c>
      <c r="O85" s="810" t="inlineStr">
        <is>
          <t>YES — ΔNWC hits FCF, debt sweep, MOIC/IRR</t>
        </is>
      </c>
    </row>
    <row r="86" ht="55" customHeight="1" s="409">
      <c r="B86" s="408" t="inlineStr">
        <is>
          <t>AI AR improvement (Drivers C13) — applies in AI_Operating ΔNWC</t>
        </is>
      </c>
      <c r="D86" s="516" t="n"/>
      <c r="E86" s="516" t="n"/>
      <c r="F86" s="510" t="n"/>
      <c r="G86" s="510" t="n"/>
      <c r="H86" s="510" t="n"/>
      <c r="I86" s="510" t="n"/>
      <c r="J86" s="510" t="n"/>
      <c r="L86" s="563">
        <f>HYPERLINK("https://getfairview.com/blog/working-capital-management-saas","RELATED Drivers C13: 10% AR/DSO improvement — MAJOR AI lever")</f>
        <v/>
      </c>
      <c r="M86" s="564" t="inlineStr">
        <is>
          <t>Ctrl+F: Median B2B SaaS DSO is 59 days
EQ: Drivers C13=10%. Model story: ~6/59≈10% DSO cut → ΔAR_AI=ΔRev×C25×(1−0.10). Applies to AI_Operating only (not Base).</t>
        </is>
      </c>
      <c r="N86" s="564" t="inlineStr">
        <is>
          <t>10% cuts ΔAR only (not whole NWC). With deferred still at 39%, net ΔNWC stays a cash source.</t>
        </is>
      </c>
      <c r="O86" s="812" t="inlineStr">
        <is>
          <t>YES — AI case lever vs Base; lifts FCF/debt paydown</t>
        </is>
      </c>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15"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05" t="inlineStr">
        <is>
          <t>ΔNWC in CF now = AI_Operating (Drivers C13/C25/C26). This is the cash line that feeds debt sweep — not the old BMC WC delta.</t>
        </is>
      </c>
      <c r="O119" s="813" t="inlineStr">
        <is>
          <t>YES — CF ΔNWC is a core LBO cash variable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2026-08-16T15:57:38Z</dcterms:modified>
  <cp:revision>0</cp:revision>
</cp:coreProperties>
</file>