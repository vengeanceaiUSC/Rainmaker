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100">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
      <color rgb="00C00000"/>
      <sz val="9"/>
    </font>
    <font>
      <b val="1"/>
      <color rgb="001F4E79"/>
    </font>
    <font>
      <i val="1"/>
      <color rgb="00808080"/>
    </font>
    <font>
      <b val="1"/>
      <color rgb="00C00000"/>
      <sz val="10"/>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xf numFmtId="0" fontId="93" fillId="0" borderId="0" applyAlignment="1" pivotButton="0" quotePrefix="0" xfId="0">
      <alignment horizontal="right"/>
    </xf>
    <xf numFmtId="0" fontId="92" fillId="0" borderId="0" applyAlignment="1" pivotButton="0" quotePrefix="0" xfId="0">
      <alignment horizontal="left" vertical="bottom" indent="1"/>
    </xf>
    <xf numFmtId="0" fontId="79" fillId="0" borderId="16" applyAlignment="1" pivotButton="0" quotePrefix="0" xfId="0">
      <alignment vertical="center" wrapText="1"/>
    </xf>
    <xf numFmtId="2" fontId="0" fillId="0" borderId="0" applyAlignment="1" pivotButton="0" quotePrefix="0" xfId="0">
      <alignment horizontal="center" vertical="bottom"/>
    </xf>
    <xf numFmtId="0" fontId="64" fillId="0" borderId="0" applyAlignment="1" pivotButton="0" quotePrefix="0" xfId="0">
      <alignment wrapText="1"/>
    </xf>
    <xf numFmtId="0" fontId="96" fillId="0" borderId="0" applyAlignment="1" pivotButton="0" quotePrefix="0" xfId="0">
      <alignment wrapText="1"/>
    </xf>
    <xf numFmtId="0" fontId="95" fillId="0" borderId="0" applyAlignment="1" pivotButton="0" quotePrefix="0" xfId="0">
      <alignment wrapText="1"/>
    </xf>
    <xf numFmtId="0" fontId="96" fillId="26" borderId="21" applyAlignment="1" pivotButton="0" quotePrefix="0" xfId="0">
      <alignment wrapText="1"/>
    </xf>
    <xf numFmtId="0" fontId="99" fillId="0" borderId="0" pivotButton="0" quotePrefix="0" xfId="0"/>
    <xf numFmtId="164" fontId="33" fillId="0" borderId="17" applyAlignment="1" pivotButton="0" quotePrefix="0" xfId="0">
      <alignment horizontal="left" vertical="bottom"/>
    </xf>
    <xf numFmtId="0" fontId="64" fillId="0" borderId="0" applyAlignment="1" pivotButton="0" quotePrefix="0" xfId="0">
      <alignment horizontal="center" vertical="bottom"/>
    </xf>
    <xf numFmtId="164" fontId="97" fillId="0" borderId="0" applyAlignment="1" pivotButton="0" quotePrefix="0" xfId="0">
      <alignment horizontal="general" vertical="bottom"/>
    </xf>
    <xf numFmtId="0" fontId="79" fillId="17" borderId="0" applyAlignment="1" pivotButton="0" quotePrefix="0" xfId="0">
      <alignment wrapText="1"/>
    </xf>
    <xf numFmtId="177" fontId="98" fillId="0" borderId="0" applyAlignment="1" pivotButton="0" quotePrefix="0" xfId="0">
      <alignment horizontal="general" vertical="bottom"/>
    </xf>
    <xf numFmtId="0" fontId="64" fillId="0" borderId="0" applyAlignment="1" pivotButton="0" quotePrefix="0" xfId="0">
      <alignment horizontal="right" vertical="center" wrapText="1"/>
    </xf>
    <xf numFmtId="0" fontId="95" fillId="0" borderId="0" pivotButton="0" quotePrefix="0" xfId="0"/>
    <xf numFmtId="0" fontId="64" fillId="0" borderId="5"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f>Base_Operating!H13</f>
        <v/>
      </c>
      <c r="D33" s="456">
        <f>AI_Operating!H13</f>
        <v/>
      </c>
      <c r="E33" s="456" t="n">
        <v>136.45536591733</v>
      </c>
      <c r="F33" s="455" t="inlineStr">
        <is>
          <t>Year 5 EBITDA; AI-driven cost savings (with $34m AI infra) boosted this to $477.4m vs Base $212.2m.</t>
        </is>
      </c>
    </row>
    <row r="34" ht="42" customHeight="1" s="409">
      <c r="B34" s="448" t="inlineStr">
        <is>
          <t>Exit EV @ 12.9x ($m)</t>
        </is>
      </c>
      <c r="C34" s="456">
        <f>C33*C22</f>
        <v/>
      </c>
      <c r="D34" s="456">
        <f>D33*C22</f>
        <v/>
      </c>
      <c r="E34" s="456" t="n">
        <v>1760.27422033356</v>
      </c>
      <c r="F34" s="455" t="inlineStr">
        <is>
          <t>Projected exit EV; higher EBITDA from AI increased this valuation by $3,447.4m to $6,206.2m.</t>
        </is>
      </c>
    </row>
    <row r="35" ht="42" customHeight="1" s="409">
      <c r="B35" s="448" t="inlineStr">
        <is>
          <t>Exit net debt ($m)</t>
        </is>
      </c>
      <c r="C35" s="456">
        <f>Base_Operating!H24</f>
        <v/>
      </c>
      <c r="D35" s="456">
        <f>Debt_Sweep_AI!F9</f>
        <v/>
      </c>
      <c r="E35" s="456" t="n">
        <v>-480.779932020604</v>
      </c>
      <c r="F35" s="455" t="inlineStr">
        <is>
          <t>Remaining debt at exit; AI case $6.4m vs Base $487.1m.</t>
        </is>
      </c>
    </row>
    <row r="36" ht="42" customHeight="1" s="409">
      <c r="B36" s="448" t="inlineStr">
        <is>
          <t>Exit equity value ($m)</t>
        </is>
      </c>
      <c r="C36" s="456">
        <f>C34-C35</f>
        <v/>
      </c>
      <c r="D36" s="456">
        <f>D34-D35</f>
        <v/>
      </c>
      <c r="E36" s="456" t="n">
        <v>2241.05415235416</v>
      </c>
      <c r="F36" s="455" t="inlineStr">
        <is>
          <t>Total equity payout; AI strategy changed final payout by $2,241.1m to $4,102.8m (exit 12.9x).</t>
        </is>
      </c>
    </row>
    <row r="37" ht="42" customHeight="1" s="409">
      <c r="B37" s="448" t="inlineStr">
        <is>
          <t>MOIC</t>
        </is>
      </c>
      <c r="C37" s="457">
        <f>IF(C20=0,"NM",C36/C20)</f>
        <v/>
      </c>
      <c r="D37" s="457">
        <f>IF(C20=0,"NM",D36/C20)</f>
        <v/>
      </c>
      <c r="E37" s="457">
        <f>IF(OR(D37="NM",C37="NM"),"NM",D37-C37)</f>
        <v/>
      </c>
      <c r="F37" s="455" t="inlineStr">
        <is>
          <t>MOIC = Exit equity D36 ÷ sponsor equity C20 (~$1,884m). AI exit equity from EV@12.9x − Debt_Sweep_AI Y5 debt.</t>
        </is>
      </c>
    </row>
    <row r="38" ht="42" customHeight="1" s="409">
      <c r="B38" s="448" t="inlineStr">
        <is>
          <t>IRR</t>
        </is>
      </c>
      <c r="C38" s="454">
        <f>IF(OR(C37="NM",C37&lt;=0),"NM",C37^(1/5)-1)</f>
        <v/>
      </c>
      <c r="D38" s="454">
        <f>IF(OR(D37="NM",D37&lt;=0),"NM",D37^(1/5)-1)</f>
        <v/>
      </c>
      <c r="E38" s="454">
        <f>IF(OR(D38="NM",C38="NM"),"NM",D38-C38)</f>
        <v/>
      </c>
      <c r="F38" s="455" t="inlineStr">
        <is>
          <t>5-year IRR from Strategy_Summary exit equity (Debt_Sweep_AI path). Matches ~17% when exit net debt ≈ $6.4m.</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(D38) − Base IRR (C38) = IRR points from AI-driven S&amp;M reduction.</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52"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MIN(F162,$D$29*Assumptions_Drivers!$C$17)</f>
        <v/>
      </c>
      <c r="G163" s="515">
        <f>MIN(G162,$D$29*Assumptions_Drivers!$C$17)</f>
        <v/>
      </c>
      <c r="H163" s="515">
        <f>MIN(H162,$D$29*Assumptions_Drivers!$C$17)</f>
        <v/>
      </c>
      <c r="I163" s="515">
        <f>MIN(I162,$D$29*Assumptions_Drivers!$C$17)</f>
        <v/>
      </c>
      <c r="J163" s="515">
        <f>MIN(J162,$D$29*Assumptions_Drivers!$C$17)</f>
        <v/>
      </c>
      <c r="L163" s="904" t="inlineStr">
        <is>
          <t>FIXED: Mandatory amort = MIN(BOP, 1%×original) so repaid TLA does not create phantom mand that blocks TLB/Notes sweep.</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MIN(MAX(0,AI_Operating!D21-F163-F171)*Assumptions_Drivers!$C$18,MAX(0,F162-F163))</f>
        <v/>
      </c>
      <c r="G164" s="733">
        <f>MIN(MAX(0,AI_Operating!E21-G163-G171)*Assumptions_Drivers!$C$18,MAX(0,G162-G163))</f>
        <v/>
      </c>
      <c r="H164" s="733">
        <f>MIN(MAX(0,AI_Operating!F21-H163-H171)*Assumptions_Drivers!$C$18,MAX(0,H162-H163))</f>
        <v/>
      </c>
      <c r="I164" s="733">
        <f>MIN(MAX(0,AI_Operating!G21-I163-I171)*Assumptions_Drivers!$C$18,MAX(0,I162-I163))</f>
        <v/>
      </c>
      <c r="J164" s="733">
        <f>MIN(MAX(0,AI_Operating!H21-J163-J171)*Assumptions_Drivers!$C$18,MAX(0,J162-J163))</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MIN(F170,$D$30*Assumptions_Drivers!$C$17)</f>
        <v/>
      </c>
      <c r="G171" s="515">
        <f>MIN(G170,$D$30*Assumptions_Drivers!$C$17)</f>
        <v/>
      </c>
      <c r="H171" s="515">
        <f>MIN(H170,$D$30*Assumptions_Drivers!$C$17)</f>
        <v/>
      </c>
      <c r="I171" s="515">
        <f>MIN(I170,$D$30*Assumptions_Drivers!$C$17)</f>
        <v/>
      </c>
      <c r="J171" s="515">
        <f>MIN(J170,$D$30*Assumptions_Drivers!$C$17)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f>MIN(MAX(0,MAX(0,AI_Operating!D21-F163-F171)*Assumptions_Drivers!$C$18-F164),MAX(0,F170-F171))</f>
        <v/>
      </c>
      <c r="G172" s="515">
        <f>MIN(MAX(0,MAX(0,AI_Operating!E21-G163-G171)*Assumptions_Drivers!$C$18-G164),MAX(0,G170-G171))</f>
        <v/>
      </c>
      <c r="H172" s="515">
        <f>MIN(MAX(0,MAX(0,AI_Operating!F21-H163-H171)*Assumptions_Drivers!$C$18-H164),MAX(0,H170-H171))</f>
        <v/>
      </c>
      <c r="I172" s="515">
        <f>MIN(MAX(0,MAX(0,AI_Operating!G21-I163-I171)*Assumptions_Drivers!$C$18-I164),MAX(0,I170-I171))</f>
        <v/>
      </c>
      <c r="J172" s="515">
        <f>MIN(MAX(0,MAX(0,AI_Operating!H21-J163-J171)*Assumptions_Drivers!$C$18-J164),MAX(0,J170-J171))</f>
        <v/>
      </c>
      <c r="L172" s="902" t="inlineStr">
        <is>
          <t>FIXED: TLB/Notes now receive residual cash sweep after TLA is repaid (was $0 TLB sweep + bullet Notes → Y5 debt stuck ~$394m). Aligns with Debt_Sweep_AI 100% FCF sweep → ~$6m exit debt / ~17% IRR.</t>
        </is>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MAX(0,F178-F179-MIN(MAX(0,MAX(0,AI_Operating!D21-F163-F171)*Assumptions_Drivers!$C$18-F164-F172),F178))</f>
        <v/>
      </c>
      <c r="G180" s="614">
        <f>MAX(0,G178-G179-MIN(MAX(0,MAX(0,AI_Operating!E21-G163-G171)*Assumptions_Drivers!$C$18-G164-G172),G178))</f>
        <v/>
      </c>
      <c r="H180" s="614">
        <f>MAX(0,H178-H179-MIN(MAX(0,MAX(0,AI_Operating!F21-H163-H171)*Assumptions_Drivers!$C$18-H164-H172),H178))</f>
        <v/>
      </c>
      <c r="I180" s="614">
        <f>MAX(0,I178-I179-MIN(MAX(0,MAX(0,AI_Operating!G21-I163-I171)*Assumptions_Drivers!$C$18-I164-I172),I178))</f>
        <v/>
      </c>
      <c r="J180" s="614">
        <f>MAX(0,J178-J179-MIN(MAX(0,MAX(0,AI_Operating!H21-J163-J171)*Assumptions_Drivers!$C$18-J164-J172),J178))</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900">
        <f>H230/$D$35</f>
        <v/>
      </c>
      <c r="J275" s="640">
        <f>IF(OR(I275="NM",I275&lt;=0),"NM",I275^(1/5)-1)</f>
        <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78" customHeight="1" s="409">
      <c r="B279" s="882" t="inlineStr">
        <is>
          <t>MATH CHECK (corrected): Strategy_Summary ~17% was RIGHT. Debt_Sweep_AI exit debt ≈ $6.4m → exit equity ≈ $4,103m → IRR ~17%. LBO Cash &amp; Debt was wrong: TLB sweep $0, Notes never swept, and mand still charged after TLA repaid — that left ~$394m debt and a false ~14.5% IRR, which made 15% max offer ($1,519m) look &lt; current $1,556m. Sweep now TLA→TLB→Notes; mand capped at BOP. Live C281/J275 ≈17%; 15% max offer &gt; current offer.</t>
        </is>
      </c>
      <c r="C279" s="648" t="n"/>
      <c r="D279" s="648" t="n"/>
      <c r="E279" s="649" t="n"/>
      <c r="F279" s="648" t="n"/>
      <c r="G279" s="648" t="n"/>
      <c r="H279" s="648" t="n"/>
    </row>
    <row r="280" ht="30" customHeight="1" s="409">
      <c r="B280" s="541" t="n"/>
      <c r="C280" s="883" t="inlineStr">
        <is>
          <t>Actual (GTM)</t>
        </is>
      </c>
      <c r="E280" s="884" t="inlineStr">
        <is>
          <t>Max offer/share at hurdle IRR (GTM math — was stale BMC). Holds AI exit equity H262 @12.9x fixed.</t>
        </is>
      </c>
      <c r="F280" s="652" t="n"/>
      <c r="G280" s="652" t="n"/>
      <c r="H280" s="652" t="n"/>
      <c r="I280" s="652" t="n"/>
      <c r="J280" s="653" t="n"/>
    </row>
    <row r="281" ht="36" customHeight="1" s="409">
      <c r="B281" s="895" t="inlineStr">
        <is>
          <t>Realized IRR (AI @ current offer)</t>
        </is>
      </c>
      <c r="C281" s="885">
        <f>J275</f>
        <v/>
      </c>
      <c r="D281" s="897" t="inlineStr">
        <is>
          <t>Hurdle rates →</t>
        </is>
      </c>
      <c r="E281" s="886" t="n">
        <v>0.15</v>
      </c>
      <c r="F281" s="887" t="n">
        <v>0.2</v>
      </c>
      <c r="G281" s="887" t="n">
        <v>0.25</v>
      </c>
      <c r="H281" s="887" t="n">
        <v>0.3</v>
      </c>
      <c r="I281" s="887" t="n">
        <v>0.35</v>
      </c>
      <c r="J281" s="888" t="n">
        <v>0.4</v>
      </c>
      <c r="K281" s="903" t="inlineStr">
        <is>
          <t>C281 ≈17% = realized IRR (aligned with Strategy_Summary / Debt_Sweep_AI). Hurdle columns = max offer to hit those required IRRs.</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42" customHeight="1" s="409">
      <c r="B286" s="898" t="inlineStr">
        <is>
          <t>HOW TO READ</t>
        </is>
      </c>
      <c r="C286" s="899">
        <f>"If your required hurdle rate is 30%, the maximum offer you can make is "&amp;TEXT(H282,"$#,##0.0")&amp;" million (or "&amp;TEXT(H284,"$0.0000")&amp;" per share). "&amp;"If your required hurdle rate drops to 20%, you can afford to pay a higher price: "&amp;TEXT(F282,"$#,##0.0")&amp;" million (or "&amp;TEXT(F284,"$0.0000")&amp;" per share)."</f>
        <v/>
      </c>
      <c r="E286" s="673" t="n"/>
      <c r="F286" s="674" t="n"/>
      <c r="G286" s="674" t="n"/>
      <c r="H286" s="674" t="n"/>
      <c r="I286" s="674" t="n"/>
      <c r="J286" s="675" t="n"/>
      <c r="K286" s="882" t="inlineStr">
        <is>
          <t>How to read: pick a hurdle column → that column’s offer/$/share is the most you can pay and still clear that IRR.</t>
        </is>
      </c>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B290" s="905" t="inlineStr">
        <is>
          <t>BMC LEFTOVER — not GTM-live</t>
        </is>
      </c>
      <c r="D290" s="682" t="inlineStr">
        <is>
          <t>Sponsor IRR At Various Leverage And Initial EBITDA Multiple Sensitivity</t>
        </is>
      </c>
      <c r="E290" s="612" t="n"/>
      <c r="F290" s="612" t="n"/>
      <c r="G290" s="612" t="n"/>
      <c r="H290" s="612" t="n"/>
      <c r="I290" s="612" t="n"/>
      <c r="J290" s="612" t="n"/>
    </row>
    <row r="291" ht="48" customHeight="1" s="409">
      <c r="B291" s="683" t="inlineStr">
        <is>
          <t>Highlight IRR &gt;</t>
        </is>
      </c>
      <c r="D291" s="901" t="inlineStr">
        <is>
          <t>ISSUE: E293 was a leftover BMC Excel data-table corner (~33% old hurdle/IRR), copied also at E303/E312. Not GTM realized IRR (~17%). Corners now =J275. Grid body below still BMC axes (entry 7–8x; GTM entry is ~14.8x) — IRRs not GTM-live.</t>
        </is>
      </c>
    </row>
    <row r="292" ht="15" customHeight="1" s="409">
      <c r="B292" s="906">
        <f>$J$275</f>
        <v/>
      </c>
      <c r="F292" s="907" t="inlineStr">
        <is>
          <t>Term A / EBITDA (BMC leftover axis — GTM TLA is 2.5x, not 3–4x)</t>
        </is>
      </c>
      <c r="M292" s="604" t="n"/>
      <c r="N292" s="604" t="n"/>
    </row>
    <row r="293" ht="40" customHeight="1" s="409">
      <c r="E293" s="908">
        <f>$J$275</f>
        <v/>
      </c>
      <c r="F293" s="687" t="n">
        <v>3</v>
      </c>
      <c r="G293" s="688" t="n">
        <v>3.25</v>
      </c>
      <c r="H293" s="688" t="n">
        <v>3.5</v>
      </c>
      <c r="I293" s="688" t="n">
        <v>3.75</v>
      </c>
      <c r="J293" s="688" t="n">
        <v>4</v>
      </c>
      <c r="K293" s="909" t="inlineStr">
        <is>
          <t>How to read: left side = entry EV/EBITDA. Top = Term Loan A size vs EBITDA. Each cell was an IRR in an old BMC table — not live GTM.</t>
        </is>
      </c>
      <c r="L293" s="901" t="inlineStr">
        <is>
          <t>E293 33% ISSUE: old BMC data-table corner (same stub at E303 &amp; E312). Replaced with live realized IRR J275 (~17%). Not a hurdle rate.</t>
        </is>
      </c>
    </row>
    <row r="294" ht="36" customHeight="1" s="409">
      <c r="D294" s="689" t="inlineStr">
        <is>
          <t>Initial</t>
        </is>
      </c>
      <c r="E294" s="687" t="n">
        <v>7</v>
      </c>
      <c r="F294" s="910" t="inlineStr">
        <is>
          <t>n/a</t>
        </is>
      </c>
      <c r="G294" s="910" t="inlineStr">
        <is>
          <t>n/a</t>
        </is>
      </c>
      <c r="H294" s="910" t="inlineStr">
        <is>
          <t>n/a</t>
        </is>
      </c>
      <c r="I294" s="910" t="inlineStr">
        <is>
          <t>n/a</t>
        </is>
      </c>
      <c r="J294" s="910" t="inlineStr">
        <is>
          <t>n/a</t>
        </is>
      </c>
      <c r="L294" s="880" t="inlineStr">
        <is>
          <t>N/A because this grid is leftover BMC math (wrong entry multiples / kickers). It is not wired to live GTM cash flows, so those IRRs would be fake.</t>
        </is>
      </c>
    </row>
    <row r="295" ht="15.75" customHeight="1" s="409">
      <c r="D295" s="689" t="inlineStr">
        <is>
          <t>Initial</t>
        </is>
      </c>
      <c r="E295" s="690" t="n">
        <v>7.25</v>
      </c>
      <c r="F295" s="910" t="inlineStr">
        <is>
          <t>n/a</t>
        </is>
      </c>
      <c r="G295" s="910" t="inlineStr">
        <is>
          <t>n/a</t>
        </is>
      </c>
      <c r="H295" s="910" t="inlineStr">
        <is>
          <t>n/a</t>
        </is>
      </c>
      <c r="I295" s="910" t="inlineStr">
        <is>
          <t>n/a</t>
        </is>
      </c>
      <c r="J295" s="910" t="inlineStr">
        <is>
          <t>n/a</t>
        </is>
      </c>
    </row>
    <row r="296" ht="15.75" customHeight="1" s="409">
      <c r="D296" s="689" t="inlineStr">
        <is>
          <t>EBITDA</t>
        </is>
      </c>
      <c r="E296" s="690" t="n">
        <v>7.5</v>
      </c>
      <c r="F296" s="910" t="inlineStr">
        <is>
          <t>n/a</t>
        </is>
      </c>
      <c r="G296" s="910" t="inlineStr">
        <is>
          <t>n/a</t>
        </is>
      </c>
      <c r="H296" s="910" t="inlineStr">
        <is>
          <t>n/a</t>
        </is>
      </c>
      <c r="I296" s="910" t="inlineStr">
        <is>
          <t>n/a</t>
        </is>
      </c>
      <c r="J296" s="910" t="inlineStr">
        <is>
          <t>n/a</t>
        </is>
      </c>
    </row>
    <row r="297" ht="15.75" customHeight="1" s="409">
      <c r="D297" s="911" t="inlineStr">
        <is>
          <t>EBITDA mult (BMC 7–8x; GTM entry ~14.8x) →</t>
        </is>
      </c>
      <c r="E297" s="690" t="n">
        <v>7.75</v>
      </c>
      <c r="F297" s="910" t="inlineStr">
        <is>
          <t>n/a</t>
        </is>
      </c>
      <c r="G297" s="910" t="inlineStr">
        <is>
          <t>n/a</t>
        </is>
      </c>
      <c r="H297" s="910" t="inlineStr">
        <is>
          <t>n/a</t>
        </is>
      </c>
      <c r="I297" s="910" t="inlineStr">
        <is>
          <t>n/a</t>
        </is>
      </c>
      <c r="J297" s="910" t="inlineStr">
        <is>
          <t>n/a</t>
        </is>
      </c>
    </row>
    <row r="298" ht="15" customHeight="1" s="409">
      <c r="D298" s="689" t="n"/>
      <c r="E298" s="690" t="n">
        <v>8</v>
      </c>
      <c r="F298" s="910" t="inlineStr">
        <is>
          <t>n/a</t>
        </is>
      </c>
      <c r="G298" s="910" t="inlineStr">
        <is>
          <t>n/a</t>
        </is>
      </c>
      <c r="H298" s="910" t="inlineStr">
        <is>
          <t>n/a</t>
        </is>
      </c>
      <c r="I298" s="910" t="inlineStr">
        <is>
          <t>n/a</t>
        </is>
      </c>
      <c r="J298" s="910" t="inlineStr">
        <is>
          <t>n/a</t>
        </is>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901" t="inlineStr">
        <is>
          <t>E303 was the same stale 33% BMC corner (now =J275). Offer-price IRR body was cleared earlier; needs full LBO re-solve to refill. GTM actual offer is E306=$5.0625.</t>
        </is>
      </c>
    </row>
    <row r="302" ht="15" customHeight="1" s="409">
      <c r="F302" s="647" t="inlineStr">
        <is>
          <t>Term A / EBITDA ratio (other cumulative leverage of 2.6x)</t>
        </is>
      </c>
    </row>
    <row r="303" ht="40" customHeight="1" s="409">
      <c r="E303" s="908">
        <f>$J$275</f>
        <v/>
      </c>
      <c r="F303" s="687" t="n">
        <v>3</v>
      </c>
      <c r="G303" s="688" t="n">
        <v>3.25</v>
      </c>
      <c r="H303" s="688" t="n">
        <v>3.5</v>
      </c>
      <c r="I303" s="688" t="n">
        <v>3.75</v>
      </c>
      <c r="J303" s="688" t="n">
        <v>4</v>
      </c>
      <c r="K303" s="909" t="inlineStr">
        <is>
          <t>How to read: left = offer price per share. Top = Term A leverage. Find your price row; empty cells mean IRR not re-solved for GTM yet.</t>
        </is>
      </c>
    </row>
    <row r="304" ht="15" customHeight="1" s="409">
      <c r="D304" s="689" t="n"/>
      <c r="E304" s="524" t="n">
        <v>4.75</v>
      </c>
      <c r="F304" s="522" t="n"/>
      <c r="G304" s="522" t="n"/>
      <c r="H304" s="522" t="n"/>
      <c r="I304" s="522" t="n"/>
      <c r="J304" s="522" t="n"/>
      <c r="L304" s="880" t="inlineStr">
        <is>
          <t>N/A because this grid is leftover BMC math (wrong entry multiples / kickers). It is not wired to live GTM cash flows, so those IRRs would be fake.</t>
        </is>
      </c>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c r="L306" s="912" t="inlineStr">
        <is>
          <t>GTM actual offer / share</t>
        </is>
      </c>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913" t="inlineStr">
        <is>
          <t>Sponsor IRR @ Preferred &amp; Sub Note Equity Kicker — N/A for GTM (Pref=$0, Sub=$0)</t>
        </is>
      </c>
      <c r="E310" s="612" t="n"/>
      <c r="F310" s="612" t="n"/>
      <c r="G310" s="612" t="n"/>
      <c r="H310" s="612" t="n"/>
      <c r="I310" s="612" t="n"/>
      <c r="J310" s="612" t="n"/>
    </row>
    <row r="311" ht="15" customHeight="1" s="409">
      <c r="F311" s="647" t="inlineStr">
        <is>
          <t>Sub Note Equity Kicker</t>
        </is>
      </c>
    </row>
    <row r="312" ht="15" customHeight="1" s="409">
      <c r="E312" s="908">
        <f>$J$275</f>
        <v/>
      </c>
      <c r="F312" s="692" t="n">
        <v>0</v>
      </c>
      <c r="G312" s="693" t="n">
        <v>0.02</v>
      </c>
      <c r="H312" s="693" t="n">
        <v>0.04</v>
      </c>
      <c r="I312" s="693" t="n">
        <v>0.06</v>
      </c>
      <c r="J312" s="693" t="n">
        <v>0.08</v>
      </c>
      <c r="K312" s="909" t="inlineStr">
        <is>
          <t>How to read: this chart tested extra Pref/Sub kickers in an old BMC deal. GTM has none, so ignore these IRRs.</t>
        </is>
      </c>
    </row>
    <row r="313" ht="15" customHeight="1" s="409">
      <c r="D313" s="689" t="n"/>
      <c r="E313" s="692" t="n">
        <v>0</v>
      </c>
      <c r="F313" s="910" t="inlineStr">
        <is>
          <t>n/a</t>
        </is>
      </c>
      <c r="G313" s="910" t="inlineStr">
        <is>
          <t>n/a</t>
        </is>
      </c>
      <c r="H313" s="910" t="inlineStr">
        <is>
          <t>n/a</t>
        </is>
      </c>
      <c r="I313" s="910" t="inlineStr">
        <is>
          <t>n/a</t>
        </is>
      </c>
      <c r="J313" s="910" t="inlineStr">
        <is>
          <t>n/a</t>
        </is>
      </c>
      <c r="L313" s="880" t="inlineStr">
        <is>
          <t>N/A because this grid is leftover BMC math (wrong entry multiples / kickers). It is not wired to live GTM cash flows, so those IRRs would be fake.</t>
        </is>
      </c>
    </row>
    <row r="314" ht="15.75" customHeight="1" s="409">
      <c r="D314" s="689" t="inlineStr">
        <is>
          <t>Preferred</t>
        </is>
      </c>
      <c r="E314" s="694" t="n">
        <v>0.02</v>
      </c>
      <c r="F314" s="910" t="inlineStr">
        <is>
          <t>n/a</t>
        </is>
      </c>
      <c r="G314" s="910" t="inlineStr">
        <is>
          <t>n/a</t>
        </is>
      </c>
      <c r="H314" s="910" t="inlineStr">
        <is>
          <t>n/a</t>
        </is>
      </c>
      <c r="I314" s="910" t="inlineStr">
        <is>
          <t>n/a</t>
        </is>
      </c>
      <c r="J314" s="910" t="inlineStr">
        <is>
          <t>n/a</t>
        </is>
      </c>
    </row>
    <row r="315" ht="15.75" customHeight="1" s="409">
      <c r="D315" s="689" t="inlineStr">
        <is>
          <t>Equity</t>
        </is>
      </c>
      <c r="E315" s="694" t="n">
        <v>0.04</v>
      </c>
      <c r="F315" s="910" t="inlineStr">
        <is>
          <t>n/a</t>
        </is>
      </c>
      <c r="G315" s="910" t="inlineStr">
        <is>
          <t>n/a</t>
        </is>
      </c>
      <c r="H315" s="910" t="inlineStr">
        <is>
          <t>n/a</t>
        </is>
      </c>
      <c r="I315" s="910" t="inlineStr">
        <is>
          <t>n/a</t>
        </is>
      </c>
      <c r="J315" s="910" t="inlineStr">
        <is>
          <t>n/a</t>
        </is>
      </c>
    </row>
    <row r="316" ht="15.75" customHeight="1" s="409">
      <c r="D316" s="689" t="inlineStr">
        <is>
          <t>Kicker:</t>
        </is>
      </c>
      <c r="E316" s="694" t="n">
        <v>0.06</v>
      </c>
      <c r="F316" s="910" t="inlineStr">
        <is>
          <t>n/a</t>
        </is>
      </c>
      <c r="G316" s="910" t="inlineStr">
        <is>
          <t>n/a</t>
        </is>
      </c>
      <c r="H316" s="910" t="inlineStr">
        <is>
          <t>n/a</t>
        </is>
      </c>
      <c r="I316" s="910" t="inlineStr">
        <is>
          <t>n/a</t>
        </is>
      </c>
      <c r="J316" s="910" t="inlineStr">
        <is>
          <t>n/a</t>
        </is>
      </c>
    </row>
    <row r="317" ht="15" customHeight="1" s="409">
      <c r="D317" s="689" t="n"/>
      <c r="E317" s="694" t="n">
        <v>0.08</v>
      </c>
      <c r="F317" s="910" t="inlineStr">
        <is>
          <t>n/a</t>
        </is>
      </c>
      <c r="G317" s="910" t="inlineStr">
        <is>
          <t>n/a</t>
        </is>
      </c>
      <c r="H317" s="910" t="inlineStr">
        <is>
          <t>n/a</t>
        </is>
      </c>
      <c r="I317" s="910" t="inlineStr">
        <is>
          <t>n/a</t>
        </is>
      </c>
      <c r="J317" s="910" t="inlineStr">
        <is>
          <t>n/a</t>
        </is>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2026-08-17T18:02:12Z</dcterms:modified>
  <cp:revision>0</cp:revision>
</cp:coreProperties>
</file>