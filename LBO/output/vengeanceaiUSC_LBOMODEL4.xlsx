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69">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s>
  <fills count="23">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38" customWidth="1" style="409" min="16" max="16"/>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515" t="n">
        <v>-68.7</v>
      </c>
      <c r="G50" s="515" t="n">
        <v>-58.3</v>
      </c>
      <c r="H50" s="515" t="n">
        <v>-46.4</v>
      </c>
      <c r="I50" s="515" t="n">
        <v>-32.7</v>
      </c>
      <c r="J50" s="515" t="n">
        <v>-17.3</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BMC AR.</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09" t="inlineStr">
        <is>
          <t>Assets — CapEx/D&amp;A wired to Drivers/AI_Operating (was BMC).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Was wrong BMC $26–31m — now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72"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$85.7m. IS added in FCF (add-back), not ignored.</t>
        </is>
      </c>
      <c r="M93" s="563">
        <f>HYPERLINK("https://www.sec.gov/Archives/edgar/data/1794515/000179451525000045/zi-20241231.htm","REASONABLE: FY24 D&amp;A anchor $85.7m; grow at Drivers +5%")</f>
        <v/>
      </c>
      <c r="N93" s="564" t="inlineStr">
        <is>
          <t>Ctrl+F: depreciation and amortization (ZI cash flow / notes)
EQ: AI D15=C15×(1+C5); LBO F93=−AI_Operating D&amp;A; DCF adds back +D&amp;A.</t>
        </is>
      </c>
      <c r="O93" s="564" t="inlineStr">
        <is>
          <t>D&amp;A IS added to FCF: non-cash charge was deducted to get EBIT/NI, so UFCF adds it back (DCF EBIAT+D&amp;A; AI FCF≈NI+D&amp;A−CapEx−ΔNWC).</t>
        </is>
      </c>
      <c r="P93" s="820" t="inlineStr">
        <is>
          <t>YES — NET + for LBO. D&amp;A IS added back in FCF/UFCF; raises cash vs earnings that expensed it.</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BMC ~1.1% / $26–31m errors.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BMC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BMC $114–135m). Matches DCF intangible/software policy.</t>
        </is>
      </c>
      <c r="M98" s="563">
        <f>HYPERLINK("https://saasdb.app/learn/financials/fcf-margin/","FIXED inaccuracy: BMC software purchases wiped; CapEx is Drivers 1.84%")</f>
        <v/>
      </c>
      <c r="N98" s="564" t="inlineStr">
        <is>
          <t>EQ: F98:J98=0. Prior LBO CF subtracted ~$190m+/yr of software+intangibles — inconsistent with DCF row 26=0 and AI CapEx.</t>
        </is>
      </c>
      <c r="O98" s="564" t="inlineStr">
        <is>
          <t>Zeroing stops fake ~$200m investing outflow that crushed LBO cash vs the DCF.</t>
        </is>
      </c>
      <c r="P98" s="820" t="inlineStr">
        <is>
          <t>YES — NET + for LBO (fix). Removing false ~$115m+ software buys stops a fake cash drain.</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BMC $57–85m). Aligned with DCF.</t>
        </is>
      </c>
      <c r="M104" s="563">
        <f>HYPERLINK("https://saasdb.app/learn/financials/fcf-margin/","FIXED: intangible purchases → $0 to match DCF!D26:H26")</f>
        <v/>
      </c>
      <c r="N104" s="564" t="inlineStr">
        <is>
          <t>EQ: F104:J104=0. DCF already had 0; LBO investing CF now matches.</t>
        </is>
      </c>
      <c r="O104" s="564" t="inlineStr">
        <is>
          <t>Removes bogus purchase cash use so LBO investing CF matches DCF UFCF CapEx-only.</t>
        </is>
      </c>
      <c r="P104" s="820" t="inlineStr">
        <is>
          <t>YES — NET + for LBO (fix). Zeroing BMC intangible buys removes false Uses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05" t="inlineStr">
        <is>
          <t>ΔNWC in CF = AI_Operating (Drivers C13/C25/C26). Cash line that feeds debt sweep — not the old BMC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(was BMC −$26–31m).</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BMC software+intangibles — false cash drain vs DCF $0. Fixed.</t>
        </is>
      </c>
      <c r="P126" s="820" t="inlineStr">
        <is>
          <t>YES — NET + for LBO (fix). Zeroing fake −$190m+ investing drain improves modeled cash.</t>
        </is>
      </c>
    </row>
    <row r="127" ht="15" customHeight="1" s="409">
      <c r="B127" s="513" t="inlineStr">
        <is>
          <t>Cash from investing activities</t>
        </is>
      </c>
      <c r="F127" s="537" t="n">
        <v>-227</v>
      </c>
      <c r="G127" s="537" t="n">
        <v>-222</v>
      </c>
      <c r="H127" s="537" t="n">
        <v>-223</v>
      </c>
      <c r="I127" s="537" t="n">
        <v>-225</v>
      </c>
      <c r="J127" s="537" t="n">
        <v>-223</v>
      </c>
    </row>
    <row r="128" ht="13.8" customHeight="1" s="409"/>
    <row r="129" ht="15" customHeight="1" s="409">
      <c r="B129" s="408" t="inlineStr">
        <is>
          <t>Required debt principal payments</t>
        </is>
      </c>
      <c r="F129" s="515" t="n">
        <v>-322.1855</v>
      </c>
      <c r="G129" s="515" t="n">
        <v>-177.86405</v>
      </c>
      <c r="H129" s="515" t="n">
        <v>-177.86405</v>
      </c>
      <c r="I129" s="515" t="n">
        <v>-177.86405</v>
      </c>
      <c r="J129" s="515" t="n">
        <v>-177.86405</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537" t="n">
        <v>88.7366611647973</v>
      </c>
      <c r="G131" s="537" t="n">
        <v>341.347888508174</v>
      </c>
      <c r="H131" s="537" t="n">
        <v>430.874867157023</v>
      </c>
      <c r="I131" s="537" t="n">
        <v>495.283971347461</v>
      </c>
      <c r="J131" s="537" t="n">
        <v>586.718180731428</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537" t="n">
        <v>88.7366611647973</v>
      </c>
      <c r="G133" s="537" t="n">
        <v>341.347888508174</v>
      </c>
      <c r="H133" s="537" t="n">
        <v>430.874867157023</v>
      </c>
      <c r="I133" s="537" t="n">
        <v>495.283971347461</v>
      </c>
      <c r="J133" s="537" t="n">
        <v>586.718180731428</v>
      </c>
    </row>
    <row r="134" ht="15" customHeight="1" s="409">
      <c r="B134" s="561" t="inlineStr">
        <is>
          <t>Discretionary Term A paydown</t>
        </is>
      </c>
      <c r="F134" s="515" t="n">
        <v>-88.7366611647973</v>
      </c>
      <c r="G134" s="515" t="n">
        <v>-341.347888508174</v>
      </c>
      <c r="H134" s="515" t="n">
        <v>-430.874867157023</v>
      </c>
      <c r="I134" s="515" t="n">
        <v>-495.283971347461</v>
      </c>
      <c r="J134" s="515" t="n">
        <v>-586.718180731428</v>
      </c>
    </row>
    <row r="135" ht="15" customHeight="1" s="409">
      <c r="B135" s="561" t="inlineStr">
        <is>
          <t>Discretionary Term B paydown</t>
        </is>
      </c>
      <c r="F135" s="515" t="n">
        <v>0</v>
      </c>
      <c r="G135" s="515" t="n">
        <v>0</v>
      </c>
      <c r="H135" s="515" t="n">
        <v>0</v>
      </c>
      <c r="I135" s="515" t="n">
        <v>0</v>
      </c>
      <c r="J135" s="515" t="n">
        <v>2.27373675443232e-13</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15" customHeight="1" s="409">
      <c r="B141" s="541" t="n"/>
    </row>
    <row r="142" ht="15" customHeight="1" s="409">
      <c r="B142" s="498" t="inlineStr">
        <is>
          <t>Cash, BOP</t>
        </is>
      </c>
      <c r="F142" s="588" t="n">
        <v>180</v>
      </c>
      <c r="G142" s="515" t="n">
        <v>180</v>
      </c>
      <c r="H142" s="515" t="n">
        <v>180</v>
      </c>
      <c r="I142" s="515" t="n">
        <v>180</v>
      </c>
      <c r="J142" s="515" t="n">
        <v>180</v>
      </c>
    </row>
    <row r="143" ht="15" customHeight="1" s="409">
      <c r="B143" s="498" t="inlineStr">
        <is>
          <t>Increases / (decreases)</t>
        </is>
      </c>
      <c r="F143" s="515" t="n">
        <v>0</v>
      </c>
      <c r="G143" s="515" t="n">
        <v>0</v>
      </c>
      <c r="H143" s="515" t="n">
        <v>0</v>
      </c>
      <c r="I143" s="515" t="n">
        <v>0</v>
      </c>
      <c r="J143" s="515" t="n">
        <v>2.27373675443232e-13</v>
      </c>
    </row>
    <row r="144" ht="15" customHeight="1" s="409">
      <c r="B144" s="557" t="inlineStr">
        <is>
          <t>Cash, EOP</t>
        </is>
      </c>
      <c r="C144" s="513" t="n"/>
      <c r="D144" s="573" t="n">
        <v>1635.6</v>
      </c>
      <c r="E144" s="537" t="n">
        <v>1581.9</v>
      </c>
      <c r="F144" s="537" t="n">
        <v>180</v>
      </c>
      <c r="G144" s="537" t="n">
        <v>180</v>
      </c>
      <c r="H144" s="537" t="n">
        <v>180</v>
      </c>
      <c r="I144" s="537" t="n">
        <v>180</v>
      </c>
      <c r="J144" s="537" t="n">
        <v>180</v>
      </c>
    </row>
    <row r="145" ht="15" customHeight="1" s="409">
      <c r="B145" s="498" t="inlineStr">
        <is>
          <t>Interest rate on cash</t>
        </is>
      </c>
      <c r="D145" s="589" t="n">
        <v>0.00648080215211543</v>
      </c>
      <c r="E145" s="589" t="n">
        <v>0.00515928515928516</v>
      </c>
      <c r="F145" s="590" t="n">
        <v>0.00515928515928516</v>
      </c>
      <c r="G145" s="590" t="n">
        <v>0.00515928515928516</v>
      </c>
      <c r="H145" s="590" t="n">
        <v>0.00515928515928516</v>
      </c>
      <c r="I145" s="590" t="n">
        <v>0.00515928515928516</v>
      </c>
      <c r="J145" s="590" t="n">
        <v>0.00515928515928516</v>
      </c>
    </row>
    <row r="146" ht="15" customHeight="1" s="409">
      <c r="B146" s="498" t="inlineStr">
        <is>
          <t>Interest income</t>
        </is>
      </c>
      <c r="C146" s="510" t="n"/>
      <c r="D146" s="515" t="n">
        <v>10.6</v>
      </c>
      <c r="E146" s="515" t="n">
        <v>8.300000000000001</v>
      </c>
      <c r="F146" s="515" t="n">
        <v>0.928671328671329</v>
      </c>
      <c r="G146" s="515" t="n">
        <v>0.928671328671329</v>
      </c>
      <c r="H146" s="515" t="n">
        <v>0.928671328671329</v>
      </c>
      <c r="I146" s="515" t="n">
        <v>0.928671328671329</v>
      </c>
      <c r="J146" s="515" t="n">
        <v>0.928671328671329</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t="n">
        <v>180</v>
      </c>
      <c r="G149" s="515" t="n">
        <v>180</v>
      </c>
      <c r="H149" s="515" t="n">
        <v>180</v>
      </c>
      <c r="I149" s="515" t="n">
        <v>180</v>
      </c>
      <c r="J149" s="515" t="n">
        <v>180</v>
      </c>
    </row>
    <row r="150" ht="15" customHeight="1" s="409">
      <c r="B150" s="574" t="inlineStr">
        <is>
          <t>Less: Minimum cash desired</t>
        </is>
      </c>
      <c r="F150" s="515" t="n">
        <v>-180</v>
      </c>
      <c r="G150" s="515" t="n">
        <v>-180</v>
      </c>
      <c r="H150" s="515" t="n">
        <v>-180</v>
      </c>
      <c r="I150" s="515" t="n">
        <v>-180</v>
      </c>
      <c r="J150" s="515" t="n">
        <v>-180</v>
      </c>
    </row>
    <row r="151" ht="15" customHeight="1" s="409">
      <c r="B151" s="574" t="inlineStr">
        <is>
          <t>Equals: Excess cash at BOP</t>
        </is>
      </c>
      <c r="F151" s="515" t="n">
        <v>0</v>
      </c>
      <c r="G151" s="515" t="n">
        <v>0</v>
      </c>
      <c r="H151" s="515" t="n">
        <v>0</v>
      </c>
      <c r="I151" s="515" t="n">
        <v>0</v>
      </c>
      <c r="J151" s="515" t="n">
        <v>0</v>
      </c>
    </row>
    <row r="152" ht="15" customHeight="1" s="409">
      <c r="B152" s="591" t="inlineStr">
        <is>
          <t>Plus: Free cash flows generated during period</t>
        </is>
      </c>
      <c r="C152" s="555" t="n"/>
      <c r="D152" s="555" t="n"/>
      <c r="E152" s="555" t="n"/>
      <c r="F152" s="592" t="n">
        <v>88.7366611647973</v>
      </c>
      <c r="G152" s="592" t="n">
        <v>341.347888508174</v>
      </c>
      <c r="H152" s="592" t="n">
        <v>430.874867157023</v>
      </c>
      <c r="I152" s="592" t="n">
        <v>495.283971347461</v>
      </c>
      <c r="J152" s="592" t="n">
        <v>586.718180731428</v>
      </c>
    </row>
    <row r="153" ht="15" customHeight="1" s="409">
      <c r="B153" s="593" t="inlineStr">
        <is>
          <t>Cash available (needed) to paydown (draw from) revolver</t>
        </is>
      </c>
      <c r="C153" s="500" t="n"/>
      <c r="D153" s="500" t="n"/>
      <c r="E153" s="500" t="n"/>
      <c r="F153" s="576" t="n">
        <v>88.7366611647973</v>
      </c>
      <c r="G153" s="576" t="n">
        <v>341.347888508174</v>
      </c>
      <c r="H153" s="576" t="n">
        <v>430.874867157023</v>
      </c>
      <c r="I153" s="576" t="n">
        <v>495.283971347461</v>
      </c>
      <c r="J153" s="576" t="n">
        <v>586.718180731428</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15" customHeight="1" s="409">
      <c r="B157" s="557" t="inlineStr">
        <is>
          <t>Revolver, EOP</t>
        </is>
      </c>
      <c r="D157" s="555" t="inlineStr">
        <is>
          <t>% AR</t>
        </is>
      </c>
      <c r="E157" s="555" t="inlineStr">
        <is>
          <t>% Other Assets</t>
        </is>
      </c>
      <c r="F157" s="537" t="n">
        <v>0</v>
      </c>
      <c r="G157" s="537" t="n">
        <v>0</v>
      </c>
      <c r="H157" s="537" t="n">
        <v>0</v>
      </c>
      <c r="I157" s="537" t="n">
        <v>0</v>
      </c>
      <c r="J157" s="537" t="n">
        <v>0</v>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15" customHeight="1" s="409">
      <c r="B162" s="498" t="inlineStr">
        <is>
          <t>Term Loan A, BOP</t>
        </is>
      </c>
      <c r="F162" s="588" t="n">
        <v>2886.429</v>
      </c>
      <c r="G162" s="515" t="n">
        <v>2509.0494388352</v>
      </c>
      <c r="H162" s="515" t="n">
        <v>2023.38010032703</v>
      </c>
      <c r="I162" s="515" t="n">
        <v>1448.18378317001</v>
      </c>
      <c r="J162" s="515" t="n">
        <v>808.578361822546</v>
      </c>
    </row>
    <row r="163" ht="15" customHeight="1" s="409">
      <c r="B163" s="498" t="inlineStr">
        <is>
          <t>Mandatory paydown $</t>
        </is>
      </c>
      <c r="F163" s="515" t="n">
        <v>288.6429</v>
      </c>
      <c r="G163" s="515" t="n">
        <v>144.32145</v>
      </c>
      <c r="H163" s="515" t="n">
        <v>144.32145</v>
      </c>
      <c r="I163" s="515" t="n">
        <v>144.32145</v>
      </c>
      <c r="J163" s="515" t="n">
        <v>144.32145</v>
      </c>
    </row>
    <row r="164" ht="15" customHeight="1" s="409">
      <c r="B164" s="498" t="inlineStr">
        <is>
          <t>Cash sweep (paydown from excess cash flows)</t>
        </is>
      </c>
      <c r="F164" s="515" t="n">
        <v>88.7366611647973</v>
      </c>
      <c r="G164" s="515" t="n">
        <v>341.347888508174</v>
      </c>
      <c r="H164" s="515" t="n">
        <v>430.874867157023</v>
      </c>
      <c r="I164" s="515" t="n">
        <v>495.283971347461</v>
      </c>
      <c r="J164" s="515" t="n">
        <v>586.718180731429</v>
      </c>
    </row>
    <row r="165" ht="15" customHeight="1" s="409">
      <c r="B165" s="557" t="inlineStr">
        <is>
          <t>Term Loan A, EOP</t>
        </is>
      </c>
      <c r="C165" s="513" t="n"/>
      <c r="D165" s="597" t="n"/>
      <c r="E165" s="513" t="n"/>
      <c r="F165" s="537" t="n">
        <v>2509.0494388352</v>
      </c>
      <c r="G165" s="537" t="n">
        <v>2023.38010032703</v>
      </c>
      <c r="H165" s="537" t="n">
        <v>1448.18378317001</v>
      </c>
      <c r="I165" s="537" t="n">
        <v>808.578361822546</v>
      </c>
      <c r="J165" s="537" t="n">
        <v>77.5387310911168</v>
      </c>
    </row>
    <row r="166" ht="15" customHeight="1" s="409">
      <c r="B166" s="593" t="inlineStr">
        <is>
          <t>Mandatory paydown (% of original)</t>
        </is>
      </c>
      <c r="C166" s="500" t="n"/>
      <c r="E166" s="559" t="inlineStr">
        <is>
          <t>% of available cash used</t>
        </is>
      </c>
      <c r="F166" s="598" t="n">
        <v>0.1</v>
      </c>
      <c r="G166" s="598" t="n">
        <v>0.05</v>
      </c>
      <c r="H166" s="598" t="n">
        <v>0.05</v>
      </c>
      <c r="I166" s="598" t="n">
        <v>0.05</v>
      </c>
      <c r="J166" s="598" t="n">
        <v>0.05</v>
      </c>
    </row>
    <row r="167" ht="15" customHeight="1" s="409">
      <c r="B167" s="593" t="inlineStr">
        <is>
          <t>Cash sweep</t>
        </is>
      </c>
      <c r="C167" s="500" t="n"/>
      <c r="E167" s="599" t="n">
        <v>1</v>
      </c>
      <c r="F167" s="600" t="n">
        <v>88.7366611647973</v>
      </c>
      <c r="G167" s="600" t="n">
        <v>341.347888508174</v>
      </c>
      <c r="H167" s="600" t="n">
        <v>430.874867157023</v>
      </c>
      <c r="I167" s="600" t="n">
        <v>495.283971347461</v>
      </c>
      <c r="J167" s="600" t="n">
        <v>586.718180731428</v>
      </c>
    </row>
    <row r="168" ht="15" customHeight="1" s="409">
      <c r="B168" s="498" t="n"/>
      <c r="F168" s="510" t="n"/>
      <c r="G168" s="510" t="n"/>
      <c r="H168" s="510" t="n"/>
      <c r="I168" s="510" t="n"/>
      <c r="J168" s="510" t="n"/>
    </row>
    <row r="169" ht="15" customHeight="1" s="409">
      <c r="B169" s="555" t="inlineStr">
        <is>
          <t>Term Loan B</t>
        </is>
      </c>
      <c r="F169" s="510" t="n"/>
    </row>
    <row r="170" ht="15" customHeight="1" s="409">
      <c r="B170" s="498" t="inlineStr">
        <is>
          <t>Term Loan B, BOP</t>
        </is>
      </c>
      <c r="F170" s="588" t="n">
        <v>670.852</v>
      </c>
      <c r="G170" s="515" t="n">
        <v>637.3094</v>
      </c>
      <c r="H170" s="515" t="n">
        <v>603.7668</v>
      </c>
      <c r="I170" s="515" t="n">
        <v>570.2242</v>
      </c>
      <c r="J170" s="515" t="n">
        <v>536.6816</v>
      </c>
    </row>
    <row r="171" ht="15" customHeight="1" s="409">
      <c r="B171" s="498" t="inlineStr">
        <is>
          <t>Mandatory amortization $</t>
        </is>
      </c>
      <c r="F171" s="515" t="n">
        <v>33.5426</v>
      </c>
      <c r="G171" s="515" t="n">
        <v>33.5426</v>
      </c>
      <c r="H171" s="515" t="n">
        <v>33.5426</v>
      </c>
      <c r="I171" s="515" t="n">
        <v>33.5426</v>
      </c>
      <c r="J171" s="515" t="n">
        <v>33.5426</v>
      </c>
    </row>
    <row r="172" ht="15" customHeight="1" s="409">
      <c r="B172" s="498" t="inlineStr">
        <is>
          <t>Cash sweep (paydown from excess cash flows)</t>
        </is>
      </c>
      <c r="F172" s="515" t="n">
        <v>0</v>
      </c>
      <c r="G172" s="515" t="n">
        <v>0</v>
      </c>
      <c r="H172" s="515" t="n">
        <v>0</v>
      </c>
      <c r="I172" s="515" t="n">
        <v>0</v>
      </c>
      <c r="J172" s="515" t="n">
        <v>2.27373675443232e-13</v>
      </c>
    </row>
    <row r="173" ht="15" customHeight="1" s="409">
      <c r="B173" s="557" t="inlineStr">
        <is>
          <t>Term Loan B, EOP</t>
        </is>
      </c>
      <c r="C173" s="513" t="n"/>
      <c r="F173" s="537" t="n">
        <v>637.3094</v>
      </c>
      <c r="G173" s="537" t="n">
        <v>603.7668</v>
      </c>
      <c r="H173" s="537" t="n">
        <v>570.2242</v>
      </c>
      <c r="I173" s="537" t="n">
        <v>536.6816</v>
      </c>
      <c r="J173" s="537" t="n">
        <v>503.139</v>
      </c>
    </row>
    <row r="174" ht="15" customHeight="1" s="409">
      <c r="B174" s="593" t="inlineStr">
        <is>
          <t>Mandatory paydown (% of original)</t>
        </is>
      </c>
      <c r="C174" s="500" t="n"/>
      <c r="E174" s="559" t="inlineStr">
        <is>
          <t>% of available cash used</t>
        </is>
      </c>
      <c r="F174" s="598" t="n">
        <v>0.05</v>
      </c>
      <c r="G174" s="598" t="n">
        <v>0.05</v>
      </c>
      <c r="H174" s="598" t="n">
        <v>0.05</v>
      </c>
      <c r="I174" s="598" t="n">
        <v>0.05</v>
      </c>
      <c r="J174" s="598" t="n">
        <v>0.05</v>
      </c>
    </row>
    <row r="175" ht="15" customHeight="1" s="409">
      <c r="B175" s="593" t="inlineStr">
        <is>
          <t>Cash available for cash sweep</t>
        </is>
      </c>
      <c r="C175" s="500" t="n"/>
      <c r="E175" s="599" t="n">
        <v>1</v>
      </c>
      <c r="F175" s="576" t="n">
        <v>0</v>
      </c>
      <c r="G175" s="576" t="n">
        <v>0</v>
      </c>
      <c r="H175" s="576" t="n">
        <v>0</v>
      </c>
      <c r="I175" s="576" t="n">
        <v>0</v>
      </c>
      <c r="J175" s="576" t="n">
        <v>-2.27373675443232e-13</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15" customHeight="1" s="409">
      <c r="B178" s="498" t="inlineStr">
        <is>
          <t>Senior Note, BOP</t>
        </is>
      </c>
      <c r="F178" s="588" t="n">
        <v>1632.995</v>
      </c>
      <c r="G178" s="515" t="n">
        <v>1632.995</v>
      </c>
      <c r="H178" s="515" t="n">
        <v>1632.995</v>
      </c>
      <c r="I178" s="515" t="n">
        <v>1632.995</v>
      </c>
      <c r="J178" s="515" t="n">
        <v>1632.995</v>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537" t="n">
        <v>1632.995</v>
      </c>
      <c r="G180" s="537" t="n">
        <v>1632.995</v>
      </c>
      <c r="H180" s="537" t="n">
        <v>1632.995</v>
      </c>
      <c r="I180" s="537" t="n">
        <v>1632.995</v>
      </c>
      <c r="J180" s="537" t="n">
        <v>1632.995</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15" customHeight="1" s="409">
      <c r="B208" s="498" t="inlineStr">
        <is>
          <t>Term Loan A</t>
        </is>
      </c>
      <c r="C208" s="608" t="n">
        <v>0.04</v>
      </c>
      <c r="D208" s="519" t="n">
        <v>0.01</v>
      </c>
      <c r="F208" s="586" t="n">
        <v>134.88696097088</v>
      </c>
      <c r="G208" s="586" t="n">
        <v>113.310738479056</v>
      </c>
      <c r="H208" s="586" t="n">
        <v>92.8330898085942</v>
      </c>
      <c r="I208" s="586" t="n">
        <v>65.9448466388274</v>
      </c>
      <c r="J208" s="586" t="n">
        <v>27.5254552571771</v>
      </c>
      <c r="M208" s="589" t="n"/>
    </row>
    <row r="209" ht="15" customHeight="1" s="409">
      <c r="B209" s="498" t="inlineStr">
        <is>
          <t>Term Loan B</t>
        </is>
      </c>
      <c r="C209" s="608" t="n">
        <v>0.04</v>
      </c>
      <c r="D209" s="519" t="n">
        <v>0</v>
      </c>
      <c r="F209" s="586" t="n">
        <v>29.3734560756</v>
      </c>
      <c r="G209" s="586" t="n">
        <v>29.9633026966</v>
      </c>
      <c r="H209" s="586" t="n">
        <v>31.393693331</v>
      </c>
      <c r="I209" s="586" t="n">
        <v>32.3448943818</v>
      </c>
      <c r="J209" s="586" t="n">
        <v>32.2999472978</v>
      </c>
    </row>
    <row r="210" ht="15" customHeight="1" s="409">
      <c r="B210" s="498" t="inlineStr">
        <is>
          <t>Senior Note</t>
        </is>
      </c>
      <c r="E210" s="609" t="n">
        <v>0.08125</v>
      </c>
      <c r="F210" s="515" t="n">
        <v>132.68084375</v>
      </c>
      <c r="G210" s="515" t="n">
        <v>132.68084375</v>
      </c>
      <c r="H210" s="515" t="n">
        <v>132.68084375</v>
      </c>
      <c r="I210" s="515" t="n">
        <v>132.68084375</v>
      </c>
      <c r="J210" s="515" t="n">
        <v>132.68084375</v>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2026-08-16T16:42:13Z</dcterms:modified>
  <cp:revision>0</cp:revision>
</cp:coreProperties>
</file>