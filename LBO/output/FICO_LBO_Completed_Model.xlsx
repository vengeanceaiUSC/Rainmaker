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01_Assumptions" sheetId="2" state="visible" r:id="rId2"/>
    <sheet name="02_Sources_Uses" sheetId="3" state="visible" r:id="rId3"/>
    <sheet name="03_Operating" sheetId="4" state="visible" r:id="rId4"/>
    <sheet name="04_Debt_Schedule" sheetId="5" state="visible" r:id="rId5"/>
    <sheet name="05_Returns" sheetId="6" state="visible" r:id="rId6"/>
    <sheet name="06_Sensitiv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%"/>
    <numFmt numFmtId="166" formatCode="#,##0.0"/>
    <numFmt numFmtId="167" formatCode="0.0x"/>
    <numFmt numFmtId="168" formatCode="0.00x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0563C1"/>
      <u val="single"/>
    </font>
    <font>
      <name val="Calibri"/>
      <b val="1"/>
    </font>
    <font>
      <name val="Calibri"/>
      <color rgb="00000000"/>
    </font>
    <font>
      <name val="Calibri"/>
      <color rgb="000000FF"/>
    </font>
    <font>
      <name val="Calibri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2" fontId="5" fillId="3" borderId="1" pivotButton="0" quotePrefix="0" xfId="0"/>
    <xf numFmtId="164" fontId="5" fillId="3" borderId="1" pivotButton="0" quotePrefix="0" xfId="0"/>
    <xf numFmtId="165" fontId="5" fillId="3" borderId="1" pivotButton="0" quotePrefix="0" xfId="0"/>
    <xf numFmtId="2" fontId="4" fillId="4" borderId="1" pivotButton="0" quotePrefix="0" xfId="0"/>
    <xf numFmtId="166" fontId="4" fillId="4" borderId="1" pivotButton="0" quotePrefix="0" xfId="0"/>
    <xf numFmtId="166" fontId="5" fillId="3" borderId="1" pivotButton="0" quotePrefix="0" xfId="0"/>
    <xf numFmtId="1" fontId="5" fillId="3" borderId="1" pivotButton="0" quotePrefix="0" xfId="0"/>
    <xf numFmtId="167" fontId="5" fillId="3" borderId="1" pivotButton="0" quotePrefix="0" xfId="0"/>
    <xf numFmtId="10" fontId="5" fillId="3" borderId="1" pivotButton="0" quotePrefix="0" xfId="0"/>
    <xf numFmtId="10" fontId="4" fillId="4" borderId="1" pivotButton="0" quotePrefix="0" xfId="0"/>
    <xf numFmtId="0" fontId="6" fillId="5" borderId="0" applyAlignment="1" pivotButton="0" quotePrefix="0" xfId="0">
      <alignment horizontal="center"/>
    </xf>
    <xf numFmtId="0" fontId="3" fillId="0" borderId="0" pivotButton="0" quotePrefix="0" xfId="0"/>
    <xf numFmtId="168" fontId="4" fillId="4" borderId="1" pivotButton="0" quotePrefix="0" xfId="0"/>
    <xf numFmtId="165" fontId="4" fillId="4" borderId="1" pivotButton="0" quotePrefix="0" xfId="0"/>
    <xf numFmtId="166" fontId="4" fillId="0" borderId="1" pivotButton="0" quotePrefix="0" xfId="0"/>
    <xf numFmtId="167" fontId="4" fillId="4" borderId="1" pivotButton="0" quotePrefix="0" xfId="0"/>
    <xf numFmtId="9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c.gov/Archives/edgar/data/814547/000081454725000030/fico-20250930.htm" TargetMode="External" Id="rId1" /><Relationship Type="http://schemas.openxmlformats.org/officeDocument/2006/relationships/hyperlink" Target="https://www.sec.gov/Archives/edgar/data/814547/000081454726000030/fico-20260630.htm" TargetMode="External" Id="rId2" /><Relationship Type="http://schemas.openxmlformats.org/officeDocument/2006/relationships/hyperlink" Target="https://data.sec.gov/api/xbrl/companyfacts/CIK0000814547.json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workbookViewId="0">
      <selection activeCell="A1" sqref="A1"/>
    </sheetView>
  </sheetViews>
  <sheetFormatPr baseColWidth="8" defaultRowHeight="15"/>
  <cols>
    <col width="28" customWidth="1" min="2" max="2"/>
    <col width="95" customWidth="1" min="3" max="3"/>
  </cols>
  <sheetData>
    <row r="2">
      <c r="B2" s="1" t="inlineStr">
        <is>
          <t>FICO Leveraged Buyout Model</t>
        </is>
      </c>
    </row>
    <row r="3">
      <c r="B3" t="inlineStr">
        <is>
          <t>Educational / research — SEC-sourced inputs; open in Excel to recalculate</t>
        </is>
      </c>
    </row>
    <row r="5">
      <c r="B5" t="inlineStr">
        <is>
          <t>Target</t>
        </is>
      </c>
      <c r="C5" t="inlineStr">
        <is>
          <t>Fair Isaac Corporation (FICO)</t>
        </is>
      </c>
    </row>
    <row r="6">
      <c r="B6" t="inlineStr">
        <is>
          <t>CIK</t>
        </is>
      </c>
      <c r="C6" t="inlineStr">
        <is>
          <t>0000814547</t>
        </is>
      </c>
    </row>
    <row r="7">
      <c r="B7" t="inlineStr">
        <is>
          <t>Units</t>
        </is>
      </c>
      <c r="C7" t="inlineStr">
        <is>
          <t>$ millions except per share / multiples / rates</t>
        </is>
      </c>
    </row>
    <row r="9">
      <c r="B9" t="inlineStr">
        <is>
          <t>Sheets</t>
        </is>
      </c>
    </row>
    <row r="10">
      <c r="B10" t="inlineStr">
        <is>
          <t>01_Assumptions — blue cells are editable inputs</t>
        </is>
      </c>
    </row>
    <row r="11">
      <c r="B11" t="inlineStr">
        <is>
          <t>02_Sources_Uses — purchase price, debt, sponsor equity</t>
        </is>
      </c>
    </row>
    <row r="12">
      <c r="B12" t="inlineStr">
        <is>
          <t>03_Operating — hist FY23–25 + 5-yr forecast</t>
        </is>
      </c>
    </row>
    <row r="13">
      <c r="B13" t="inlineStr">
        <is>
          <t>04_Debt_Schedule — interest + mandatory amort + cash sweep</t>
        </is>
      </c>
    </row>
    <row r="14">
      <c r="B14" t="inlineStr">
        <is>
          <t>05_Returns — exit equity, MoIC, IRR</t>
        </is>
      </c>
    </row>
    <row r="15">
      <c r="B15" t="inlineStr">
        <is>
          <t>06_Sensitivity — exit multiple × entry premium grid</t>
        </is>
      </c>
    </row>
    <row r="17">
      <c r="B17" t="inlineStr">
        <is>
          <t>Primary SEC sources</t>
        </is>
      </c>
    </row>
    <row r="18">
      <c r="B18" t="inlineStr">
        <is>
          <t>FY2025 10-K</t>
        </is>
      </c>
      <c r="C18" s="2" t="inlineStr">
        <is>
          <t>https://www.sec.gov/Archives/edgar/data/814547/000081454725000030/fico-20250930.htm</t>
        </is>
      </c>
    </row>
    <row r="19">
      <c r="B19" t="inlineStr">
        <is>
          <t>Q3 FY2026 10-Q</t>
        </is>
      </c>
      <c r="C19" s="2" t="inlineStr">
        <is>
          <t>https://www.sec.gov/Archives/edgar/data/814547/000081454726000030/fico-20260630.htm</t>
        </is>
      </c>
    </row>
    <row r="20">
      <c r="B20" t="inlineStr">
        <is>
          <t>Companyfacts</t>
        </is>
      </c>
      <c r="C20" s="2" t="inlineStr">
        <is>
          <t>https://data.sec.gov/api/xbrl/companyfacts/CIK0000814547.json</t>
        </is>
      </c>
    </row>
  </sheetData>
  <hyperlinks>
    <hyperlink xmlns:r="http://schemas.openxmlformats.org/officeDocument/2006/relationships" ref="C18" r:id="rId1"/>
    <hyperlink xmlns:r="http://schemas.openxmlformats.org/officeDocument/2006/relationships" ref="C19" r:id="rId2"/>
    <hyperlink xmlns:r="http://schemas.openxmlformats.org/officeDocument/2006/relationships" ref="C20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58"/>
  <sheetViews>
    <sheetView workbookViewId="0">
      <selection activeCell="A1" sqref="A1"/>
    </sheetView>
  </sheetViews>
  <sheetFormatPr baseColWidth="8" defaultRowHeight="15"/>
  <cols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1" t="inlineStr">
        <is>
          <t>Assumptions (edit yellow / blue inputs)</t>
        </is>
      </c>
    </row>
    <row r="3">
      <c r="B3" t="inlineStr">
        <is>
          <t>All formulas elsewhere link here — change inputs and open in Excel to recalc</t>
        </is>
      </c>
    </row>
    <row r="5">
      <c r="B5" s="3" t="inlineStr">
        <is>
          <t>TRANSACTION</t>
        </is>
      </c>
    </row>
    <row r="6">
      <c r="B6" s="4" t="inlineStr">
        <is>
          <t>Current share price ($)</t>
        </is>
      </c>
      <c r="C6" s="5" t="n">
        <v>1046.23</v>
      </c>
    </row>
    <row r="7">
      <c r="B7" s="4" t="inlineStr">
        <is>
          <t>Diluted shares (millions)</t>
        </is>
      </c>
      <c r="C7" s="6" t="n">
        <v>21.597635</v>
      </c>
    </row>
    <row r="8">
      <c r="B8" s="4" t="inlineStr">
        <is>
          <t>Acquisition premium</t>
        </is>
      </c>
      <c r="C8" s="7" t="n">
        <v>0.25</v>
      </c>
    </row>
    <row r="9">
      <c r="B9" s="4" t="inlineStr">
        <is>
          <t>Offer price / share</t>
        </is>
      </c>
      <c r="C9" s="8">
        <f>C6*(1+C8)</f>
        <v/>
      </c>
    </row>
    <row r="10">
      <c r="B10" s="4" t="inlineStr">
        <is>
          <t>Equity purchase price</t>
        </is>
      </c>
      <c r="C10" s="9">
        <f>C9*C7</f>
        <v/>
      </c>
    </row>
    <row r="11">
      <c r="B11" s="4" t="inlineStr">
        <is>
          <t>LTM EBITDA</t>
        </is>
      </c>
      <c r="C11" s="10" t="n">
        <v>939.802</v>
      </c>
    </row>
    <row r="12">
      <c r="B12" s="4" t="inlineStr">
        <is>
          <t>Gross debt (refinance)</t>
        </is>
      </c>
      <c r="C12" s="10" t="n">
        <v>5582.389</v>
      </c>
    </row>
    <row r="13">
      <c r="B13" s="4" t="inlineStr">
        <is>
          <t>Cash (latest)</t>
        </is>
      </c>
      <c r="C13" s="10" t="n">
        <v>304.537</v>
      </c>
    </row>
    <row r="14">
      <c r="B14" s="4" t="inlineStr">
        <is>
          <t>Minimum cash</t>
        </is>
      </c>
      <c r="C14" s="10" t="n">
        <v>150</v>
      </c>
    </row>
    <row r="15">
      <c r="B15" s="4" t="inlineStr">
        <is>
          <t>Excess cash to sources</t>
        </is>
      </c>
      <c r="C15" s="9">
        <f>MAX(0,C13-C14)</f>
        <v/>
      </c>
    </row>
    <row r="16">
      <c r="B16" s="4" t="inlineStr">
        <is>
          <t>Transaction fees % of offer equity</t>
        </is>
      </c>
      <c r="C16" s="7" t="n">
        <v>0.02</v>
      </c>
    </row>
    <row r="17">
      <c r="B17" s="4" t="inlineStr">
        <is>
          <t>Transaction fees $</t>
        </is>
      </c>
      <c r="C17" s="9">
        <f>C10*C16</f>
        <v/>
      </c>
    </row>
    <row r="18">
      <c r="B18" s="4" t="inlineStr">
        <is>
          <t>Tax rate</t>
        </is>
      </c>
      <c r="C18" s="7" t="n">
        <v>0.188</v>
      </c>
    </row>
    <row r="19">
      <c r="B19" s="4" t="inlineStr">
        <is>
          <t>Hold period (years)</t>
        </is>
      </c>
      <c r="C19" s="11" t="n">
        <v>5</v>
      </c>
    </row>
    <row r="20">
      <c r="B20" s="4" t="inlineStr">
        <is>
          <t>Exit EV / EBITDA</t>
        </is>
      </c>
      <c r="C20" s="12" t="n">
        <v>18</v>
      </c>
    </row>
    <row r="22">
      <c r="B22" s="3" t="inlineStr">
        <is>
          <t>DEBT STRUCTURE (EBITDA turns)</t>
        </is>
      </c>
    </row>
    <row r="23">
      <c r="B23" s="4" t="inlineStr">
        <is>
          <t>Revolver turns</t>
        </is>
      </c>
      <c r="C23" s="5" t="n">
        <v>0.5</v>
      </c>
    </row>
    <row r="24">
      <c r="B24" s="4" t="inlineStr">
        <is>
          <t>Term Loan A turns</t>
        </is>
      </c>
      <c r="C24" s="5" t="n">
        <v>2.5</v>
      </c>
    </row>
    <row r="25">
      <c r="B25" s="4" t="inlineStr">
        <is>
          <t>Term Loan B turns</t>
        </is>
      </c>
      <c r="C25" s="5" t="n">
        <v>2</v>
      </c>
    </row>
    <row r="26">
      <c r="B26" s="4" t="inlineStr">
        <is>
          <t>Senior Notes turns</t>
        </is>
      </c>
      <c r="C26" s="5" t="n">
        <v>1.5</v>
      </c>
    </row>
    <row r="27">
      <c r="B27" s="4" t="inlineStr">
        <is>
          <t>Revolver $</t>
        </is>
      </c>
      <c r="C27" s="9">
        <f>C23*$C$11</f>
        <v/>
      </c>
    </row>
    <row r="28">
      <c r="B28" s="4" t="inlineStr">
        <is>
          <t>Term Loan A $</t>
        </is>
      </c>
      <c r="C28" s="9">
        <f>C24*$C$11</f>
        <v/>
      </c>
    </row>
    <row r="29">
      <c r="B29" s="4" t="inlineStr">
        <is>
          <t>Term Loan B $</t>
        </is>
      </c>
      <c r="C29" s="9">
        <f>C25*$C$11</f>
        <v/>
      </c>
    </row>
    <row r="30">
      <c r="B30" s="4" t="inlineStr">
        <is>
          <t>Senior Notes $</t>
        </is>
      </c>
      <c r="C30" s="9">
        <f>C26*$C$11</f>
        <v/>
      </c>
    </row>
    <row r="31">
      <c r="B31" s="4" t="inlineStr">
        <is>
          <t>Total new debt</t>
        </is>
      </c>
      <c r="C31" s="9">
        <f>SUM(C27:C30)</f>
        <v/>
      </c>
    </row>
    <row r="33">
      <c r="B33" s="3" t="inlineStr">
        <is>
          <t>INTEREST / AMORT</t>
        </is>
      </c>
    </row>
    <row r="34">
      <c r="B34" s="4" t="inlineStr">
        <is>
          <t>SOFR</t>
        </is>
      </c>
      <c r="C34" s="13" t="n">
        <v>0.043</v>
      </c>
    </row>
    <row r="35">
      <c r="B35" s="4" t="inlineStr">
        <is>
          <t>Revolver spread</t>
        </is>
      </c>
      <c r="C35" s="13" t="n">
        <v>0.025</v>
      </c>
    </row>
    <row r="36">
      <c r="B36" s="4" t="inlineStr">
        <is>
          <t>TLA spread</t>
        </is>
      </c>
      <c r="C36" s="13" t="n">
        <v>0.03</v>
      </c>
    </row>
    <row r="37">
      <c r="B37" s="4" t="inlineStr">
        <is>
          <t>TLB spread</t>
        </is>
      </c>
      <c r="C37" s="13" t="n">
        <v>0.035</v>
      </c>
    </row>
    <row r="38">
      <c r="B38" s="4" t="inlineStr">
        <is>
          <t>Senior Notes coupon</t>
        </is>
      </c>
      <c r="C38" s="13" t="n">
        <v>0.075</v>
      </c>
    </row>
    <row r="39">
      <c r="B39" s="4" t="inlineStr">
        <is>
          <t>TLA annual amort % of initial</t>
        </is>
      </c>
      <c r="C39" s="7" t="n">
        <v>0.05</v>
      </c>
    </row>
    <row r="40">
      <c r="B40" s="4" t="inlineStr">
        <is>
          <t>Revolver rate</t>
        </is>
      </c>
      <c r="C40" s="14">
        <f>C34+C35</f>
        <v/>
      </c>
    </row>
    <row r="41">
      <c r="B41" s="4" t="inlineStr">
        <is>
          <t>TLA rate</t>
        </is>
      </c>
      <c r="C41" s="14">
        <f>C34+C36</f>
        <v/>
      </c>
    </row>
    <row r="42">
      <c r="B42" s="4" t="inlineStr">
        <is>
          <t>TLB rate</t>
        </is>
      </c>
      <c r="C42" s="14">
        <f>C34+C37</f>
        <v/>
      </c>
    </row>
    <row r="44">
      <c r="B44" s="3" t="inlineStr">
        <is>
          <t>OPERATING FORECAST DRIVERS</t>
        </is>
      </c>
    </row>
    <row r="45">
      <c r="A45" s="15" t="n"/>
      <c r="B45" s="15" t="inlineStr">
        <is>
          <t>Metric</t>
        </is>
      </c>
      <c r="C45" s="15" t="n">
        <v>2026</v>
      </c>
      <c r="D45" s="15" t="n">
        <v>2027</v>
      </c>
      <c r="E45" s="15" t="n">
        <v>2028</v>
      </c>
      <c r="F45" s="15" t="n">
        <v>2029</v>
      </c>
      <c r="G45" s="15" t="n">
        <v>2030</v>
      </c>
    </row>
    <row r="46">
      <c r="B46" s="4" t="inlineStr">
        <is>
          <t>Revenue growth</t>
        </is>
      </c>
      <c r="C46" s="7" t="n">
        <v>0.14</v>
      </c>
      <c r="D46" s="7" t="n">
        <v>0.12</v>
      </c>
      <c r="E46" s="7" t="n">
        <v>0.1</v>
      </c>
      <c r="F46" s="7" t="n">
        <v>0.09</v>
      </c>
      <c r="G46" s="7" t="n">
        <v>0.08</v>
      </c>
    </row>
    <row r="47">
      <c r="B47" s="4" t="inlineStr">
        <is>
          <t>EBITDA margin</t>
        </is>
      </c>
      <c r="C47" s="7" t="n">
        <v>0.48</v>
      </c>
      <c r="D47" s="7" t="n">
        <v>0.49</v>
      </c>
      <c r="E47" s="7" t="n">
        <v>0.5</v>
      </c>
      <c r="F47" s="7" t="n">
        <v>0.505</v>
      </c>
      <c r="G47" s="7" t="n">
        <v>0.51</v>
      </c>
    </row>
    <row r="48">
      <c r="B48" s="4" t="inlineStr">
        <is>
          <t>CapEx % revenue</t>
        </is>
      </c>
      <c r="C48" s="7" t="n">
        <v>0.012</v>
      </c>
      <c r="D48" s="7" t="n">
        <v>0.011</v>
      </c>
      <c r="E48" s="7" t="n">
        <v>0.01</v>
      </c>
      <c r="F48" s="7" t="n">
        <v>0.008999999999999999</v>
      </c>
      <c r="G48" s="7" t="n">
        <v>0.008</v>
      </c>
    </row>
    <row r="49">
      <c r="B49" s="4" t="inlineStr">
        <is>
          <t>NWC % revenue</t>
        </is>
      </c>
      <c r="C49" s="7" t="n">
        <v>0.08</v>
      </c>
      <c r="D49" s="7" t="n">
        <v>0.075</v>
      </c>
      <c r="E49" s="7" t="n">
        <v>0.07000000000000001</v>
      </c>
      <c r="F49" s="7" t="n">
        <v>0.065</v>
      </c>
      <c r="G49" s="7" t="n">
        <v>0.06</v>
      </c>
    </row>
    <row r="51">
      <c r="B51" s="3" t="inlineStr">
        <is>
          <t>HISTORICAL ANCHORS ($m)</t>
        </is>
      </c>
    </row>
    <row r="52">
      <c r="A52" s="15" t="n"/>
      <c r="B52" s="15" t="inlineStr">
        <is>
          <t>Line</t>
        </is>
      </c>
      <c r="C52" s="15" t="n">
        <v>2023</v>
      </c>
      <c r="D52" s="15" t="n">
        <v>2024</v>
      </c>
      <c r="E52" s="15" t="n">
        <v>2025</v>
      </c>
    </row>
    <row r="53">
      <c r="B53" s="4" t="inlineStr">
        <is>
          <t>Revenue</t>
        </is>
      </c>
      <c r="C53" s="10" t="n">
        <v>1513.557</v>
      </c>
      <c r="D53" s="10" t="n">
        <v>1717.526</v>
      </c>
      <c r="E53" s="10" t="n">
        <v>1990.869</v>
      </c>
    </row>
    <row r="54">
      <c r="B54" s="4" t="inlineStr">
        <is>
          <t>COGS</t>
        </is>
      </c>
      <c r="C54" s="10" t="n">
        <v>311.053</v>
      </c>
      <c r="D54" s="10" t="n">
        <v>348.206</v>
      </c>
      <c r="E54" s="10" t="n">
        <v>353.722</v>
      </c>
    </row>
    <row r="55">
      <c r="B55" s="4" t="inlineStr">
        <is>
          <t>R&amp;D</t>
        </is>
      </c>
      <c r="C55" s="10" t="n">
        <v>159.95</v>
      </c>
      <c r="D55" s="10" t="n">
        <v>171.94</v>
      </c>
      <c r="E55" s="10" t="n">
        <v>188.347</v>
      </c>
    </row>
    <row r="56">
      <c r="B56" s="4" t="inlineStr">
        <is>
          <t>SG&amp;A</t>
        </is>
      </c>
      <c r="C56" s="10" t="n">
        <v>400.565</v>
      </c>
      <c r="D56" s="10" t="n">
        <v>462.834</v>
      </c>
      <c r="E56" s="10" t="n">
        <v>513.028</v>
      </c>
    </row>
    <row r="57">
      <c r="B57" s="4" t="inlineStr">
        <is>
          <t>D&amp;A</t>
        </is>
      </c>
      <c r="C57" s="10" t="n">
        <v>14.638</v>
      </c>
      <c r="D57" s="10" t="n">
        <v>13.827</v>
      </c>
      <c r="E57" s="10" t="n">
        <v>14.952</v>
      </c>
    </row>
    <row r="58">
      <c r="B58" s="4" t="inlineStr">
        <is>
          <t>EBITDA (hist)</t>
        </is>
      </c>
      <c r="C58" s="9">
        <f>C53-C54-C55-C56</f>
        <v/>
      </c>
      <c r="D58" s="9">
        <f>D53-D54-D55-D56</f>
        <v/>
      </c>
      <c r="E58" s="9">
        <f>E53-E54-E55-E56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7"/>
  <sheetViews>
    <sheetView workbookViewId="0">
      <selection activeCell="A1" sqref="A1"/>
    </sheetView>
  </sheetViews>
  <sheetFormatPr baseColWidth="8" defaultRowHeight="15"/>
  <cols>
    <col width="32" customWidth="1" min="2" max="2"/>
    <col width="14" customWidth="1" min="3" max="3"/>
    <col width="28" customWidth="1" min="5" max="5"/>
    <col width="14" customWidth="1" min="6" max="6"/>
  </cols>
  <sheetData>
    <row r="2">
      <c r="B2" s="1" t="inlineStr">
        <is>
          <t>Sources &amp; Uses</t>
        </is>
      </c>
    </row>
    <row r="4">
      <c r="B4" s="3" t="inlineStr">
        <is>
          <t>USES</t>
        </is>
      </c>
      <c r="E4" s="3" t="inlineStr">
        <is>
          <t>SOURCES</t>
        </is>
      </c>
    </row>
    <row r="5">
      <c r="B5" s="4" t="inlineStr">
        <is>
          <t>Equity purchase price</t>
        </is>
      </c>
      <c r="C5" s="9">
        <f>'01_Assumptions'!C10</f>
        <v/>
      </c>
      <c r="E5" s="4" t="inlineStr">
        <is>
          <t>Excess cash</t>
        </is>
      </c>
      <c r="F5" s="9">
        <f>'01_Assumptions'!C15</f>
        <v/>
      </c>
    </row>
    <row r="6">
      <c r="B6" s="4" t="inlineStr">
        <is>
          <t>Refinance existing debt</t>
        </is>
      </c>
      <c r="C6" s="9">
        <f>'01_Assumptions'!C12</f>
        <v/>
      </c>
      <c r="E6" s="4" t="inlineStr">
        <is>
          <t>Revolver</t>
        </is>
      </c>
      <c r="F6" s="9">
        <f>'01_Assumptions'!C27</f>
        <v/>
      </c>
    </row>
    <row r="7">
      <c r="B7" s="4" t="inlineStr">
        <is>
          <t>Transaction fees</t>
        </is>
      </c>
      <c r="C7" s="9">
        <f>'01_Assumptions'!C17</f>
        <v/>
      </c>
      <c r="E7" s="4" t="inlineStr">
        <is>
          <t>Term Loan A</t>
        </is>
      </c>
      <c r="F7" s="9">
        <f>'01_Assumptions'!C28</f>
        <v/>
      </c>
    </row>
    <row r="8">
      <c r="B8" s="16" t="inlineStr">
        <is>
          <t>Total Uses</t>
        </is>
      </c>
      <c r="C8" s="9">
        <f>SUM(C5:C7)</f>
        <v/>
      </c>
      <c r="E8" s="4" t="inlineStr">
        <is>
          <t>Term Loan B</t>
        </is>
      </c>
      <c r="F8" s="9">
        <f>'01_Assumptions'!C29</f>
        <v/>
      </c>
    </row>
    <row r="9">
      <c r="E9" s="4" t="inlineStr">
        <is>
          <t>Senior Notes</t>
        </is>
      </c>
      <c r="F9" s="9">
        <f>'01_Assumptions'!C30</f>
        <v/>
      </c>
    </row>
    <row r="10">
      <c r="E10" s="16" t="inlineStr">
        <is>
          <t>Sponsor equity (plug)</t>
        </is>
      </c>
      <c r="F10" s="9">
        <f>C8-SUM(F5:F9)</f>
        <v/>
      </c>
    </row>
    <row r="11">
      <c r="E11" s="16" t="inlineStr">
        <is>
          <t>Total Sources</t>
        </is>
      </c>
      <c r="F11" s="9">
        <f>SUM(F5:F10)</f>
        <v/>
      </c>
    </row>
    <row r="13">
      <c r="B13" s="16" t="inlineStr">
        <is>
          <t>Entry EV</t>
        </is>
      </c>
      <c r="C13" s="9">
        <f>'01_Assumptions'!C10+'01_Assumptions'!C12-'01_Assumptions'!C13</f>
        <v/>
      </c>
    </row>
    <row r="14">
      <c r="B14" s="4" t="inlineStr">
        <is>
          <t>Entry EV / LTM EBITDA</t>
        </is>
      </c>
      <c r="C14" s="17">
        <f>C13/'01_Assumptions'!C11</f>
        <v/>
      </c>
    </row>
    <row r="15">
      <c r="B15" s="4" t="inlineStr">
        <is>
          <t>Sources − Uses check</t>
        </is>
      </c>
      <c r="C15" s="9">
        <f>F11-C8</f>
        <v/>
      </c>
    </row>
    <row r="16">
      <c r="B16" s="4" t="inlineStr">
        <is>
          <t>Debt / EBITDA (entry)</t>
        </is>
      </c>
      <c r="C16" s="17">
        <f>'01_Assumptions'!C31/'01_Assumptions'!C11</f>
        <v/>
      </c>
    </row>
    <row r="17">
      <c r="B17" s="4" t="inlineStr">
        <is>
          <t>Equity contribution % of sources</t>
        </is>
      </c>
      <c r="C17" s="18">
        <f>F10/F11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20"/>
  <sheetViews>
    <sheetView workbookViewId="0">
      <selection activeCell="A1" sqref="A1"/>
    </sheetView>
  </sheetViews>
  <sheetFormatPr baseColWidth="8" defaultRowHeight="15"/>
  <cols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2">
      <c r="B2" s="1" t="inlineStr">
        <is>
          <t>Operating Model</t>
        </is>
      </c>
    </row>
    <row r="4">
      <c r="A4" s="15" t="n"/>
      <c r="B4" s="15" t="inlineStr">
        <is>
          <t>Fiscal year</t>
        </is>
      </c>
      <c r="C4" s="15" t="n">
        <v>2023</v>
      </c>
      <c r="D4" s="15" t="n">
        <v>2024</v>
      </c>
      <c r="E4" s="15" t="n">
        <v>2025</v>
      </c>
      <c r="F4" s="15" t="n">
        <v>2026</v>
      </c>
      <c r="G4" s="15" t="n">
        <v>2027</v>
      </c>
      <c r="H4" s="15" t="n">
        <v>2028</v>
      </c>
      <c r="I4" s="15" t="n">
        <v>2029</v>
      </c>
      <c r="J4" s="15" t="n">
        <v>2030</v>
      </c>
    </row>
    <row r="5">
      <c r="B5" s="4" t="inlineStr">
        <is>
          <t>Revenue</t>
        </is>
      </c>
      <c r="C5" s="9">
        <f>'01_Assumptions'!C53</f>
        <v/>
      </c>
      <c r="D5" s="9">
        <f>'01_Assumptions'!D53</f>
        <v/>
      </c>
      <c r="E5" s="9">
        <f>'01_Assumptions'!E53</f>
        <v/>
      </c>
      <c r="F5" s="9">
        <f>E5*(1+'01_Assumptions'!C46)</f>
        <v/>
      </c>
      <c r="G5" s="9">
        <f>F5*(1+'01_Assumptions'!D46)</f>
        <v/>
      </c>
      <c r="H5" s="9">
        <f>G5*(1+'01_Assumptions'!E46)</f>
        <v/>
      </c>
      <c r="I5" s="9">
        <f>H5*(1+'01_Assumptions'!F46)</f>
        <v/>
      </c>
      <c r="J5" s="9">
        <f>I5*(1+'01_Assumptions'!G46)</f>
        <v/>
      </c>
    </row>
    <row r="6">
      <c r="B6" s="4" t="inlineStr">
        <is>
          <t>Revenue growth</t>
        </is>
      </c>
      <c r="D6" s="18">
        <f>D5/C5-1</f>
        <v/>
      </c>
      <c r="E6" s="18">
        <f>E5/D5-1</f>
        <v/>
      </c>
      <c r="F6" s="18">
        <f>F5/E5-1</f>
        <v/>
      </c>
      <c r="G6" s="18">
        <f>G5/F5-1</f>
        <v/>
      </c>
      <c r="H6" s="18">
        <f>H5/G5-1</f>
        <v/>
      </c>
      <c r="I6" s="18">
        <f>I5/H5-1</f>
        <v/>
      </c>
      <c r="J6" s="18">
        <f>J5/I5-1</f>
        <v/>
      </c>
    </row>
    <row r="7">
      <c r="B7" s="4" t="inlineStr">
        <is>
          <t>EBITDA</t>
        </is>
      </c>
      <c r="C7" s="9">
        <f>'01_Assumptions'!C58</f>
        <v/>
      </c>
      <c r="D7" s="9">
        <f>'01_Assumptions'!D58</f>
        <v/>
      </c>
      <c r="E7" s="9">
        <f>'01_Assumptions'!E58</f>
        <v/>
      </c>
      <c r="F7" s="9">
        <f>F5*'01_Assumptions'!C47</f>
        <v/>
      </c>
      <c r="G7" s="9">
        <f>G5*'01_Assumptions'!D47</f>
        <v/>
      </c>
      <c r="H7" s="9">
        <f>H5*'01_Assumptions'!E47</f>
        <v/>
      </c>
      <c r="I7" s="9">
        <f>I5*'01_Assumptions'!F47</f>
        <v/>
      </c>
      <c r="J7" s="9">
        <f>J5*'01_Assumptions'!G47</f>
        <v/>
      </c>
    </row>
    <row r="8">
      <c r="B8" s="4" t="inlineStr">
        <is>
          <t>EBITDA margin</t>
        </is>
      </c>
      <c r="C8" s="18">
        <f>C7/C5</f>
        <v/>
      </c>
      <c r="D8" s="18">
        <f>D7/D5</f>
        <v/>
      </c>
      <c r="E8" s="18">
        <f>E7/E5</f>
        <v/>
      </c>
      <c r="F8" s="18">
        <f>F7/F5</f>
        <v/>
      </c>
      <c r="G8" s="18">
        <f>G7/G5</f>
        <v/>
      </c>
      <c r="H8" s="18">
        <f>H7/H5</f>
        <v/>
      </c>
      <c r="I8" s="18">
        <f>I7/I5</f>
        <v/>
      </c>
      <c r="J8" s="18">
        <f>J7/J5</f>
        <v/>
      </c>
    </row>
    <row r="9">
      <c r="B9" s="4" t="inlineStr">
        <is>
          <t>D&amp;A</t>
        </is>
      </c>
      <c r="C9" s="9">
        <f>'01_Assumptions'!C57</f>
        <v/>
      </c>
      <c r="D9" s="9">
        <f>'01_Assumptions'!D57</f>
        <v/>
      </c>
      <c r="E9" s="9">
        <f>'01_Assumptions'!E57</f>
        <v/>
      </c>
      <c r="F9" s="9">
        <f>F5*0.008</f>
        <v/>
      </c>
      <c r="G9" s="9">
        <f>G5*0.008</f>
        <v/>
      </c>
      <c r="H9" s="9">
        <f>H5*0.008</f>
        <v/>
      </c>
      <c r="I9" s="9">
        <f>I5*0.008</f>
        <v/>
      </c>
      <c r="J9" s="9">
        <f>J5*0.008</f>
        <v/>
      </c>
    </row>
    <row r="10">
      <c r="B10" s="4" t="inlineStr">
        <is>
          <t>EBIT</t>
        </is>
      </c>
      <c r="C10" s="9">
        <f>C7-C9</f>
        <v/>
      </c>
      <c r="D10" s="9">
        <f>D7-D9</f>
        <v/>
      </c>
      <c r="E10" s="9">
        <f>E7-E9</f>
        <v/>
      </c>
      <c r="F10" s="9">
        <f>F7-F9</f>
        <v/>
      </c>
      <c r="G10" s="9">
        <f>G7-G9</f>
        <v/>
      </c>
      <c r="H10" s="9">
        <f>H7-H9</f>
        <v/>
      </c>
      <c r="I10" s="9">
        <f>I7-I9</f>
        <v/>
      </c>
      <c r="J10" s="9">
        <f>J7-J9</f>
        <v/>
      </c>
    </row>
    <row r="11">
      <c r="B11" s="4" t="inlineStr">
        <is>
          <t>Interest expense</t>
        </is>
      </c>
      <c r="C11" s="10" t="n">
        <v>95.54600000000001</v>
      </c>
      <c r="D11" s="10" t="n">
        <v>105.638</v>
      </c>
      <c r="E11" s="10" t="n">
        <v>133.647</v>
      </c>
      <c r="F11" s="9">
        <f>'04_Debt_Schedule'!F20</f>
        <v/>
      </c>
      <c r="G11" s="9">
        <f>'04_Debt_Schedule'!G20</f>
        <v/>
      </c>
      <c r="H11" s="9">
        <f>'04_Debt_Schedule'!H20</f>
        <v/>
      </c>
      <c r="I11" s="9">
        <f>'04_Debt_Schedule'!I20</f>
        <v/>
      </c>
      <c r="J11" s="9">
        <f>'04_Debt_Schedule'!J20</f>
        <v/>
      </c>
    </row>
    <row r="12">
      <c r="B12" s="4" t="inlineStr">
        <is>
          <t>EBT</t>
        </is>
      </c>
      <c r="C12" s="9">
        <f>C10-C11</f>
        <v/>
      </c>
      <c r="D12" s="9">
        <f>D10-D11</f>
        <v/>
      </c>
      <c r="E12" s="9">
        <f>E10-E11</f>
        <v/>
      </c>
      <c r="F12" s="9">
        <f>F10-F11</f>
        <v/>
      </c>
      <c r="G12" s="9">
        <f>G10-G11</f>
        <v/>
      </c>
      <c r="H12" s="9">
        <f>H10-H11</f>
        <v/>
      </c>
      <c r="I12" s="9">
        <f>I10-I11</f>
        <v/>
      </c>
      <c r="J12" s="9">
        <f>J10-J11</f>
        <v/>
      </c>
    </row>
    <row r="13">
      <c r="B13" s="4" t="inlineStr">
        <is>
          <t>Taxes</t>
        </is>
      </c>
      <c r="C13" s="9">
        <f>MAX(0,C12)*'01_Assumptions'!$C$18</f>
        <v/>
      </c>
      <c r="D13" s="9">
        <f>MAX(0,D12)*'01_Assumptions'!$C$18</f>
        <v/>
      </c>
      <c r="E13" s="9">
        <f>MAX(0,E12)*'01_Assumptions'!$C$18</f>
        <v/>
      </c>
      <c r="F13" s="9">
        <f>MAX(0,F12)*'01_Assumptions'!$C$18</f>
        <v/>
      </c>
      <c r="G13" s="9">
        <f>MAX(0,G12)*'01_Assumptions'!$C$18</f>
        <v/>
      </c>
      <c r="H13" s="9">
        <f>MAX(0,H12)*'01_Assumptions'!$C$18</f>
        <v/>
      </c>
      <c r="I13" s="9">
        <f>MAX(0,I12)*'01_Assumptions'!$C$18</f>
        <v/>
      </c>
      <c r="J13" s="9">
        <f>MAX(0,J12)*'01_Assumptions'!$C$18</f>
        <v/>
      </c>
    </row>
    <row r="14">
      <c r="B14" s="4" t="inlineStr">
        <is>
          <t>Net income</t>
        </is>
      </c>
      <c r="C14" s="9">
        <f>C12-C13</f>
        <v/>
      </c>
      <c r="D14" s="9">
        <f>D12-D13</f>
        <v/>
      </c>
      <c r="E14" s="9">
        <f>E12-E13</f>
        <v/>
      </c>
      <c r="F14" s="9">
        <f>F12-F13</f>
        <v/>
      </c>
      <c r="G14" s="9">
        <f>G12-G13</f>
        <v/>
      </c>
      <c r="H14" s="9">
        <f>H12-H13</f>
        <v/>
      </c>
      <c r="I14" s="9">
        <f>I12-I13</f>
        <v/>
      </c>
      <c r="J14" s="9">
        <f>J12-J13</f>
        <v/>
      </c>
    </row>
    <row r="16">
      <c r="B16" s="4" t="inlineStr">
        <is>
          <t>CapEx</t>
        </is>
      </c>
      <c r="F16" s="9">
        <f>F5*'01_Assumptions'!C48</f>
        <v/>
      </c>
      <c r="G16" s="9">
        <f>G5*'01_Assumptions'!D48</f>
        <v/>
      </c>
      <c r="H16" s="9">
        <f>H5*'01_Assumptions'!E48</f>
        <v/>
      </c>
      <c r="I16" s="9">
        <f>I5*'01_Assumptions'!F48</f>
        <v/>
      </c>
      <c r="J16" s="9">
        <f>J5*'01_Assumptions'!G48</f>
        <v/>
      </c>
    </row>
    <row r="17">
      <c r="B17" s="4" t="inlineStr">
        <is>
          <t>NWC</t>
        </is>
      </c>
      <c r="F17" s="9">
        <f>F5*'01_Assumptions'!C49</f>
        <v/>
      </c>
      <c r="G17" s="9">
        <f>G5*'01_Assumptions'!D49</f>
        <v/>
      </c>
      <c r="H17" s="9">
        <f>H5*'01_Assumptions'!E49</f>
        <v/>
      </c>
      <c r="I17" s="9">
        <f>I5*'01_Assumptions'!F49</f>
        <v/>
      </c>
      <c r="J17" s="9">
        <f>J5*'01_Assumptions'!G49</f>
        <v/>
      </c>
    </row>
    <row r="18">
      <c r="B18" s="4" t="inlineStr">
        <is>
          <t>ΔNWC (use of cash)</t>
        </is>
      </c>
      <c r="F18" s="9">
        <f>F17-E5*'01_Assumptions'!C49</f>
        <v/>
      </c>
      <c r="G18" s="9">
        <f>G17-F17</f>
        <v/>
      </c>
      <c r="H18" s="9">
        <f>H17-G17</f>
        <v/>
      </c>
      <c r="I18" s="9">
        <f>I17-H17</f>
        <v/>
      </c>
      <c r="J18" s="9">
        <f>J17-I17</f>
        <v/>
      </c>
    </row>
    <row r="19">
      <c r="B19" s="16" t="inlineStr">
        <is>
          <t>Free cash flow (pre-debt)</t>
        </is>
      </c>
      <c r="F19" s="9">
        <f>F14+F9-F16-F18</f>
        <v/>
      </c>
      <c r="G19" s="9">
        <f>G14+G9-G16-G18</f>
        <v/>
      </c>
      <c r="H19" s="9">
        <f>H14+H9-H16-H18</f>
        <v/>
      </c>
      <c r="I19" s="9">
        <f>I14+I9-I16-I18</f>
        <v/>
      </c>
      <c r="J19" s="9">
        <f>J14+J9-J16-J18</f>
        <v/>
      </c>
    </row>
    <row r="20">
      <c r="B20" s="16" t="inlineStr">
        <is>
          <t>Cash available for debt paydown</t>
        </is>
      </c>
      <c r="F20" s="9">
        <f>MAX(0,F19)</f>
        <v/>
      </c>
      <c r="G20" s="9">
        <f>MAX(0,G19)</f>
        <v/>
      </c>
      <c r="H20" s="9">
        <f>MAX(0,H19)</f>
        <v/>
      </c>
      <c r="I20" s="9">
        <f>MAX(0,I19)</f>
        <v/>
      </c>
      <c r="J20" s="9">
        <f>MAX(0,J19)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36"/>
  <sheetViews>
    <sheetView workbookViewId="0">
      <selection activeCell="A1" sqref="A1"/>
    </sheetView>
  </sheetViews>
  <sheetFormatPr baseColWidth="8" defaultRowHeight="15"/>
  <cols>
    <col width="34" customWidth="1" min="2" max="2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2">
      <c r="B2" s="1" t="inlineStr">
        <is>
          <t>Debt Schedule</t>
        </is>
      </c>
    </row>
    <row r="4">
      <c r="A4" s="15" t="n"/>
      <c r="B4" s="15" t="inlineStr">
        <is>
          <t>Item</t>
        </is>
      </c>
      <c r="C4" s="15" t="n"/>
      <c r="D4" s="15" t="n"/>
      <c r="E4" s="15" t="n"/>
      <c r="F4" s="15" t="n">
        <v>2026</v>
      </c>
      <c r="G4" s="15" t="n">
        <v>2027</v>
      </c>
      <c r="H4" s="15" t="n">
        <v>2028</v>
      </c>
      <c r="I4" s="15" t="n">
        <v>2029</v>
      </c>
      <c r="J4" s="15" t="n">
        <v>2030</v>
      </c>
    </row>
    <row r="5">
      <c r="B5" s="3" t="inlineStr">
        <is>
          <t>Opening balances</t>
        </is>
      </c>
      <c r="C5" s="4" t="n"/>
      <c r="D5" s="4" t="n"/>
      <c r="E5" s="4" t="n"/>
      <c r="F5" s="19" t="n"/>
      <c r="G5" s="19" t="n"/>
      <c r="H5" s="19" t="n"/>
      <c r="I5" s="19" t="n"/>
      <c r="J5" s="19" t="n"/>
    </row>
    <row r="6">
      <c r="B6" s="4" t="inlineStr">
        <is>
          <t>Revolver</t>
        </is>
      </c>
      <c r="C6" s="4" t="n"/>
      <c r="D6" s="4" t="n"/>
      <c r="E6" s="4" t="n"/>
      <c r="F6" s="9">
        <f>'01_Assumptions'!C27</f>
        <v/>
      </c>
      <c r="G6" s="9">
        <f>F32</f>
        <v/>
      </c>
      <c r="H6" s="9">
        <f>G32</f>
        <v/>
      </c>
      <c r="I6" s="9">
        <f>H32</f>
        <v/>
      </c>
      <c r="J6" s="9">
        <f>I32</f>
        <v/>
      </c>
    </row>
    <row r="7">
      <c r="B7" s="4" t="inlineStr">
        <is>
          <t>Term Loan A</t>
        </is>
      </c>
      <c r="C7" s="4" t="n"/>
      <c r="D7" s="4" t="n"/>
      <c r="E7" s="4" t="n"/>
      <c r="F7" s="9">
        <f>'01_Assumptions'!C28</f>
        <v/>
      </c>
      <c r="G7" s="9">
        <f>F33</f>
        <v/>
      </c>
      <c r="H7" s="9">
        <f>G33</f>
        <v/>
      </c>
      <c r="I7" s="9">
        <f>H33</f>
        <v/>
      </c>
      <c r="J7" s="9">
        <f>I33</f>
        <v/>
      </c>
    </row>
    <row r="8">
      <c r="B8" s="4" t="inlineStr">
        <is>
          <t>Term Loan B</t>
        </is>
      </c>
      <c r="C8" s="4" t="n"/>
      <c r="D8" s="4" t="n"/>
      <c r="E8" s="4" t="n"/>
      <c r="F8" s="9">
        <f>'01_Assumptions'!C29</f>
        <v/>
      </c>
      <c r="G8" s="9">
        <f>F34</f>
        <v/>
      </c>
      <c r="H8" s="9">
        <f>G34</f>
        <v/>
      </c>
      <c r="I8" s="9">
        <f>H34</f>
        <v/>
      </c>
      <c r="J8" s="9">
        <f>I34</f>
        <v/>
      </c>
    </row>
    <row r="9">
      <c r="B9" s="4" t="inlineStr">
        <is>
          <t>Senior Notes</t>
        </is>
      </c>
      <c r="C9" s="4" t="n"/>
      <c r="D9" s="4" t="n"/>
      <c r="E9" s="4" t="n"/>
      <c r="F9" s="9">
        <f>'01_Assumptions'!C30</f>
        <v/>
      </c>
      <c r="G9" s="9">
        <f>F35</f>
        <v/>
      </c>
      <c r="H9" s="9">
        <f>G35</f>
        <v/>
      </c>
      <c r="I9" s="9">
        <f>H35</f>
        <v/>
      </c>
      <c r="J9" s="9">
        <f>I35</f>
        <v/>
      </c>
    </row>
    <row r="10">
      <c r="B10" s="4" t="inlineStr">
        <is>
          <t>Total debt opening</t>
        </is>
      </c>
      <c r="C10" s="4" t="n"/>
      <c r="D10" s="4" t="n"/>
      <c r="E10" s="4" t="n"/>
      <c r="F10" s="9">
        <f>SUM(F6:F9)</f>
        <v/>
      </c>
      <c r="G10" s="9">
        <f>SUM(G6:G9)</f>
        <v/>
      </c>
      <c r="H10" s="9">
        <f>SUM(H6:H9)</f>
        <v/>
      </c>
      <c r="I10" s="9">
        <f>SUM(I6:I9)</f>
        <v/>
      </c>
      <c r="J10" s="9">
        <f>SUM(J6:J9)</f>
        <v/>
      </c>
    </row>
    <row r="11"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B12" s="3" t="inlineStr">
        <is>
          <t>Mandatory amortization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B13" s="4" t="inlineStr">
        <is>
          <t>TLA mandatory</t>
        </is>
      </c>
      <c r="C13" s="4" t="n"/>
      <c r="D13" s="4" t="n"/>
      <c r="E13" s="4" t="n"/>
      <c r="F13" s="9">
        <f>MIN(F7,'01_Assumptions'!$C$28*'01_Assumptions'!$C$39)</f>
        <v/>
      </c>
      <c r="G13" s="9">
        <f>MIN(G7,'01_Assumptions'!$C$28*'01_Assumptions'!$C$39)</f>
        <v/>
      </c>
      <c r="H13" s="9">
        <f>MIN(H7,'01_Assumptions'!$C$28*'01_Assumptions'!$C$39)</f>
        <v/>
      </c>
      <c r="I13" s="9">
        <f>MIN(I7,'01_Assumptions'!$C$28*'01_Assumptions'!$C$39)</f>
        <v/>
      </c>
      <c r="J13" s="9">
        <f>MIN(J7,'01_Assumptions'!$C$28*'01_Assumptions'!$C$39)</f>
        <v/>
      </c>
    </row>
    <row r="14">
      <c r="B14" s="4" t="inlineStr">
        <is>
          <t>Notes / TLB mandatory</t>
        </is>
      </c>
      <c r="C14" s="4" t="n"/>
      <c r="D14" s="4" t="n"/>
      <c r="E14" s="4" t="n"/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0</v>
      </c>
    </row>
    <row r="15">
      <c r="B15" s="3" t="inlineStr">
        <is>
          <t>Cash interest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B16" s="4" t="inlineStr">
        <is>
          <t>Interest expense</t>
        </is>
      </c>
      <c r="C16" s="4" t="n"/>
      <c r="D16" s="4" t="n"/>
      <c r="E16" s="4" t="n"/>
      <c r="F16" s="9">
        <f>F6*'01_Assumptions'!$C$40+F7*'01_Assumptions'!$C$41+F8*'01_Assumptions'!$C$42+F9*'01_Assumptions'!$C$38</f>
        <v/>
      </c>
      <c r="G16" s="9">
        <f>G6*'01_Assumptions'!$C$40+G7*'01_Assumptions'!$C$41+G8*'01_Assumptions'!$C$42+G9*'01_Assumptions'!$C$38</f>
        <v/>
      </c>
      <c r="H16" s="9">
        <f>H6*'01_Assumptions'!$C$40+H7*'01_Assumptions'!$C$41+H8*'01_Assumptions'!$C$42+H9*'01_Assumptions'!$C$38</f>
        <v/>
      </c>
      <c r="I16" s="9">
        <f>I6*'01_Assumptions'!$C$40+I7*'01_Assumptions'!$C$41+I8*'01_Assumptions'!$C$42+I9*'01_Assumptions'!$C$38</f>
        <v/>
      </c>
      <c r="J16" s="9">
        <f>J6*'01_Assumptions'!$C$40+J7*'01_Assumptions'!$C$41+J8*'01_Assumptions'!$C$42+J9*'01_Assumptions'!$C$38</f>
        <v/>
      </c>
    </row>
    <row r="17"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B20" s="16" t="inlineStr">
        <is>
          <t>Total interest (link to Op)</t>
        </is>
      </c>
      <c r="C20" s="4" t="n"/>
      <c r="D20" s="4" t="n"/>
      <c r="E20" s="4" t="n"/>
      <c r="F20" s="9">
        <f>F16</f>
        <v/>
      </c>
      <c r="G20" s="9">
        <f>G16</f>
        <v/>
      </c>
      <c r="H20" s="9">
        <f>H16</f>
        <v/>
      </c>
      <c r="I20" s="9">
        <f>I16</f>
        <v/>
      </c>
      <c r="J20" s="9">
        <f>J16</f>
        <v/>
      </c>
    </row>
    <row r="21"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B22" s="3" t="inlineStr">
        <is>
          <t>Cash flow sweep (optional paydown)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B23" s="4" t="inlineStr">
        <is>
          <t>Cash for paydown (from Op)</t>
        </is>
      </c>
      <c r="C23" s="4" t="n"/>
      <c r="D23" s="4" t="n"/>
      <c r="E23" s="4" t="n"/>
      <c r="F23" s="9">
        <f>'03_Operating'!F20</f>
        <v/>
      </c>
      <c r="G23" s="9">
        <f>'03_Operating'!G20</f>
        <v/>
      </c>
      <c r="H23" s="9">
        <f>'03_Operating'!H20</f>
        <v/>
      </c>
      <c r="I23" s="9">
        <f>'03_Operating'!I20</f>
        <v/>
      </c>
      <c r="J23" s="9">
        <f>'03_Operating'!J20</f>
        <v/>
      </c>
    </row>
    <row r="24">
      <c r="B24" s="4" t="inlineStr">
        <is>
          <t>After mandatory</t>
        </is>
      </c>
      <c r="C24" s="4" t="n"/>
      <c r="D24" s="4" t="n"/>
      <c r="E24" s="4" t="n"/>
      <c r="F24" s="9">
        <f>MAX(0,F23-F13-F14)</f>
        <v/>
      </c>
      <c r="G24" s="9">
        <f>MAX(0,G23-G13-G14)</f>
        <v/>
      </c>
      <c r="H24" s="9">
        <f>MAX(0,H23-H13-H14)</f>
        <v/>
      </c>
      <c r="I24" s="9">
        <f>MAX(0,I23-I13-I14)</f>
        <v/>
      </c>
      <c r="J24" s="9">
        <f>MAX(0,J23-J13-J14)</f>
        <v/>
      </c>
    </row>
    <row r="25">
      <c r="B25" s="4" t="inlineStr">
        <is>
          <t>Sweep to Revolver</t>
        </is>
      </c>
      <c r="C25" s="4" t="n"/>
      <c r="D25" s="4" t="n"/>
      <c r="E25" s="4" t="n"/>
      <c r="F25" s="9">
        <f>MIN(F6,F24)</f>
        <v/>
      </c>
      <c r="G25" s="9">
        <f>MIN(G6,G24)</f>
        <v/>
      </c>
      <c r="H25" s="9">
        <f>MIN(H6,H24)</f>
        <v/>
      </c>
      <c r="I25" s="9">
        <f>MIN(I6,I24)</f>
        <v/>
      </c>
      <c r="J25" s="9">
        <f>MIN(J6,J24)</f>
        <v/>
      </c>
    </row>
    <row r="26">
      <c r="B26" s="4" t="inlineStr">
        <is>
          <t>Sweep to TLA</t>
        </is>
      </c>
      <c r="C26" s="4" t="n"/>
      <c r="D26" s="4" t="n"/>
      <c r="E26" s="4" t="n"/>
      <c r="F26" s="9">
        <f>MIN(MAX(0,F7-F13),MAX(0,F24-F25))</f>
        <v/>
      </c>
      <c r="G26" s="9">
        <f>MIN(MAX(0,G7-G13),MAX(0,G24-G25))</f>
        <v/>
      </c>
      <c r="H26" s="9">
        <f>MIN(MAX(0,H7-H13),MAX(0,H24-H25))</f>
        <v/>
      </c>
      <c r="I26" s="9">
        <f>MIN(MAX(0,I7-I13),MAX(0,I24-I25))</f>
        <v/>
      </c>
      <c r="J26" s="9">
        <f>MIN(MAX(0,J7-J13),MAX(0,J24-J25))</f>
        <v/>
      </c>
    </row>
    <row r="27">
      <c r="B27" s="4" t="inlineStr">
        <is>
          <t>Sweep to TLB</t>
        </is>
      </c>
      <c r="C27" s="4" t="n"/>
      <c r="D27" s="4" t="n"/>
      <c r="E27" s="4" t="n"/>
      <c r="F27" s="9">
        <f>MIN(F8,MAX(0,F24-F25-F26))</f>
        <v/>
      </c>
      <c r="G27" s="9">
        <f>MIN(G8,MAX(0,G24-G25-G26))</f>
        <v/>
      </c>
      <c r="H27" s="9">
        <f>MIN(H8,MAX(0,H24-H25-H26))</f>
        <v/>
      </c>
      <c r="I27" s="9">
        <f>MIN(I8,MAX(0,I24-I25-I26))</f>
        <v/>
      </c>
      <c r="J27" s="9">
        <f>MIN(J8,MAX(0,J24-J25-J26))</f>
        <v/>
      </c>
    </row>
    <row r="28">
      <c r="B28" s="4" t="inlineStr">
        <is>
          <t>Sweep to Notes</t>
        </is>
      </c>
      <c r="C28" s="4" t="n"/>
      <c r="D28" s="4" t="n"/>
      <c r="E28" s="4" t="n"/>
      <c r="F28" s="9">
        <f>MIN(F9,MAX(0,F24-F25-F26-F27))</f>
        <v/>
      </c>
      <c r="G28" s="9">
        <f>MIN(G9,MAX(0,G24-G25-G26-G27))</f>
        <v/>
      </c>
      <c r="H28" s="9">
        <f>MIN(H9,MAX(0,H24-H25-H26-H27))</f>
        <v/>
      </c>
      <c r="I28" s="9">
        <f>MIN(I9,MAX(0,I24-I25-I26-I27))</f>
        <v/>
      </c>
      <c r="J28" s="9">
        <f>MIN(J9,MAX(0,J24-J25-J26-J27))</f>
        <v/>
      </c>
    </row>
    <row r="29"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B30" s="3" t="inlineStr">
        <is>
          <t>Ending balances</t>
        </is>
      </c>
    </row>
    <row r="32">
      <c r="B32" s="4" t="inlineStr">
        <is>
          <t>Revolver ending</t>
        </is>
      </c>
      <c r="F32" s="9">
        <f>MAX(0,F6-F25)</f>
        <v/>
      </c>
      <c r="G32" s="9">
        <f>MAX(0,G6-G25)</f>
        <v/>
      </c>
      <c r="H32" s="9">
        <f>MAX(0,H6-H25)</f>
        <v/>
      </c>
      <c r="I32" s="9">
        <f>MAX(0,I6-I25)</f>
        <v/>
      </c>
      <c r="J32" s="9">
        <f>MAX(0,J6-J25)</f>
        <v/>
      </c>
    </row>
    <row r="33">
      <c r="B33" s="4" t="inlineStr">
        <is>
          <t>TLA ending</t>
        </is>
      </c>
      <c r="F33" s="9">
        <f>MAX(0,F7-F13-F26)</f>
        <v/>
      </c>
      <c r="G33" s="9">
        <f>MAX(0,G7-G13-G26)</f>
        <v/>
      </c>
      <c r="H33" s="9">
        <f>MAX(0,H7-H13-H26)</f>
        <v/>
      </c>
      <c r="I33" s="9">
        <f>MAX(0,I7-I13-I26)</f>
        <v/>
      </c>
      <c r="J33" s="9">
        <f>MAX(0,J7-J13-J26)</f>
        <v/>
      </c>
    </row>
    <row r="34">
      <c r="B34" s="4" t="inlineStr">
        <is>
          <t>TLB ending</t>
        </is>
      </c>
      <c r="F34" s="9">
        <f>MAX(0,F8-F27)</f>
        <v/>
      </c>
      <c r="G34" s="9">
        <f>MAX(0,G8-G27)</f>
        <v/>
      </c>
      <c r="H34" s="9">
        <f>MAX(0,H8-H27)</f>
        <v/>
      </c>
      <c r="I34" s="9">
        <f>MAX(0,I8-I27)</f>
        <v/>
      </c>
      <c r="J34" s="9">
        <f>MAX(0,J8-J27)</f>
        <v/>
      </c>
    </row>
    <row r="35">
      <c r="B35" s="4" t="inlineStr">
        <is>
          <t>Notes ending</t>
        </is>
      </c>
      <c r="F35" s="9">
        <f>MAX(0,F9-F28)</f>
        <v/>
      </c>
      <c r="G35" s="9">
        <f>MAX(0,G9-G28)</f>
        <v/>
      </c>
      <c r="H35" s="9">
        <f>MAX(0,H9-H28)</f>
        <v/>
      </c>
      <c r="I35" s="9">
        <f>MAX(0,I9-I28)</f>
        <v/>
      </c>
      <c r="J35" s="9">
        <f>MAX(0,J9-J28)</f>
        <v/>
      </c>
    </row>
    <row r="36">
      <c r="B36" s="4" t="inlineStr">
        <is>
          <t>Total debt ending</t>
        </is>
      </c>
      <c r="F36" s="9">
        <f>SUM(F32:F35)</f>
        <v/>
      </c>
      <c r="G36" s="9">
        <f>SUM(G32:G35)</f>
        <v/>
      </c>
      <c r="H36" s="9">
        <f>SUM(H32:H35)</f>
        <v/>
      </c>
      <c r="I36" s="9">
        <f>SUM(I32:I35)</f>
        <v/>
      </c>
      <c r="J36" s="9">
        <f>SUM(J32:J35)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22"/>
  <sheetViews>
    <sheetView workbookViewId="0">
      <selection activeCell="A1" sqref="A1"/>
    </sheetView>
  </sheetViews>
  <sheetFormatPr baseColWidth="8" defaultRowHeight="15"/>
  <cols>
    <col width="48" customWidth="1" min="2" max="2"/>
    <col width="16" customWidth="1" min="3" max="3"/>
  </cols>
  <sheetData>
    <row r="2">
      <c r="B2" s="1" t="inlineStr">
        <is>
          <t>Returns Analysis</t>
        </is>
      </c>
    </row>
    <row r="4">
      <c r="B4" s="4" t="inlineStr">
        <is>
          <t>Exit year EBITDA (Y5)</t>
        </is>
      </c>
      <c r="C4" s="9">
        <f>'03_Operating'!J7</f>
        <v/>
      </c>
    </row>
    <row r="5">
      <c r="B5" s="4" t="inlineStr">
        <is>
          <t>Exit EV / EBITDA</t>
        </is>
      </c>
      <c r="C5" s="20">
        <f>'01_Assumptions'!C20</f>
        <v/>
      </c>
    </row>
    <row r="6">
      <c r="B6" s="4" t="inlineStr">
        <is>
          <t>Exit enterprise value</t>
        </is>
      </c>
      <c r="C6" s="9">
        <f>C4*C5</f>
        <v/>
      </c>
    </row>
    <row r="7">
      <c r="B7" s="4" t="inlineStr">
        <is>
          <t>Exit net debt (debt ending − min cash)</t>
        </is>
      </c>
      <c r="C7" s="9">
        <f>'04_Debt_Schedule'!J36-'01_Assumptions'!C14</f>
        <v/>
      </c>
    </row>
    <row r="8">
      <c r="B8" s="16" t="inlineStr">
        <is>
          <t>Exit equity value</t>
        </is>
      </c>
      <c r="C8" s="9">
        <f>C6-C7</f>
        <v/>
      </c>
    </row>
    <row r="10">
      <c r="B10" s="4" t="inlineStr">
        <is>
          <t>Sponsor equity at entry (check)</t>
        </is>
      </c>
      <c r="C10" s="9">
        <f>'02_Sources_Uses'!F10</f>
        <v/>
      </c>
    </row>
    <row r="11">
      <c r="B11" s="16" t="inlineStr">
        <is>
          <t>MoIC</t>
        </is>
      </c>
      <c r="C11" s="17">
        <f>IF(C10&gt;0,C8/C10,0)</f>
        <v/>
      </c>
    </row>
    <row r="12">
      <c r="B12" s="16" t="inlineStr">
        <is>
          <t>IRR (annual)</t>
        </is>
      </c>
      <c r="C12" s="18">
        <f>IF(C10&gt;0,(C8/C10)^(1/'01_Assumptions'!C19)-1,0)</f>
        <v/>
      </c>
    </row>
    <row r="14">
      <c r="B14" s="4" t="inlineStr">
        <is>
          <t>Cash flow to sponsor</t>
        </is>
      </c>
    </row>
    <row r="15">
      <c r="B15" t="inlineStr">
        <is>
          <t>Year 0 (entry)</t>
        </is>
      </c>
      <c r="C15" s="9">
        <f>-C10</f>
        <v/>
      </c>
    </row>
    <row r="16">
      <c r="B16" t="inlineStr">
        <is>
          <t>Year 5 (exit)</t>
        </is>
      </c>
      <c r="C16" s="9">
        <f>C8</f>
        <v/>
      </c>
    </row>
    <row r="17">
      <c r="B17" t="inlineStr">
        <is>
          <t>Excel IRR (same as above if no interim CF)</t>
        </is>
      </c>
      <c r="C17" s="18">
        <f>C12</f>
        <v/>
      </c>
    </row>
    <row r="19">
      <c r="B19" s="16" t="inlineStr">
        <is>
          <t>How to use</t>
        </is>
      </c>
    </row>
    <row r="20">
      <c r="B20" t="inlineStr">
        <is>
          <t>1. Edit yellow cells on 01_Assumptions (premium, leverage turns, exit multiple, growth).</t>
        </is>
      </c>
    </row>
    <row r="21">
      <c r="B21" t="inlineStr">
        <is>
          <t>2. Open this file in Excel / Google Sheets so formulas calculate.</t>
        </is>
      </c>
    </row>
    <row r="22">
      <c r="B22" t="inlineStr">
        <is>
          <t>3. Read MoIC and IRR on this sheet; stress on 06_Sensitivity.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24"/>
  <sheetViews>
    <sheetView workbookViewId="0">
      <selection activeCell="A1" sqref="A1"/>
    </sheetView>
  </sheetViews>
  <sheetFormatPr baseColWidth="8" defaultRowHeight="15"/>
  <cols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2">
      <c r="B2" s="1" t="inlineStr">
        <is>
          <t>Sensitivity — Exit MoIC</t>
        </is>
      </c>
    </row>
    <row r="3">
      <c r="B3" t="inlineStr">
        <is>
          <t>Rows = exit EV/EBITDA; Cols = acquisition premium</t>
        </is>
      </c>
    </row>
    <row r="5">
      <c r="B5" t="inlineStr">
        <is>
          <t>MoIC</t>
        </is>
      </c>
      <c r="C5" s="21" t="n">
        <v>0.1</v>
      </c>
      <c r="D5" s="21" t="n">
        <v>0.15</v>
      </c>
      <c r="E5" s="21" t="n">
        <v>0.2</v>
      </c>
      <c r="F5" s="21" t="n">
        <v>0.25</v>
      </c>
      <c r="G5" s="21" t="n">
        <v>0.3</v>
      </c>
      <c r="H5" s="21" t="n">
        <v>0.4</v>
      </c>
    </row>
    <row r="6">
      <c r="B6" s="11" t="inlineStr">
        <is>
          <t>Exit \ Prem</t>
        </is>
      </c>
      <c r="C6" s="17">
        <f>$C$13*(14/$C$15)*((1+$C$14)/(1+0.1))</f>
        <v/>
      </c>
      <c r="D6" s="17">
        <f>$C$13*(14/$C$15)*((1+$C$14)/(1+0.15))</f>
        <v/>
      </c>
      <c r="E6" s="17">
        <f>$C$13*(14/$C$15)*((1+$C$14)/(1+0.2))</f>
        <v/>
      </c>
      <c r="F6" s="17">
        <f>$C$13*(14/$C$15)*((1+$C$14)/(1+0.25))</f>
        <v/>
      </c>
      <c r="G6" s="17">
        <f>$C$13*(14/$C$15)*((1+$C$14)/(1+0.3))</f>
        <v/>
      </c>
      <c r="H6" s="17">
        <f>$C$13*(14/$C$15)*((1+$C$14)/(1+0.4))</f>
        <v/>
      </c>
    </row>
    <row r="7">
      <c r="B7" s="11" t="n">
        <v>16</v>
      </c>
      <c r="C7" s="17">
        <f>$C$13*(16/$C$15)*((1+$C$14)/(1+0.1))</f>
        <v/>
      </c>
      <c r="D7" s="17">
        <f>$C$13*(16/$C$15)*((1+$C$14)/(1+0.15))</f>
        <v/>
      </c>
      <c r="E7" s="17">
        <f>$C$13*(16/$C$15)*((1+$C$14)/(1+0.2))</f>
        <v/>
      </c>
      <c r="F7" s="17">
        <f>$C$13*(16/$C$15)*((1+$C$14)/(1+0.25))</f>
        <v/>
      </c>
      <c r="G7" s="17">
        <f>$C$13*(16/$C$15)*((1+$C$14)/(1+0.3))</f>
        <v/>
      </c>
      <c r="H7" s="17">
        <f>$C$13*(16/$C$15)*((1+$C$14)/(1+0.4))</f>
        <v/>
      </c>
    </row>
    <row r="8">
      <c r="B8" s="11" t="n">
        <v>18</v>
      </c>
      <c r="C8" s="17">
        <f>$C$13*(18/$C$15)*((1+$C$14)/(1+0.1))</f>
        <v/>
      </c>
      <c r="D8" s="17">
        <f>$C$13*(18/$C$15)*((1+$C$14)/(1+0.15))</f>
        <v/>
      </c>
      <c r="E8" s="17">
        <f>$C$13*(18/$C$15)*((1+$C$14)/(1+0.2))</f>
        <v/>
      </c>
      <c r="F8" s="17">
        <f>$C$13*(18/$C$15)*((1+$C$14)/(1+0.25))</f>
        <v/>
      </c>
      <c r="G8" s="17">
        <f>$C$13*(18/$C$15)*((1+$C$14)/(1+0.3))</f>
        <v/>
      </c>
      <c r="H8" s="17">
        <f>$C$13*(18/$C$15)*((1+$C$14)/(1+0.4))</f>
        <v/>
      </c>
    </row>
    <row r="9">
      <c r="B9" s="11" t="n">
        <v>20</v>
      </c>
      <c r="C9" s="17">
        <f>$C$13*(20/$C$15)*((1+$C$14)/(1+0.1))</f>
        <v/>
      </c>
      <c r="D9" s="17">
        <f>$C$13*(20/$C$15)*((1+$C$14)/(1+0.15))</f>
        <v/>
      </c>
      <c r="E9" s="17">
        <f>$C$13*(20/$C$15)*((1+$C$14)/(1+0.2))</f>
        <v/>
      </c>
      <c r="F9" s="17">
        <f>$C$13*(20/$C$15)*((1+$C$14)/(1+0.25))</f>
        <v/>
      </c>
      <c r="G9" s="17">
        <f>$C$13*(20/$C$15)*((1+$C$14)/(1+0.3))</f>
        <v/>
      </c>
      <c r="H9" s="17">
        <f>$C$13*(20/$C$15)*((1+$C$14)/(1+0.4))</f>
        <v/>
      </c>
    </row>
    <row r="10">
      <c r="B10" s="11" t="n">
        <v>22</v>
      </c>
      <c r="C10" s="17">
        <f>$C$13*(22/$C$15)*((1+$C$14)/(1+0.1))</f>
        <v/>
      </c>
      <c r="D10" s="17">
        <f>$C$13*(22/$C$15)*((1+$C$14)/(1+0.15))</f>
        <v/>
      </c>
      <c r="E10" s="17">
        <f>$C$13*(22/$C$15)*((1+$C$14)/(1+0.2))</f>
        <v/>
      </c>
      <c r="F10" s="17">
        <f>$C$13*(22/$C$15)*((1+$C$14)/(1+0.25))</f>
        <v/>
      </c>
      <c r="G10" s="17">
        <f>$C$13*(22/$C$15)*((1+$C$14)/(1+0.3))</f>
        <v/>
      </c>
      <c r="H10" s="17">
        <f>$C$13*(22/$C$15)*((1+$C$14)/(1+0.4))</f>
        <v/>
      </c>
    </row>
    <row r="11">
      <c r="B11" s="11" t="n">
        <v>25</v>
      </c>
      <c r="C11" s="17">
        <f>$C$13*(25/$C$15)*((1+$C$14)/(1+0.1))</f>
        <v/>
      </c>
      <c r="D11" s="17">
        <f>$C$13*(25/$C$15)*((1+$C$14)/(1+0.15))</f>
        <v/>
      </c>
      <c r="E11" s="17">
        <f>$C$13*(25/$C$15)*((1+$C$14)/(1+0.2))</f>
        <v/>
      </c>
      <c r="F11" s="17">
        <f>$C$13*(25/$C$15)*((1+$C$14)/(1+0.25))</f>
        <v/>
      </c>
      <c r="G11" s="17">
        <f>$C$13*(25/$C$15)*((1+$C$14)/(1+0.3))</f>
        <v/>
      </c>
      <c r="H11" s="17">
        <f>$C$13*(25/$C$15)*((1+$C$14)/(1+0.4))</f>
        <v/>
      </c>
    </row>
    <row r="13">
      <c r="B13" s="4" t="inlineStr">
        <is>
          <t>Base case MoIC (from Returns)</t>
        </is>
      </c>
      <c r="C13" s="17">
        <f>'05_Returns'!C11</f>
        <v/>
      </c>
    </row>
    <row r="14">
      <c r="B14" s="4" t="inlineStr">
        <is>
          <t>Base premium</t>
        </is>
      </c>
      <c r="C14" s="18">
        <f>'01_Assumptions'!C8</f>
        <v/>
      </c>
    </row>
    <row r="15">
      <c r="B15" s="4" t="inlineStr">
        <is>
          <t>Base exit multiple</t>
        </is>
      </c>
      <c r="C15" s="20">
        <f>'01_Assumptions'!C20</f>
        <v/>
      </c>
    </row>
    <row r="17">
      <c r="B17" s="16" t="inlineStr">
        <is>
          <t>IRR grid (same axes)</t>
        </is>
      </c>
    </row>
    <row r="18">
      <c r="B18" t="inlineStr">
        <is>
          <t>IRR</t>
        </is>
      </c>
      <c r="C18" s="21" t="n">
        <v>0.1</v>
      </c>
      <c r="D18" s="21" t="n">
        <v>0.15</v>
      </c>
      <c r="E18" s="21" t="n">
        <v>0.2</v>
      </c>
      <c r="F18" s="21" t="n">
        <v>0.25</v>
      </c>
      <c r="G18" s="21" t="n">
        <v>0.3</v>
      </c>
      <c r="H18" s="21" t="n">
        <v>0.4</v>
      </c>
    </row>
    <row r="19">
      <c r="B19" s="11" t="n">
        <v>14</v>
      </c>
      <c r="C19" s="18">
        <f>(C6)^(1/'01_Assumptions'!$C$19)-1</f>
        <v/>
      </c>
      <c r="D19" s="18">
        <f>(D6)^(1/'01_Assumptions'!$C$19)-1</f>
        <v/>
      </c>
      <c r="E19" s="18">
        <f>(E6)^(1/'01_Assumptions'!$C$19)-1</f>
        <v/>
      </c>
      <c r="F19" s="18">
        <f>(F6)^(1/'01_Assumptions'!$C$19)-1</f>
        <v/>
      </c>
      <c r="G19" s="18">
        <f>(G6)^(1/'01_Assumptions'!$C$19)-1</f>
        <v/>
      </c>
      <c r="H19" s="18">
        <f>(H6)^(1/'01_Assumptions'!$C$19)-1</f>
        <v/>
      </c>
    </row>
    <row r="20">
      <c r="B20" s="11" t="n">
        <v>16</v>
      </c>
      <c r="C20" s="18">
        <f>(C7)^(1/'01_Assumptions'!$C$19)-1</f>
        <v/>
      </c>
      <c r="D20" s="18">
        <f>(D7)^(1/'01_Assumptions'!$C$19)-1</f>
        <v/>
      </c>
      <c r="E20" s="18">
        <f>(E7)^(1/'01_Assumptions'!$C$19)-1</f>
        <v/>
      </c>
      <c r="F20" s="18">
        <f>(F7)^(1/'01_Assumptions'!$C$19)-1</f>
        <v/>
      </c>
      <c r="G20" s="18">
        <f>(G7)^(1/'01_Assumptions'!$C$19)-1</f>
        <v/>
      </c>
      <c r="H20" s="18">
        <f>(H7)^(1/'01_Assumptions'!$C$19)-1</f>
        <v/>
      </c>
    </row>
    <row r="21">
      <c r="B21" s="11" t="n">
        <v>18</v>
      </c>
      <c r="C21" s="18">
        <f>(C8)^(1/'01_Assumptions'!$C$19)-1</f>
        <v/>
      </c>
      <c r="D21" s="18">
        <f>(D8)^(1/'01_Assumptions'!$C$19)-1</f>
        <v/>
      </c>
      <c r="E21" s="18">
        <f>(E8)^(1/'01_Assumptions'!$C$19)-1</f>
        <v/>
      </c>
      <c r="F21" s="18">
        <f>(F8)^(1/'01_Assumptions'!$C$19)-1</f>
        <v/>
      </c>
      <c r="G21" s="18">
        <f>(G8)^(1/'01_Assumptions'!$C$19)-1</f>
        <v/>
      </c>
      <c r="H21" s="18">
        <f>(H8)^(1/'01_Assumptions'!$C$19)-1</f>
        <v/>
      </c>
    </row>
    <row r="22">
      <c r="B22" s="11" t="n">
        <v>20</v>
      </c>
      <c r="C22" s="18">
        <f>(C9)^(1/'01_Assumptions'!$C$19)-1</f>
        <v/>
      </c>
      <c r="D22" s="18">
        <f>(D9)^(1/'01_Assumptions'!$C$19)-1</f>
        <v/>
      </c>
      <c r="E22" s="18">
        <f>(E9)^(1/'01_Assumptions'!$C$19)-1</f>
        <v/>
      </c>
      <c r="F22" s="18">
        <f>(F9)^(1/'01_Assumptions'!$C$19)-1</f>
        <v/>
      </c>
      <c r="G22" s="18">
        <f>(G9)^(1/'01_Assumptions'!$C$19)-1</f>
        <v/>
      </c>
      <c r="H22" s="18">
        <f>(H9)^(1/'01_Assumptions'!$C$19)-1</f>
        <v/>
      </c>
    </row>
    <row r="23">
      <c r="B23" s="11" t="n">
        <v>22</v>
      </c>
      <c r="C23" s="18">
        <f>(C10)^(1/'01_Assumptions'!$C$19)-1</f>
        <v/>
      </c>
      <c r="D23" s="18">
        <f>(D10)^(1/'01_Assumptions'!$C$19)-1</f>
        <v/>
      </c>
      <c r="E23" s="18">
        <f>(E10)^(1/'01_Assumptions'!$C$19)-1</f>
        <v/>
      </c>
      <c r="F23" s="18">
        <f>(F10)^(1/'01_Assumptions'!$C$19)-1</f>
        <v/>
      </c>
      <c r="G23" s="18">
        <f>(G10)^(1/'01_Assumptions'!$C$19)-1</f>
        <v/>
      </c>
      <c r="H23" s="18">
        <f>(H10)^(1/'01_Assumptions'!$C$19)-1</f>
        <v/>
      </c>
    </row>
    <row r="24">
      <c r="B24" s="11" t="n">
        <v>25</v>
      </c>
      <c r="C24" s="18">
        <f>(C11)^(1/'01_Assumptions'!$C$19)-1</f>
        <v/>
      </c>
      <c r="D24" s="18">
        <f>(D11)^(1/'01_Assumptions'!$C$19)-1</f>
        <v/>
      </c>
      <c r="E24" s="18">
        <f>(E11)^(1/'01_Assumptions'!$C$19)-1</f>
        <v/>
      </c>
      <c r="F24" s="18">
        <f>(F11)^(1/'01_Assumptions'!$C$19)-1</f>
        <v/>
      </c>
      <c r="G24" s="18">
        <f>(G11)^(1/'01_Assumptions'!$C$19)-1</f>
        <v/>
      </c>
      <c r="H24" s="18">
        <f>(H11)^(1/'01_Assumptions'!$C$19)-1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2026-08-13T19:08:21Z</dcterms:created>
  <dcterms:modified xsi:type="dcterms:W3CDTF">2026-08-13T19:08:21Z</dcterms:modified>
</cp:coreProperties>
</file>