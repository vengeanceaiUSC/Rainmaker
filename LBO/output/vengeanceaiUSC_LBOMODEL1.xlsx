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09">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8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F20"/>
  <sheetViews>
    <sheetView workbookViewId="0">
      <selection activeCell="A1" sqref="A1"/>
    </sheetView>
  </sheetViews>
  <sheetFormatPr baseColWidth="8" defaultRowHeight="15" outlineLevelCol="0"/>
  <cols>
    <col width="32" customWidth="1" style="244" min="2" max="2"/>
    <col width="14" customWidth="1" style="244" min="3" max="3"/>
    <col width="14" customWidth="1" style="244" min="4" max="4"/>
    <col width="14" customWidth="1" style="244" min="5" max="5"/>
    <col width="70" customWidth="1" style="244" min="6" max="6"/>
  </cols>
  <sheetData>
    <row r="2">
      <c r="B2" s="563" t="inlineStr">
        <is>
          <t>vengeanceaiUSC-LBOMODEL1 — Strategy Summary</t>
        </is>
      </c>
    </row>
    <row r="3">
      <c r="B3" t="inlineStr">
        <is>
          <t>AI-SDR cost takeout drives margin, FCF, debt paydown, MOIC/IRR — exit multiple held at 13x in both cases</t>
        </is>
      </c>
    </row>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6">
      <c r="B16" s="569" t="inlineStr">
        <is>
          <t>IRR uplift from AI S&amp;M: 24.8 percentage points | Y2 margin expansion: 504 bps (target ≥500: YES)</t>
        </is>
      </c>
    </row>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sheetData>
  <hyperlinks>
    <hyperlink xmlns:r="http://schemas.openxmlformats.org/officeDocument/2006/relationships" ref="B19"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M25"/>
  <sheetViews>
    <sheetView workbookViewId="0">
      <pane xSplit="1" ySplit="6" topLeftCell="B7" activePane="bottomRight" state="frozen"/>
      <selection pane="topRight"/>
      <selection pane="bottomLeft"/>
      <selection pane="bottomRight" activeCell="A1" sqref="A1"/>
    </sheetView>
  </sheetViews>
  <sheetFormatPr baseColWidth="8" defaultRowHeight="15" outlineLevelCol="0"/>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vengeanceaiUSC-LBOMODEL1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D28"/>
  <sheetViews>
    <sheetView workbookViewId="0">
      <selection activeCell="A1" sqref="A1"/>
    </sheetView>
  </sheetViews>
  <sheetFormatPr baseColWidth="8" defaultRowHeight="15" outlineLevelCol="0"/>
  <cols>
    <col width="36" customWidth="1" style="244" min="2" max="2"/>
    <col width="14" customWidth="1" style="244" min="3" max="3"/>
    <col width="36" customWidth="1" style="244" min="4" max="4"/>
  </cols>
  <sheetData>
    <row r="2">
      <c r="B2" s="563" t="inlineStr">
        <is>
          <t>Assumptions Drivers (yellow = inputs used by AI / Base operating math)</t>
        </is>
      </c>
    </row>
    <row r="3">
      <c r="B3" t="inlineStr">
        <is>
          <t>These cells are the single source of truth for the commentary list. Operating tabs read these values.</t>
        </is>
      </c>
    </row>
    <row r="4">
      <c r="B4" s="412" t="inlineStr">
        <is>
          <t>Driver</t>
        </is>
      </c>
      <c r="C4" s="412" t="inlineStr">
        <is>
          <t>Value</t>
        </is>
      </c>
      <c r="D4" s="412" t="inlineStr">
        <is>
          <t>Feeds</t>
        </is>
      </c>
    </row>
    <row r="5">
      <c r="B5" s="575" t="inlineStr">
        <is>
          <t>Revenue growth</t>
        </is>
      </c>
      <c r="C5" s="422" t="n">
        <v>0.1</v>
      </c>
      <c r="D5" s="575" t="inlineStr">
        <is>
          <t>AI_Operating!C5:G5</t>
        </is>
      </c>
    </row>
    <row r="6">
      <c r="B6" s="575" t="inlineStr">
        <is>
          <t>Gross margin</t>
        </is>
      </c>
      <c r="C6" s="422" t="n">
        <v>0.8</v>
      </c>
      <c r="D6" s="575" t="inlineStr">
        <is>
          <t>AI_Operating COGS row</t>
        </is>
      </c>
    </row>
    <row r="7">
      <c r="B7" s="575" t="inlineStr">
        <is>
          <t>Sales payroll cut (Y1)</t>
        </is>
      </c>
      <c r="C7" s="422" t="n">
        <v>0.15</v>
      </c>
      <c r="D7" s="575" t="inlineStr">
        <is>
          <t>AI_Operating S&amp;M Y1</t>
        </is>
      </c>
    </row>
    <row r="8">
      <c r="B8" s="575" t="inlineStr">
        <is>
          <t>Variable commission cut</t>
        </is>
      </c>
      <c r="C8" s="422" t="n">
        <v>0.2</v>
      </c>
      <c r="D8" s="575" t="inlineStr">
        <is>
          <t>AI_Operating Commissions</t>
        </is>
      </c>
    </row>
    <row r="9">
      <c r="B9" s="575" t="inlineStr">
        <is>
          <t>AI infrastructure ($m)</t>
        </is>
      </c>
      <c r="C9" s="576" t="n">
        <v>15</v>
      </c>
      <c r="D9" s="575" t="inlineStr">
        <is>
          <t>AI_Operating AI cost</t>
        </is>
      </c>
    </row>
    <row r="10">
      <c r="B10" s="575" t="inlineStr">
        <is>
          <t>S&amp;M expense growth Y2+</t>
        </is>
      </c>
      <c r="C10" s="422" t="n">
        <v>0.02</v>
      </c>
      <c r="D10" s="575" t="inlineStr">
        <is>
          <t>AI_Operating S&amp;M Y2+</t>
        </is>
      </c>
    </row>
    <row r="11">
      <c r="B11" s="575" t="inlineStr">
        <is>
          <t>G&amp;A % of revenue</t>
        </is>
      </c>
      <c r="C11" s="422" t="n">
        <v>0.18</v>
      </c>
      <c r="D11" s="575" t="inlineStr">
        <is>
          <t>AI_Operating G&amp;A</t>
        </is>
      </c>
    </row>
    <row r="12">
      <c r="B12" s="575" t="inlineStr">
        <is>
          <t>CapEx reduction vs base</t>
        </is>
      </c>
      <c r="C12" s="422" t="n">
        <v>0.05</v>
      </c>
      <c r="D12" s="575" t="inlineStr">
        <is>
          <t>FCF CapEx</t>
        </is>
      </c>
    </row>
    <row r="13">
      <c r="B13" s="575" t="inlineStr">
        <is>
          <t>WC / receivables improvement</t>
        </is>
      </c>
      <c r="C13" s="422" t="n">
        <v>0.1</v>
      </c>
      <c r="D13" s="575" t="inlineStr">
        <is>
          <t>FCF ΔNWC</t>
        </is>
      </c>
    </row>
    <row r="14">
      <c r="B14" s="575" t="inlineStr">
        <is>
          <t>SOFR</t>
        </is>
      </c>
      <c r="C14" s="577" t="n">
        <v>0.043</v>
      </c>
      <c r="D14" s="575" t="inlineStr">
        <is>
          <t>Debt interest</t>
        </is>
      </c>
    </row>
    <row r="15">
      <c r="B15" s="575" t="inlineStr">
        <is>
          <t>Term Loan A spread</t>
        </is>
      </c>
      <c r="C15" s="577" t="n">
        <v>0.04</v>
      </c>
      <c r="D15" s="575" t="inlineStr">
        <is>
          <t>TLA rate = SOFR+spread</t>
        </is>
      </c>
    </row>
    <row r="16">
      <c r="B16" s="575" t="inlineStr">
        <is>
          <t>Term Loan B spread</t>
        </is>
      </c>
      <c r="C16" s="577" t="n">
        <v>0.05</v>
      </c>
      <c r="D16" s="575" t="inlineStr">
        <is>
          <t>TLB rate = SOFR+spread</t>
        </is>
      </c>
    </row>
    <row r="17">
      <c r="B17" s="575" t="inlineStr">
        <is>
          <t>Mandatory amortization</t>
        </is>
      </c>
      <c r="C17" s="422" t="n">
        <v>0.01</v>
      </c>
      <c r="D17" s="575" t="inlineStr">
        <is>
          <t>% of initial new debt / yr</t>
        </is>
      </c>
    </row>
    <row r="18">
      <c r="B18" s="575" t="inlineStr">
        <is>
          <t>Cash sweep %</t>
        </is>
      </c>
      <c r="C18" s="422" t="n">
        <v>1</v>
      </c>
      <c r="D18" s="575" t="inlineStr">
        <is>
          <t>Debt_Sweep_AI</t>
        </is>
      </c>
    </row>
    <row r="19">
      <c r="B19" s="575" t="inlineStr">
        <is>
          <t>Tax rate</t>
        </is>
      </c>
      <c r="C19" s="422" t="n">
        <v>0.21</v>
      </c>
      <c r="D19" s="575" t="inlineStr">
        <is>
          <t>NI tax</t>
        </is>
      </c>
    </row>
    <row r="20">
      <c r="B20" s="575" t="inlineStr">
        <is>
          <t>Exit EV/EBITDA multiple</t>
        </is>
      </c>
      <c r="C20" s="584" t="n">
        <v>13</v>
      </c>
      <c r="D20" s="575" t="inlineStr">
        <is>
          <t>LBO!D17 / Strategy_Summary</t>
        </is>
      </c>
    </row>
    <row r="21">
      <c r="B21" s="575" t="inlineStr">
        <is>
          <t>S&amp;M baseline ($m)</t>
        </is>
      </c>
      <c r="C21" s="576" t="n">
        <v>425</v>
      </c>
      <c r="D21" s="575" t="inlineStr">
        <is>
          <t>35% × FY24 revenue</t>
        </is>
      </c>
    </row>
    <row r="22">
      <c r="B22" s="575" t="inlineStr">
        <is>
          <t>Payroll baseline ($m)</t>
        </is>
      </c>
      <c r="C22" s="576" t="n">
        <v>318.8</v>
      </c>
      <c r="D22" s="575" t="inlineStr">
        <is>
          <t>S&amp;M − commission pool</t>
        </is>
      </c>
    </row>
    <row r="23">
      <c r="B23" s="575" t="inlineStr">
        <is>
          <t>Commission baseline ($m)</t>
        </is>
      </c>
      <c r="C23" s="576" t="n">
        <v>106.2</v>
      </c>
      <c r="D23" s="575" t="inlineStr">
        <is>
          <t>25% of S&amp;M baseline</t>
        </is>
      </c>
    </row>
    <row r="24">
      <c r="B24" s="575" t="inlineStr">
        <is>
          <t>CapEx base % of rev</t>
        </is>
      </c>
      <c r="C24" s="422" t="n">
        <v>0.02</v>
      </c>
      <c r="D24" s="575" t="inlineStr">
        <is>
          <t>Before AI −5%</t>
        </is>
      </c>
    </row>
    <row r="25">
      <c r="B25" s="575" t="inlineStr">
        <is>
          <t>WC base % of Δrev</t>
        </is>
      </c>
      <c r="C25" s="422" t="n">
        <v>0.02</v>
      </c>
      <c r="D25" s="575" t="inlineStr">
        <is>
          <t>Before AI improvement</t>
        </is>
      </c>
    </row>
    <row r="27">
      <c r="B27" t="inlineStr">
        <is>
          <t>TLA rate (SOFR+4)</t>
        </is>
      </c>
      <c r="C27" s="579">
        <f>C14+C15</f>
        <v/>
      </c>
    </row>
    <row r="28">
      <c r="B28" t="inlineStr">
        <is>
          <t>TLB rate (SOFR+5)</t>
        </is>
      </c>
      <c r="C28" s="579">
        <f>C14+C16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2026-08-15T14:36:38Z</dcterms:modified>
  <cp:lastModifiedBy>scottmccarthy</cp:lastModifiedBy>
  <cp:lastPrinted>2014-05-30T16:55:05Z</cp:lastPrinted>
</cp:coreProperties>
</file>