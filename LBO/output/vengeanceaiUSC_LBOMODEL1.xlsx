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Strategy_Summary" sheetId="1" state="visible" r:id="rId1"/>
    <sheet name="00_Assumptions_List" sheetId="2" state="visible" r:id="rId2"/>
    <sheet name="Debt_Sweep_AI" sheetId="3" state="visible" r:id="rId3"/>
    <sheet name="Base_Operating" sheetId="4" state="visible" r:id="rId4"/>
    <sheet name="AI_Operating" sheetId="5" state="visible" r:id="rId5"/>
    <sheet name="Coversheet" sheetId="6" state="visible" r:id="rId6"/>
    <sheet name="LBO" sheetId="7" state="visible" r:id="rId7"/>
    <sheet name="DCF" sheetId="8" state="visible" r:id="rId8"/>
    <sheet name="Shares" sheetId="9" state="visible" r:id="rId9"/>
    <sheet name="52wkHL" sheetId="10" state="visible" r:id="rId10"/>
  </sheets>
  <externalReferences>
    <externalReference r:id="rId11"/>
    <externalReference r:id="rId12"/>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CIQWBGuid" localSheetId="5" hidden="1">"ab508404-a108-4d4f-b84c-e5fce791e559"</definedName>
  </definedNames>
  <calcPr calcId="152511" calcMode="autoNoTable" fullCalcOnLoad="1" iterate="1"/>
</workbook>
</file>

<file path=xl/styles.xml><?xml version="1.0" encoding="utf-8"?>
<styleSheet xmlns="http://schemas.openxmlformats.org/spreadsheetml/2006/main">
  <numFmts count="82">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0_);\(#,##0\)"/>
    <numFmt numFmtId="193" formatCode="#,##0.0%_);\(#,##0.0%\)"/>
    <numFmt numFmtId="194" formatCode="0.0\ \x"/>
    <numFmt numFmtId="195" formatCode="#,##0.00\ ;\(#,##0.00\)"/>
    <numFmt numFmtId="196" formatCode="&quot;$&quot;#,##0.00\ ;\(&quot;$&quot;#,##0.00\)"/>
    <numFmt numFmtId="197" formatCode="0.0%_);\(0.0%\)"/>
    <numFmt numFmtId="198" formatCode="0.000\ \x&quot;rate&quot;"/>
    <numFmt numFmtId="199" formatCode="#,##0.000_);[Red]\(#,##0.000\)"/>
    <numFmt numFmtId="200" formatCode="0.00_);\(0.00\);0.00"/>
    <numFmt numFmtId="201" formatCode="\C&quot;$&quot;#,##0.00_);[Red]\(&quot;$&quot;#,##0.00\)"/>
    <numFmt numFmtId="202" formatCode="#,##0%_);\(#,##0.0%\)"/>
    <numFmt numFmtId="203" formatCode="_(* #,##0.00000000_);_(* \(#,##0.00000000\);_(* &quot;-&quot;?_);_(@_)"/>
    <numFmt numFmtId="204" formatCode="mmm\-d\-yyyy"/>
    <numFmt numFmtId="205" formatCode="mmm\-yyyy"/>
    <numFmt numFmtId="206" formatCode="yyyy"/>
    <numFmt numFmtId="207" formatCode="0.00\x&quot;rate&quot;"/>
    <numFmt numFmtId="208" formatCode="0.0&quot;  &quot;"/>
    <numFmt numFmtId="209" formatCode="&quot;$&quot;#,##0.0\ ;[Red]\(&quot;$&quot;#,##0\)"/>
    <numFmt numFmtId="210" formatCode="_(&quot;$&quot;* #,##0.00_);_(&quot;$&quot;* \(#,##0.00\);_(&quot;$&quot;* &quot;-&quot;?_);_(@_)"/>
    <numFmt numFmtId="211" formatCode="&quot;$&quot;#,##0.000_);[Red]\(&quot;$&quot;#,##0.000\)"/>
    <numFmt numFmtId="212" formatCode="&quot;$&quot;#,##0.00&quot;A&quot;;[Red]\(&quot;$&quot;#,##0.00\)&quot;A&quot;"/>
    <numFmt numFmtId="213" formatCode="#,##0.0\ ;[Red]\(&quot;$&quot;#,##0\)"/>
    <numFmt numFmtId="214" formatCode="&quot;$&quot;#,##0.00&quot;E&quot;;[Red]\(&quot;$&quot;#,##0.00\)&quot;E&quot;"/>
    <numFmt numFmtId="215" formatCode="_([$€-2]* #,##0.00_);_([$€-2]* \(#,##0.00\);_([$€-2]* &quot;-&quot;??_)"/>
    <numFmt numFmtId="216" formatCode="#,##0.00;\(#,##0.00\)"/>
    <numFmt numFmtId="217" formatCode=".%\,\(0.0%%;\t"/>
    <numFmt numFmtId="218" formatCode="#,##0.0_);[Red]\(#,##0.0\)"/>
    <numFmt numFmtId="219" formatCode="0.0%_);[Red]\(0.0%\)"/>
    <numFmt numFmtId="220" formatCode="0.00_);\(0.00\);0.00_)"/>
    <numFmt numFmtId="221" formatCode="#,##0\x"/>
    <numFmt numFmtId="222" formatCode="&quot;TKR&quot;\ 0"/>
    <numFmt numFmtId="223" formatCode=".%\,\(0.%%;\t"/>
    <numFmt numFmtId="224" formatCode="&quot;$&quot;#,###.0\ \ "/>
    <numFmt numFmtId="225" formatCode="#,##0.00\x_);[Red]\(#,##0.00\x\)"/>
    <numFmt numFmtId="226" formatCode="#,##0.000_);\(#,##0.000\)"/>
    <numFmt numFmtId="227" formatCode="#,##0.00\x_);[Red]\(#,##0.00\x\);&quot;--  &quot;"/>
    <numFmt numFmtId="228" formatCode="_(* #,##0.0_);_(* \(#,##0.0\);_(* &quot;-&quot;??_);_(@_)"/>
    <numFmt numFmtId="229" formatCode="0.0\x_);[Red]\(0.0\x\)"/>
    <numFmt numFmtId="230" formatCode="0.0\ "/>
    <numFmt numFmtId="231" formatCode="&quot;$&quot;#,##0.0;\(&quot;$&quot;#,##0.00\)"/>
    <numFmt numFmtId="232" formatCode="#,##0.00%_);\(#,##0.00%\)"/>
    <numFmt numFmtId="233" formatCode="0.00\%;\-0.00\%;0.00\%"/>
    <numFmt numFmtId="234" formatCode="0.0%\ ;\(0.0%\)"/>
    <numFmt numFmtId="235" formatCode="_(&quot;$&quot;* #,##0_);_(&quot;$&quot;* \(#,##0\);_(&quot;$&quot;* &quot;-&quot;??_);_(@_)"/>
    <numFmt numFmtId="236" formatCode="&quot;$&quot;0.00\ "/>
    <numFmt numFmtId="237" formatCode="0.0\ \ \ \ \ "/>
    <numFmt numFmtId="238" formatCode="0.00\x;\-0.00\x;0.00\x"/>
    <numFmt numFmtId="239" formatCode="&quot;$&quot;#,##0.000_);\(&quot;$&quot;#,##0.000\)"/>
    <numFmt numFmtId="240" formatCode="#,##0.0_);\(#,##0.0\);_(* &quot;-&quot;_)"/>
    <numFmt numFmtId="241" formatCode="_(&quot;$&quot;* #,##0.00_);_(&quot;$&quot;* \(#,##0.00\);_(* &quot;-&quot;_);_(@_)"/>
    <numFmt numFmtId="242" formatCode="0.00%_);[Red]\(0.00%\)"/>
    <numFmt numFmtId="243" formatCode="#,##0.0\x_);\(#,##0.0\x\)"/>
    <numFmt numFmtId="244" formatCode="#,##0.00\x_);\(#,##0.00\x\)"/>
    <numFmt numFmtId="245" formatCode="###0&quot;E&quot;_)"/>
  </numFmts>
  <fonts count="107">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s>
  <fills count="38">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2" fontId="10" fillId="0" borderId="0" applyAlignment="1">
      <alignment horizontal="right"/>
    </xf>
    <xf numFmtId="193" fontId="10" fillId="2" borderId="0"/>
    <xf numFmtId="194" fontId="10" fillId="2" borderId="0"/>
    <xf numFmtId="193" fontId="10" fillId="2" borderId="0"/>
    <xf numFmtId="195" fontId="10" fillId="2" borderId="0"/>
    <xf numFmtId="196" fontId="10" fillId="2" borderId="0" applyAlignment="1">
      <alignment horizontal="right"/>
    </xf>
    <xf numFmtId="197" fontId="11" fillId="0" borderId="0"/>
    <xf numFmtId="0" fontId="12" fillId="0" borderId="0"/>
    <xf numFmtId="198"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199"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199" fontId="17" fillId="0" borderId="0" applyProtection="1">
      <protection locked="0" hidden="0"/>
    </xf>
    <xf numFmtId="199"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0" fontId="12" fillId="0" borderId="0" applyAlignment="1" applyProtection="1">
      <alignment horizontal="right"/>
      <protection locked="0" hidden="0"/>
    </xf>
    <xf numFmtId="0" fontId="25" fillId="0" borderId="0"/>
    <xf numFmtId="7" fontId="26" fillId="0" borderId="0"/>
    <xf numFmtId="5" fontId="23" fillId="0" borderId="0"/>
    <xf numFmtId="201" fontId="13" fillId="0" borderId="0" applyAlignment="1">
      <alignment horizontal="right"/>
    </xf>
    <xf numFmtId="202" fontId="10" fillId="2" borderId="9" applyAlignment="1">
      <alignment horizontal="right"/>
    </xf>
    <xf numFmtId="203" fontId="10" fillId="2" borderId="9" applyAlignment="1">
      <alignment horizontal="right"/>
    </xf>
    <xf numFmtId="202" fontId="10" fillId="2" borderId="9" applyAlignment="1">
      <alignment horizontal="right"/>
    </xf>
    <xf numFmtId="15" fontId="27" fillId="0" borderId="0"/>
    <xf numFmtId="204" fontId="25" fillId="24" borderId="0"/>
    <xf numFmtId="205" fontId="27" fillId="0" borderId="8"/>
    <xf numFmtId="14" fontId="28" fillId="0" borderId="0" applyAlignment="1">
      <alignment horizontal="center"/>
    </xf>
    <xf numFmtId="206" fontId="28" fillId="0" borderId="0" applyAlignment="1">
      <alignment horizontal="center"/>
    </xf>
    <xf numFmtId="207"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8" fontId="10" fillId="25" borderId="0"/>
    <xf numFmtId="209" fontId="10" fillId="0" borderId="0"/>
    <xf numFmtId="210" fontId="10" fillId="25" borderId="0"/>
    <xf numFmtId="211" fontId="10" fillId="25" borderId="0"/>
    <xf numFmtId="212" fontId="18" fillId="0" borderId="0" applyAlignment="1" applyProtection="1">
      <alignment horizontal="left"/>
      <protection locked="0" hidden="0"/>
    </xf>
    <xf numFmtId="213" fontId="10" fillId="0" borderId="0"/>
    <xf numFmtId="214" fontId="18" fillId="0" borderId="0" applyAlignment="1" applyProtection="1">
      <alignment horizontal="left"/>
      <protection locked="0" hidden="0"/>
    </xf>
    <xf numFmtId="215" fontId="12" fillId="0" borderId="0"/>
    <xf numFmtId="0" fontId="29" fillId="0" borderId="0"/>
    <xf numFmtId="197" fontId="10" fillId="0" borderId="10"/>
    <xf numFmtId="216" fontId="10" fillId="2" borderId="9" applyAlignment="1">
      <alignment horizontal="right"/>
    </xf>
    <xf numFmtId="217" fontId="10" fillId="2" borderId="9" applyAlignment="1">
      <alignment horizontal="right"/>
    </xf>
    <xf numFmtId="216" fontId="10" fillId="2" borderId="9" applyAlignment="1">
      <alignment horizontal="right"/>
    </xf>
    <xf numFmtId="218" fontId="17" fillId="0" borderId="0" applyProtection="1">
      <protection locked="0" hidden="0"/>
    </xf>
    <xf numFmtId="0" fontId="30" fillId="5" borderId="0"/>
    <xf numFmtId="219" fontId="31" fillId="0" borderId="0"/>
    <xf numFmtId="197" fontId="32" fillId="0" borderId="0" applyAlignment="1" applyProtection="1">
      <alignment horizontal="left"/>
      <protection locked="0" hidden="0"/>
    </xf>
    <xf numFmtId="218" fontId="13" fillId="26" borderId="11"/>
    <xf numFmtId="0" fontId="33" fillId="0" borderId="12"/>
    <xf numFmtId="0" fontId="34" fillId="0" borderId="13"/>
    <xf numFmtId="0" fontId="35" fillId="0" borderId="14"/>
    <xf numFmtId="0" fontId="35" fillId="0" borderId="0"/>
    <xf numFmtId="218" fontId="36" fillId="0" borderId="0"/>
    <xf numFmtId="0" fontId="37" fillId="0" borderId="0"/>
    <xf numFmtId="199"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0"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1" fontId="10" fillId="0" borderId="0" applyAlignment="1">
      <alignment horizontal="right"/>
    </xf>
    <xf numFmtId="222" fontId="10" fillId="25" borderId="0" applyAlignment="1">
      <alignment horizontal="right"/>
    </xf>
    <xf numFmtId="223" fontId="10" fillId="0" borderId="0" applyAlignment="1">
      <alignment horizontal="right"/>
    </xf>
    <xf numFmtId="221" fontId="10" fillId="0" borderId="0" applyAlignment="1">
      <alignment horizontal="right"/>
    </xf>
    <xf numFmtId="197" fontId="42" fillId="0" borderId="0" applyAlignment="1">
      <alignment horizontal="right"/>
    </xf>
    <xf numFmtId="197" fontId="42" fillId="0" borderId="0"/>
    <xf numFmtId="224" fontId="10" fillId="2" borderId="9" applyAlignment="1">
      <alignment horizontal="right"/>
    </xf>
    <xf numFmtId="225"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6" fontId="12" fillId="0" borderId="0"/>
    <xf numFmtId="0" fontId="12" fillId="0" borderId="0"/>
    <xf numFmtId="0" fontId="27" fillId="0" borderId="0"/>
    <xf numFmtId="0" fontId="25" fillId="0" borderId="0"/>
    <xf numFmtId="227" fontId="25" fillId="0" borderId="0"/>
    <xf numFmtId="0" fontId="14" fillId="29" borderId="17"/>
    <xf numFmtId="0" fontId="23" fillId="0" borderId="0"/>
    <xf numFmtId="228" fontId="12" fillId="0" borderId="0"/>
    <xf numFmtId="0" fontId="23" fillId="0" borderId="0"/>
    <xf numFmtId="0" fontId="44" fillId="21" borderId="18"/>
    <xf numFmtId="229" fontId="17" fillId="0" borderId="0" applyAlignment="1">
      <alignment horizontal="right"/>
    </xf>
    <xf numFmtId="0" fontId="45" fillId="0" borderId="0"/>
    <xf numFmtId="0" fontId="25" fillId="0" borderId="0"/>
    <xf numFmtId="230" fontId="10" fillId="25" borderId="0"/>
    <xf numFmtId="9" fontId="17" fillId="0" borderId="0" applyAlignment="1">
      <alignment horizontal="right"/>
    </xf>
    <xf numFmtId="231" fontId="10" fillId="0" borderId="0"/>
    <xf numFmtId="0" fontId="12" fillId="0" borderId="0"/>
    <xf numFmtId="193" fontId="12" fillId="0" borderId="0"/>
    <xf numFmtId="232" fontId="12" fillId="0" borderId="0"/>
    <xf numFmtId="233" fontId="12" fillId="0" borderId="0" applyAlignment="1" applyProtection="1">
      <alignment horizontal="right"/>
      <protection locked="0" hidden="0"/>
    </xf>
    <xf numFmtId="219" fontId="17" fillId="0" borderId="0"/>
    <xf numFmtId="8" fontId="17" fillId="0" borderId="0"/>
    <xf numFmtId="199" fontId="17" fillId="0" borderId="0" applyProtection="1">
      <protection locked="0" hidden="0"/>
    </xf>
    <xf numFmtId="218" fontId="17" fillId="0" borderId="0"/>
    <xf numFmtId="38" fontId="17" fillId="0" borderId="0"/>
    <xf numFmtId="195" fontId="10" fillId="2" borderId="19" applyAlignment="1">
      <alignment horizontal="right"/>
    </xf>
    <xf numFmtId="234" fontId="46" fillId="2" borderId="0"/>
    <xf numFmtId="235" fontId="10" fillId="2" borderId="0"/>
    <xf numFmtId="0" fontId="47" fillId="0" borderId="0" applyAlignment="1">
      <alignment horizontal="center"/>
    </xf>
    <xf numFmtId="0" fontId="10" fillId="0" borderId="8" applyAlignment="1">
      <alignment horizontal="centerContinuous"/>
    </xf>
    <xf numFmtId="236" fontId="10" fillId="2" borderId="0" applyAlignment="1">
      <alignment horizontal="right"/>
    </xf>
    <xf numFmtId="237" fontId="10" fillId="2" borderId="9" applyAlignment="1">
      <alignment horizontal="right"/>
    </xf>
    <xf numFmtId="238" fontId="12" fillId="0" borderId="0" applyAlignment="1" applyProtection="1">
      <alignment horizontal="right"/>
      <protection locked="0" hidden="0"/>
    </xf>
    <xf numFmtId="218"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199" fontId="17" fillId="0" borderId="0" applyProtection="1">
      <protection locked="0" hidden="0"/>
    </xf>
    <xf numFmtId="239"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0" fontId="55" fillId="0" borderId="0" applyAlignment="1">
      <alignment horizontal="right" wrapText="1"/>
    </xf>
    <xf numFmtId="241" fontId="55" fillId="0" borderId="0" applyAlignment="1">
      <alignment horizontal="right"/>
    </xf>
    <xf numFmtId="4" fontId="25" fillId="0" borderId="0" applyAlignment="1">
      <alignment horizontal="right"/>
    </xf>
    <xf numFmtId="211" fontId="56" fillId="0" borderId="0"/>
    <xf numFmtId="242" fontId="57" fillId="0" borderId="0" applyAlignment="1" applyProtection="1">
      <alignment horizontal="left"/>
      <protection locked="0" hidden="0"/>
    </xf>
    <xf numFmtId="242" fontId="57" fillId="0" borderId="0"/>
    <xf numFmtId="242" fontId="58" fillId="0" borderId="0" applyAlignment="1" applyProtection="1">
      <alignment horizontal="left"/>
      <protection locked="0" hidden="0"/>
    </xf>
    <xf numFmtId="242" fontId="58" fillId="0" borderId="0" applyProtection="1">
      <protection locked="0" hidden="0"/>
    </xf>
    <xf numFmtId="218" fontId="17" fillId="0" borderId="0" applyProtection="1">
      <protection locked="0" hidden="0"/>
    </xf>
    <xf numFmtId="218" fontId="56" fillId="0" borderId="0"/>
    <xf numFmtId="49" fontId="59" fillId="0" borderId="0"/>
    <xf numFmtId="243" fontId="12" fillId="0" borderId="0"/>
    <xf numFmtId="244" fontId="12" fillId="0" borderId="0"/>
    <xf numFmtId="0" fontId="60" fillId="0" borderId="0"/>
    <xf numFmtId="0" fontId="61" fillId="1" borderId="0" applyAlignment="1">
      <alignment horizontal="left" vertical="center"/>
    </xf>
    <xf numFmtId="218"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5" fontId="26" fillId="0" borderId="0"/>
    <xf numFmtId="239" fontId="18" fillId="0" borderId="0"/>
  </cellStyleXfs>
  <cellXfs count="563">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externalLink" Target="/xl/externalLinks/externalLink1.xml" Id="rId11" /><Relationship Type="http://schemas.openxmlformats.org/officeDocument/2006/relationships/externalLink" Target="/xl/externalLinks/externalLink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ZoomInfo LBOMODEL1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Value</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c.gov/Archives/edgar/data/1794515/000179451525000045/zi-20241231.htm" TargetMode="External" Id="rId1" /><Relationship Type="http://schemas.openxmlformats.org/officeDocument/2006/relationships/hyperlink" Target="https://raw.githubusercontent.com/vengeanceaiUSC/Rainmaker/cursor/vengeanceaiusclbomodel1-44dc/LBO/output/LBOMODEL1_STRATEGY_SUMMARY.pdf" TargetMode="External" Id="rId2" /><Relationship Type="http://schemas.openxmlformats.org/officeDocument/2006/relationships/drawing" Target="/xl/drawings/drawing1.xml" Id="rId3" /></Relationships>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outlineLevelCol="0"/>
  <cols>
    <col width="48" customWidth="1" style="244" min="2" max="2"/>
    <col width="16" customWidth="1" style="244" min="3" max="3"/>
    <col width="16" customWidth="1" style="244" min="4" max="4"/>
    <col width="14" customWidth="1" style="244" min="5" max="5"/>
    <col width="78" customWidth="1" style="244" min="6" max="6"/>
  </cols>
  <sheetData>
    <row r="2">
      <c r="B2" s="406" t="inlineStr">
        <is>
          <t>vengeanceaiUSC-LBOMODEL1 — ZoomInfo AI-SDR LBO Strategy</t>
        </is>
      </c>
    </row>
    <row r="3">
      <c r="B3" t="inlineStr">
        <is>
          <t>Take-private LBO: slash outbound SDR S&amp;M, replace with AI agents, ≥500 bps EBITDA margin → higher FCF → faster debt paydown → higher IRR</t>
        </is>
      </c>
    </row>
    <row r="5">
      <c r="B5" s="407"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407" t="inlineStr">
        <is>
          <t>ENTRY (ZoomInfo FY2024 10-K baseline + latest BS)</t>
        </is>
      </c>
    </row>
    <row r="10">
      <c r="B10" s="408" t="inlineStr">
        <is>
          <t>Revenue (FY2024)</t>
        </is>
      </c>
      <c r="C10" s="556" t="n">
        <v>1214.3</v>
      </c>
      <c r="D10" s="408" t="inlineStr">
        <is>
          <t>10-K</t>
        </is>
      </c>
    </row>
    <row r="11">
      <c r="B11" s="408" t="inlineStr">
        <is>
          <t>Gross Profit / GM</t>
        </is>
      </c>
      <c r="C11" s="410" t="inlineStr">
        <is>
          <t>1024.5 / 84.4%</t>
        </is>
      </c>
      <c r="D11" s="408" t="inlineStr">
        <is>
          <t>10-K</t>
        </is>
      </c>
    </row>
    <row r="12">
      <c r="B12" s="408" t="inlineStr">
        <is>
          <t>GAAP Operating Income</t>
        </is>
      </c>
      <c r="C12" s="556" t="n">
        <v>97.40000000000001</v>
      </c>
      <c r="D12" s="408" t="inlineStr">
        <is>
          <t>10-K</t>
        </is>
      </c>
    </row>
    <row r="13">
      <c r="B13" s="408" t="inlineStr">
        <is>
          <t>D&amp;A</t>
        </is>
      </c>
      <c r="C13" s="556" t="n">
        <v>85.7</v>
      </c>
      <c r="D13" s="408" t="inlineStr">
        <is>
          <t>XBRL OtherDepreciationAndAmortization</t>
        </is>
      </c>
    </row>
    <row r="14">
      <c r="B14" s="408" t="inlineStr">
        <is>
          <t>Baseline EBITDA (OpInc+D&amp;A)</t>
        </is>
      </c>
      <c r="C14" s="556" t="n">
        <v>183.1</v>
      </c>
      <c r="D14" s="408" t="inlineStr">
        <is>
          <t>Calculated</t>
        </is>
      </c>
    </row>
    <row r="15">
      <c r="B15" s="408" t="inlineStr">
        <is>
          <t>Baseline EBITDA margin</t>
        </is>
      </c>
      <c r="C15" s="411" t="n">
        <v>0.1508</v>
      </c>
      <c r="D15" s="408" t="inlineStr">
        <is>
          <t>Calculated</t>
        </is>
      </c>
    </row>
    <row r="16">
      <c r="B16" s="408" t="inlineStr">
        <is>
          <t>S&amp;M baseline (35% of rev)</t>
        </is>
      </c>
      <c r="C16" s="556" t="n">
        <v>425</v>
      </c>
      <c r="D16" s="408" t="inlineStr">
        <is>
          <t>Prompt: ~35% / ~$425m</t>
        </is>
      </c>
    </row>
    <row r="17">
      <c r="B17" s="408" t="inlineStr">
        <is>
          <t>Share price / shares (m)</t>
        </is>
      </c>
      <c r="C17" s="410" t="inlineStr">
        <is>
          <t>$4.05 / 307.294</t>
        </is>
      </c>
      <c r="D17" s="408" t="inlineStr">
        <is>
          <t>Market + 10-K shares</t>
        </is>
      </c>
    </row>
    <row r="18">
      <c r="B18" s="408" t="inlineStr">
        <is>
          <t>Offer (25% premium)</t>
        </is>
      </c>
      <c r="C18" s="410" t="inlineStr">
        <is>
          <t>$5.0625</t>
        </is>
      </c>
      <c r="D18" s="408" t="inlineStr">
        <is>
          <t>Assumption</t>
        </is>
      </c>
    </row>
    <row r="19">
      <c r="B19" s="408" t="inlineStr">
        <is>
          <t>Gross debt / cash</t>
        </is>
      </c>
      <c r="C19" s="410" t="inlineStr">
        <is>
          <t>1329.9 / 179.9</t>
        </is>
      </c>
      <c r="D19" s="408" t="inlineStr">
        <is>
          <t>YE2025 10-K/Q</t>
        </is>
      </c>
    </row>
    <row r="20">
      <c r="B20" s="408" t="inlineStr">
        <is>
          <t>Sponsor equity check</t>
        </is>
      </c>
      <c r="C20" s="556" t="n">
        <v>1871.3</v>
      </c>
      <c r="D20" s="408" t="inlineStr">
        <is>
          <t>Uses − excess cash − new debt</t>
        </is>
      </c>
    </row>
    <row r="21">
      <c r="B21" s="408" t="inlineStr">
        <is>
          <t>New debt (5.0x EBITDA)</t>
        </is>
      </c>
      <c r="C21" s="556" t="n">
        <v>915.5</v>
      </c>
      <c r="D21" s="408" t="inlineStr">
        <is>
          <t>TLA 2.5x + TLB 1.5x + Notes 1.0x</t>
        </is>
      </c>
    </row>
    <row r="22">
      <c r="B22" s="408" t="inlineStr">
        <is>
          <t>Exit multiple</t>
        </is>
      </c>
      <c r="C22" s="410" t="inlineStr">
        <is>
          <t>13.0x</t>
        </is>
      </c>
      <c r="D22" s="408" t="inlineStr">
        <is>
          <t>Mid of 12–14x software band</t>
        </is>
      </c>
    </row>
    <row r="24">
      <c r="B24" s="407" t="inlineStr">
        <is>
          <t>AI STRATEGY RULES (as specified)</t>
        </is>
      </c>
    </row>
    <row r="25">
      <c r="B25" t="inlineStr">
        <is>
          <t>Y1: cut S&amp;M 15% vs baseline $425m; add $15m AI software/compute cost</t>
        </is>
      </c>
    </row>
    <row r="26">
      <c r="B26" t="inlineStr">
        <is>
          <t>Y2–Y5: S&amp;M grows only 2%/yr (AI scales without headcount)</t>
        </is>
      </c>
    </row>
    <row r="27">
      <c r="B27" t="inlineStr">
        <is>
          <t>Target: ≥500 bps EBITDA margin expansion by Year 2 vs baseline year</t>
        </is>
      </c>
    </row>
    <row r="29">
      <c r="B29" s="407" t="inlineStr">
        <is>
          <t>RESULTS — AI case vs Base (no AI) case</t>
        </is>
      </c>
    </row>
    <row r="30">
      <c r="B30" s="412" t="inlineStr">
        <is>
          <t>Metric</t>
        </is>
      </c>
      <c r="C30" s="412" t="inlineStr">
        <is>
          <t>Base (no AI)</t>
        </is>
      </c>
      <c r="D30" s="412" t="inlineStr">
        <is>
          <t>AI-SDR case</t>
        </is>
      </c>
      <c r="E30" s="412" t="inlineStr">
        <is>
          <t>Delta</t>
        </is>
      </c>
      <c r="F30" s="557" t="inlineStr">
        <is>
          <t>COMMENTARY</t>
        </is>
      </c>
    </row>
    <row r="31" ht="48" customHeight="1" s="244">
      <c r="B31" s="408" t="inlineStr">
        <is>
          <t>Y2 EBITDA margin</t>
        </is>
      </c>
      <c r="C31" s="411" t="n">
        <v>0.1522037387795438</v>
      </c>
      <c r="D31" s="413" t="n">
        <v>0.2073949020623481</v>
      </c>
      <c r="E31" s="411" t="n">
        <v>0.05519116328280424</v>
      </c>
      <c r="F31" s="558" t="inlineStr">
        <is>
          <t>Year 2 operating profitability; the AI strategy drove this from 15.2% to 20.7%, expanding the margin by 5.5%.</t>
        </is>
      </c>
    </row>
    <row r="32" ht="48" customHeight="1" s="244">
      <c r="B32" s="408" t="inlineStr">
        <is>
          <t>Y2 margin vs baseline (bps)</t>
        </is>
      </c>
      <c r="C32" s="556" t="n">
        <v>14.17277443794801</v>
      </c>
      <c r="D32" s="559" t="n">
        <v>566.0844072659904</v>
      </c>
      <c r="E32" s="556" t="n">
        <v>551.9116328280425</v>
      </c>
      <c r="F32" s="558" t="inlineStr">
        <is>
          <t>The difference from baseline margin; AI implementation increased this metric by 551.9 basis points to reach 566.1.</t>
        </is>
      </c>
    </row>
    <row r="33" ht="48" customHeight="1" s="244">
      <c r="B33" s="408" t="inlineStr">
        <is>
          <t>Y5 EBITDA ($m)</t>
        </is>
      </c>
      <c r="C33" s="556" t="n">
        <v>218.4</v>
      </c>
      <c r="D33" s="559" t="n">
        <v>314.7</v>
      </c>
      <c r="E33" s="556" t="n">
        <v>96.3</v>
      </c>
      <c r="F33" s="558" t="inlineStr">
        <is>
          <t>Year 5 operating cash flow; AI-driven cost savings boosted this figure by $96.3 million to $314.7 million.</t>
        </is>
      </c>
    </row>
    <row r="34" ht="48" customHeight="1" s="244">
      <c r="B34" s="408" t="inlineStr">
        <is>
          <t>Exit EV @ 13x ($m)</t>
        </is>
      </c>
      <c r="C34" s="556" t="n">
        <v>2839.7</v>
      </c>
      <c r="D34" s="559" t="n">
        <v>4091.4</v>
      </c>
      <c r="E34" s="556" t="n">
        <v>1251.7</v>
      </c>
      <c r="F34" s="558" t="inlineStr">
        <is>
          <t>Projected exit Enterprise Value; higher EBITDA from AI increased this valuation by $1,251.7 million to $4,091.4 million.</t>
        </is>
      </c>
    </row>
    <row r="35" ht="48" customHeight="1" s="244">
      <c r="B35" s="408" t="inlineStr">
        <is>
          <t>Exit net debt ($m)</t>
        </is>
      </c>
      <c r="C35" s="556" t="n">
        <v>357.1</v>
      </c>
      <c r="D35" s="559" t="n">
        <v>4.5</v>
      </c>
      <c r="E35" s="556" t="n">
        <v>-352.6</v>
      </c>
      <c r="F35" s="558" t="inlineStr">
        <is>
          <t>Remaining debt balance at exit; higher cash flow from the AI strategy paid down an extra $352.6 million.</t>
        </is>
      </c>
    </row>
    <row r="36" ht="48" customHeight="1" s="244">
      <c r="B36" s="408" t="inlineStr">
        <is>
          <t>Exit equity value ($m)</t>
        </is>
      </c>
      <c r="C36" s="556" t="n">
        <v>2482.6</v>
      </c>
      <c r="D36" s="559" t="n">
        <v>4086.9</v>
      </c>
      <c r="E36" s="556" t="n">
        <v>1604.3</v>
      </c>
      <c r="F36" s="558" t="inlineStr">
        <is>
          <t>Total payout to equity holders; the AI strategy increased this final payout by $1,604.3 million to $4,086.9 million.</t>
        </is>
      </c>
    </row>
    <row r="37" ht="48" customHeight="1" s="244">
      <c r="B37" s="408" t="inlineStr">
        <is>
          <t>MOIC</t>
        </is>
      </c>
      <c r="C37" s="560" t="n">
        <v>1.326661957981033</v>
      </c>
      <c r="D37" s="561" t="n">
        <v>2.183979483523617</v>
      </c>
      <c r="E37" s="560" t="n">
        <v>0.8573175255425849</v>
      </c>
      <c r="F37" s="558" t="inlineStr">
        <is>
          <t>Multiple on Invested Capital; the AI strategy significantly improved the total gross cash return from 1.33x to 2.18x.</t>
        </is>
      </c>
    </row>
    <row r="38" ht="48" customHeight="1" s="244">
      <c r="B38" s="408" t="inlineStr">
        <is>
          <t>IRR</t>
        </is>
      </c>
      <c r="C38" s="411" t="n">
        <v>0.05816174124246998</v>
      </c>
      <c r="D38" s="413" t="n">
        <v>0.1690947516165904</v>
      </c>
      <c r="E38" s="411" t="n">
        <v>0.1109330103741204</v>
      </c>
      <c r="F38" s="558" t="inlineStr">
        <is>
          <t>Annualized compound return rate over a 5-year period; replacing human SDRs with AI boosted this return by 11.1 percentage points to 16.9%.</t>
        </is>
      </c>
    </row>
    <row r="39">
      <c r="B39" s="562" t="inlineStr">
        <is>
          <t>The IRR is calculated over a 5-year period.</t>
        </is>
      </c>
    </row>
    <row r="40">
      <c r="B40" s="417" t="inlineStr">
        <is>
          <t>IRR POINTS FROM AI-DRIVEN S&amp;M REDUCTION</t>
        </is>
      </c>
    </row>
    <row r="41">
      <c r="B41" s="418" t="inlineStr">
        <is>
          <t>AI case IRR 16.9% − Base IRR 5.8% = 11.1 percentage points of IRR</t>
        </is>
      </c>
    </row>
    <row r="42">
      <c r="B42" s="418" t="inlineStr">
        <is>
          <t>Y2 AI EBITDA margin 20.7% vs baseline 15.1% = 566 bps (target ≥500: YES)</t>
        </is>
      </c>
    </row>
    <row r="44">
      <c r="B44" t="inlineStr">
        <is>
          <t>See AI_Operating, Base_Operating, Debt_Sweep_AI, LBO, 00_Assumptions_List</t>
        </is>
      </c>
    </row>
    <row r="45">
      <c r="B45" s="419" t="inlineStr">
        <is>
          <t>10-K: https://www.sec.gov/Archives/edgar/data/1794515/000179451525000045/zi-20241231.htm</t>
        </is>
      </c>
    </row>
    <row r="46">
      <c r="B46" t="inlineStr">
        <is>
          <t>PDF version of this Strategy Summary + Commentary:</t>
        </is>
      </c>
    </row>
    <row r="47">
      <c r="B47" s="419" t="inlineStr">
        <is>
          <t>https://raw.githubusercontent.com/vengeanceaiUSC/Rainmaker/cursor/vengeanceaiusclbomodel1-44dc/LBO/output/LBOMODEL1_STRATEGY_SUMMARY.pdf</t>
        </is>
      </c>
    </row>
    <row r="48">
      <c r="B48" s="407" t="inlineStr">
        <is>
          <t>CHART DATA (Base vs AI-SDR)</t>
        </is>
      </c>
    </row>
    <row r="49">
      <c r="B49" s="412" t="inlineStr">
        <is>
          <t>Metric</t>
        </is>
      </c>
      <c r="C49" s="412" t="inlineStr">
        <is>
          <t>Base</t>
        </is>
      </c>
      <c r="D49" s="412" t="inlineStr">
        <is>
          <t>AI-SDR</t>
        </is>
      </c>
    </row>
    <row r="50">
      <c r="B50" t="inlineStr">
        <is>
          <t>Y2 EBITDA margin %</t>
        </is>
      </c>
      <c r="C50" t="n">
        <v>15.2</v>
      </c>
      <c r="D50" t="n">
        <v>20.7</v>
      </c>
    </row>
    <row r="51">
      <c r="B51" t="inlineStr">
        <is>
          <t>Y5 EBITDA $m</t>
        </is>
      </c>
      <c r="C51" t="n">
        <v>218.4</v>
      </c>
      <c r="D51" t="n">
        <v>314.7</v>
      </c>
    </row>
    <row r="52">
      <c r="B52" t="inlineStr">
        <is>
          <t>Exit EV $m</t>
        </is>
      </c>
      <c r="C52" t="n">
        <v>2839.7</v>
      </c>
      <c r="D52" t="n">
        <v>4091.4</v>
      </c>
    </row>
    <row r="53">
      <c r="B53" t="inlineStr">
        <is>
          <t>Exit equity $m</t>
        </is>
      </c>
      <c r="C53" t="n">
        <v>2482.6</v>
      </c>
      <c r="D53" t="n">
        <v>4086.9</v>
      </c>
    </row>
    <row r="54">
      <c r="B54" t="inlineStr">
        <is>
          <t>MOIC (x)</t>
        </is>
      </c>
      <c r="C54" t="n">
        <v>1.33</v>
      </c>
      <c r="D54" t="n">
        <v>2.18</v>
      </c>
    </row>
    <row r="55">
      <c r="B55" t="inlineStr">
        <is>
          <t>IRR %</t>
        </is>
      </c>
      <c r="C55" t="n">
        <v>5.8</v>
      </c>
      <c r="D55" t="n">
        <v>16.9</v>
      </c>
    </row>
  </sheetData>
  <hyperlinks>
    <hyperlink xmlns:r="http://schemas.openxmlformats.org/officeDocument/2006/relationships" ref="B45" r:id="rId1"/>
    <hyperlink xmlns:r="http://schemas.openxmlformats.org/officeDocument/2006/relationships" ref="B47" r:id="rId2"/>
  </hyperlinks>
  <pageMargins left="0.75" right="0.75" top="1" bottom="1" header="0.5" footer="0.5"/>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B2:I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outlineLevelCol="0"/>
  <cols>
    <col width="4" customWidth="1" style="244" min="2" max="2"/>
    <col width="18" customWidth="1" style="244" min="3" max="3"/>
    <col width="22" customWidth="1" style="244" min="4" max="4"/>
    <col width="22" customWidth="1" style="244" min="5" max="5"/>
    <col width="28" customWidth="1" style="244" min="6" max="6"/>
    <col width="28" customWidth="1" style="244" min="7" max="7"/>
    <col width="28" customWidth="1" style="244" min="8" max="8"/>
    <col width="22" customWidth="1" style="244" min="9" max="9"/>
  </cols>
  <sheetData>
    <row r="2">
      <c r="B2" s="406" t="inlineStr">
        <is>
          <t>Assumptions List — every key driver (What / How / Why / Source)</t>
        </is>
      </c>
    </row>
    <row r="4">
      <c r="B4" s="412" t="inlineStr">
        <is>
          <t>#</t>
        </is>
      </c>
      <c r="C4" s="412" t="inlineStr">
        <is>
          <t>Tab</t>
        </is>
      </c>
      <c r="D4" s="412" t="inlineStr">
        <is>
          <t>Assumption</t>
        </is>
      </c>
      <c r="E4" s="412" t="inlineStr">
        <is>
          <t>Value</t>
        </is>
      </c>
      <c r="F4" s="412" t="inlineStr">
        <is>
          <t>What</t>
        </is>
      </c>
      <c r="G4" s="412" t="inlineStr">
        <is>
          <t>How</t>
        </is>
      </c>
      <c r="H4" s="412" t="inlineStr">
        <is>
          <t>Why</t>
        </is>
      </c>
      <c r="I4" s="412" t="inlineStr">
        <is>
          <t>Source</t>
        </is>
      </c>
    </row>
    <row r="5" ht="30" customHeight="1" s="244">
      <c r="B5" s="420" t="n">
        <v>1</v>
      </c>
      <c r="C5" s="420" t="inlineStr">
        <is>
          <t>Strategy_Summary</t>
        </is>
      </c>
      <c r="D5" s="420" t="inlineStr">
        <is>
          <t>Baseline year</t>
        </is>
      </c>
      <c r="E5" s="420" t="inlineStr">
        <is>
          <t>FY2024</t>
        </is>
      </c>
      <c r="F5" s="420" t="inlineStr">
        <is>
          <t>Entry operating year</t>
        </is>
      </c>
      <c r="G5" s="420" t="inlineStr">
        <is>
          <t>Prompt + 10-K</t>
        </is>
      </c>
      <c r="H5" s="420" t="inlineStr">
        <is>
          <t>User-specified baseline</t>
        </is>
      </c>
      <c r="I5" s="420" t="inlineStr">
        <is>
          <t>FY2024 10-K</t>
        </is>
      </c>
    </row>
    <row r="6" ht="30" customHeight="1" s="244">
      <c r="B6" s="420" t="n">
        <v>2</v>
      </c>
      <c r="C6" s="420" t="inlineStr">
        <is>
          <t>Strategy_Summary</t>
        </is>
      </c>
      <c r="D6" s="420" t="inlineStr">
        <is>
          <t>Revenue</t>
        </is>
      </c>
      <c r="E6" s="420" t="inlineStr">
        <is>
          <t>$1214.3m</t>
        </is>
      </c>
      <c r="F6" s="420" t="inlineStr">
        <is>
          <t>FY2024 revenue</t>
        </is>
      </c>
      <c r="G6" s="420" t="inlineStr">
        <is>
          <t>10-K XBRL</t>
        </is>
      </c>
      <c r="H6" s="420" t="inlineStr">
        <is>
          <t>Historical anchor</t>
        </is>
      </c>
      <c r="I6" s="420" t="inlineStr">
        <is>
          <t>SEC 10-K</t>
        </is>
      </c>
    </row>
    <row r="7" ht="30" customHeight="1" s="244">
      <c r="B7" s="420" t="n">
        <v>3</v>
      </c>
      <c r="C7" s="420" t="inlineStr">
        <is>
          <t>Strategy_Summary</t>
        </is>
      </c>
      <c r="D7" s="420" t="inlineStr">
        <is>
          <t>Gross profit / GM</t>
        </is>
      </c>
      <c r="E7" s="420" t="inlineStr">
        <is>
          <t>$1024.5m / 84%</t>
        </is>
      </c>
      <c r="F7" s="420" t="inlineStr">
        <is>
          <t>FY2024 GP</t>
        </is>
      </c>
      <c r="G7" s="420" t="inlineStr">
        <is>
          <t>10-K</t>
        </is>
      </c>
      <c r="H7" s="420" t="inlineStr">
        <is>
          <t>Software GM</t>
        </is>
      </c>
      <c r="I7" s="420" t="inlineStr">
        <is>
          <t>SEC 10-K</t>
        </is>
      </c>
    </row>
    <row r="8" ht="30" customHeight="1" s="244">
      <c r="B8" s="420" t="n">
        <v>4</v>
      </c>
      <c r="C8" s="420" t="inlineStr">
        <is>
          <t>Strategy_Summary</t>
        </is>
      </c>
      <c r="D8" s="420" t="inlineStr">
        <is>
          <t>OpInc / D&amp;A / EBITDA</t>
        </is>
      </c>
      <c r="E8" s="420" t="inlineStr">
        <is>
          <t>97.4 / 85.7 / 183.10000000000002</t>
        </is>
      </c>
      <c r="F8" s="420" t="inlineStr">
        <is>
          <t>Baseline earnings</t>
        </is>
      </c>
      <c r="G8" s="420" t="inlineStr">
        <is>
          <t>OpInc+D&amp;A</t>
        </is>
      </c>
      <c r="H8" s="420" t="inlineStr">
        <is>
          <t>Standard add-back</t>
        </is>
      </c>
      <c r="I8" s="420" t="inlineStr">
        <is>
          <t>SEC XBRL</t>
        </is>
      </c>
    </row>
    <row r="9" ht="30" customHeight="1" s="244">
      <c r="B9" s="420" t="n">
        <v>5</v>
      </c>
      <c r="C9" s="420" t="inlineStr">
        <is>
          <t>Strategy_Summary</t>
        </is>
      </c>
      <c r="D9" s="420" t="inlineStr">
        <is>
          <t>S&amp;M baseline</t>
        </is>
      </c>
      <c r="E9" s="420" t="inlineStr">
        <is>
          <t>$425.0m (35% rev)</t>
        </is>
      </c>
      <c r="F9" s="420" t="inlineStr">
        <is>
          <t>Bloated S&amp;M</t>
        </is>
      </c>
      <c r="G9" s="420" t="inlineStr">
        <is>
          <t>35% × revenue</t>
        </is>
      </c>
      <c r="H9" s="420" t="inlineStr">
        <is>
          <t>Prompt ~$425m</t>
        </is>
      </c>
      <c r="I9" s="420" t="inlineStr">
        <is>
          <t>User prompt</t>
        </is>
      </c>
    </row>
    <row r="10" ht="30" customHeight="1" s="244">
      <c r="B10" s="420" t="n">
        <v>6</v>
      </c>
      <c r="C10" s="420" t="inlineStr">
        <is>
          <t>AI_Operating</t>
        </is>
      </c>
      <c r="D10" s="420" t="inlineStr">
        <is>
          <t>Y1 S&amp;M cut</t>
        </is>
      </c>
      <c r="E10" s="420" t="inlineStr">
        <is>
          <t>−15%</t>
        </is>
      </c>
      <c r="F10" s="420" t="inlineStr">
        <is>
          <t>Terminate outbound SDRs</t>
        </is>
      </c>
      <c r="G10" s="420" t="inlineStr">
        <is>
          <t>SM1=SM0×0.85</t>
        </is>
      </c>
      <c r="H10" s="420" t="inlineStr">
        <is>
          <t>Remove SDR comp/seats</t>
        </is>
      </c>
      <c r="I10" s="420" t="inlineStr">
        <is>
          <t>User prompt</t>
        </is>
      </c>
    </row>
    <row r="11" ht="30" customHeight="1" s="244">
      <c r="B11" s="420" t="n">
        <v>7</v>
      </c>
      <c r="C11" s="420" t="inlineStr">
        <is>
          <t>AI_Operating</t>
        </is>
      </c>
      <c r="D11" s="420" t="inlineStr">
        <is>
          <t>AI replacement cost</t>
        </is>
      </c>
      <c r="E11" s="420" t="inlineStr">
        <is>
          <t>$15m / yr</t>
        </is>
      </c>
      <c r="F11" s="420" t="inlineStr">
        <is>
          <t>AI compute/software</t>
        </is>
      </c>
      <c r="G11" s="420" t="inlineStr">
        <is>
          <t>Fixed +$15m from Y1</t>
        </is>
      </c>
      <c r="H11" s="420" t="inlineStr">
        <is>
          <t>Agent infrastructure</t>
        </is>
      </c>
      <c r="I11" s="420" t="inlineStr">
        <is>
          <t>User prompt</t>
        </is>
      </c>
    </row>
    <row r="12" ht="30" customHeight="1" s="244">
      <c r="B12" s="420" t="n">
        <v>8</v>
      </c>
      <c r="C12" s="420" t="inlineStr">
        <is>
          <t>AI_Operating</t>
        </is>
      </c>
      <c r="D12" s="420" t="inlineStr">
        <is>
          <t>S&amp;M growth Y2+</t>
        </is>
      </c>
      <c r="E12" s="420" t="inlineStr">
        <is>
          <t>2% / yr</t>
        </is>
      </c>
      <c r="F12" s="420" t="inlineStr">
        <is>
          <t>Cap S&amp;M after cut</t>
        </is>
      </c>
      <c r="G12" s="420" t="inlineStr">
        <is>
          <t>SM_t=SM_t-1×1.02</t>
        </is>
      </c>
      <c r="H12" s="420" t="inlineStr">
        <is>
          <t>AI scales without HC</t>
        </is>
      </c>
      <c r="I12" s="420" t="inlineStr">
        <is>
          <t>User prompt</t>
        </is>
      </c>
    </row>
    <row r="13" ht="30" customHeight="1" s="244">
      <c r="B13" s="420" t="n">
        <v>9</v>
      </c>
      <c r="C13" s="420" t="inlineStr">
        <is>
          <t>AI_Operating</t>
        </is>
      </c>
      <c r="D13" s="420" t="inlineStr">
        <is>
          <t>Margin target</t>
        </is>
      </c>
      <c r="E13" s="420" t="inlineStr">
        <is>
          <t>≥500 bps by Y2</t>
        </is>
      </c>
      <c r="F13" s="420" t="inlineStr">
        <is>
          <t>EBITDA margin expansion</t>
        </is>
      </c>
      <c r="G13" s="420" t="inlineStr">
        <is>
          <t>Y2 margin − baseline</t>
        </is>
      </c>
      <c r="H13" s="420" t="inlineStr">
        <is>
          <t>Value-creation hurdle</t>
        </is>
      </c>
      <c r="I13" s="420" t="inlineStr">
        <is>
          <t>User prompt</t>
        </is>
      </c>
    </row>
    <row r="14" ht="30" customHeight="1" s="244">
      <c r="B14" s="420" t="n">
        <v>10</v>
      </c>
      <c r="C14" s="420" t="inlineStr">
        <is>
          <t>Base_Operating</t>
        </is>
      </c>
      <c r="D14" s="420" t="inlineStr">
        <is>
          <t>Base S&amp;M policy</t>
        </is>
      </c>
      <c r="E14" s="420" t="inlineStr">
        <is>
          <t>35% of revenue</t>
        </is>
      </c>
      <c r="F14" s="420" t="inlineStr">
        <is>
          <t>No AI transformation</t>
        </is>
      </c>
      <c r="G14" s="420" t="inlineStr">
        <is>
          <t>SM=0.35×Rev</t>
        </is>
      </c>
      <c r="H14" s="420" t="inlineStr">
        <is>
          <t>Counterfactual</t>
        </is>
      </c>
      <c r="I14" s="420" t="inlineStr">
        <is>
          <t>User prompt</t>
        </is>
      </c>
    </row>
    <row r="15" ht="30" customHeight="1" s="244">
      <c r="B15" s="420" t="n">
        <v>11</v>
      </c>
      <c r="C15" s="420" t="inlineStr">
        <is>
          <t>Strategy_Summary</t>
        </is>
      </c>
      <c r="D15" s="420" t="inlineStr">
        <is>
          <t>Exit multiple</t>
        </is>
      </c>
      <c r="E15" s="420" t="inlineStr">
        <is>
          <t>13.0x</t>
        </is>
      </c>
      <c r="F15" s="420" t="inlineStr">
        <is>
          <t>Software exit EV/EBITDA</t>
        </is>
      </c>
      <c r="G15" s="420" t="inlineStr">
        <is>
          <t>Mid 12–14x band</t>
        </is>
      </c>
      <c r="H15" s="420" t="inlineStr">
        <is>
          <t>PE exit assumption</t>
        </is>
      </c>
      <c r="I15" s="420" t="inlineStr">
        <is>
          <t>User prompt</t>
        </is>
      </c>
    </row>
    <row r="16" ht="30" customHeight="1" s="244">
      <c r="B16" s="420" t="n">
        <v>12</v>
      </c>
      <c r="C16" s="420" t="inlineStr">
        <is>
          <t>Strategy_Summary</t>
        </is>
      </c>
      <c r="D16" s="420" t="inlineStr">
        <is>
          <t>New leverage</t>
        </is>
      </c>
      <c r="E16" s="420" t="inlineStr">
        <is>
          <t>5.0x EBITDA</t>
        </is>
      </c>
      <c r="F16" s="420" t="inlineStr">
        <is>
          <t>TLA/TLB/Notes</t>
        </is>
      </c>
      <c r="G16" s="420" t="inlineStr">
        <is>
          <t>2.5+1.5+1.0 turns</t>
        </is>
      </c>
      <c r="H16" s="420" t="inlineStr">
        <is>
          <t>Financing structure</t>
        </is>
      </c>
      <c r="I16" s="420" t="inlineStr">
        <is>
          <t>Model</t>
        </is>
      </c>
    </row>
    <row r="17" ht="30" customHeight="1" s="244">
      <c r="B17" s="420" t="n">
        <v>13</v>
      </c>
      <c r="C17" s="420" t="inlineStr">
        <is>
          <t>Debt_Sweep_AI</t>
        </is>
      </c>
      <c r="D17" s="420" t="inlineStr">
        <is>
          <t>Cash sweep</t>
        </is>
      </c>
      <c r="E17" s="420" t="inlineStr">
        <is>
          <t>Max FCF to debt</t>
        </is>
      </c>
      <c r="F17" s="420" t="inlineStr">
        <is>
          <t>Accelerated paydown</t>
        </is>
      </c>
      <c r="G17" s="420" t="inlineStr">
        <is>
          <t>min(debt, max(0,FCF))</t>
        </is>
      </c>
      <c r="H17" s="420" t="inlineStr">
        <is>
          <t>IRR via lower exit debt</t>
        </is>
      </c>
      <c r="I17" s="420" t="inlineStr">
        <is>
          <t>LBO mechanics</t>
        </is>
      </c>
    </row>
    <row r="18" ht="30" customHeight="1" s="244">
      <c r="B18" s="420" t="n">
        <v>14</v>
      </c>
      <c r="C18" s="420" t="inlineStr">
        <is>
          <t>Strategy_Summary</t>
        </is>
      </c>
      <c r="D18" s="420" t="inlineStr">
        <is>
          <t>Offer premium</t>
        </is>
      </c>
      <c r="E18" s="420" t="inlineStr">
        <is>
          <t>25%</t>
        </is>
      </c>
      <c r="F18" s="420" t="inlineStr">
        <is>
          <t>Take-private premium</t>
        </is>
      </c>
      <c r="G18" s="420" t="inlineStr">
        <is>
          <t>Offer=Px1.25</t>
        </is>
      </c>
      <c r="H18" s="420" t="inlineStr">
        <is>
          <t>Deal assumption</t>
        </is>
      </c>
      <c r="I18" s="420" t="inlineStr">
        <is>
          <t>Model</t>
        </is>
      </c>
    </row>
    <row r="19" ht="30" customHeight="1" s="244">
      <c r="B19" s="420" t="n">
        <v>15</v>
      </c>
      <c r="C19" s="420" t="inlineStr">
        <is>
          <t>Strategy_Summary</t>
        </is>
      </c>
      <c r="D19" s="420" t="inlineStr">
        <is>
          <t>IRR uplift metric</t>
        </is>
      </c>
      <c r="E19" s="420" t="inlineStr">
        <is>
          <t>11.1 ppt</t>
        </is>
      </c>
      <c r="F19" s="420" t="inlineStr">
        <is>
          <t>AI vs Base IRR</t>
        </is>
      </c>
      <c r="G19" s="420" t="inlineStr">
        <is>
          <t>IRR_AI − IRR_Base</t>
        </is>
      </c>
      <c r="H19" s="420" t="inlineStr">
        <is>
          <t>Isolates AI S&amp;M value</t>
        </is>
      </c>
      <c r="I19" s="420" t="inlineStr">
        <is>
          <t>Calculated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G12"/>
  <sheetViews>
    <sheetView workbookViewId="0">
      <selection activeCell="A1" sqref="A1"/>
    </sheetView>
  </sheetViews>
  <sheetFormatPr baseColWidth="8" defaultRowHeight="15" outlineLevelCol="0"/>
  <cols>
    <col width="12" customWidth="1" style="244" min="2" max="2"/>
    <col width="12" customWidth="1" style="244" min="3" max="3"/>
    <col width="12" customWidth="1" style="244" min="4" max="4"/>
    <col width="14" customWidth="1" style="244" min="5" max="5"/>
    <col width="14" customWidth="1" style="244" min="6" max="6"/>
    <col width="18" customWidth="1" style="244" min="7" max="7"/>
  </cols>
  <sheetData>
    <row r="2">
      <c r="B2" s="406" t="inlineStr">
        <is>
          <t>Debt schedule — AI case cash sweep (vs base ending debt)</t>
        </is>
      </c>
    </row>
    <row r="4">
      <c r="B4" s="412" t="inlineStr">
        <is>
          <t>Year</t>
        </is>
      </c>
      <c r="C4" s="412" t="inlineStr">
        <is>
          <t>AI FCF</t>
        </is>
      </c>
      <c r="D4" s="412" t="inlineStr">
        <is>
          <t>AI paydown</t>
        </is>
      </c>
      <c r="E4" s="412" t="inlineStr">
        <is>
          <t>AI debt end</t>
        </is>
      </c>
      <c r="F4" s="412" t="inlineStr">
        <is>
          <t>Base debt end</t>
        </is>
      </c>
      <c r="G4" s="412" t="inlineStr">
        <is>
          <t>Extra paydown vs base</t>
        </is>
      </c>
    </row>
    <row r="5">
      <c r="B5" s="421" t="n">
        <v>2025</v>
      </c>
      <c r="C5" s="556" t="n">
        <v>137.5282912000001</v>
      </c>
      <c r="D5" s="556" t="n">
        <v>137.5282912000001</v>
      </c>
      <c r="E5" s="559" t="n">
        <v>777.9717088</v>
      </c>
      <c r="F5" s="556" t="n">
        <v>826.5607773</v>
      </c>
      <c r="G5" s="559" t="n">
        <v>48.58906850000005</v>
      </c>
    </row>
    <row r="6">
      <c r="B6" s="421" t="n">
        <v>2026</v>
      </c>
      <c r="C6" s="556" t="n">
        <v>159.2865991016001</v>
      </c>
      <c r="D6" s="556" t="n">
        <v>159.2865991016001</v>
      </c>
      <c r="E6" s="559" t="n">
        <v>618.6851096983999</v>
      </c>
      <c r="F6" s="556" t="n">
        <v>726.867461747025</v>
      </c>
      <c r="G6" s="559" t="n">
        <v>108.1823520486251</v>
      </c>
    </row>
    <row r="7">
      <c r="B7" s="421" t="n">
        <v>2027</v>
      </c>
      <c r="C7" s="556" t="n">
        <v>183.23549201229</v>
      </c>
      <c r="D7" s="556" t="n">
        <v>183.23549201229</v>
      </c>
      <c r="E7" s="559" t="n">
        <v>435.4496176861098</v>
      </c>
      <c r="F7" s="556" t="n">
        <v>615.320635583216</v>
      </c>
      <c r="G7" s="559" t="n">
        <v>179.8710178971062</v>
      </c>
    </row>
    <row r="8">
      <c r="B8" s="421" t="n">
        <v>2028</v>
      </c>
      <c r="C8" s="556" t="n">
        <v>204.2737956388759</v>
      </c>
      <c r="D8" s="556" t="n">
        <v>204.2737956388759</v>
      </c>
      <c r="E8" s="559" t="n">
        <v>231.1758220472339</v>
      </c>
      <c r="F8" s="556" t="n">
        <v>492.2660966390317</v>
      </c>
      <c r="G8" s="559" t="n">
        <v>261.0902745917978</v>
      </c>
    </row>
    <row r="9">
      <c r="B9" s="421" t="n">
        <v>2029</v>
      </c>
      <c r="C9" s="556" t="n">
        <v>226.6632985760825</v>
      </c>
      <c r="D9" s="556" t="n">
        <v>226.6632985760825</v>
      </c>
      <c r="E9" s="559" t="n">
        <v>4.512523471151439</v>
      </c>
      <c r="F9" s="556" t="n">
        <v>357.1352076643299</v>
      </c>
      <c r="G9" s="559" t="n">
        <v>352.6226841931785</v>
      </c>
    </row>
    <row r="11">
      <c r="B11" s="408" t="inlineStr">
        <is>
          <t>New debt at close</t>
        </is>
      </c>
      <c r="C11" s="556" t="n">
        <v>915.5000000000001</v>
      </c>
    </row>
    <row r="12">
      <c r="B12" s="408" t="inlineStr">
        <is>
          <t>Blended interest rate</t>
        </is>
      </c>
      <c r="C12" s="422" t="n">
        <v>0.075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9"/>
  <sheetViews>
    <sheetView workbookViewId="0">
      <selection activeCell="A1" sqref="A1"/>
    </sheetView>
  </sheetViews>
  <sheetFormatPr baseColWidth="8" defaultRowHeight="15" outlineLevelCol="0"/>
  <cols>
    <col width="22"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406" t="inlineStr">
        <is>
          <t>Base case — S&amp;M stays ~35% of revenue (no AI transformation)</t>
        </is>
      </c>
    </row>
    <row r="4">
      <c r="B4" s="412" t="inlineStr"/>
      <c r="C4" s="412" t="inlineStr">
        <is>
          <t>FY2024A</t>
        </is>
      </c>
      <c r="D4" s="412" t="inlineStr">
        <is>
          <t>Y1 2025</t>
        </is>
      </c>
      <c r="E4" s="412" t="inlineStr">
        <is>
          <t>Y2 2026</t>
        </is>
      </c>
      <c r="F4" s="412" t="inlineStr">
        <is>
          <t>Y3 2027</t>
        </is>
      </c>
      <c r="G4" s="412" t="inlineStr">
        <is>
          <t>Y4 2028</t>
        </is>
      </c>
      <c r="H4" s="412" t="inlineStr">
        <is>
          <t>Y5 2029</t>
        </is>
      </c>
    </row>
    <row r="5">
      <c r="B5" s="408" t="inlineStr">
        <is>
          <t>Revenue</t>
        </is>
      </c>
      <c r="C5" s="556" t="n">
        <v>1214.3</v>
      </c>
      <c r="D5" s="556" t="n">
        <v>1250.729</v>
      </c>
      <c r="E5" s="556" t="n">
        <v>1300.75816</v>
      </c>
      <c r="F5" s="556" t="n">
        <v>1352.7884864</v>
      </c>
      <c r="G5" s="556" t="n">
        <v>1393.372140992</v>
      </c>
      <c r="H5" s="556" t="n">
        <v>1435.173305221761</v>
      </c>
    </row>
    <row r="6">
      <c r="B6" s="408" t="inlineStr">
        <is>
          <t>COGS</t>
        </is>
      </c>
      <c r="C6" s="556" t="n">
        <v>189.8</v>
      </c>
      <c r="D6" s="556" t="n">
        <v>195.4939999999999</v>
      </c>
      <c r="E6" s="556" t="n">
        <v>203.31376</v>
      </c>
      <c r="F6" s="556" t="n">
        <v>211.4463104</v>
      </c>
      <c r="G6" s="556" t="n">
        <v>217.789699712</v>
      </c>
      <c r="H6" s="556" t="n">
        <v>224.32339070336</v>
      </c>
    </row>
    <row r="7">
      <c r="B7" s="408" t="inlineStr">
        <is>
          <t>S&amp;M (human)</t>
        </is>
      </c>
      <c r="C7" s="556" t="n">
        <v>425</v>
      </c>
      <c r="D7" s="556" t="n">
        <v>437.75515</v>
      </c>
      <c r="E7" s="556" t="n">
        <v>455.265356</v>
      </c>
      <c r="F7" s="556" t="n">
        <v>473.47597024</v>
      </c>
      <c r="G7" s="556" t="n">
        <v>487.6802493472001</v>
      </c>
      <c r="H7" s="556" t="n">
        <v>502.3106568276161</v>
      </c>
    </row>
    <row r="8">
      <c r="B8" s="408" t="inlineStr">
        <is>
          <t>AI agent cost</t>
        </is>
      </c>
      <c r="C8" s="556" t="n">
        <v>0</v>
      </c>
      <c r="D8" s="556" t="n">
        <v>0</v>
      </c>
      <c r="E8" s="556" t="n">
        <v>0</v>
      </c>
      <c r="F8" s="556" t="n">
        <v>0</v>
      </c>
      <c r="G8" s="556" t="n">
        <v>0</v>
      </c>
      <c r="H8" s="556" t="n">
        <v>0</v>
      </c>
    </row>
    <row r="9">
      <c r="B9" s="408" t="inlineStr">
        <is>
          <t>R&amp;D</t>
        </is>
      </c>
      <c r="C9" s="556" t="n">
        <v>196.1</v>
      </c>
      <c r="D9" s="556" t="n">
        <v>201.983</v>
      </c>
      <c r="E9" s="556" t="n">
        <v>210.06232</v>
      </c>
      <c r="F9" s="556" t="n">
        <v>218.4648128</v>
      </c>
      <c r="G9" s="556" t="n">
        <v>225.018757184</v>
      </c>
      <c r="H9" s="556" t="n">
        <v>231.7693198995201</v>
      </c>
    </row>
    <row r="10">
      <c r="B10" s="408" t="inlineStr">
        <is>
          <t>G&amp;A</t>
        </is>
      </c>
      <c r="C10" s="556" t="n">
        <v>295.3</v>
      </c>
      <c r="D10" s="556" t="n">
        <v>225.13122</v>
      </c>
      <c r="E10" s="556" t="n">
        <v>234.1364688</v>
      </c>
      <c r="F10" s="556" t="n">
        <v>243.501927552</v>
      </c>
      <c r="G10" s="556" t="n">
        <v>250.8069853785601</v>
      </c>
      <c r="H10" s="556" t="n">
        <v>258.3311949399169</v>
      </c>
    </row>
    <row r="11">
      <c r="B11" s="408" t="inlineStr">
        <is>
          <t>EBITDA</t>
        </is>
      </c>
      <c r="C11" s="556" t="n">
        <v>183.1</v>
      </c>
      <c r="D11" s="559" t="n">
        <v>190.3656300000002</v>
      </c>
      <c r="E11" s="559" t="n">
        <v>197.9802552000001</v>
      </c>
      <c r="F11" s="559" t="n">
        <v>205.8994654080003</v>
      </c>
      <c r="G11" s="559" t="n">
        <v>212.0764493702403</v>
      </c>
      <c r="H11" s="559" t="n">
        <v>218.4387428513474</v>
      </c>
    </row>
    <row r="12">
      <c r="B12" s="408" t="inlineStr">
        <is>
          <t>EBITDA margin</t>
        </is>
      </c>
      <c r="C12" s="411" t="n">
        <v>0.150786461335749</v>
      </c>
      <c r="D12" s="413" t="n">
        <v>0.1522037387795439</v>
      </c>
      <c r="E12" s="413" t="n">
        <v>0.1522037387795438</v>
      </c>
      <c r="F12" s="413" t="n">
        <v>0.1522037387795439</v>
      </c>
      <c r="G12" s="413" t="n">
        <v>0.152203738779544</v>
      </c>
      <c r="H12" s="413" t="n">
        <v>0.1522037387795439</v>
      </c>
    </row>
    <row r="13">
      <c r="B13" s="408" t="inlineStr">
        <is>
          <t>D&amp;A</t>
        </is>
      </c>
      <c r="C13" s="556" t="n">
        <v>85.7</v>
      </c>
      <c r="D13" s="556" t="n">
        <v>88.271</v>
      </c>
      <c r="E13" s="556" t="n">
        <v>91.80184</v>
      </c>
      <c r="F13" s="556" t="n">
        <v>95.47391360000002</v>
      </c>
      <c r="G13" s="556" t="n">
        <v>98.33813100800002</v>
      </c>
      <c r="H13" s="556" t="n">
        <v>101.28827493824</v>
      </c>
    </row>
    <row r="14">
      <c r="B14" s="408" t="inlineStr">
        <is>
          <t>EBIT</t>
        </is>
      </c>
      <c r="C14" s="556" t="n">
        <v>97.40000000000001</v>
      </c>
      <c r="D14" s="556" t="n">
        <v>102.0946300000002</v>
      </c>
      <c r="E14" s="556" t="n">
        <v>106.1784152000001</v>
      </c>
      <c r="F14" s="556" t="n">
        <v>110.4255518080002</v>
      </c>
      <c r="G14" s="556" t="n">
        <v>113.7383183622403</v>
      </c>
      <c r="H14" s="556" t="n">
        <v>117.1504679131074</v>
      </c>
    </row>
    <row r="15">
      <c r="B15" s="408" t="inlineStr">
        <is>
          <t>Interest</t>
        </is>
      </c>
      <c r="D15" s="556" t="n">
        <v>68.66250000000001</v>
      </c>
      <c r="E15" s="556" t="n">
        <v>61.9920582975</v>
      </c>
      <c r="F15" s="556" t="n">
        <v>54.51505963102687</v>
      </c>
      <c r="G15" s="556" t="n">
        <v>46.1490476687412</v>
      </c>
      <c r="H15" s="556" t="n">
        <v>36.91995724792738</v>
      </c>
    </row>
    <row r="16">
      <c r="B16" s="408" t="inlineStr">
        <is>
          <t>Net income</t>
        </is>
      </c>
      <c r="D16" s="556" t="n">
        <v>26.41138270000011</v>
      </c>
      <c r="E16" s="556" t="n">
        <v>34.90722195297506</v>
      </c>
      <c r="F16" s="556" t="n">
        <v>44.16928881980895</v>
      </c>
      <c r="G16" s="556" t="n">
        <v>53.39552384786428</v>
      </c>
      <c r="H16" s="556" t="n">
        <v>63.38210342549219</v>
      </c>
    </row>
    <row r="17">
      <c r="B17" s="408" t="inlineStr">
        <is>
          <t>FCF (after interest)</t>
        </is>
      </c>
      <c r="D17" s="559" t="n">
        <v>88.93922270000012</v>
      </c>
      <c r="E17" s="559" t="n">
        <v>99.69331555297505</v>
      </c>
      <c r="F17" s="559" t="n">
        <v>111.546826163809</v>
      </c>
      <c r="G17" s="559" t="n">
        <v>123.0545389441843</v>
      </c>
      <c r="H17" s="559" t="n">
        <v>135.1308889747018</v>
      </c>
    </row>
    <row r="18">
      <c r="B18" s="408" t="inlineStr">
        <is>
          <t>Debt paydown</t>
        </is>
      </c>
      <c r="D18" s="556" t="n">
        <v>88.93922270000012</v>
      </c>
      <c r="E18" s="556" t="n">
        <v>99.69331555297505</v>
      </c>
      <c r="F18" s="556" t="n">
        <v>111.546826163809</v>
      </c>
      <c r="G18" s="556" t="n">
        <v>123.0545389441843</v>
      </c>
      <c r="H18" s="556" t="n">
        <v>135.1308889747018</v>
      </c>
    </row>
    <row r="19">
      <c r="B19" s="408" t="inlineStr">
        <is>
          <t>Debt end</t>
        </is>
      </c>
      <c r="C19" s="556" t="n">
        <v>1329.9</v>
      </c>
      <c r="D19" s="556" t="n">
        <v>826.5607773</v>
      </c>
      <c r="E19" s="556" t="n">
        <v>726.867461747025</v>
      </c>
      <c r="F19" s="556" t="n">
        <v>615.320635583216</v>
      </c>
      <c r="G19" s="556" t="n">
        <v>492.2660966390317</v>
      </c>
      <c r="H19" s="556" t="n">
        <v>357.1352076643299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9"/>
  <sheetViews>
    <sheetView workbookViewId="0">
      <selection activeCell="A1" sqref="A1"/>
    </sheetView>
  </sheetViews>
  <sheetFormatPr baseColWidth="8" defaultRowHeight="15" outlineLevelCol="0"/>
  <cols>
    <col width="22"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406" t="inlineStr">
        <is>
          <t>AI-SDR case — S&amp;M cut 15% Y1 + $15m AI; S&amp;M +2%/yr thereafter</t>
        </is>
      </c>
    </row>
    <row r="4">
      <c r="B4" s="412" t="inlineStr"/>
      <c r="C4" s="412" t="inlineStr">
        <is>
          <t>FY2024A</t>
        </is>
      </c>
      <c r="D4" s="412" t="inlineStr">
        <is>
          <t>Y1 2025</t>
        </is>
      </c>
      <c r="E4" s="412" t="inlineStr">
        <is>
          <t>Y2 2026</t>
        </is>
      </c>
      <c r="F4" s="412" t="inlineStr">
        <is>
          <t>Y3 2027</t>
        </is>
      </c>
      <c r="G4" s="412" t="inlineStr">
        <is>
          <t>Y4 2028</t>
        </is>
      </c>
      <c r="H4" s="412" t="inlineStr">
        <is>
          <t>Y5 2029</t>
        </is>
      </c>
    </row>
    <row r="5">
      <c r="B5" s="408" t="inlineStr">
        <is>
          <t>Revenue</t>
        </is>
      </c>
      <c r="C5" s="556" t="n">
        <v>1214.3</v>
      </c>
      <c r="D5" s="556" t="n">
        <v>1250.729</v>
      </c>
      <c r="E5" s="556" t="n">
        <v>1300.75816</v>
      </c>
      <c r="F5" s="556" t="n">
        <v>1352.7884864</v>
      </c>
      <c r="G5" s="556" t="n">
        <v>1393.372140992</v>
      </c>
      <c r="H5" s="556" t="n">
        <v>1435.173305221761</v>
      </c>
    </row>
    <row r="6">
      <c r="B6" s="408" t="inlineStr">
        <is>
          <t>COGS</t>
        </is>
      </c>
      <c r="C6" s="556" t="n">
        <v>189.8</v>
      </c>
      <c r="D6" s="556" t="n">
        <v>195.4939999999999</v>
      </c>
      <c r="E6" s="556" t="n">
        <v>203.31376</v>
      </c>
      <c r="F6" s="556" t="n">
        <v>211.4463104</v>
      </c>
      <c r="G6" s="556" t="n">
        <v>217.789699712</v>
      </c>
      <c r="H6" s="556" t="n">
        <v>224.32339070336</v>
      </c>
    </row>
    <row r="7">
      <c r="B7" s="408" t="inlineStr">
        <is>
          <t>S&amp;M (human)</t>
        </is>
      </c>
      <c r="C7" s="556" t="n">
        <v>425</v>
      </c>
      <c r="D7" s="556" t="n">
        <v>361.25</v>
      </c>
      <c r="E7" s="556" t="n">
        <v>368.475</v>
      </c>
      <c r="F7" s="556" t="n">
        <v>375.8445</v>
      </c>
      <c r="G7" s="556" t="n">
        <v>383.36139</v>
      </c>
      <c r="H7" s="556" t="n">
        <v>391.0286178000001</v>
      </c>
    </row>
    <row r="8">
      <c r="B8" s="408" t="inlineStr">
        <is>
          <t>AI agent cost</t>
        </is>
      </c>
      <c r="C8" s="556" t="n">
        <v>0</v>
      </c>
      <c r="D8" s="556" t="n">
        <v>15</v>
      </c>
      <c r="E8" s="556" t="n">
        <v>15</v>
      </c>
      <c r="F8" s="556" t="n">
        <v>15</v>
      </c>
      <c r="G8" s="556" t="n">
        <v>15</v>
      </c>
      <c r="H8" s="556" t="n">
        <v>15</v>
      </c>
    </row>
    <row r="9">
      <c r="B9" s="408" t="inlineStr">
        <is>
          <t>R&amp;D</t>
        </is>
      </c>
      <c r="C9" s="556" t="n">
        <v>196.1</v>
      </c>
      <c r="D9" s="556" t="n">
        <v>201.983</v>
      </c>
      <c r="E9" s="556" t="n">
        <v>210.06232</v>
      </c>
      <c r="F9" s="556" t="n">
        <v>218.4648128</v>
      </c>
      <c r="G9" s="556" t="n">
        <v>225.018757184</v>
      </c>
      <c r="H9" s="556" t="n">
        <v>231.7693198995201</v>
      </c>
    </row>
    <row r="10">
      <c r="B10" s="408" t="inlineStr">
        <is>
          <t>G&amp;A</t>
        </is>
      </c>
      <c r="C10" s="556" t="n">
        <v>295.3</v>
      </c>
      <c r="D10" s="556" t="n">
        <v>225.13122</v>
      </c>
      <c r="E10" s="556" t="n">
        <v>234.1364688</v>
      </c>
      <c r="F10" s="556" t="n">
        <v>243.501927552</v>
      </c>
      <c r="G10" s="556" t="n">
        <v>250.8069853785601</v>
      </c>
      <c r="H10" s="556" t="n">
        <v>258.3311949399169</v>
      </c>
    </row>
    <row r="11">
      <c r="B11" s="408" t="inlineStr">
        <is>
          <t>EBITDA</t>
        </is>
      </c>
      <c r="C11" s="556" t="n">
        <v>183.1</v>
      </c>
      <c r="D11" s="559" t="n">
        <v>251.8707800000001</v>
      </c>
      <c r="E11" s="559" t="n">
        <v>269.7706112000001</v>
      </c>
      <c r="F11" s="559" t="n">
        <v>288.5309356480003</v>
      </c>
      <c r="G11" s="559" t="n">
        <v>301.3953087174403</v>
      </c>
      <c r="H11" s="559" t="n">
        <v>314.7207818789635</v>
      </c>
    </row>
    <row r="12">
      <c r="B12" s="408" t="inlineStr">
        <is>
          <t>EBITDA margin</t>
        </is>
      </c>
      <c r="C12" s="411" t="n">
        <v>0.150786461335749</v>
      </c>
      <c r="D12" s="413" t="n">
        <v>0.201379179662421</v>
      </c>
      <c r="E12" s="413" t="n">
        <v>0.2073949020623481</v>
      </c>
      <c r="F12" s="413" t="n">
        <v>0.2132860669267152</v>
      </c>
      <c r="G12" s="413" t="n">
        <v>0.2163063978750604</v>
      </c>
      <c r="H12" s="413" t="n">
        <v>0.2192911342023139</v>
      </c>
    </row>
    <row r="13">
      <c r="B13" s="408" t="inlineStr">
        <is>
          <t>D&amp;A</t>
        </is>
      </c>
      <c r="C13" s="556" t="n">
        <v>85.7</v>
      </c>
      <c r="D13" s="556" t="n">
        <v>88.271</v>
      </c>
      <c r="E13" s="556" t="n">
        <v>91.80184</v>
      </c>
      <c r="F13" s="556" t="n">
        <v>95.47391360000002</v>
      </c>
      <c r="G13" s="556" t="n">
        <v>98.33813100800002</v>
      </c>
      <c r="H13" s="556" t="n">
        <v>101.28827493824</v>
      </c>
    </row>
    <row r="14">
      <c r="B14" s="408" t="inlineStr">
        <is>
          <t>EBIT</t>
        </is>
      </c>
      <c r="C14" s="556" t="n">
        <v>97.40000000000001</v>
      </c>
      <c r="D14" s="556" t="n">
        <v>163.5997800000001</v>
      </c>
      <c r="E14" s="556" t="n">
        <v>177.9687712000001</v>
      </c>
      <c r="F14" s="556" t="n">
        <v>193.0570220480002</v>
      </c>
      <c r="G14" s="556" t="n">
        <v>203.0571777094403</v>
      </c>
      <c r="H14" s="556" t="n">
        <v>213.4325069407234</v>
      </c>
    </row>
    <row r="15">
      <c r="B15" s="408" t="inlineStr">
        <is>
          <t>Interest</t>
        </is>
      </c>
      <c r="D15" s="556" t="n">
        <v>68.66250000000001</v>
      </c>
      <c r="E15" s="556" t="n">
        <v>58.34787815999999</v>
      </c>
      <c r="F15" s="556" t="n">
        <v>46.40138322737999</v>
      </c>
      <c r="G15" s="556" t="n">
        <v>32.65872132645823</v>
      </c>
      <c r="H15" s="556" t="n">
        <v>17.33818665354254</v>
      </c>
    </row>
    <row r="16">
      <c r="B16" s="408" t="inlineStr">
        <is>
          <t>Net income</t>
        </is>
      </c>
      <c r="D16" s="556" t="n">
        <v>75.0004512000001</v>
      </c>
      <c r="E16" s="556" t="n">
        <v>94.50050550160006</v>
      </c>
      <c r="F16" s="556" t="n">
        <v>115.85795466829</v>
      </c>
      <c r="G16" s="556" t="n">
        <v>134.6147805425558</v>
      </c>
      <c r="H16" s="556" t="n">
        <v>154.9145130268729</v>
      </c>
    </row>
    <row r="17">
      <c r="B17" s="408" t="inlineStr">
        <is>
          <t>FCF (after interest)</t>
        </is>
      </c>
      <c r="D17" s="559" t="n">
        <v>137.5282912000001</v>
      </c>
      <c r="E17" s="559" t="n">
        <v>159.2865991016001</v>
      </c>
      <c r="F17" s="559" t="n">
        <v>183.23549201229</v>
      </c>
      <c r="G17" s="559" t="n">
        <v>204.2737956388759</v>
      </c>
      <c r="H17" s="559" t="n">
        <v>226.6632985760825</v>
      </c>
    </row>
    <row r="18">
      <c r="B18" s="408" t="inlineStr">
        <is>
          <t>Debt paydown</t>
        </is>
      </c>
      <c r="D18" s="556" t="n">
        <v>137.5282912000001</v>
      </c>
      <c r="E18" s="556" t="n">
        <v>159.2865991016001</v>
      </c>
      <c r="F18" s="556" t="n">
        <v>183.23549201229</v>
      </c>
      <c r="G18" s="556" t="n">
        <v>204.2737956388759</v>
      </c>
      <c r="H18" s="556" t="n">
        <v>226.6632985760825</v>
      </c>
    </row>
    <row r="19">
      <c r="B19" s="408" t="inlineStr">
        <is>
          <t>Debt end</t>
        </is>
      </c>
      <c r="C19" s="556" t="n">
        <v>1329.9</v>
      </c>
      <c r="D19" s="556" t="n">
        <v>777.9717088</v>
      </c>
      <c r="E19" s="556" t="n">
        <v>618.6851096983999</v>
      </c>
      <c r="F19" s="556" t="n">
        <v>435.4496176861098</v>
      </c>
      <c r="G19" s="556" t="n">
        <v>231.1758220472339</v>
      </c>
      <c r="H19" s="556" t="n">
        <v>4.512523471151439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7.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outlineLevelCol="0"/>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AT 13.0x EXIT — AI-SDR case vs Base</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2.184</v>
      </c>
      <c r="J275" s="490" t="n">
        <v>0.1691</v>
      </c>
    </row>
    <row r="276">
      <c r="B276" s="193" t="inlineStr">
        <is>
          <t>Sponsor equity (Base case)</t>
        </is>
      </c>
      <c r="F276" s="491" t="n">
        <v>6850.553940000001</v>
      </c>
      <c r="G276" s="492" t="n">
        <v>1</v>
      </c>
      <c r="H276" s="492" t="n">
        <v>1</v>
      </c>
      <c r="I276" t="n">
        <v>1.327</v>
      </c>
      <c r="J276" t="n">
        <v>0.0582</v>
      </c>
    </row>
    <row r="277">
      <c r="B277" s="193" t="inlineStr">
        <is>
          <t>IRR uplift from AI S&amp;M (percentage points)</t>
        </is>
      </c>
      <c r="E277" s="175" t="n"/>
      <c r="G277" s="492" t="n"/>
      <c r="H277" s="492" t="n"/>
      <c r="J277" t="n">
        <v>0.1109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outlineLevelCol="0"/>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outlineLevelCol="0"/>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outlineLevelCol="0"/>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2026-08-15T14:24:59Z</dcterms:modified>
  <cp:lastModifiedBy>scottmccarthy</cp:lastModifiedBy>
  <cp:lastPrinted>2014-05-30T16:55:05Z</cp:lastPrinted>
</cp:coreProperties>
</file>