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6">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70/30; cuts 18%/18%; AI $24.5m; CapEx/WC cuts 0.</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v>
      </c>
      <c r="D12" s="667" t="inlineStr">
        <is>
          <t>No source printed a 5% CapEx cut, so the cut is set to 0% (no AI CapEx discount).</t>
        </is>
      </c>
      <c r="E12" s="669" t="inlineStr">
        <is>
          <t>C12=0% CapEx cut — no source printed a cut, so none is applied.</t>
        </is>
      </c>
      <c r="F12" s="664" t="inlineStr">
        <is>
          <t>No source says a CapEx cut. The cut is 0%, so CapEx uses the base rate only.</t>
        </is>
      </c>
      <c r="G12" s="664" t="inlineStr">
        <is>
          <t>Go to AI_Operating!D19 (CapEx)</t>
        </is>
      </c>
      <c r="H12" s="593" t="n"/>
      <c r="I12" s="669" t="inlineStr">
        <is>
          <t>0% CapEx cut: no source claimed a cut</t>
        </is>
      </c>
      <c r="J12" s="651" t="n"/>
      <c r="K12" s="651" t="n"/>
    </row>
    <row r="13" ht="96" customHeight="1" s="244">
      <c r="A13" s="665" t="inlineStr">
        <is>
          <t>NO</t>
        </is>
      </c>
      <c r="B13" s="664" t="inlineStr">
        <is>
          <t>WC / receivables improvement</t>
        </is>
      </c>
      <c r="C13" s="666" t="n">
        <v>0</v>
      </c>
      <c r="D13" s="667" t="inlineStr">
        <is>
          <t>No source printed a 10% WC improvement, so the improvement is set to 0%.</t>
        </is>
      </c>
      <c r="E13" s="669" t="inlineStr">
        <is>
          <t>C13=0% WC improve — no source printed 10%, so none is applied.</t>
        </is>
      </c>
      <c r="F13" s="664" t="inlineStr">
        <is>
          <t>No source says a WC improvement. The improvement is 0%, so WC uses the base plug only.</t>
        </is>
      </c>
      <c r="G13" s="664" t="inlineStr">
        <is>
          <t>Go to AI_Operating!D20 (ΔNWC)</t>
        </is>
      </c>
      <c r="H13" s="593" t="n"/>
      <c r="I13" s="669" t="inlineStr">
        <is>
          <t>0% WC improve: no source claimed 10%</t>
        </is>
      </c>
      <c r="J13" s="651" t="n"/>
      <c r="K13" s="651" t="n"/>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WC base % of Δrev</t>
        </is>
      </c>
      <c r="C25" s="666" t="n">
        <v>0</v>
      </c>
      <c r="D25" s="667" t="inlineStr">
        <is>
          <t>Was an unsourced 2% ΔNWC/ΔRev plug. No page equals 2%, so the plug is set to 0%.</t>
        </is>
      </c>
      <c r="E25" s="669" t="inlineStr">
        <is>
          <t>C25=0% ΔNWC/ΔRev — no source printed 2%, so the plug is zero.</t>
        </is>
      </c>
      <c r="F25" s="664" t="inlineStr">
        <is>
          <t>No source says a 2% WC plug. The plug is 0%, so ΔNWC is zero in the forecast.</t>
        </is>
      </c>
      <c r="G25" s="664" t="inlineStr">
        <is>
          <t>Go to AI_Operating!D20 (ΔNWC)</t>
        </is>
      </c>
      <c r="H25" s="593" t="n"/>
      <c r="I25" s="669" t="inlineStr">
        <is>
          <t>0% WC plug: no source equaled 2%</t>
        </is>
      </c>
      <c r="J25" s="651" t="n"/>
      <c r="K25" s="651" t="n"/>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574.8877051518325</v>
      </c>
      <c r="D35" s="626" t="n">
        <v>112.7770612693652</v>
      </c>
      <c r="E35" s="626" t="n">
        <v>-462.1106438824673</v>
      </c>
      <c r="F35" s="625" t="inlineStr">
        <is>
          <t>Remaining debt at exit; AI case $112.8m vs Base $574.9m.</t>
        </is>
      </c>
    </row>
    <row r="36" ht="42" customHeight="1" s="244">
      <c r="B36" s="575" t="inlineStr">
        <is>
          <t>Exit equity value ($m)</t>
        </is>
      </c>
      <c r="C36" s="626" t="n">
        <v>1773.969906451733</v>
      </c>
      <c r="D36" s="626" t="n">
        <v>3996.354770667758</v>
      </c>
      <c r="E36" s="626" t="n">
        <v>2222.384864216025</v>
      </c>
      <c r="F36" s="625" t="inlineStr">
        <is>
          <t>Total equity payout; AI strategy changed final payout by $2,222.4m to $3,996.4m (exit 12.9x).</t>
        </is>
      </c>
    </row>
    <row r="37" ht="42" customHeight="1" s="244">
      <c r="B37" s="575" t="inlineStr">
        <is>
          <t>MOIC</t>
        </is>
      </c>
      <c r="C37" s="627" t="n">
        <v>0.9479933534394431</v>
      </c>
      <c r="D37" s="627" t="n">
        <v>2.135615574311956</v>
      </c>
      <c r="E37" s="627" t="n">
        <v>1.187622220872513</v>
      </c>
      <c r="F37" s="625" t="inlineStr">
        <is>
          <t>Multiple on Invested Capital; AI improved gross cash return from 0.95x to 2.14x.</t>
        </is>
      </c>
    </row>
    <row r="38" ht="42" customHeight="1" s="244">
      <c r="B38" s="575" t="inlineStr">
        <is>
          <t>IRR</t>
        </is>
      </c>
      <c r="C38" s="624" t="n">
        <v>-0.01062471232081792</v>
      </c>
      <c r="D38" s="624" t="n">
        <v>0.1638703804018492</v>
      </c>
      <c r="E38" s="624" t="n">
        <v>0.1744950927226671</v>
      </c>
      <c r="F38" s="625" t="inlineStr">
        <is>
          <t>5-year IRR; AI boosted return by 17.4 percentage points to 16.4%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16.4% − Base IRR -1.1% = 17.4 percentage points of IRR</t>
        </is>
      </c>
    </row>
    <row r="42">
      <c r="B42" s="569" t="inlineStr">
        <is>
          <t>Y2 AI EBITDA margin 18.1% vs FY24 baseline 15.1% = 307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−0% vs baseline CapEx rate (no sourced cut)</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WC improve 0% vs base (no sourced improve)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0.0%</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rev 5%, payroll/commission cut −18%, AI $24.5m, S&amp;M $414.1m, exit 12.9x, CapEx/WC cuts 0% (unsourced removed).</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106.1491420000001</v>
      </c>
      <c r="D5" s="626" t="n">
        <v>9.154999999999999</v>
      </c>
      <c r="E5" s="626" t="n">
        <v>106.1491420000001</v>
      </c>
      <c r="F5" s="626" t="n">
        <v>809.3508579999999</v>
      </c>
      <c r="G5" s="626" t="n">
        <v>869.0184999999998</v>
      </c>
      <c r="H5" s="626" t="n">
        <v>59.66764199999989</v>
      </c>
    </row>
    <row r="6">
      <c r="B6" s="628" t="n">
        <v>2026</v>
      </c>
      <c r="C6" s="626" t="n">
        <v>130.5059589909402</v>
      </c>
      <c r="D6" s="626" t="n">
        <v>9.154999999999999</v>
      </c>
      <c r="E6" s="626" t="n">
        <v>130.5059589909402</v>
      </c>
      <c r="F6" s="626" t="n">
        <v>678.8448990090596</v>
      </c>
      <c r="G6" s="626" t="n">
        <v>812.4640854999998</v>
      </c>
      <c r="H6" s="626" t="n">
        <v>133.6191864909401</v>
      </c>
    </row>
    <row r="7">
      <c r="B7" s="628" t="n">
        <v>2027</v>
      </c>
      <c r="C7" s="626" t="n">
        <v>157.4906357474761</v>
      </c>
      <c r="D7" s="626" t="n">
        <v>9.154999999999999</v>
      </c>
      <c r="E7" s="626" t="n">
        <v>157.4906357474761</v>
      </c>
      <c r="F7" s="626" t="n">
        <v>521.3542632615836</v>
      </c>
      <c r="G7" s="626" t="n">
        <v>744.6899570964996</v>
      </c>
      <c r="H7" s="626" t="n">
        <v>223.335693834916</v>
      </c>
    </row>
    <row r="8">
      <c r="B8" s="628" t="n">
        <v>2028</v>
      </c>
      <c r="C8" s="626" t="n">
        <v>187.3302392459731</v>
      </c>
      <c r="D8" s="626" t="n">
        <v>9.154999999999999</v>
      </c>
      <c r="E8" s="626" t="n">
        <v>187.3302392459731</v>
      </c>
      <c r="F8" s="626" t="n">
        <v>334.0240240156105</v>
      </c>
      <c r="G8" s="626" t="n">
        <v>665.6150688061919</v>
      </c>
      <c r="H8" s="626" t="n">
        <v>331.5910447905814</v>
      </c>
    </row>
    <row r="9">
      <c r="B9" s="628" t="n">
        <v>2029</v>
      </c>
      <c r="C9" s="626" t="n">
        <v>221.2469627462453</v>
      </c>
      <c r="D9" s="626" t="n">
        <v>9.154999999999999</v>
      </c>
      <c r="E9" s="626" t="n">
        <v>221.2469627462453</v>
      </c>
      <c r="F9" s="626" t="n">
        <v>112.7770612693652</v>
      </c>
      <c r="G9" s="626" t="n">
        <v>574.8877051518325</v>
      </c>
      <c r="H9" s="626" t="n">
        <v>462.1106438824673</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73.95953549999999</v>
      </c>
      <c r="F17" s="626" t="n">
        <v>69.26551909649999</v>
      </c>
      <c r="G17" s="626" t="n">
        <v>63.64026643900946</v>
      </c>
      <c r="H17" s="626" t="n">
        <v>57.07705071091392</v>
      </c>
    </row>
    <row r="18">
      <c r="B18" s="575" t="inlineStr">
        <is>
          <t>Net income</t>
        </is>
      </c>
      <c r="D18" s="626" t="n">
        <v>-18.00319999999986</v>
      </c>
      <c r="E18" s="626" t="n">
        <v>-11.15452049999995</v>
      </c>
      <c r="F18" s="626" t="n">
        <v>-3.320253346499783</v>
      </c>
      <c r="G18" s="626" t="n">
        <v>4.425787452807622</v>
      </c>
      <c r="H18" s="626" t="n">
        <v>12.3458077749844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0</v>
      </c>
      <c r="E20" s="626" t="n">
        <v>0</v>
      </c>
      <c r="F20" s="626" t="n">
        <v>0</v>
      </c>
      <c r="G20" s="626" t="n">
        <v>0</v>
      </c>
      <c r="H20" s="626" t="n">
        <v>0</v>
      </c>
    </row>
    <row r="21">
      <c r="B21" s="575" t="inlineStr">
        <is>
          <t>FCF after interest</t>
        </is>
      </c>
      <c r="D21" s="626" t="n">
        <v>46.48150000000013</v>
      </c>
      <c r="E21" s="626" t="n">
        <v>56.55441450000006</v>
      </c>
      <c r="F21" s="626" t="n">
        <v>67.77412840350024</v>
      </c>
      <c r="G21" s="626" t="n">
        <v>79.07488829030763</v>
      </c>
      <c r="H21" s="626" t="n">
        <v>90.72736365435942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46.48150000000013</v>
      </c>
      <c r="E23" s="626" t="n">
        <v>56.55441450000006</v>
      </c>
      <c r="F23" s="626" t="n">
        <v>67.77412840350024</v>
      </c>
      <c r="G23" s="626" t="n">
        <v>79.07488829030763</v>
      </c>
      <c r="H23" s="626" t="n">
        <v>90.72736365435942</v>
      </c>
    </row>
    <row r="24">
      <c r="B24" s="575" t="inlineStr">
        <is>
          <t>Debt end</t>
        </is>
      </c>
      <c r="C24" s="582" t="n">
        <v>1329.9</v>
      </c>
      <c r="D24" s="626" t="n">
        <v>869.0184999999998</v>
      </c>
      <c r="E24" s="626" t="n">
        <v>812.4640854999998</v>
      </c>
      <c r="F24" s="626" t="n">
        <v>744.6899570964996</v>
      </c>
      <c r="G24" s="626" t="n">
        <v>665.6150688061919</v>
      </c>
      <c r="H24" s="626" t="n">
        <v>574.8877051518325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69.00712121399999</v>
      </c>
      <c r="F17" s="626" t="n">
        <v>58.17512661775195</v>
      </c>
      <c r="G17" s="626" t="n">
        <v>45.10340385071143</v>
      </c>
      <c r="H17" s="626" t="n">
        <v>28.31773423345177</v>
      </c>
    </row>
    <row r="18">
      <c r="B18" s="575" t="inlineStr">
        <is>
          <t>Net income</t>
        </is>
      </c>
      <c r="D18" s="626" t="n">
        <v>41.66444200000014</v>
      </c>
      <c r="E18" s="626" t="n">
        <v>62.79702399094019</v>
      </c>
      <c r="F18" s="626" t="n">
        <v>86.39625399747612</v>
      </c>
      <c r="G18" s="626" t="n">
        <v>112.6811384084731</v>
      </c>
      <c r="H18" s="626" t="n">
        <v>142.8654068668702</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0</v>
      </c>
      <c r="E20" s="626" t="n">
        <v>0</v>
      </c>
      <c r="F20" s="626" t="n">
        <v>0</v>
      </c>
      <c r="G20" s="626" t="n">
        <v>0</v>
      </c>
      <c r="H20" s="626" t="n">
        <v>0</v>
      </c>
    </row>
    <row r="21">
      <c r="B21" s="575" t="inlineStr">
        <is>
          <t>FCF after interest</t>
        </is>
      </c>
      <c r="D21" s="626" t="n">
        <v>106.1491420000001</v>
      </c>
      <c r="E21" s="626" t="n">
        <v>130.5059589909402</v>
      </c>
      <c r="F21" s="626" t="n">
        <v>157.4906357474761</v>
      </c>
      <c r="G21" s="626" t="n">
        <v>187.3302392459731</v>
      </c>
      <c r="H21" s="626" t="n">
        <v>221.2469627462453</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106.1491420000001</v>
      </c>
      <c r="E23" s="626" t="n">
        <v>130.5059589909402</v>
      </c>
      <c r="F23" s="626" t="n">
        <v>157.4906357474761</v>
      </c>
      <c r="G23" s="626" t="n">
        <v>187.3302392459731</v>
      </c>
      <c r="H23" s="626" t="n">
        <v>221.2469627462453</v>
      </c>
    </row>
    <row r="24">
      <c r="B24" s="575" t="inlineStr">
        <is>
          <t>Debt end</t>
        </is>
      </c>
      <c r="C24" s="582" t="n">
        <v>1329.9</v>
      </c>
      <c r="D24" s="626" t="n">
        <v>809.3508579999999</v>
      </c>
      <c r="E24" s="626" t="n">
        <v>678.8448990090596</v>
      </c>
      <c r="F24" s="626" t="n">
        <v>521.3542632615836</v>
      </c>
      <c r="G24" s="626" t="n">
        <v>334.0240240156105</v>
      </c>
      <c r="H24" s="626" t="n">
        <v>112.7770612693652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2026-08-15T16:46:44Z</dcterms:modified>
  <cp:lastModifiedBy>scottmccarthy</cp:lastModifiedBy>
  <cp:lastPrinted>2014-05-30T16:55:05Z</cp:lastPrinted>
</cp:coreProperties>
</file>