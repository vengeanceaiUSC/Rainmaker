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77">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70/30; cuts 18%/18%; AI $24.5m; CapEx 8%; WC base 2.5% / improve 10%.</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WC / receivables improvement</t>
        </is>
      </c>
      <c r="C13" s="666" t="n">
        <v>0.1</v>
      </c>
      <c r="D13" s="667" t="inlineStr">
        <is>
          <t>AI/AR automation shortens collections. Conservative: ~6 DSO days cut (Global PayEx) on a 59-day B2B SaaS median (Fairview) → ≈10%. Below 20–40% automation headlines.</t>
        </is>
      </c>
      <c r="E13" s="676">
        <f>HYPERLINK("https://getfairview.com/blog/working-capital-management-saas","IN EQ: C13=10% ≈ 6 DSO days / 59-day B2B SaaS median (conservative AR-automation cut)")</f>
        <v/>
      </c>
      <c r="F13" s="664" t="inlineStr">
        <is>
          <t>Fairview says median B2B SaaS DSO is 59 days. Global PayEx shows ~6-day DSO cuts. 6/59≈10% WC improvement in the AI case.</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Ctrl+F: Cut DSO 20%+ (headline; we use conservative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WC base % of Δrev</t>
        </is>
      </c>
      <c r="C25" s="666" t="n">
        <v>0.025</v>
      </c>
      <c r="D25" s="667" t="inlineStr">
        <is>
          <t>Growth still ties up some NWC (receivables). VeloraAI SaaS/Software NWC is 0–5% of sales; we use the 2.5% midpoint as ΔNWC/ΔRev (conservative vs assuming negative SaaS NWC).</t>
        </is>
      </c>
      <c r="E25" s="676">
        <f>HYPERLINK("https://veloraailabs.com/blog/working-capital-schedule-excel","IN EQ: C25=2.5% = midpoint of SaaS/Software NWC % of Sales band 0–5% (VeloraAI)")</f>
        <v/>
      </c>
      <c r="F25" s="664" t="inlineStr">
        <is>
          <t>VeloraAI says SaaS/Software NWC is 0–5% of sales. We use 2.5%, the midpoint, as the ΔNWC / Δrevenue plug.</t>
        </is>
      </c>
      <c r="G25" s="664" t="inlineStr">
        <is>
          <t>Go to AI_Operating!D20 (ΔNWC)</t>
        </is>
      </c>
      <c r="H25" s="675">
        <f>HYPERLINK("https://getfairview.com/blog/working-capital-management-saas","Fairview: SaaS WC levers center on DSO")</f>
        <v/>
      </c>
      <c r="I25" s="669" t="inlineStr">
        <is>
          <t>Ctrl+F: SaaS / Software</t>
        </is>
      </c>
      <c r="J25" s="672" t="inlineStr">
        <is>
          <t>Ctrl+F: 0-5%</t>
        </is>
      </c>
      <c r="K25" s="672" t="inlineStr">
        <is>
          <t>Ctrl+F: NWC % of Sales</t>
        </is>
      </c>
    </row>
    <row r="26">
      <c r="B26" s="618" t="inlineStr">
        <is>
          <t>Computed rates (SOFR + spreads) — still sourced on the same row</t>
        </is>
      </c>
    </row>
    <row r="27" ht="96" customHeight="1" s="244">
      <c r="A27" s="655" t="inlineStr">
        <is>
          <t>NO</t>
        </is>
      </c>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584.486394566851</v>
      </c>
      <c r="D35" s="626" t="n">
        <v>108.532697639433</v>
      </c>
      <c r="E35" s="626" t="n">
        <v>-475.953696927418</v>
      </c>
      <c r="F35" s="625" t="inlineStr">
        <is>
          <t>Remaining debt at exit; AI case $108.5m vs Base $584.5m.</t>
        </is>
      </c>
    </row>
    <row r="36" ht="42" customHeight="1" s="244">
      <c r="B36" s="575" t="inlineStr">
        <is>
          <t>Exit equity value ($m)</t>
        </is>
      </c>
      <c r="C36" s="626" t="n">
        <v>1764.371217036715</v>
      </c>
      <c r="D36" s="626" t="n">
        <v>4000.59913429769</v>
      </c>
      <c r="E36" s="626" t="n">
        <v>2236.227917260975</v>
      </c>
      <c r="F36" s="625" t="inlineStr">
        <is>
          <t>Total equity payout; AI strategy changed final payout by $2,236.2m to $4,000.6m (exit 12.9x).</t>
        </is>
      </c>
    </row>
    <row r="37" ht="42" customHeight="1" s="244">
      <c r="B37" s="575" t="inlineStr">
        <is>
          <t>MOIC</t>
        </is>
      </c>
      <c r="C37" s="627" t="n">
        <v>0.9428639012801515</v>
      </c>
      <c r="D37" s="627" t="n">
        <v>2.13788372356078</v>
      </c>
      <c r="E37" s="627" t="n">
        <v>1.195019822280629</v>
      </c>
      <c r="F37" s="625" t="inlineStr">
        <is>
          <t>Multiple on Invested Capital; AI improved gross cash return from 0.94x to 2.14x.</t>
        </is>
      </c>
    </row>
    <row r="38" ht="42" customHeight="1" s="244">
      <c r="B38" s="575" t="inlineStr">
        <is>
          <t>IRR</t>
        </is>
      </c>
      <c r="C38" s="624" t="n">
        <v>-0.01169770991337527</v>
      </c>
      <c r="D38" s="624" t="n">
        <v>0.1641174951927608</v>
      </c>
      <c r="E38" s="624" t="n">
        <v>0.175815205106136</v>
      </c>
      <c r="F38" s="625" t="inlineStr">
        <is>
          <t>5-year IRR; AI boosted return by 17.6 percentage points to 16.4%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16.4% − Base IRR -1.2% = 17.6 percentage points of IRR</t>
        </is>
      </c>
    </row>
    <row r="42">
      <c r="B42" s="569" t="inlineStr">
        <is>
          <t>Y2 AI EBITDA margin 18.1% vs FY24 baseline 15.1% = 307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Working Capital</t>
        </is>
      </c>
      <c r="D15" s="571" t="inlineStr">
        <is>
          <t>WC / receivables improve 10% vs base (≈6 DSO days / 59-day median)</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WC base % of Δrev</t>
        </is>
      </c>
      <c r="D27" t="inlineStr">
        <is>
          <t>2.5%</t>
        </is>
      </c>
      <c r="E27" t="inlineStr">
        <is>
          <t>LBO (not DCF)</t>
        </is>
      </c>
      <c r="F27" t="inlineStr">
        <is>
          <t>Assumptions_Drivers</t>
        </is>
      </c>
      <c r="G27" t="inlineStr">
        <is>
          <t>C25</t>
        </is>
      </c>
      <c r="H27" t="inlineStr">
        <is>
          <t>Go to Assumptions_Drivers!C25</t>
        </is>
      </c>
      <c r="M27" t="inlineStr">
        <is>
          <t>MODEL CONST plug</t>
        </is>
      </c>
      <c r="N27" s="659" t="inlineStr">
        <is>
          <t>NO</t>
        </is>
      </c>
    </row>
    <row r="28">
      <c r="B28" s="590" t="inlineStr">
        <is>
          <t>#'Assumptions_Drivers'!E9</t>
        </is>
      </c>
    </row>
    <row r="29">
      <c r="B29" s="660" t="inlineStr">
        <is>
          <t>NOTE</t>
        </is>
      </c>
    </row>
    <row r="30">
      <c r="B30" s="590" t="inlineStr">
        <is>
          <t>This list must match Assumptions_Drivers: rev 5%, payroll/commission cut −18%, AI $24.5m, S&amp;M $414.1m, exit 12.9x, CapEx cut 8%; WC base 2.5% of Δrev; WC improve 10%.</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106.8230785000001</v>
      </c>
      <c r="D5" s="626" t="n">
        <v>9.154999999999999</v>
      </c>
      <c r="E5" s="626" t="n">
        <v>106.8230785000001</v>
      </c>
      <c r="F5" s="626" t="n">
        <v>808.6769214999998</v>
      </c>
      <c r="G5" s="626" t="n">
        <v>870.5363749999998</v>
      </c>
      <c r="H5" s="626" t="n">
        <v>61.85945349999997</v>
      </c>
    </row>
    <row r="6">
      <c r="B6" s="628" t="n">
        <v>2026</v>
      </c>
      <c r="C6" s="626" t="n">
        <v>131.2577823322452</v>
      </c>
      <c r="D6" s="626" t="n">
        <v>9.154999999999999</v>
      </c>
      <c r="E6" s="626" t="n">
        <v>131.2577823322452</v>
      </c>
      <c r="F6" s="626" t="n">
        <v>677.4191391677547</v>
      </c>
      <c r="G6" s="626" t="n">
        <v>815.7017128749998</v>
      </c>
      <c r="H6" s="626" t="n">
        <v>138.2825737072451</v>
      </c>
    </row>
    <row r="7">
      <c r="B7" s="628" t="n">
        <v>2027</v>
      </c>
      <c r="C7" s="626" t="n">
        <v>158.3271378115205</v>
      </c>
      <c r="D7" s="626" t="n">
        <v>9.154999999999999</v>
      </c>
      <c r="E7" s="626" t="n">
        <v>158.3271378115205</v>
      </c>
      <c r="F7" s="626" t="n">
        <v>519.0920013562342</v>
      </c>
      <c r="G7" s="626" t="n">
        <v>749.8697647311245</v>
      </c>
      <c r="H7" s="626" t="n">
        <v>230.7777633748904</v>
      </c>
    </row>
    <row r="8">
      <c r="B8" s="628" t="n">
        <v>2028</v>
      </c>
      <c r="C8" s="626" t="n">
        <v>188.2587414999194</v>
      </c>
      <c r="D8" s="626" t="n">
        <v>9.154999999999999</v>
      </c>
      <c r="E8" s="626" t="n">
        <v>188.2587414999194</v>
      </c>
      <c r="F8" s="626" t="n">
        <v>330.8332598563148</v>
      </c>
      <c r="G8" s="626" t="n">
        <v>672.8916464742942</v>
      </c>
      <c r="H8" s="626" t="n">
        <v>342.0583866179794</v>
      </c>
    </row>
    <row r="9">
      <c r="B9" s="628" t="n">
        <v>2029</v>
      </c>
      <c r="C9" s="626" t="n">
        <v>222.3005622168818</v>
      </c>
      <c r="D9" s="626" t="n">
        <v>9.154999999999999</v>
      </c>
      <c r="E9" s="626" t="n">
        <v>222.3005622168818</v>
      </c>
      <c r="F9" s="626" t="n">
        <v>108.532697639433</v>
      </c>
      <c r="G9" s="626" t="n">
        <v>584.486394566851</v>
      </c>
      <c r="H9" s="626" t="n">
        <v>475.953696927418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74.08551912499999</v>
      </c>
      <c r="F17" s="626" t="n">
        <v>69.53424216862498</v>
      </c>
      <c r="G17" s="626" t="n">
        <v>64.07019047268334</v>
      </c>
      <c r="H17" s="626" t="n">
        <v>57.68100665736642</v>
      </c>
    </row>
    <row r="18">
      <c r="B18" s="575" t="inlineStr">
        <is>
          <t>Net income</t>
        </is>
      </c>
      <c r="D18" s="626" t="n">
        <v>-18.00319999999986</v>
      </c>
      <c r="E18" s="626" t="n">
        <v>-11.28050412499995</v>
      </c>
      <c r="F18" s="626" t="n">
        <v>-3.588976418624782</v>
      </c>
      <c r="G18" s="626" t="n">
        <v>4.086147466205259</v>
      </c>
      <c r="H18" s="626" t="n">
        <v>11.86868257728693</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1.517875000000004</v>
      </c>
      <c r="E20" s="626" t="n">
        <v>1.593768750000004</v>
      </c>
      <c r="F20" s="626" t="n">
        <v>1.673457187500003</v>
      </c>
      <c r="G20" s="626" t="n">
        <v>1.757130046875</v>
      </c>
      <c r="H20" s="626" t="n">
        <v>1.844986549218754</v>
      </c>
    </row>
    <row r="21">
      <c r="B21" s="575" t="inlineStr">
        <is>
          <t>FCF after interest</t>
        </is>
      </c>
      <c r="D21" s="626" t="n">
        <v>44.96362500000013</v>
      </c>
      <c r="E21" s="626" t="n">
        <v>54.83466212500006</v>
      </c>
      <c r="F21" s="626" t="n">
        <v>65.83194814387524</v>
      </c>
      <c r="G21" s="626" t="n">
        <v>76.97811825683027</v>
      </c>
      <c r="H21" s="626" t="n">
        <v>88.40525190744319</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44.96362500000013</v>
      </c>
      <c r="E23" s="626" t="n">
        <v>54.83466212500006</v>
      </c>
      <c r="F23" s="626" t="n">
        <v>65.83194814387524</v>
      </c>
      <c r="G23" s="626" t="n">
        <v>76.97811825683027</v>
      </c>
      <c r="H23" s="626" t="n">
        <v>88.40525190744319</v>
      </c>
    </row>
    <row r="24">
      <c r="B24" s="575" t="inlineStr">
        <is>
          <t>Debt end</t>
        </is>
      </c>
      <c r="C24" s="582" t="n">
        <v>1329.9</v>
      </c>
      <c r="D24" s="626" t="n">
        <v>870.5363749999998</v>
      </c>
      <c r="E24" s="626" t="n">
        <v>815.7017128749998</v>
      </c>
      <c r="F24" s="626" t="n">
        <v>749.8697647311245</v>
      </c>
      <c r="G24" s="626" t="n">
        <v>672.8916464742942</v>
      </c>
      <c r="H24" s="626" t="n">
        <v>584.486394566851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68.95118448449999</v>
      </c>
      <c r="F17" s="626" t="n">
        <v>58.05678855092363</v>
      </c>
      <c r="G17" s="626" t="n">
        <v>44.91563611256743</v>
      </c>
      <c r="H17" s="626" t="n">
        <v>28.02099316663728</v>
      </c>
    </row>
    <row r="18">
      <c r="B18" s="575" t="inlineStr">
        <is>
          <t>Net income</t>
        </is>
      </c>
      <c r="D18" s="626" t="n">
        <v>41.66444200000014</v>
      </c>
      <c r="E18" s="626" t="n">
        <v>62.8412140072452</v>
      </c>
      <c r="F18" s="626" t="n">
        <v>86.48974107027047</v>
      </c>
      <c r="G18" s="626" t="n">
        <v>112.8294749216068</v>
      </c>
      <c r="H18" s="626" t="n">
        <v>143.0998323096537</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1.366087500000003</v>
      </c>
      <c r="E20" s="626" t="n">
        <v>1.434391875000004</v>
      </c>
      <c r="F20" s="626" t="n">
        <v>1.506111468750003</v>
      </c>
      <c r="G20" s="626" t="n">
        <v>1.5814170421875</v>
      </c>
      <c r="H20" s="626" t="n">
        <v>1.660487894296879</v>
      </c>
    </row>
    <row r="21">
      <c r="B21" s="575" t="inlineStr">
        <is>
          <t>FCF after interest</t>
        </is>
      </c>
      <c r="D21" s="626" t="n">
        <v>106.8230785000001</v>
      </c>
      <c r="E21" s="626" t="n">
        <v>131.2577823322452</v>
      </c>
      <c r="F21" s="626" t="n">
        <v>158.3271378115205</v>
      </c>
      <c r="G21" s="626" t="n">
        <v>188.2587414999194</v>
      </c>
      <c r="H21" s="626" t="n">
        <v>222.3005622168818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106.8230785000001</v>
      </c>
      <c r="E23" s="626" t="n">
        <v>131.2577823322452</v>
      </c>
      <c r="F23" s="626" t="n">
        <v>158.3271378115205</v>
      </c>
      <c r="G23" s="626" t="n">
        <v>188.2587414999194</v>
      </c>
      <c r="H23" s="626" t="n">
        <v>222.3005622168818</v>
      </c>
    </row>
    <row r="24">
      <c r="B24" s="575" t="inlineStr">
        <is>
          <t>Debt end</t>
        </is>
      </c>
      <c r="C24" s="582" t="n">
        <v>1329.9</v>
      </c>
      <c r="D24" s="626" t="n">
        <v>808.6769214999998</v>
      </c>
      <c r="E24" s="626" t="n">
        <v>677.4191391677547</v>
      </c>
      <c r="F24" s="626" t="n">
        <v>519.0920013562342</v>
      </c>
      <c r="G24" s="626" t="n">
        <v>330.8332598563148</v>
      </c>
      <c r="H24" s="626" t="n">
        <v>108.532697639433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2026-08-15T16:56:14Z</dcterms:modified>
  <cp:lastModifiedBy>scottmccarthy</cp:lastModifiedBy>
  <cp:lastPrinted>2014-05-30T16:55:05Z</cp:lastPrinted>
</cp:coreProperties>
</file>