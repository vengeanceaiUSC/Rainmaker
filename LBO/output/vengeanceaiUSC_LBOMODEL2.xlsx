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6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8"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(opens page only). Cols I/J/K = plain Verbatim strings — copy into Ctrl+F on that source (no hyperlink).</t>
        </is>
      </c>
    </row>
    <row r="3" ht="48" customHeight="1" s="244">
      <c r="B3" s="605" t="inlineStr">
        <is>
          <t>How to verify: click Source (E) → open page → copy Verbatim from I/J/K → Ctrl+F → paste.</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55" t="inlineStr">
        <is>
          <t>NO</t>
        </is>
      </c>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45">
        <f>HYPERLINK("https://markets.financialcontent.com/stocks/article/bizwire-2025-2-25-zoominfo-announces-fourth-quarter-and-full-year-2024-financial-results","IN EQ $ base only: FY24 Rev=$1,214.3m (ZI). C5=10% = MODEL CONST (10% not in filing).")</f>
        <v/>
      </c>
      <c r="F5" s="643" t="inlineStr">
        <is>
          <t>EQ: Y1_Rev=1214.3×(1+0.10)=$1,335.73m. SOURCED $: 1,214.3. MODEL CONST: 0.10 (filing prints −2%, not +10%).</t>
        </is>
      </c>
      <c r="G5" s="612" t="inlineStr">
        <is>
          <t>Go to AI_Operating!D5 (Revenue)</t>
        </is>
      </c>
      <c r="H5" s="645">
        <f>HYPERLINK("https://www.sec.gov/Archives/edgar/data/1794515/000179451525000045/zi-20241231.htm","SEC 10-K same $1,214.3m")</f>
        <v/>
      </c>
      <c r="I5" s="643" t="inlineStr">
        <is>
          <t>Ctrl+F: GAAP Revenue of $1,214.3 million</t>
        </is>
      </c>
      <c r="J5" s="643" t="inlineStr">
        <is>
          <t>Ctrl+F: We generated revenue of $1,214.3 million</t>
        </is>
      </c>
      <c r="K5" s="643" t="inlineStr">
        <is>
          <t>10% growth: N/A — MODEL CONST</t>
        </is>
      </c>
    </row>
    <row r="6" ht="96" customHeight="1" s="244">
      <c r="A6" s="655" t="inlineStr">
        <is>
          <t>NO</t>
        </is>
      </c>
      <c r="B6" s="613" t="inlineStr">
        <is>
          <t>Gross margin</t>
        </is>
      </c>
      <c r="C6" s="644" t="n">
        <v>0.8</v>
      </c>
      <c r="D6" s="609" t="inlineStr">
        <is>
          <t>High profitability on direct services. Highly reasonable for a SaaS company, which historically scales digital infrastructure with minimal incremental cost per user.</t>
        </is>
      </c>
      <c r="E6" s="645">
        <f>HYPERLINK("https://www.getaleph.com/answers/saas-gross-margin-2026","IN EQ: software median GM=80% → C6=0.80 (Aleph × Benchmarkit)")</f>
        <v/>
      </c>
      <c r="F6" s="646" t="inlineStr">
        <is>
          <t>EQ: COGS=Rev×(1−0.80). Y1: 1335.73×0.20=$267.15m. SOURCED: 80% = 2025 median software gross margin.</t>
        </is>
      </c>
      <c r="G6" s="612" t="inlineStr">
        <is>
          <t>Go to AI_Operating!D6 (COGS)</t>
        </is>
      </c>
      <c r="H6" s="593" t="n"/>
      <c r="I6" s="647" t="inlineStr">
        <is>
          <t>Ctrl+F: The 2025 median software gross margin is 80%</t>
        </is>
      </c>
      <c r="J6" s="651" t="n"/>
      <c r="K6" s="651" t="n"/>
    </row>
    <row r="7" ht="96" customHeight="1" s="244">
      <c r="A7" s="655" t="inlineStr">
        <is>
          <t>NO</t>
        </is>
      </c>
      <c r="B7" s="607" t="inlineStr">
        <is>
          <t>Sales payroll cut (Y1)</t>
        </is>
      </c>
      <c r="C7" s="644" t="n">
        <v>0.18</v>
      </c>
      <c r="D7" s="609" t="inlineStr">
        <is>
          <t>Immediate headcount reduction for human SDRs. Set to 18% to match published US B2B SaaS net SDR headcount decline of 18% YoY (Ctrl+F: down 18%).</t>
        </is>
      </c>
      <c r="E7" s="645">
        <f>HYPERLINK("https://www.digitalapplied.com/blog/ai-sdr-statistics-2026-outbound-sales-data-points","IN EQ: C7=18% = US B2B SaaS net SDR headcount down 18% YoY (Digital Applied / Bridge Group)")</f>
        <v/>
      </c>
      <c r="F7" s="646" t="inlineStr">
        <is>
          <t>EQ: Payroll_Y1=318.8×(1−0.18)=$261.416m. SOURCED: 18% YoY SDR HC decline. SOURCED $: 318.8 from row22. (Was 15% midpoint — replaced so yellow equals findable text.)</t>
        </is>
      </c>
      <c r="G7" s="612" t="inlineStr">
        <is>
          <t>Go to AI_Operating!D7 (Sales payroll)</t>
        </is>
      </c>
      <c r="H7" s="593" t="n"/>
      <c r="I7" s="647" t="inlineStr">
        <is>
          <t>Ctrl+F: down 18% YoY</t>
        </is>
      </c>
      <c r="J7" s="651" t="n"/>
      <c r="K7" s="651" t="n"/>
    </row>
    <row r="8" ht="96" customHeight="1" s="244">
      <c r="A8" s="655" t="inlineStr">
        <is>
          <t>NO</t>
        </is>
      </c>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45">
        <f>HYPERLINK("https://syncgtm.com/blog/how-to-pay-sales-development-rep","Pool mix sourced (~30% variable); C8=20% cut = MODEL CONST (20% cut not in source).")</f>
        <v/>
      </c>
      <c r="F8" s="643" t="inlineStr">
        <is>
          <t>EQ: Commission_AI=106.2×(1−0.20)=$84.96m. SOURCED mix: 70/30 base/variable. MODEL CONST: 0.20 cut.</t>
        </is>
      </c>
      <c r="G8" s="612" t="inlineStr">
        <is>
          <t>Go to AI_Operating!D8 (Commissions)</t>
        </is>
      </c>
      <c r="H8" s="645">
        <f>HYPERLINK("https://syncgtm.com/blog/how-much-do-sales-development-representatives-make-at-tech-companies","Also: commission 30–35% of pay")</f>
        <v/>
      </c>
      <c r="I8" s="643" t="inlineStr">
        <is>
          <t>Ctrl+F: 70/30 base/variable split</t>
        </is>
      </c>
      <c r="J8" s="643" t="inlineStr">
        <is>
          <t>Ctrl+F: 30–35% of total pay</t>
        </is>
      </c>
      <c r="K8" s="643" t="inlineStr">
        <is>
          <t>20% cut: N/A — MODEL CONST</t>
        </is>
      </c>
    </row>
    <row r="9" ht="96" customHeight="1" s="244">
      <c r="A9" s="655" t="inlineStr">
        <is>
          <t>NO</t>
        </is>
      </c>
      <c r="B9" s="607" t="inlineStr">
        <is>
          <t>AI infrastructure ($m)</t>
        </is>
      </c>
      <c r="C9" s="648" t="n">
        <v>34</v>
      </c>
      <c r="D9" s="609" t="inlineStr">
        <is>
          <t>AI infra $34m = 378 roles × $5–10k/mo × 12, midpoint. $/mo from published AI SDR enterprise pricing; headcount from ZI 10-K.</t>
        </is>
      </c>
      <c r="E9" s="645">
        <f>HYPERLINK("https://www.whitespacesolutions.ai/content/ai-sdr-pricing-guide-2026","IN EQ: $5,000 and $10,000/mo AI SDR (White Space + Miniloop) + 1,513 S&amp;M HC (SEC)")</f>
        <v/>
      </c>
      <c r="F9" s="649" t="inlineStr">
        <is>
          <t>EQ: Roles=0.25×1,513=378; Low=378×$5,000×12=$22.68m; High=378×$10,000×12=$45.36m; C9=avg=$34.0m. MODEL CONST: 0.25 outbound share. NOT in EQ: 11x Growth $3,750.</t>
        </is>
      </c>
      <c r="G9" s="612" t="inlineStr">
        <is>
          <t>Go to AI_Operating!D10 (AI infrastructure)</t>
        </is>
      </c>
      <c r="H9" s="645">
        <f>HYPERLINK("https://www.miniloop.ai/blog/11x-pricing","Miniloop Entry $5,000 / Enterprise $10,000+")</f>
        <v/>
      </c>
      <c r="I9" s="647" t="inlineStr">
        <is>
          <t>Ctrl+F: $5,000-10,000+</t>
        </is>
      </c>
      <c r="J9" s="647" t="inlineStr">
        <is>
          <t>Ctrl+F: $10,000-$15,000+</t>
        </is>
      </c>
      <c r="K9" s="647" t="inlineStr">
        <is>
          <t>Ctrl+F: 1,513 in sales and marketing</t>
        </is>
      </c>
    </row>
    <row r="10" ht="96" customHeight="1" s="244">
      <c r="A10" s="655" t="inlineStr">
        <is>
          <t>NO</t>
        </is>
      </c>
      <c r="B10" s="613" t="inlineStr">
        <is>
          <t>S&amp;M expense growth Y2+</t>
        </is>
      </c>
      <c r="C10" s="644" t="n">
        <v>0.02</v>
      </c>
      <c r="D10" s="609" t="inlineStr">
        <is>
          <t>Caps future marketing cost increases. Reasonable because AI scales infinitely without needing proportional headcount additions, severing the link between revenue growth and human hiring.</t>
        </is>
      </c>
      <c r="E10" s="645">
        <f>HYPERLINK("https://www.federalreserve.gov/faqs/economy_14400.htm","IN EQ: C10=2% = Fed longer-run inflation goal of 2 percent (FOMC FAQ)")</f>
        <v/>
      </c>
      <c r="F10" s="646" t="inlineStr">
        <is>
          <t>EQ: Payroll_t=Payroll_{t−1}×(1.02). SOURCED: 2 percent longer-run inflation target.</t>
        </is>
      </c>
      <c r="G10" s="612" t="inlineStr">
        <is>
          <t>Go to AI_Operating!E7 (payroll Y2+)</t>
        </is>
      </c>
      <c r="H10" s="593" t="inlineStr">
        <is>
          <t>FOMC Statement on Longer-Run Goals (PDF)</t>
        </is>
      </c>
      <c r="I10" s="647" t="inlineStr">
        <is>
          <t>Ctrl+F: inflation of 2 percent over the longer run</t>
        </is>
      </c>
      <c r="J10" s="651" t="n"/>
      <c r="K10" s="651" t="n"/>
    </row>
    <row r="11" ht="96" customHeight="1" s="244">
      <c r="A11" s="655" t="inlineStr">
        <is>
          <t>NO</t>
        </is>
      </c>
      <c r="B11" s="607" t="inlineStr">
        <is>
          <t>G&amp;A % of revenue</t>
        </is>
      </c>
      <c r="C11" s="644" t="n">
        <v>0.18</v>
      </c>
      <c r="D11" s="609" t="inlineStr">
        <is>
          <t>General administrative overhead costs. Reasonable for a public-to-private SaaS company, maintaining standard corporate expenses without relying on unrealistic operational magic outside of sales.</t>
        </is>
      </c>
      <c r="E11" s="645">
        <f>HYPERLINK("https://blossomstreetventures.medium.com/what-should-saas-spend-on-cogs-s-m-r-d-and-g-a-the-data-from-57-public-cos-8e88eabe99ca","IN EQ: C11=18% = Blossom Street 2025 public SaaS median G&amp;A 18% of revenue")</f>
        <v/>
      </c>
      <c r="F11" s="643" t="inlineStr">
        <is>
          <t>EQ: G&amp;A=Rev×0.18. SOURCED: G&amp;A was 18% in 2025 (medians). NOT in EQ: ZI filing ~24.3%.</t>
        </is>
      </c>
      <c r="G11" s="612" t="inlineStr">
        <is>
          <t>Go to AI_Operating!D12 (G&amp;A)</t>
        </is>
      </c>
      <c r="H11" s="645">
        <f>HYPERLINK("https://www.blossomstreetventures.com/saas-metric/2025-annual-percent-of-revenue","Table MEDIAN G&amp;A as % of Revenue = 18%")</f>
        <v/>
      </c>
      <c r="I11" s="647" t="inlineStr">
        <is>
          <t>Ctrl+F: G&amp;A was 18%</t>
        </is>
      </c>
      <c r="J11" s="647" t="inlineStr">
        <is>
          <t>Ctrl+F: MEDIAN</t>
        </is>
      </c>
      <c r="K11" s="651" t="n"/>
    </row>
    <row r="12" ht="96" customHeight="1" s="244">
      <c r="A12" s="655" t="inlineStr">
        <is>
          <t>NO</t>
        </is>
      </c>
      <c r="B12" s="613" t="inlineStr">
        <is>
          <t>CapEx reduction vs base</t>
        </is>
      </c>
      <c r="C12" s="608" t="n">
        <v>0.05</v>
      </c>
      <c r="D12" s="609" t="inlineStr">
        <is>
          <t>Lowers physical equipment spending. Reasonable because firing 18% of the sales team permanently eliminates the need to purchase and refresh their laptops and hardware.</t>
        </is>
      </c>
      <c r="E12" s="643" t="inlineStr">
        <is>
          <t>C12=5% CapEx cut = MODEL CONST (no source prints 5%).</t>
        </is>
      </c>
      <c r="F12" s="643" t="inlineStr">
        <is>
          <t>EQ: CapEx_AI=Rev×0.02×(1−0.05)=Rev×0.019. MODEL CONST: 0.05.</t>
        </is>
      </c>
      <c r="G12" s="612" t="inlineStr">
        <is>
          <t>Go to AI_Operating!D19 (CapEx)</t>
        </is>
      </c>
      <c r="H12" s="593" t="n"/>
      <c r="I12" s="643" t="inlineStr">
        <is>
          <t>5% CapEx cut: N/A — MODEL CONST</t>
        </is>
      </c>
      <c r="J12" s="651" t="n"/>
      <c r="K12" s="651" t="n"/>
    </row>
    <row r="13" ht="96" customHeight="1" s="244">
      <c r="A13" s="655" t="inlineStr">
        <is>
          <t>NO</t>
        </is>
      </c>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43" t="inlineStr">
        <is>
          <t>C13=10% WC improvement = MODEL CONST (no source equals 10%).</t>
        </is>
      </c>
      <c r="F13" s="643" t="inlineStr">
        <is>
          <t>EQ: ΔNWC_AI=ΔRev×0.02×0.90. MODEL CONST: 0.10. Removed prior ~80 DSO link (did not equal 10%).</t>
        </is>
      </c>
      <c r="G13" s="612" t="inlineStr">
        <is>
          <t>Go to AI_Operating!D20 (ΔNWC)</t>
        </is>
      </c>
      <c r="H13" s="593" t="n"/>
      <c r="I13" s="643" t="inlineStr">
        <is>
          <t>10% WC improve: N/A — MODEL CONST</t>
        </is>
      </c>
      <c r="J13" s="651" t="n"/>
      <c r="K13" s="651" t="n"/>
    </row>
    <row r="14" ht="96" customHeight="1" s="244">
      <c r="A14" s="655" t="inlineStr">
        <is>
          <t>NO</t>
        </is>
      </c>
      <c r="B14" s="613" t="inlineStr">
        <is>
          <t>SOFR</t>
        </is>
      </c>
      <c r="C14" s="644" t="n">
        <v>0.043</v>
      </c>
      <c r="D14" s="609" t="inlineStr">
        <is>
          <t>The foundational secured lending interest rate. Reasonable and historically accurate for the macroeconomic environment, properly reflecting actual institutional baseline borrowing costs.</t>
        </is>
      </c>
      <c r="E14" s="645">
        <f>HYPERLINK("https://www.global-rates.com/en/interest-rates/sofr/historical/2024/","IN EQ: C14=4.30% = SOFR 2024 calendar-year Lowest (Global-Rates summary of NY Fed)")</f>
        <v/>
      </c>
      <c r="F14" s="643" t="inlineStr">
        <is>
          <t>EQ: rates use C14. SOURCED: Lowest SOFR in 2024 = 4.30%. NOT used: latest FRED ~3.62%.</t>
        </is>
      </c>
      <c r="G14" s="612" t="inlineStr">
        <is>
          <t>Go to Debt_Sweep_AI!C12 (TLA rate uses SOFR)</t>
        </is>
      </c>
      <c r="H14" s="593" t="inlineStr">
        <is>
          <t>NY Fed SOFR publisher</t>
        </is>
      </c>
      <c r="I14" s="647" t="inlineStr">
        <is>
          <t>Ctrl+F: 4.30</t>
        </is>
      </c>
      <c r="J14" s="651" t="n"/>
      <c r="K14" s="651" t="n"/>
    </row>
    <row r="15" ht="96" customHeight="1" s="244">
      <c r="A15" s="655" t="inlineStr">
        <is>
          <t>NO</t>
        </is>
      </c>
      <c r="B15" s="607" t="inlineStr">
        <is>
          <t>Term Loan A spread</t>
        </is>
      </c>
      <c r="C15" s="644" t="n">
        <v>0.04</v>
      </c>
      <c r="D15" s="609" t="inlineStr">
        <is>
          <t>The risk premium for senior debt. Reasonable for a standard LBO, reflecting typical syndicated commercial bank pricing for secured corporate borrowing.</t>
        </is>
      </c>
      <c r="E15" s="645">
        <f>HYPERLINK("https://ctacquisitions.com/acquisition-financing/","IN EQ: C15=+400bps = floor of senior Term Loan A SOFR+400-500 bps (CT Acquisitions)")</f>
        <v/>
      </c>
      <c r="F15" s="643" t="inlineStr">
        <is>
          <t>EQ: TLA_rate=4.30%+4.00%=8.30%. SOURCED: SOFR + 400-500 bps on Senior term loan A.</t>
        </is>
      </c>
      <c r="G15" s="612" t="inlineStr">
        <is>
          <t>Go to Assumptions_Drivers!C27 (TLA rate)</t>
        </is>
      </c>
      <c r="H15" s="593" t="inlineStr">
        <is>
          <t>Also: senior debt SOFR plus 400 to 500</t>
        </is>
      </c>
      <c r="I15" s="647" t="inlineStr">
        <is>
          <t>Ctrl+F: SOFR + 400-500 bps</t>
        </is>
      </c>
      <c r="J15" s="651" t="n"/>
      <c r="K15" s="651" t="n"/>
    </row>
    <row r="16" ht="96" customHeight="1" s="244">
      <c r="A16" s="655" t="inlineStr">
        <is>
          <t>NO</t>
        </is>
      </c>
      <c r="B16" s="613" t="inlineStr">
        <is>
          <t>Term Loan B spread</t>
        </is>
      </c>
      <c r="C16" s="644" t="n">
        <v>0.05</v>
      </c>
      <c r="D16" s="609" t="inlineStr">
        <is>
          <t>The risk premium for riskier debt. Reasonable, as Term Loan B is usually held by institutional investors requiring higher yields for slightly higher risk.</t>
        </is>
      </c>
      <c r="E16" s="645">
        <f>HYPERLINK("https://ibinterviewquestions.com/guides/valuation-investment-banking/lbo-debt-structures-senior-subordinated-mezzanine","IN EQ: TLB SOFR+300-500 bps → C16=+500bps = upper bound")</f>
        <v/>
      </c>
      <c r="F16" s="646" t="inlineStr">
        <is>
          <t>EQ: TLB_rate=4.30%+5.00%=9.30%. SOURCED: SOFR + 300-500 basis points for TLB.</t>
        </is>
      </c>
      <c r="G16" s="612" t="inlineStr">
        <is>
          <t>Go to Assumptions_Drivers!C28 (TLB rate)</t>
        </is>
      </c>
      <c r="H16" s="593" t="inlineStr">
        <is>
          <t>Table: Term Loan B | SOFR + 300-500 bps | 1% annual</t>
        </is>
      </c>
      <c r="I16" s="647" t="inlineStr">
        <is>
          <t>Ctrl+F: SOFR + 300-500 basis points</t>
        </is>
      </c>
      <c r="J16" s="651" t="n"/>
      <c r="K16" s="651" t="n"/>
    </row>
    <row r="17" ht="96" customHeight="1" s="244">
      <c r="A17" s="655" t="inlineStr">
        <is>
          <t>NO</t>
        </is>
      </c>
      <c r="B17" s="607" t="inlineStr">
        <is>
          <t>Mandatory amortization</t>
        </is>
      </c>
      <c r="C17" s="644" t="n">
        <v>0.01</v>
      </c>
      <c r="D17" s="609" t="inlineStr">
        <is>
          <t>Required annual principal repayment. Highly reasonable and standard market practice for leveraged loans, forcing a tiny minimum debt reduction each year.</t>
        </is>
      </c>
      <c r="E17" s="645">
        <f>HYPERLINK("https://clearvaluelending.com/glossary/term-loan-b","IN EQ: ~1%/yr TLB amort → C17=1%")</f>
        <v/>
      </c>
      <c r="F17" s="646" t="inlineStr">
        <is>
          <t>EQ: Mandatory≈915.5×0.01=$9.155m/yr. SOURCED: 1% annual amortization.</t>
        </is>
      </c>
      <c r="G17" s="612" t="inlineStr">
        <is>
          <t>Go to Debt_Sweep_AI!D5 (Mandatory 1%)</t>
        </is>
      </c>
      <c r="H17" s="593" t="inlineStr">
        <is>
          <t>ClearValue: "minimal amortization (1% annually)"</t>
        </is>
      </c>
      <c r="I17" s="647" t="inlineStr">
        <is>
          <t>Ctrl+F: minimal amortization (1% annually)</t>
        </is>
      </c>
      <c r="J17" s="651" t="n"/>
      <c r="K17" s="651" t="n"/>
    </row>
    <row r="18" ht="96" customHeight="1" s="244">
      <c r="A18" s="655" t="inlineStr">
        <is>
          <t>NO</t>
        </is>
      </c>
      <c r="B18" s="613" t="inlineStr">
        <is>
          <t>Cash sweep %</t>
        </is>
      </c>
      <c r="C18" s="644" t="n">
        <v>1</v>
      </c>
      <c r="D18" s="609" t="inlineStr">
        <is>
          <t>Dedicates all excess cash to debt. Reasonable and standard for maximizing LBO returns, ensuring every free dollar generated immediately aggressively reduces outstanding leverage.</t>
        </is>
      </c>
      <c r="E18" s="645">
        <f>HYPERLINK("https://ryanoconnellfinance.com/lbo-model-fundamentals/","IN EQ: C18=100% = upper bound of ECF sweep 50-100%; models often use 100%")</f>
        <v/>
      </c>
      <c r="F18" s="643" t="inlineStr">
        <is>
          <t>EQ: Sweep=1.00×max(0,FCF−Mandatory). SOURCED: typically 50-100%; typically modeled at 100%.</t>
        </is>
      </c>
      <c r="G18" s="612" t="inlineStr">
        <is>
          <t>Go to Debt_Sweep_AI!E5 (Total paydown)</t>
        </is>
      </c>
      <c r="H18" s="645">
        <f>HYPERLINK("https://ryanoconnellfinance.com/lbo-model-fundamentals/","Also: typically modeled at 100%")</f>
        <v/>
      </c>
      <c r="I18" s="647" t="inlineStr">
        <is>
          <t>Ctrl+F: 50-100% of annual excess free cash flow</t>
        </is>
      </c>
      <c r="J18" s="647" t="inlineStr">
        <is>
          <t>Ctrl+F: typically modeled at 100%</t>
        </is>
      </c>
      <c r="K18" s="651" t="n"/>
    </row>
    <row r="19" ht="96" customHeight="1" s="244">
      <c r="A19" s="655" t="inlineStr">
        <is>
          <t>NO</t>
        </is>
      </c>
      <c r="B19" s="607" t="inlineStr">
        <is>
          <t>Tax rate</t>
        </is>
      </c>
      <c r="C19" s="644" t="n">
        <v>0.21</v>
      </c>
      <c r="D19" s="609" t="inlineStr">
        <is>
          <t>Corporate income tax obligation. Perfectly reasonable because it strictly matches the current standard U.S. federal statutory corporate tax rate without aggressive tax-dodging assumptions.</t>
        </is>
      </c>
      <c r="E19" s="645">
        <f>HYPERLINK("https://taxsummaries.pwc.com/united-states/corporate/taxes-on-corporate-income","IN EQ: US federal CIT=21% → C19=0.21 (PwC)")</f>
        <v/>
      </c>
      <c r="F19" s="646" t="inlineStr">
        <is>
          <t>EQ: Tax=EBT×0.21. SOURCED: flat rate of 21%.</t>
        </is>
      </c>
      <c r="G19" s="612" t="inlineStr">
        <is>
          <t>Go to AI_Operating!D18 (Net income)</t>
        </is>
      </c>
      <c r="H19" s="593" t="inlineStr">
        <is>
          <t>Trading Economics: 21 percent</t>
        </is>
      </c>
      <c r="I19" s="647" t="inlineStr">
        <is>
          <t>Ctrl+F: flat rate of 21%</t>
        </is>
      </c>
      <c r="J19" s="651" t="n"/>
      <c r="K19" s="651" t="n"/>
    </row>
    <row r="20" ht="96" customHeight="1" s="244">
      <c r="A20" s="655" t="inlineStr">
        <is>
          <t>NO</t>
        </is>
      </c>
      <c r="B20" s="613" t="inlineStr">
        <is>
          <t>Exit EV/EBITDA multiple</t>
        </is>
      </c>
      <c r="C20" s="648" t="n">
        <v>12.9</v>
      </c>
      <c r="D20" s="609" t="inlineStr">
        <is>
          <t>The valuation multiple upon selling. Set to 12.9x to match Aventis private SaaS EV/EBITDA 1st quartile (Ctrl+F 12.9x)—conservative lower-quartile exit, not PE median.</t>
        </is>
      </c>
      <c r="E20" s="645">
        <f>HYPERLINK("https://aventis-advisors.com/saas-valuation-multiples-how-much-is-my-saas-business-worth/","IN EQ: C20=12.9x = Aventis private SaaS EV/EBITDA 1st quartile 12.9x")</f>
        <v/>
      </c>
      <c r="F20" s="643" t="inlineStr">
        <is>
          <t>EQ: Exit_EV=Y5_EBITDA×12.9. SOURCED: table 1st quartile EV/EBITDA = 12.9x. Text also ~12.8x.</t>
        </is>
      </c>
      <c r="G20" s="612" t="inlineStr">
        <is>
          <t>Go to LBO!D17 (Exit multiple)</t>
        </is>
      </c>
      <c r="H20" s="593" t="n"/>
      <c r="I20" s="647" t="inlineStr">
        <is>
          <t>Ctrl+F: 12.9x</t>
        </is>
      </c>
      <c r="J20" s="651" t="n"/>
      <c r="K20" s="651" t="n"/>
    </row>
    <row r="21" ht="96" customHeight="1" s="244">
      <c r="A21" s="656" t="inlineStr">
        <is>
          <t>YES</t>
        </is>
      </c>
      <c r="B21" s="607" t="inlineStr">
        <is>
          <t>S&amp;M baseline ($m)</t>
        </is>
      </c>
      <c r="C21" s="650" t="n">
        <v>425</v>
      </c>
      <c r="D21" s="609" t="inlineStr">
        <is>
          <t>This is historical assumptions without AI. Total initial sales spend is reasonable, representing roughly 35% of FY24 revenue, perfectly aligning with standard SaaS benchmarks.</t>
        </is>
      </c>
      <c r="E21" s="645">
        <f>HYPERLINK("https://markets.financialcontent.com/stocks/article/bizwire-2025-2-25-zoominfo-announces-fourth-quarter-and-full-year-2024-financial-results","IN EQ: Rev $1,214.3m; S&amp;M $414.1m (34.1%) → model 35%→$425m")</f>
        <v/>
      </c>
      <c r="F21" s="646" t="inlineStr">
        <is>
          <t>EQ: 0.35×1214.3=$425.0m=C21. SOURCED: 1,214.3 and 414.1. MODEL ROUND: 35% near 34.1%.</t>
        </is>
      </c>
      <c r="G21" s="612" t="inlineStr">
        <is>
          <t>Go to AI_Operating!C9 (S&amp;M human FY24A)</t>
        </is>
      </c>
      <c r="H21" s="645">
        <f>HYPERLINK("https://www.sec.gov/Archives/edgar/data/1794515/000179451525000045/zi-20241231.htm","SEC 10-K Sales and marketing $414.1")</f>
        <v/>
      </c>
      <c r="I21" s="647" t="inlineStr">
        <is>
          <t>Ctrl+F: $1,214.3</t>
        </is>
      </c>
      <c r="J21" s="647" t="inlineStr">
        <is>
          <t>Ctrl+F: 414.1</t>
        </is>
      </c>
      <c r="K21" s="647" t="inlineStr">
        <is>
          <t>Ctrl+F: $414.1</t>
        </is>
      </c>
    </row>
    <row r="22" ht="96" customHeight="1" s="244">
      <c r="A22" s="656" t="inlineStr">
        <is>
          <t>YES</t>
        </is>
      </c>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45">
        <f>HYPERLINK("https://syncgtm.com/blog/how-to-pay-sales-development-rep","IN EQ: ~70% base OTE → model 75%×$425m=$318.8m")</f>
        <v/>
      </c>
      <c r="F22" s="646" t="inlineStr">
        <is>
          <t>EQ: C22=0.75×425=$318.8m. SOURCED mix: 70/30. MODEL: 75% of S&amp;M pool.</t>
        </is>
      </c>
      <c r="G22" s="612" t="inlineStr">
        <is>
          <t>Go to AI_Operating!C7 (Payroll FY24A)</t>
        </is>
      </c>
      <c r="H22" s="593" t="n"/>
      <c r="I22" s="647" t="inlineStr">
        <is>
          <t>Ctrl+F: 70/30 base/variable split</t>
        </is>
      </c>
      <c r="J22" s="647" t="inlineStr">
        <is>
          <t>$318.8 / 75%: MODEL carve</t>
        </is>
      </c>
      <c r="K22" s="651" t="n"/>
    </row>
    <row r="23" ht="96" customHeight="1" s="244">
      <c r="A23" s="656" t="inlineStr">
        <is>
          <t>YES</t>
        </is>
      </c>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45">
        <f>HYPERLINK("https://syncgtm.com/blog/how-much-do-sales-development-representatives-make-at-tech-companies","IN EQ: residual 25%×$425m=$106.2m (near sourced ~30–35% variable)")</f>
        <v/>
      </c>
      <c r="F23" s="646" t="inlineStr">
        <is>
          <t>EQ: C23=0.25×425=$106.2m. SOURCED: 30–35% variable. MODEL: 25% of S&amp;M as commission carve.</t>
        </is>
      </c>
      <c r="G23" s="612" t="inlineStr">
        <is>
          <t>Go to AI_Operating!C8 (Commissions FY24A)</t>
        </is>
      </c>
      <c r="H23" s="593" t="inlineStr">
        <is>
          <t>70/30 pay article</t>
        </is>
      </c>
      <c r="I23" s="647" t="inlineStr">
        <is>
          <t>Ctrl+F: 30–35% of total pay</t>
        </is>
      </c>
      <c r="J23" s="647" t="inlineStr">
        <is>
          <t>$106.2 / 25%: MODEL carve</t>
        </is>
      </c>
      <c r="K23" s="651" t="n"/>
    </row>
    <row r="24" ht="96" customHeight="1" s="244">
      <c r="A24" s="655" t="inlineStr">
        <is>
          <t>NO</t>
        </is>
      </c>
      <c r="B24" s="613" t="inlineStr">
        <is>
          <t>CapEx base % of rev</t>
        </is>
      </c>
      <c r="C24" s="644" t="n">
        <v>0.02</v>
      </c>
      <c r="D24" s="609" t="inlineStr">
        <is>
          <t>This is historical assumptions without AI. Normal hardware and capitalized software spending is reasonable for asset-light tech companies investing heavily in code rather than factories.</t>
        </is>
      </c>
      <c r="E24" s="645">
        <f>HYPERLINK("https://saasdb.app/learn/financials/fcf-margin/","IN EQ band: SaaS CapEx 1–3% of rev (SaaSDB) → C24=2% = midpoint of that band")</f>
        <v/>
      </c>
      <c r="F24" s="646" t="inlineStr">
        <is>
          <t>EQ: CapEx=Rev×0.02. SOURCED band: CapEx of 1–3% of revenue. MODEL midpoint: 2%. NOTE: page uses en-dash 1–3% (Ctrl+F '1-3%' with hyphen may miss).</t>
        </is>
      </c>
      <c r="G24" s="612" t="inlineStr">
        <is>
          <t>Go to AI_Operating!D19 (CapEx)</t>
        </is>
      </c>
      <c r="H24" s="593" t="n"/>
      <c r="I24" s="647" t="inlineStr">
        <is>
          <t>Ctrl+F: CapEx of 1</t>
        </is>
      </c>
      <c r="J24" s="647" t="inlineStr">
        <is>
          <t>Tip: page uses en-dash 1–3%; or Ctrl+F: Most pure-play SaaS companies report CapEx of</t>
        </is>
      </c>
      <c r="K24" s="647" t="inlineStr">
        <is>
          <t>2%: MODEL midpoint of 1–3% band</t>
        </is>
      </c>
    </row>
    <row r="25" ht="96" customHeight="1" s="244">
      <c r="A25" s="655" t="inlineStr">
        <is>
          <t>NO</t>
        </is>
      </c>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43" t="inlineStr">
        <is>
          <t>C25=2% ΔNWC/ΔRev = MODEL CONST (no source equals 2%).</t>
        </is>
      </c>
      <c r="F25" s="643" t="inlineStr">
        <is>
          <t>EQ: ΔNWC=ΔRev×0.02. MODEL CONST: 0.02.</t>
        </is>
      </c>
      <c r="G25" s="612" t="inlineStr">
        <is>
          <t>Go to AI_Operating!D20 (ΔNWC)</t>
        </is>
      </c>
      <c r="H25" s="593" t="n"/>
      <c r="I25" s="643" t="inlineStr">
        <is>
          <t>2% WC plug: N/A — MODEL CONST</t>
        </is>
      </c>
      <c r="J25" s="651" t="n"/>
      <c r="K25" s="651" t="n"/>
    </row>
    <row r="26">
      <c r="B26" s="618" t="inlineStr">
        <is>
          <t>Computed rates (SOFR + spreads) — still sourced on the same row</t>
        </is>
      </c>
    </row>
    <row r="27" ht="96" customHeight="1" s="244">
      <c r="A27" s="655" t="inlineStr">
        <is>
          <t>NO</t>
        </is>
      </c>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46" t="inlineStr">
        <is>
          <t>EQ: 4.30%+4.00%=8.30%. Component Ctrl+F strings on rows 14 and 15.</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46" t="inlineStr">
        <is>
          <t>EQ: 4.30%+5.00%=9.30%. Component Ctrl+F strings on rows 14 and 16.</t>
        </is>
      </c>
      <c r="G28" s="612" t="inlineStr">
        <is>
          <t>Go to Debt_Sweep_AI!D12 (TLB rate)</t>
        </is>
      </c>
      <c r="H28" s="593" t="n"/>
      <c r="I28" s="647" t="inlineStr">
        <is>
          <t>See Ctrl+F strings on rows 14 &amp; 16</t>
        </is>
      </c>
      <c r="J28" s="651" t="n"/>
      <c r="K28" s="651" t="n"/>
    </row>
    <row r="29" ht="72" customHeight="1" s="244">
      <c r="B29" s="618" t="inlineStr">
        <is>
          <t>AI $34m IN-EQ sources + Ctrl+F:</t>
        </is>
      </c>
      <c r="C29" s="620" t="inlineStr">
        <is>
          <t>White Space Ctrl+F $5,000-10,000 | Miniloop Ctrl+F $10,000-$15,000 | SEC Ctrl+F 1,513 in sales | MODEL CONST 25% outbound | NOT in EQ: 11x $3,750</t>
        </is>
      </c>
      <c r="D29" s="621" t="n"/>
      <c r="E29" s="621" t="n"/>
      <c r="F29" s="622" t="n"/>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2">
    <mergeCell ref="C29:F29"/>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12.9x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2180.4024674507</v>
      </c>
      <c r="D36" s="626" t="n">
        <v>6291.958085621143</v>
      </c>
      <c r="E36" s="626" t="n">
        <v>4111.555618170443</v>
      </c>
      <c r="F36" s="625" t="inlineStr">
        <is>
          <t>Total equity payout; AI strategy changed final payout by $4,111.6m to $6,292.0m (exit 12.9x).</t>
        </is>
      </c>
    </row>
    <row r="37" ht="42" customHeight="1" s="244">
      <c r="B37" s="575" t="inlineStr">
        <is>
          <t>MOIC</t>
        </is>
      </c>
      <c r="C37" s="627" t="n">
        <v>1.16518721058838</v>
      </c>
      <c r="D37" s="627" t="n">
        <v>3.362365068085611</v>
      </c>
      <c r="E37" s="627" t="n">
        <v>2.19717785749723</v>
      </c>
      <c r="F37" s="625" t="inlineStr">
        <is>
          <t>Multiple on Invested Capital; AI improved gross cash return from 1.17x to 3.36x.</t>
        </is>
      </c>
    </row>
    <row r="38" ht="42" customHeight="1" s="244">
      <c r="B38" s="575" t="inlineStr">
        <is>
          <t>IRR</t>
        </is>
      </c>
      <c r="C38" s="624" t="n">
        <v>0.03104861170671052</v>
      </c>
      <c r="D38" s="624" t="n">
        <v>0.2744681102428927</v>
      </c>
      <c r="E38" s="624" t="n">
        <v>0.2434194985361822</v>
      </c>
      <c r="F38" s="625" t="inlineStr">
        <is>
          <t>5-year IRR; AI boosted return by 24.3 percentage points to 27.4% (AI infra $34m; payroll cut 18%; exit 12.9x).</t>
        </is>
      </c>
    </row>
    <row r="39">
      <c r="B39" t="inlineStr">
        <is>
          <t>The IRR is calculated over a 5-year period.</t>
        </is>
      </c>
    </row>
    <row r="40">
      <c r="B40" s="564" t="inlineStr">
        <is>
          <t>IRR POINTS FROM AI-DRIVEN S&amp;M REDUCTION</t>
        </is>
      </c>
    </row>
    <row r="41">
      <c r="B41" s="569" t="inlineStr">
        <is>
          <t>AI case IRR 27.4% − Base IRR 3.1% = 24.3 percentage points of IRR</t>
        </is>
      </c>
    </row>
    <row r="42">
      <c r="B42" s="569" t="inlineStr">
        <is>
          <t>Y2 AI EBITDA margin 19.5% vs FY24 baseline 15.1% = 441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$425.0m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$318.8m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$106.2m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2.0%</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inlineStr">
        <is>
          <t>#'Assumptions_Drivers'!E9</t>
        </is>
      </c>
    </row>
    <row r="29">
      <c r="B29" s="660" t="inlineStr">
        <is>
          <t>NOTE</t>
        </is>
      </c>
    </row>
    <row r="30">
      <c r="B30" s="590" t="inlineStr">
        <is>
          <t>This list must match Assumptions_Drivers: payroll cut −18%, exit 12.9x, AI infra $34m, G&amp;A 18%, SOFR 4.30%. Col N = Baseline Yes/No (same rule as Drivers col A).</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261.4160000000001</v>
      </c>
      <c r="E7" s="626" t="n">
        <v>266.6443200000001</v>
      </c>
      <c r="F7" s="626" t="n">
        <v>271.9772064000001</v>
      </c>
      <c r="G7" s="626" t="n">
        <v>277.4167505280001</v>
      </c>
      <c r="H7" s="626" t="n">
        <v>282.9650855385601</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346.3760000000001</v>
      </c>
      <c r="E9" s="626" t="n">
        <v>353.30352</v>
      </c>
      <c r="F9" s="626" t="n">
        <v>360.3695904000001</v>
      </c>
      <c r="G9" s="626" t="n">
        <v>367.5769822080001</v>
      </c>
      <c r="H9" s="626" t="n">
        <v>374.9285218521601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232.0666</v>
      </c>
      <c r="E13" s="626" t="n">
        <v>286.38334</v>
      </c>
      <c r="F13" s="626" t="n">
        <v>346.6859556000002</v>
      </c>
      <c r="G13" s="626" t="n">
        <v>413.5841183920002</v>
      </c>
      <c r="H13" s="626" t="n">
        <v>487.7486888078406</v>
      </c>
    </row>
    <row r="14">
      <c r="B14" s="575" t="inlineStr">
        <is>
          <t>EBITDA margin</t>
        </is>
      </c>
      <c r="C14" s="583" t="n">
        <v>0.150786461335749</v>
      </c>
      <c r="D14" s="624" t="n">
        <v>0.1737376565623292</v>
      </c>
      <c r="E14" s="624" t="n">
        <v>0.1949110156312211</v>
      </c>
      <c r="F14" s="624" t="n">
        <v>0.2145024209066848</v>
      </c>
      <c r="G14" s="624" t="n">
        <v>0.2326307484040488</v>
      </c>
      <c r="H14" s="624" t="n">
        <v>0.2494058808984044</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137.7966</v>
      </c>
      <c r="E16" s="626" t="n">
        <v>182.68634</v>
      </c>
      <c r="F16" s="626" t="n">
        <v>232.6192556000001</v>
      </c>
      <c r="G16" s="626" t="n">
        <v>288.1107483920001</v>
      </c>
      <c r="H16" s="626" t="n">
        <v>349.7279818078405</v>
      </c>
    </row>
    <row r="17">
      <c r="B17" s="575" t="inlineStr">
        <is>
          <t>Interest</t>
        </is>
      </c>
      <c r="D17" s="626" t="n">
        <v>77.8175</v>
      </c>
      <c r="E17" s="626" t="n">
        <v>68.348123043</v>
      </c>
      <c r="F17" s="626" t="n">
        <v>54.7607640501295</v>
      </c>
      <c r="G17" s="626" t="n">
        <v>35.9867231453002</v>
      </c>
      <c r="H17" s="626" t="n">
        <v>10.02482647488497</v>
      </c>
    </row>
    <row r="18">
      <c r="B18" s="575" t="inlineStr">
        <is>
          <t>Net income</t>
        </is>
      </c>
      <c r="D18" s="626" t="n">
        <v>47.38348900000001</v>
      </c>
      <c r="E18" s="626" t="n">
        <v>90.32719139603003</v>
      </c>
      <c r="F18" s="626" t="n">
        <v>140.5082083243978</v>
      </c>
      <c r="G18" s="626" t="n">
        <v>199.1779799448929</v>
      </c>
      <c r="H18" s="626" t="n">
        <v>268.3654927130348</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114.088879</v>
      </c>
      <c r="E21" s="626" t="n">
        <v>163.70312039603</v>
      </c>
      <c r="F21" s="626" t="n">
        <v>221.2217302243978</v>
      </c>
      <c r="G21" s="626" t="n">
        <v>287.9628540348929</v>
      </c>
      <c r="H21" s="626" t="n">
        <v>366.0288542120349</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114.088879</v>
      </c>
      <c r="E23" s="626" t="n">
        <v>163.70312039603</v>
      </c>
      <c r="F23" s="626" t="n">
        <v>221.2217302243978</v>
      </c>
      <c r="G23" s="626" t="n">
        <v>287.9628540348929</v>
      </c>
      <c r="H23" s="626" t="n">
        <v>128.5234163446792</v>
      </c>
    </row>
    <row r="24">
      <c r="B24" s="575" t="inlineStr">
        <is>
          <t>Debt end</t>
        </is>
      </c>
      <c r="C24" s="582" t="n">
        <v>1329.9</v>
      </c>
      <c r="D24" s="626" t="n">
        <v>801.411121</v>
      </c>
      <c r="E24" s="626" t="n">
        <v>637.7080006039699</v>
      </c>
      <c r="F24" s="626" t="n">
        <v>416.4862703795721</v>
      </c>
      <c r="G24" s="626" t="n">
        <v>128.5234163446792</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2026-08-15T16:25:14Z</dcterms:modified>
  <cp:lastModifiedBy>scottmccarthy</cp:lastModifiedBy>
  <cp:lastPrinted>2014-05-30T16:55:05Z</cp:lastPrinted>
</cp:coreProperties>
</file>