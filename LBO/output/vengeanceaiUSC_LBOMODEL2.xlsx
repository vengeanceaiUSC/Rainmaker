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Assumptions_Drivers" sheetId="1" state="visible" r:id="rId1"/>
    <sheet name="Strategy_Summary" sheetId="2" state="visible" r:id="rId2"/>
    <sheet name="00_Assumptions_List" sheetId="3" state="visible" r:id="rId3"/>
    <sheet name="Debt_Sweep_AI" sheetId="4" state="visible" r:id="rId4"/>
    <sheet name="Base_Operating" sheetId="5" state="visible" r:id="rId5"/>
    <sheet name="AI_Operating" sheetId="6" state="visible" r:id="rId6"/>
    <sheet name="Coversheet" sheetId="7" state="visible" r:id="rId7"/>
    <sheet name="LBO" sheetId="8" state="visible" r:id="rId8"/>
    <sheet name="DCF" sheetId="9" state="visible" r:id="rId9"/>
    <sheet name="Shares" sheetId="10" state="visible" r:id="rId10"/>
    <sheet name="52wkHL" sheetId="11" state="visible" r:id="rId11"/>
  </sheets>
  <externalReferences>
    <externalReference r:id="rId12"/>
    <externalReference r:id="rId13"/>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_xlnm._FilterDatabase" localSheetId="2" hidden="1">'00_Assumptions_List'!$B$6:$M$21</definedName>
    <definedName name="CIQWBGuid" localSheetId="6" hidden="1">"ab508404-a108-4d4f-b84c-e5fce791e559"</definedName>
  </definedNames>
  <calcPr calcId="152511" calcMode="autoNoTable" fullCalcOnLoad="1" iterate="1"/>
</workbook>
</file>

<file path=xl/styles.xml><?xml version="1.0" encoding="utf-8"?>
<styleSheet xmlns="http://schemas.openxmlformats.org/spreadsheetml/2006/main">
  <numFmts count="83">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2" formatCode="0.0x"/>
    <numFmt numFmtId="193" formatCode="#,##0.00_);\(#,##0\)"/>
    <numFmt numFmtId="194" formatCode="#,##0.0%_);\(#,##0.0%\)"/>
    <numFmt numFmtId="195" formatCode="0.0\ \x"/>
    <numFmt numFmtId="196" formatCode="#,##0.00\ ;\(#,##0.00\)"/>
    <numFmt numFmtId="197" formatCode="&quot;$&quot;#,##0.00\ ;\(&quot;$&quot;#,##0.00\)"/>
    <numFmt numFmtId="198" formatCode="0.0%_);\(0.0%\)"/>
    <numFmt numFmtId="199" formatCode="0.000\ \x&quot;rate&quot;"/>
    <numFmt numFmtId="200" formatCode="#,##0.000_);[Red]\(#,##0.000\)"/>
    <numFmt numFmtId="201" formatCode="0.00_);\(0.00\);0.00"/>
    <numFmt numFmtId="202" formatCode="\C&quot;$&quot;#,##0.00_);[Red]\(&quot;$&quot;#,##0.00\)"/>
    <numFmt numFmtId="203" formatCode="#,##0%_);\(#,##0.0%\)"/>
    <numFmt numFmtId="204" formatCode="_(* #,##0.00000000_);_(* \(#,##0.00000000\);_(* &quot;-&quot;?_);_(@_)"/>
    <numFmt numFmtId="205" formatCode="mmm\-d\-yyyy"/>
    <numFmt numFmtId="206" formatCode="mmm\-yyyy"/>
    <numFmt numFmtId="207" formatCode="yyyy"/>
    <numFmt numFmtId="208" formatCode="0.00\x&quot;rate&quot;"/>
    <numFmt numFmtId="209" formatCode="0.0&quot;  &quot;"/>
    <numFmt numFmtId="210" formatCode="&quot;$&quot;#,##0.0\ ;[Red]\(&quot;$&quot;#,##0\)"/>
    <numFmt numFmtId="211" formatCode="_(&quot;$&quot;* #,##0.00_);_(&quot;$&quot;* \(#,##0.00\);_(&quot;$&quot;* &quot;-&quot;?_);_(@_)"/>
    <numFmt numFmtId="212" formatCode="&quot;$&quot;#,##0.000_);[Red]\(&quot;$&quot;#,##0.000\)"/>
    <numFmt numFmtId="213" formatCode="&quot;$&quot;#,##0.00&quot;A&quot;;[Red]\(&quot;$&quot;#,##0.00\)&quot;A&quot;"/>
    <numFmt numFmtId="214" formatCode="#,##0.0\ ;[Red]\(&quot;$&quot;#,##0\)"/>
    <numFmt numFmtId="215" formatCode="&quot;$&quot;#,##0.00&quot;E&quot;;[Red]\(&quot;$&quot;#,##0.00\)&quot;E&quot;"/>
    <numFmt numFmtId="216" formatCode="_([$€-2]* #,##0.00_);_([$€-2]* \(#,##0.00\);_([$€-2]* &quot;-&quot;??_)"/>
    <numFmt numFmtId="217" formatCode="#,##0.00;\(#,##0.00\)"/>
    <numFmt numFmtId="218" formatCode=".%\,\(0.0%%;\t"/>
    <numFmt numFmtId="219" formatCode="#,##0.0_);[Red]\(#,##0.0\)"/>
    <numFmt numFmtId="220" formatCode="0.0%_);[Red]\(0.0%\)"/>
    <numFmt numFmtId="221" formatCode="0.00_);\(0.00\);0.00_)"/>
    <numFmt numFmtId="222" formatCode="#,##0\x"/>
    <numFmt numFmtId="223" formatCode="&quot;TKR&quot;\ 0"/>
    <numFmt numFmtId="224" formatCode=".%\,\(0.%%;\t"/>
    <numFmt numFmtId="225" formatCode="&quot;$&quot;#,###.0\ \ "/>
    <numFmt numFmtId="226" formatCode="#,##0.00\x_);[Red]\(#,##0.00\x\)"/>
    <numFmt numFmtId="227" formatCode="#,##0.000_);\(#,##0.000\)"/>
    <numFmt numFmtId="228" formatCode="#,##0.00\x_);[Red]\(#,##0.00\x\);&quot;--  &quot;"/>
    <numFmt numFmtId="229" formatCode="_(* #,##0.0_);_(* \(#,##0.0\);_(* &quot;-&quot;??_);_(@_)"/>
    <numFmt numFmtId="230" formatCode="0.0\x_);[Red]\(0.0\x\)"/>
    <numFmt numFmtId="231" formatCode="0.0\ "/>
    <numFmt numFmtId="232" formatCode="&quot;$&quot;#,##0.0;\(&quot;$&quot;#,##0.00\)"/>
    <numFmt numFmtId="233" formatCode="#,##0.00%_);\(#,##0.00%\)"/>
    <numFmt numFmtId="234" formatCode="0.00\%;\-0.00\%;0.00\%"/>
    <numFmt numFmtId="235" formatCode="0.0%\ ;\(0.0%\)"/>
    <numFmt numFmtId="236" formatCode="_(&quot;$&quot;* #,##0_);_(&quot;$&quot;* \(#,##0\);_(&quot;$&quot;* &quot;-&quot;??_);_(@_)"/>
    <numFmt numFmtId="237" formatCode="&quot;$&quot;0.00\ "/>
    <numFmt numFmtId="238" formatCode="0.0\ \ \ \ \ "/>
    <numFmt numFmtId="239" formatCode="0.00\x;\-0.00\x;0.00\x"/>
    <numFmt numFmtId="240" formatCode="&quot;$&quot;#,##0.000_);\(&quot;$&quot;#,##0.000\)"/>
    <numFmt numFmtId="241" formatCode="#,##0.0_);\(#,##0.0\);_(* &quot;-&quot;_)"/>
    <numFmt numFmtId="242" formatCode="_(&quot;$&quot;* #,##0.00_);_(&quot;$&quot;* \(#,##0.00\);_(* &quot;-&quot;_);_(@_)"/>
    <numFmt numFmtId="243" formatCode="0.00%_);[Red]\(0.00%\)"/>
    <numFmt numFmtId="244" formatCode="#,##0.0\x_);\(#,##0.0\x\)"/>
    <numFmt numFmtId="245" formatCode="#,##0.00\x_);\(#,##0.00\x\)"/>
    <numFmt numFmtId="246" formatCode="###0&quot;E&quot;_)"/>
  </numFmts>
  <fonts count="121">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b val="1"/>
    </font>
    <font>
      <name val="Calibri"/>
      <color rgb="00000000"/>
    </font>
    <font>
      <name val="Calibri"/>
      <b val="1"/>
      <color rgb="00FFFFFF"/>
    </font>
    <font>
      <name val="Calibri"/>
      <color rgb="000563C1"/>
      <u val="single"/>
    </font>
    <font>
      <name val="Calibri"/>
      <color rgb="000000FF"/>
    </font>
    <font>
      <name val="Calibri"/>
      <sz val="10"/>
    </font>
    <font>
      <name val="Calibri"/>
      <i val="1"/>
      <sz val="10"/>
    </font>
    <font>
      <name val="Calibri"/>
      <b val="1"/>
      <color rgb="001F4E79"/>
      <sz val="14"/>
    </font>
    <font>
      <name val="Calibri"/>
      <color rgb="000563C1"/>
      <sz val="10"/>
      <u val="single"/>
    </font>
    <font>
      <name val="Calibri"/>
      <i val="1"/>
      <sz val="9"/>
    </font>
    <font>
      <name val="Calibri"/>
      <color rgb="000563C1"/>
      <sz val="9"/>
      <u val="single"/>
    </font>
    <font>
      <name val="Calibri"/>
      <b val="1"/>
      <color rgb="00FFFFFF"/>
      <sz val="10"/>
    </font>
    <font>
      <name val="Calibri"/>
      <color rgb="000000FF"/>
      <sz val="10"/>
    </font>
    <font>
      <name val="Calibri"/>
      <b val="1"/>
      <color rgb="000B3D5C"/>
      <sz val="15"/>
    </font>
    <font>
      <name val="Calibri"/>
      <color rgb="00334455"/>
      <sz val="10"/>
    </font>
    <font>
      <name val="Calibri"/>
      <b val="1"/>
      <sz val="10"/>
    </font>
    <font>
      <name val="Calibri"/>
      <b val="1"/>
      <color rgb="000000FF"/>
      <sz val="11"/>
    </font>
    <font>
      <name val="Calibri"/>
      <i val="1"/>
      <color rgb="00556677"/>
      <sz val="9"/>
    </font>
    <font>
      <name val="Calibri"/>
      <b val="1"/>
      <color rgb="000B3D5C"/>
      <sz val="14"/>
    </font>
    <font>
      <name val="Calibri"/>
      <sz val="9"/>
    </font>
    <font>
      <name val="Calibri"/>
      <b val="1"/>
      <sz val="9"/>
    </font>
  </fonts>
  <fills count="45">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D6DCE4"/>
      </patternFill>
    </fill>
    <fill>
      <patternFill patternType="solid">
        <fgColor rgb="00E2EFDA"/>
      </patternFill>
    </fill>
    <fill>
      <patternFill patternType="solid">
        <fgColor rgb="001F4E79"/>
      </patternFill>
    </fill>
    <fill>
      <patternFill patternType="solid">
        <fgColor rgb="00C6EFCE"/>
      </patternFill>
    </fill>
    <fill>
      <patternFill patternType="solid">
        <fgColor rgb="00FFF2CC"/>
      </patternFill>
    </fill>
    <fill>
      <patternFill patternType="solid">
        <fgColor rgb="00E7F3FF"/>
      </patternFill>
    </fill>
    <fill>
      <patternFill patternType="solid">
        <fgColor rgb="000B3D5C"/>
      </patternFill>
    </fill>
    <fill>
      <patternFill patternType="solid">
        <fgColor rgb="00E8F1F8"/>
      </patternFill>
    </fill>
    <fill>
      <patternFill patternType="solid">
        <fgColor rgb="00FFFCF3"/>
      </patternFill>
    </fill>
    <fill>
      <patternFill patternType="solid">
        <fgColor rgb="00FFF8E7"/>
      </patternFill>
    </fill>
    <fill>
      <patternFill patternType="solid">
        <fgColor rgb="00F7FAFC"/>
      </patternFill>
    </fill>
    <fill>
      <patternFill patternType="solid">
        <fgColor rgb="00FFE8A3"/>
      </patternFill>
    </fill>
  </fills>
  <borders count="41">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
      <left style="thin">
        <color rgb="00C5D0DA"/>
      </left>
      <right style="thin">
        <color rgb="00C5D0DA"/>
      </right>
      <top style="thin">
        <color rgb="00C5D0DA"/>
      </top>
      <bottom style="thin">
        <color rgb="00C5D0DA"/>
      </bottom>
    </border>
    <border>
      <left/>
      <right/>
      <top style="thin">
        <color rgb="00C5D0DA"/>
      </top>
      <bottom/>
      <diagonal/>
    </border>
    <border>
      <left/>
      <right style="thin">
        <color rgb="00C5D0DA"/>
      </right>
      <top style="thin">
        <color rgb="00C5D0DA"/>
      </top>
      <bottom/>
      <diagonal/>
    </border>
    <border>
      <left/>
      <right/>
      <top style="thin">
        <color rgb="00C5D0DA"/>
      </top>
      <bottom style="thin">
        <color rgb="00C5D0DA"/>
      </bottom>
      <diagonal/>
    </border>
    <border>
      <left/>
      <right style="thin">
        <color rgb="00C5D0DA"/>
      </right>
      <top style="thin">
        <color rgb="00C5D0DA"/>
      </top>
      <bottom style="thin">
        <color rgb="00C5D0DA"/>
      </bottom>
      <diagonal/>
    </border>
  </borders>
  <cellStyleXfs count="187">
    <xf numFmtId="0" fontId="0" fillId="0" borderId="0"/>
    <xf numFmtId="0" fontId="10" fillId="0" borderId="0"/>
    <xf numFmtId="193" fontId="10" fillId="0" borderId="0" applyAlignment="1">
      <alignment horizontal="right"/>
    </xf>
    <xf numFmtId="194" fontId="10" fillId="2" borderId="0"/>
    <xf numFmtId="195" fontId="10" fillId="2" borderId="0"/>
    <xf numFmtId="194" fontId="10" fillId="2" borderId="0"/>
    <xf numFmtId="196" fontId="10" fillId="2" borderId="0"/>
    <xf numFmtId="197" fontId="10" fillId="2" borderId="0" applyAlignment="1">
      <alignment horizontal="right"/>
    </xf>
    <xf numFmtId="198" fontId="11" fillId="0" borderId="0"/>
    <xf numFmtId="0" fontId="12" fillId="0" borderId="0"/>
    <xf numFmtId="199"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200"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200" fontId="17" fillId="0" borderId="0" applyProtection="1">
      <protection locked="0" hidden="0"/>
    </xf>
    <xf numFmtId="200"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201" fontId="12" fillId="0" borderId="0" applyAlignment="1" applyProtection="1">
      <alignment horizontal="right"/>
      <protection locked="0" hidden="0"/>
    </xf>
    <xf numFmtId="0" fontId="25" fillId="0" borderId="0"/>
    <xf numFmtId="7" fontId="26" fillId="0" borderId="0"/>
    <xf numFmtId="5" fontId="23" fillId="0" borderId="0"/>
    <xf numFmtId="202" fontId="13" fillId="0" borderId="0" applyAlignment="1">
      <alignment horizontal="right"/>
    </xf>
    <xf numFmtId="203" fontId="10" fillId="2" borderId="9" applyAlignment="1">
      <alignment horizontal="right"/>
    </xf>
    <xf numFmtId="204" fontId="10" fillId="2" borderId="9" applyAlignment="1">
      <alignment horizontal="right"/>
    </xf>
    <xf numFmtId="203" fontId="10" fillId="2" borderId="9" applyAlignment="1">
      <alignment horizontal="right"/>
    </xf>
    <xf numFmtId="15" fontId="27" fillId="0" borderId="0"/>
    <xf numFmtId="205" fontId="25" fillId="24" borderId="0"/>
    <xf numFmtId="206" fontId="27" fillId="0" borderId="8"/>
    <xf numFmtId="14" fontId="28" fillId="0" borderId="0" applyAlignment="1">
      <alignment horizontal="center"/>
    </xf>
    <xf numFmtId="207" fontId="28" fillId="0" borderId="0" applyAlignment="1">
      <alignment horizontal="center"/>
    </xf>
    <xf numFmtId="208"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9" fontId="10" fillId="25" borderId="0"/>
    <xf numFmtId="210" fontId="10" fillId="0" borderId="0"/>
    <xf numFmtId="211" fontId="10" fillId="25" borderId="0"/>
    <xf numFmtId="212" fontId="10" fillId="25" borderId="0"/>
    <xf numFmtId="213" fontId="18" fillId="0" borderId="0" applyAlignment="1" applyProtection="1">
      <alignment horizontal="left"/>
      <protection locked="0" hidden="0"/>
    </xf>
    <xf numFmtId="214" fontId="10" fillId="0" borderId="0"/>
    <xf numFmtId="215" fontId="18" fillId="0" borderId="0" applyAlignment="1" applyProtection="1">
      <alignment horizontal="left"/>
      <protection locked="0" hidden="0"/>
    </xf>
    <xf numFmtId="216" fontId="12" fillId="0" borderId="0"/>
    <xf numFmtId="0" fontId="29" fillId="0" borderId="0"/>
    <xf numFmtId="198" fontId="10" fillId="0" borderId="10"/>
    <xf numFmtId="217" fontId="10" fillId="2" borderId="9" applyAlignment="1">
      <alignment horizontal="right"/>
    </xf>
    <xf numFmtId="218" fontId="10" fillId="2" borderId="9" applyAlignment="1">
      <alignment horizontal="right"/>
    </xf>
    <xf numFmtId="217" fontId="10" fillId="2" borderId="9" applyAlignment="1">
      <alignment horizontal="right"/>
    </xf>
    <xf numFmtId="219" fontId="17" fillId="0" borderId="0" applyProtection="1">
      <protection locked="0" hidden="0"/>
    </xf>
    <xf numFmtId="0" fontId="30" fillId="5" borderId="0"/>
    <xf numFmtId="220" fontId="31" fillId="0" borderId="0"/>
    <xf numFmtId="198" fontId="32" fillId="0" borderId="0" applyAlignment="1" applyProtection="1">
      <alignment horizontal="left"/>
      <protection locked="0" hidden="0"/>
    </xf>
    <xf numFmtId="219" fontId="13" fillId="26" borderId="11"/>
    <xf numFmtId="0" fontId="33" fillId="0" borderId="12"/>
    <xf numFmtId="0" fontId="34" fillId="0" borderId="13"/>
    <xf numFmtId="0" fontId="35" fillId="0" borderId="14"/>
    <xf numFmtId="0" fontId="35" fillId="0" borderId="0"/>
    <xf numFmtId="219" fontId="36" fillId="0" borderId="0"/>
    <xf numFmtId="0" fontId="37" fillId="0" borderId="0"/>
    <xf numFmtId="200"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21"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22" fontId="10" fillId="0" borderId="0" applyAlignment="1">
      <alignment horizontal="right"/>
    </xf>
    <xf numFmtId="223" fontId="10" fillId="25" borderId="0" applyAlignment="1">
      <alignment horizontal="right"/>
    </xf>
    <xf numFmtId="224" fontId="10" fillId="0" borderId="0" applyAlignment="1">
      <alignment horizontal="right"/>
    </xf>
    <xf numFmtId="222" fontId="10" fillId="0" borderId="0" applyAlignment="1">
      <alignment horizontal="right"/>
    </xf>
    <xf numFmtId="198" fontId="42" fillId="0" borderId="0" applyAlignment="1">
      <alignment horizontal="right"/>
    </xf>
    <xf numFmtId="198" fontId="42" fillId="0" borderId="0"/>
    <xf numFmtId="225" fontId="10" fillId="2" borderId="9" applyAlignment="1">
      <alignment horizontal="right"/>
    </xf>
    <xf numFmtId="226"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7" fontId="12" fillId="0" borderId="0"/>
    <xf numFmtId="0" fontId="12" fillId="0" borderId="0"/>
    <xf numFmtId="0" fontId="27" fillId="0" borderId="0"/>
    <xf numFmtId="0" fontId="25" fillId="0" borderId="0"/>
    <xf numFmtId="228" fontId="25" fillId="0" borderId="0"/>
    <xf numFmtId="0" fontId="14" fillId="29" borderId="17"/>
    <xf numFmtId="0" fontId="23" fillId="0" borderId="0"/>
    <xf numFmtId="229" fontId="12" fillId="0" borderId="0"/>
    <xf numFmtId="0" fontId="23" fillId="0" borderId="0"/>
    <xf numFmtId="0" fontId="44" fillId="21" borderId="18"/>
    <xf numFmtId="230" fontId="17" fillId="0" borderId="0" applyAlignment="1">
      <alignment horizontal="right"/>
    </xf>
    <xf numFmtId="0" fontId="45" fillId="0" borderId="0"/>
    <xf numFmtId="0" fontId="25" fillId="0" borderId="0"/>
    <xf numFmtId="231" fontId="10" fillId="25" borderId="0"/>
    <xf numFmtId="9" fontId="17" fillId="0" borderId="0" applyAlignment="1">
      <alignment horizontal="right"/>
    </xf>
    <xf numFmtId="232" fontId="10" fillId="0" borderId="0"/>
    <xf numFmtId="0" fontId="12" fillId="0" borderId="0"/>
    <xf numFmtId="194" fontId="12" fillId="0" borderId="0"/>
    <xf numFmtId="233" fontId="12" fillId="0" borderId="0"/>
    <xf numFmtId="234" fontId="12" fillId="0" borderId="0" applyAlignment="1" applyProtection="1">
      <alignment horizontal="right"/>
      <protection locked="0" hidden="0"/>
    </xf>
    <xf numFmtId="220" fontId="17" fillId="0" borderId="0"/>
    <xf numFmtId="8" fontId="17" fillId="0" borderId="0"/>
    <xf numFmtId="200" fontId="17" fillId="0" borderId="0" applyProtection="1">
      <protection locked="0" hidden="0"/>
    </xf>
    <xf numFmtId="219" fontId="17" fillId="0" borderId="0"/>
    <xf numFmtId="38" fontId="17" fillId="0" borderId="0"/>
    <xf numFmtId="196" fontId="10" fillId="2" borderId="19" applyAlignment="1">
      <alignment horizontal="right"/>
    </xf>
    <xf numFmtId="235" fontId="46" fillId="2" borderId="0"/>
    <xf numFmtId="236" fontId="10" fillId="2" borderId="0"/>
    <xf numFmtId="0" fontId="47" fillId="0" borderId="0" applyAlignment="1">
      <alignment horizontal="center"/>
    </xf>
    <xf numFmtId="0" fontId="10" fillId="0" borderId="8" applyAlignment="1">
      <alignment horizontal="centerContinuous"/>
    </xf>
    <xf numFmtId="237" fontId="10" fillId="2" borderId="0" applyAlignment="1">
      <alignment horizontal="right"/>
    </xf>
    <xf numFmtId="238" fontId="10" fillId="2" borderId="9" applyAlignment="1">
      <alignment horizontal="right"/>
    </xf>
    <xf numFmtId="239" fontId="12" fillId="0" borderId="0" applyAlignment="1" applyProtection="1">
      <alignment horizontal="right"/>
      <protection locked="0" hidden="0"/>
    </xf>
    <xf numFmtId="219"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200" fontId="17" fillId="0" borderId="0" applyProtection="1">
      <protection locked="0" hidden="0"/>
    </xf>
    <xf numFmtId="240"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41" fontId="55" fillId="0" borderId="0" applyAlignment="1">
      <alignment horizontal="right" wrapText="1"/>
    </xf>
    <xf numFmtId="242" fontId="55" fillId="0" borderId="0" applyAlignment="1">
      <alignment horizontal="right"/>
    </xf>
    <xf numFmtId="4" fontId="25" fillId="0" borderId="0" applyAlignment="1">
      <alignment horizontal="right"/>
    </xf>
    <xf numFmtId="212" fontId="56" fillId="0" borderId="0"/>
    <xf numFmtId="243" fontId="57" fillId="0" borderId="0" applyAlignment="1" applyProtection="1">
      <alignment horizontal="left"/>
      <protection locked="0" hidden="0"/>
    </xf>
    <xf numFmtId="243" fontId="57" fillId="0" borderId="0"/>
    <xf numFmtId="243" fontId="58" fillId="0" borderId="0" applyAlignment="1" applyProtection="1">
      <alignment horizontal="left"/>
      <protection locked="0" hidden="0"/>
    </xf>
    <xf numFmtId="243" fontId="58" fillId="0" borderId="0" applyProtection="1">
      <protection locked="0" hidden="0"/>
    </xf>
    <xf numFmtId="219" fontId="17" fillId="0" borderId="0" applyProtection="1">
      <protection locked="0" hidden="0"/>
    </xf>
    <xf numFmtId="219" fontId="56" fillId="0" borderId="0"/>
    <xf numFmtId="49" fontId="59" fillId="0" borderId="0"/>
    <xf numFmtId="244" fontId="12" fillId="0" borderId="0"/>
    <xf numFmtId="245" fontId="12" fillId="0" borderId="0"/>
    <xf numFmtId="0" fontId="60" fillId="0" borderId="0"/>
    <xf numFmtId="0" fontId="61" fillId="1" borderId="0" applyAlignment="1">
      <alignment horizontal="left" vertical="center"/>
    </xf>
    <xf numFmtId="219"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6" fontId="26" fillId="0" borderId="0"/>
    <xf numFmtId="240" fontId="18" fillId="0" borderId="0"/>
  </cellStyleXfs>
  <cellXfs count="635">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0" fontId="99" fillId="0" borderId="0" pivotButton="0" quotePrefix="0" xfId="0"/>
    <xf numFmtId="0" fontId="100" fillId="33" borderId="0" pivotButton="0" quotePrefix="0" xfId="0"/>
    <xf numFmtId="0" fontId="101" fillId="0" borderId="0" pivotButton="0" quotePrefix="0" xfId="0"/>
    <xf numFmtId="190" fontId="101" fillId="34" borderId="35" pivotButton="0" quotePrefix="0" xfId="0"/>
    <xf numFmtId="0" fontId="101" fillId="34" borderId="35" pivotButton="0" quotePrefix="0" xfId="0"/>
    <xf numFmtId="173" fontId="101" fillId="34" borderId="35" pivotButton="0" quotePrefix="0" xfId="0"/>
    <xf numFmtId="0" fontId="102" fillId="35" borderId="0" pivotButton="0" quotePrefix="0" xfId="0"/>
    <xf numFmtId="173" fontId="101" fillId="36" borderId="35" pivotButton="0" quotePrefix="0" xfId="0"/>
    <xf numFmtId="190" fontId="101" fillId="36" borderId="35" pivotButton="0" quotePrefix="0" xfId="0"/>
    <xf numFmtId="191" fontId="101" fillId="34" borderId="35" pivotButton="0" quotePrefix="0" xfId="0"/>
    <xf numFmtId="191" fontId="101" fillId="36" borderId="35" pivotButton="0" quotePrefix="0" xfId="0"/>
    <xf numFmtId="0" fontId="100" fillId="36" borderId="0" pivotButton="0" quotePrefix="0" xfId="0"/>
    <xf numFmtId="0" fontId="101" fillId="36" borderId="35" pivotButton="0" quotePrefix="0" xfId="0"/>
    <xf numFmtId="0" fontId="103" fillId="0" borderId="0" pivotButton="0" quotePrefix="0" xfId="0"/>
    <xf numFmtId="0" fontId="0" fillId="0" borderId="35" applyAlignment="1" pivotButton="0" quotePrefix="0" xfId="0">
      <alignment vertical="top" wrapText="1"/>
    </xf>
    <xf numFmtId="1" fontId="101" fillId="34" borderId="35" pivotButton="0" quotePrefix="0" xfId="0"/>
    <xf numFmtId="173" fontId="104" fillId="37" borderId="35" pivotButton="0" quotePrefix="0" xfId="0"/>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190" fontId="101" fillId="34" borderId="35" pivotButton="0" quotePrefix="0" xfId="0"/>
    <xf numFmtId="0" fontId="102" fillId="35" borderId="0" applyAlignment="1" pivotButton="0" quotePrefix="0" xfId="0">
      <alignment horizontal="center" wrapText="1"/>
    </xf>
    <xf numFmtId="0" fontId="105" fillId="37" borderId="35" applyAlignment="1" pivotButton="0" quotePrefix="0" xfId="0">
      <alignment vertical="top" wrapText="1"/>
    </xf>
    <xf numFmtId="190" fontId="101" fillId="36" borderId="35" pivotButton="0" quotePrefix="0" xfId="0"/>
    <xf numFmtId="191" fontId="101" fillId="34" borderId="35" pivotButton="0" quotePrefix="0" xfId="0"/>
    <xf numFmtId="191" fontId="101" fillId="36" borderId="35" pivotButton="0" quotePrefix="0" xfId="0"/>
    <xf numFmtId="0" fontId="106" fillId="0" borderId="0" pivotButton="0" quotePrefix="0" xfId="0"/>
    <xf numFmtId="0" fontId="107" fillId="0" borderId="0" pivotButton="0" quotePrefix="0" xfId="0"/>
    <xf numFmtId="0" fontId="100" fillId="0" borderId="0" pivotButton="0" quotePrefix="0" xfId="0"/>
    <xf numFmtId="173" fontId="0" fillId="34" borderId="35" pivotButton="0" quotePrefix="0" xfId="0"/>
    <xf numFmtId="0" fontId="0" fillId="37" borderId="35" applyAlignment="1" pivotButton="0" quotePrefix="0" xfId="0">
      <alignment vertical="top" wrapText="1"/>
    </xf>
    <xf numFmtId="190" fontId="0" fillId="34" borderId="35" pivotButton="0" quotePrefix="0" xfId="0"/>
    <xf numFmtId="191" fontId="0" fillId="34" borderId="35" pivotButton="0" quotePrefix="0" xfId="0"/>
    <xf numFmtId="0" fontId="0" fillId="36" borderId="0" pivotButton="0" quotePrefix="0" xfId="0"/>
    <xf numFmtId="0" fontId="108" fillId="0" borderId="0" pivotButton="0" quotePrefix="0" xfId="0"/>
    <xf numFmtId="0" fontId="105" fillId="0" borderId="35" applyAlignment="1" pivotButton="0" quotePrefix="0" xfId="0">
      <alignment vertical="top" wrapText="1"/>
    </xf>
    <xf numFmtId="0" fontId="108" fillId="0" borderId="35" applyAlignment="1" pivotButton="0" quotePrefix="0" xfId="0">
      <alignment vertical="top" wrapText="1"/>
    </xf>
    <xf numFmtId="0" fontId="105" fillId="38" borderId="35" applyAlignment="1" pivotButton="0" quotePrefix="0" xfId="0">
      <alignment vertical="top" wrapText="1"/>
    </xf>
    <xf numFmtId="0" fontId="0" fillId="0" borderId="0" applyAlignment="1" pivotButton="0" quotePrefix="0" xfId="0">
      <alignment vertical="top" wrapText="1"/>
    </xf>
    <xf numFmtId="0" fontId="105" fillId="0" borderId="0" pivotButton="0" quotePrefix="0" xfId="0"/>
    <xf numFmtId="190" fontId="104" fillId="37" borderId="35" pivotButton="0" quotePrefix="0" xfId="0"/>
    <xf numFmtId="10" fontId="104" fillId="37" borderId="35" pivotButton="0" quotePrefix="0" xfId="0"/>
    <xf numFmtId="192" fontId="104" fillId="37" borderId="35" pivotButton="0" quotePrefix="0" xfId="0"/>
    <xf numFmtId="10" fontId="0" fillId="34" borderId="0" pivotButton="0" quotePrefix="0" xfId="0"/>
    <xf numFmtId="1" fontId="0" fillId="34" borderId="35" pivotButton="0" quotePrefix="0" xfId="0"/>
    <xf numFmtId="10" fontId="0" fillId="0" borderId="0" pivotButton="0" quotePrefix="0" xfId="0"/>
    <xf numFmtId="190" fontId="0" fillId="34" borderId="0" pivotButton="0" quotePrefix="0" xfId="0"/>
    <xf numFmtId="173" fontId="0" fillId="34" borderId="0" pivotButton="0" quotePrefix="0" xfId="0"/>
    <xf numFmtId="192" fontId="104" fillId="37" borderId="35" pivotButton="0" quotePrefix="0" xfId="0"/>
    <xf numFmtId="0" fontId="0" fillId="36" borderId="0" applyAlignment="1" pivotButton="0" quotePrefix="0" xfId="0">
      <alignment vertical="top" wrapText="1"/>
    </xf>
    <xf numFmtId="0" fontId="102" fillId="35" borderId="0" applyAlignment="1" pivotButton="0" quotePrefix="0" xfId="0">
      <alignment horizontal="center" vertical="center" wrapText="1"/>
    </xf>
    <xf numFmtId="0" fontId="0" fillId="0" borderId="35" pivotButton="0" quotePrefix="0" xfId="0"/>
    <xf numFmtId="0" fontId="0" fillId="36" borderId="35" applyAlignment="1" pivotButton="0" quotePrefix="0" xfId="0">
      <alignment vertical="top" wrapText="1"/>
    </xf>
    <xf numFmtId="0" fontId="108" fillId="0" borderId="35" pivotButton="0" quotePrefix="0" xfId="0"/>
    <xf numFmtId="0" fontId="108" fillId="0" borderId="0" applyAlignment="1" pivotButton="0" quotePrefix="0" xfId="0">
      <alignment vertical="top" wrapText="1"/>
    </xf>
    <xf numFmtId="0" fontId="109" fillId="0" borderId="0" pivotButton="0" quotePrefix="0" xfId="0"/>
    <xf numFmtId="0" fontId="0" fillId="38" borderId="0" applyAlignment="1" pivotButton="0" quotePrefix="0" xfId="0">
      <alignment vertical="top" wrapText="1"/>
    </xf>
    <xf numFmtId="0" fontId="110" fillId="0" borderId="35" applyAlignment="1" pivotButton="0" quotePrefix="0" xfId="0">
      <alignment vertical="top" wrapText="1"/>
    </xf>
    <xf numFmtId="0" fontId="109" fillId="38" borderId="0" applyAlignment="1" pivotButton="0" quotePrefix="0" xfId="0">
      <alignment vertical="top" wrapText="1"/>
    </xf>
    <xf numFmtId="0" fontId="111" fillId="35" borderId="0" applyAlignment="1" pivotButton="0" quotePrefix="0" xfId="0">
      <alignment horizontal="center" vertical="center" wrapText="1"/>
    </xf>
    <xf numFmtId="0" fontId="105" fillId="0" borderId="35" pivotButton="0" quotePrefix="0" xfId="0"/>
    <xf numFmtId="173" fontId="112" fillId="37" borderId="35" pivotButton="0" quotePrefix="0" xfId="0"/>
    <xf numFmtId="190" fontId="112" fillId="37" borderId="35" pivotButton="0" quotePrefix="0" xfId="0"/>
    <xf numFmtId="10" fontId="112" fillId="37" borderId="35" pivotButton="0" quotePrefix="0" xfId="0"/>
    <xf numFmtId="192" fontId="112" fillId="37" borderId="35" pivotButton="0" quotePrefix="0" xfId="0"/>
    <xf numFmtId="10" fontId="0" fillId="34" borderId="35" pivotButton="0" quotePrefix="0" xfId="0"/>
    <xf numFmtId="0" fontId="0" fillId="34" borderId="35" pivotButton="0" quotePrefix="0" xfId="0"/>
    <xf numFmtId="0" fontId="0" fillId="38" borderId="35" applyAlignment="1" pivotButton="0" quotePrefix="0" xfId="0">
      <alignment vertical="top" wrapText="1"/>
    </xf>
    <xf numFmtId="0" fontId="113" fillId="0" borderId="0" pivotButton="0" quotePrefix="0" xfId="0"/>
    <xf numFmtId="0" fontId="114" fillId="0" borderId="0" applyAlignment="1" pivotButton="0" quotePrefix="0" xfId="0">
      <alignment vertical="top" wrapText="1"/>
    </xf>
    <xf numFmtId="0" fontId="111" fillId="39" borderId="36" applyAlignment="1" pivotButton="0" quotePrefix="0" xfId="0">
      <alignment horizontal="center" vertical="center" wrapText="1"/>
    </xf>
    <xf numFmtId="0" fontId="115" fillId="0" borderId="36" applyAlignment="1" pivotButton="0" quotePrefix="0" xfId="0">
      <alignment vertical="top" wrapText="1"/>
    </xf>
    <xf numFmtId="173" fontId="116" fillId="37" borderId="36" applyAlignment="1" pivotButton="0" quotePrefix="0" xfId="0">
      <alignment horizontal="center" vertical="center"/>
    </xf>
    <xf numFmtId="0" fontId="105" fillId="40" borderId="36" applyAlignment="1" pivotButton="0" quotePrefix="0" xfId="0">
      <alignment vertical="top" wrapText="1"/>
    </xf>
    <xf numFmtId="0" fontId="110" fillId="41" borderId="36" applyAlignment="1" pivotButton="0" quotePrefix="0" xfId="0">
      <alignment vertical="top" wrapText="1"/>
    </xf>
    <xf numFmtId="0" fontId="105" fillId="42" borderId="36" applyAlignment="1" pivotButton="0" quotePrefix="0" xfId="0">
      <alignment vertical="top" wrapText="1"/>
    </xf>
    <xf numFmtId="0" fontId="110" fillId="0" borderId="36" applyAlignment="1" pivotButton="0" quotePrefix="0" xfId="0">
      <alignment vertical="top" wrapText="1"/>
    </xf>
    <xf numFmtId="0" fontId="115" fillId="43" borderId="36" applyAlignment="1" pivotButton="0" quotePrefix="0" xfId="0">
      <alignment vertical="top" wrapText="1"/>
    </xf>
    <xf numFmtId="190" fontId="116" fillId="37" borderId="36" applyAlignment="1" pivotButton="0" quotePrefix="0" xfId="0">
      <alignment horizontal="center" vertical="center"/>
    </xf>
    <xf numFmtId="0" fontId="115" fillId="44" borderId="36" applyAlignment="1" pivotButton="0" quotePrefix="0" xfId="0">
      <alignment vertical="top" wrapText="1"/>
    </xf>
    <xf numFmtId="10" fontId="116" fillId="37" borderId="36" applyAlignment="1" pivotButton="0" quotePrefix="0" xfId="0">
      <alignment horizontal="center" vertical="center"/>
    </xf>
    <xf numFmtId="192" fontId="116" fillId="37" borderId="36" applyAlignment="1" pivotButton="0" quotePrefix="0" xfId="0">
      <alignment horizontal="center" vertical="center"/>
    </xf>
    <xf numFmtId="0" fontId="115" fillId="0" borderId="0" pivotButton="0" quotePrefix="0" xfId="0"/>
    <xf numFmtId="10" fontId="105" fillId="34" borderId="36" applyAlignment="1" pivotButton="0" quotePrefix="0" xfId="0">
      <alignment horizontal="center" vertical="center"/>
    </xf>
    <xf numFmtId="0" fontId="0" fillId="44" borderId="36" applyAlignment="1" pivotButton="0" quotePrefix="0" xfId="0">
      <alignment vertical="top" wrapText="1"/>
    </xf>
    <xf numFmtId="0" fontId="0" fillId="0" borderId="39" pivotButton="0" quotePrefix="0" xfId="0"/>
    <xf numFmtId="0" fontId="0" fillId="0" borderId="40" pivotButton="0" quotePrefix="0" xfId="0"/>
    <xf numFmtId="0" fontId="117" fillId="0" borderId="0" pivotButton="0" quotePrefix="0" xfId="0"/>
    <xf numFmtId="173" fontId="0" fillId="34" borderId="36" pivotButton="0" quotePrefix="0" xfId="0"/>
    <xf numFmtId="0" fontId="0" fillId="40" borderId="36" applyAlignment="1" pivotButton="0" quotePrefix="0" xfId="0">
      <alignment vertical="top" wrapText="1"/>
    </xf>
    <xf numFmtId="190" fontId="0" fillId="34" borderId="36" pivotButton="0" quotePrefix="0" xfId="0"/>
    <xf numFmtId="191" fontId="0" fillId="34" borderId="36" pivotButton="0" quotePrefix="0" xfId="0"/>
    <xf numFmtId="1" fontId="0" fillId="34" borderId="36" pivotButton="0" quotePrefix="0" xfId="0"/>
    <xf numFmtId="0" fontId="118" fillId="0" borderId="0" pivotButton="0" quotePrefix="0" xfId="0"/>
    <xf numFmtId="0" fontId="110" fillId="40" borderId="36" applyAlignment="1" pivotButton="0" quotePrefix="0" xfId="0">
      <alignment vertical="top" wrapText="1"/>
    </xf>
    <xf numFmtId="0" fontId="119" fillId="37" borderId="36" applyAlignment="1" pivotButton="0" quotePrefix="0" xfId="0">
      <alignment vertical="top" wrapText="1"/>
    </xf>
    <xf numFmtId="0" fontId="119" fillId="34" borderId="36" applyAlignment="1" pivotButton="0" quotePrefix="0" xfId="0">
      <alignment vertical="top" wrapText="1"/>
    </xf>
    <xf numFmtId="0" fontId="0" fillId="37" borderId="36" applyAlignment="1" pivotButton="0" quotePrefix="0" xfId="0">
      <alignment vertical="top" wrapText="1"/>
    </xf>
    <xf numFmtId="0" fontId="120" fillId="44" borderId="36" applyAlignment="1" pivotButton="0" quotePrefix="0" xfId="0">
      <alignment vertical="top" wrapText="1"/>
    </xf>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ZoomInfo LBOMODEL2 — Base vs AI-SDR Strategy</a:t>
            </a:r>
          </a:p>
        </rich>
      </tx>
    </title>
    <plotArea>
      <barChart>
        <barDir val="col"/>
        <grouping val="clustered"/>
        <ser>
          <idx val="0"/>
          <order val="0"/>
          <tx>
            <strRef>
              <f>'Strategy_Summary'!C49</f>
            </strRef>
          </tx>
          <spPr>
            <a:ln>
              <a:prstDash val="solid"/>
            </a:ln>
          </spPr>
          <cat>
            <numRef>
              <f>'Strategy_Summary'!$B$50:$B$55</f>
            </numRef>
          </cat>
          <val>
            <numRef>
              <f>'Strategy_Summary'!$C$50:$C$55</f>
            </numRef>
          </val>
        </ser>
        <ser>
          <idx val="1"/>
          <order val="1"/>
          <tx>
            <strRef>
              <f>'Strategy_Summary'!D49</f>
            </strRef>
          </tx>
          <spPr>
            <a:ln>
              <a:prstDash val="solid"/>
            </a:ln>
          </spPr>
          <cat>
            <numRef>
              <f>'Strategy_Summary'!$B$50:$B$55</f>
            </numRef>
          </cat>
          <val>
            <numRef>
              <f>'Strategy_Summary'!$D$50:$D$55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56</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wire.com/news/home/20250225694335/en/ZoomInfo-Announces-Fourth-Quarter-and-Full-Year-2024-Financial-Results" TargetMode="External" Id="rId1" /><Relationship Type="http://schemas.openxmlformats.org/officeDocument/2006/relationships/hyperlink" Target="#'AI_Operating'!D5" TargetMode="External" Id="rId2" /><Relationship Type="http://schemas.openxmlformats.org/officeDocument/2006/relationships/hyperlink" Target="https://www.sec.gov/Archives/edgar/data/1794515/000179451525000045/zi-20241231.htm" TargetMode="External" Id="rId3" /><Relationship Type="http://schemas.openxmlformats.org/officeDocument/2006/relationships/hyperlink" Target="https://www.getaleph.com/answers/saas-gross-margin-2026" TargetMode="External" Id="rId4" /><Relationship Type="http://schemas.openxmlformats.org/officeDocument/2006/relationships/hyperlink" Target="#'AI_Operating'!D6" TargetMode="External" Id="rId5" /><Relationship Type="http://schemas.openxmlformats.org/officeDocument/2006/relationships/hyperlink" Target="https://www.readyratios.com/sec/GTM_zoominfo-technologies-inc" TargetMode="External" Id="rId6" /><Relationship Type="http://schemas.openxmlformats.org/officeDocument/2006/relationships/hyperlink" Target="https://resources.rework.com/pt/news/sales-tech/ai-sdr-worth-it-2026-hybrid-model-sales-leader" TargetMode="External" Id="rId7" /><Relationship Type="http://schemas.openxmlformats.org/officeDocument/2006/relationships/hyperlink" Target="#'AI_Operating'!D7" TargetMode="External" Id="rId8" /><Relationship Type="http://schemas.openxmlformats.org/officeDocument/2006/relationships/hyperlink" Target="https://firstsales.io/blog/cost-per-meeting-outbound/" TargetMode="External" Id="rId9" /><Relationship Type="http://schemas.openxmlformats.org/officeDocument/2006/relationships/hyperlink" Target="https://syncgtm.com/blog/how-to-pay-sales-development-rep" TargetMode="External" Id="rId10" /><Relationship Type="http://schemas.openxmlformats.org/officeDocument/2006/relationships/hyperlink" Target="#'AI_Operating'!D8" TargetMode="External" Id="rId11" /><Relationship Type="http://schemas.openxmlformats.org/officeDocument/2006/relationships/hyperlink" Target="https://syncgtm.com/blog/how-much-do-sales-development-representatives-make-at-tech-companies" TargetMode="External" Id="rId12" /><Relationship Type="http://schemas.openxmlformats.org/officeDocument/2006/relationships/hyperlink" Target="https://www.sec.gov/Archives/edgar/data/1794515/000179451525000045/zi-20241231.htm" TargetMode="External" Id="rId13" /><Relationship Type="http://schemas.openxmlformats.org/officeDocument/2006/relationships/hyperlink" Target="#'AI_Operating'!D10" TargetMode="External" Id="rId14" /><Relationship Type="http://schemas.openxmlformats.org/officeDocument/2006/relationships/hyperlink" Target="https://highticketaisystems.com/blog/ai-sdr-pricing-explained" TargetMode="External" Id="rId15" /><Relationship Type="http://schemas.openxmlformats.org/officeDocument/2006/relationships/hyperlink" Target="https://www.gartner.com/en/newsroom/press-releases/2026-08-10-gartner-forecasts-worldwide-artificial-intelligence-optimized-iaas-spending-to-grow-96-percent-in-2026" TargetMode="External" Id="rId16" /><Relationship Type="http://schemas.openxmlformats.org/officeDocument/2006/relationships/hyperlink" Target="#'AI_Operating'!E7" TargetMode="External" Id="rId17" /><Relationship Type="http://schemas.openxmlformats.org/officeDocument/2006/relationships/hyperlink" Target="https://www.ciodive.com/news/AI-spending-soars-enterprise-maturity/827488/" TargetMode="External" Id="rId18" /><Relationship Type="http://schemas.openxmlformats.org/officeDocument/2006/relationships/hyperlink" Target="https://www.businesswire.com/news/home/20250225694335/en/ZoomInfo-Announces-Fourth-Quarter-and-Full-Year-2024-Financial-Results" TargetMode="External" Id="rId19" /><Relationship Type="http://schemas.openxmlformats.org/officeDocument/2006/relationships/hyperlink" Target="#'AI_Operating'!D12" TargetMode="External" Id="rId20" /><Relationship Type="http://schemas.openxmlformats.org/officeDocument/2006/relationships/hyperlink" Target="https://www.sec.gov/Archives/edgar/data/1794515/000179451525000045/zi-20241231.htm" TargetMode="External" Id="rId21" /><Relationship Type="http://schemas.openxmlformats.org/officeDocument/2006/relationships/hyperlink" Target="https://caliberoutbound.com/blog/build-vs-buy-outbound-the-2026-cost-math" TargetMode="External" Id="rId22" /><Relationship Type="http://schemas.openxmlformats.org/officeDocument/2006/relationships/hyperlink" Target="#'AI_Operating'!D19" TargetMode="External" Id="rId23" /><Relationship Type="http://schemas.openxmlformats.org/officeDocument/2006/relationships/hyperlink" Target="https://firstsales.io/blog/cost-per-meeting-outbound/" TargetMode="External" Id="rId24" /><Relationship Type="http://schemas.openxmlformats.org/officeDocument/2006/relationships/hyperlink" Target="https://www.readyratios.com/sec/GTM_zoominfo-technologies-inc" TargetMode="External" Id="rId25" /><Relationship Type="http://schemas.openxmlformats.org/officeDocument/2006/relationships/hyperlink" Target="#'AI_Operating'!D20" TargetMode="External" Id="rId26" /><Relationship Type="http://schemas.openxmlformats.org/officeDocument/2006/relationships/hyperlink" Target="https://www.sec.gov/Archives/edgar/data/1794515/000179451525000045/zi-20241231.htm" TargetMode="External" Id="rId27" /><Relationship Type="http://schemas.openxmlformats.org/officeDocument/2006/relationships/hyperlink" Target="https://fred.stlouisfed.org/series/SOFR" TargetMode="External" Id="rId28" /><Relationship Type="http://schemas.openxmlformats.org/officeDocument/2006/relationships/hyperlink" Target="#'Debt_Sweep_AI'!C12" TargetMode="External" Id="rId29" /><Relationship Type="http://schemas.openxmlformats.org/officeDocument/2006/relationships/hyperlink" Target="https://www.newyorkfed.org/markets/reference-rates/sofr" TargetMode="External" Id="rId30" /><Relationship Type="http://schemas.openxmlformats.org/officeDocument/2006/relationships/hyperlink" Target="https://ryanoconnellfinance.com/lbo-debt-structure/" TargetMode="External" Id="rId31" /><Relationship Type="http://schemas.openxmlformats.org/officeDocument/2006/relationships/hyperlink" Target="#'Assumptions_Drivers'!C27" TargetMode="External" Id="rId32" /><Relationship Type="http://schemas.openxmlformats.org/officeDocument/2006/relationships/hyperlink" Target="https://ibinterviewquestions.com/guides/debt-capital-markets/term-loan-b-tlb-mechanics-and-why-it-dominates-lev-lending" TargetMode="External" Id="rId33" /><Relationship Type="http://schemas.openxmlformats.org/officeDocument/2006/relationships/hyperlink" Target="https://ibinterviewquestions.com/guides/valuation-investment-banking/lbo-debt-structures-senior-subordinated-mezzanine" TargetMode="External" Id="rId34" /><Relationship Type="http://schemas.openxmlformats.org/officeDocument/2006/relationships/hyperlink" Target="#'Assumptions_Drivers'!C28" TargetMode="External" Id="rId35" /><Relationship Type="http://schemas.openxmlformats.org/officeDocument/2006/relationships/hyperlink" Target="https://ryanoconnellfinance.com/lbo-debt-structure/" TargetMode="External" Id="rId36" /><Relationship Type="http://schemas.openxmlformats.org/officeDocument/2006/relationships/hyperlink" Target="https://ibinterviewquestions.com/guides/debt-capital-markets/term-loan-b-tlb-mechanics-and-why-it-dominates-lev-lending" TargetMode="External" Id="rId37" /><Relationship Type="http://schemas.openxmlformats.org/officeDocument/2006/relationships/hyperlink" Target="#'Debt_Sweep_AI'!D5" TargetMode="External" Id="rId38" /><Relationship Type="http://schemas.openxmlformats.org/officeDocument/2006/relationships/hyperlink" Target="https://clearvaluelending.com/glossary/term-loan-b" TargetMode="External" Id="rId39" /><Relationship Type="http://schemas.openxmlformats.org/officeDocument/2006/relationships/hyperlink" Target="https://ryanoconnellfinance.com/lbo-debt-structure/" TargetMode="External" Id="rId40" /><Relationship Type="http://schemas.openxmlformats.org/officeDocument/2006/relationships/hyperlink" Target="#'Debt_Sweep_AI'!E5" TargetMode="External" Id="rId41" /><Relationship Type="http://schemas.openxmlformats.org/officeDocument/2006/relationships/hyperlink" Target="https://ibinterviewquestions.com/guides/valuation-investment-banking/lbo-debt-structures-senior-subordinated-mezzanine" TargetMode="External" Id="rId42" /><Relationship Type="http://schemas.openxmlformats.org/officeDocument/2006/relationships/hyperlink" Target="https://taxsummaries.pwc.com/united-states/corporate/taxes-on-corporate-income" TargetMode="External" Id="rId43" /><Relationship Type="http://schemas.openxmlformats.org/officeDocument/2006/relationships/hyperlink" Target="#'AI_Operating'!D18" TargetMode="External" Id="rId44" /><Relationship Type="http://schemas.openxmlformats.org/officeDocument/2006/relationships/hyperlink" Target="https://tradingeconomics.com/united-states/corporate-tax-rate" TargetMode="External" Id="rId45" /><Relationship Type="http://schemas.openxmlformats.org/officeDocument/2006/relationships/hyperlink" Target="https://valueaddvc.com/blog/saas-evebitda-multiples-explained-benchmarks-and-what-they-mean" TargetMode="External" Id="rId46" /><Relationship Type="http://schemas.openxmlformats.org/officeDocument/2006/relationships/hyperlink" Target="#'LBO'!D17" TargetMode="External" Id="rId47" /><Relationship Type="http://schemas.openxmlformats.org/officeDocument/2006/relationships/hyperlink" Target="https://aventis-advisors.com/software-valuation-multiples/" TargetMode="External" Id="rId48" /><Relationship Type="http://schemas.openxmlformats.org/officeDocument/2006/relationships/hyperlink" Target="https://www.businesswire.com/news/home/20250225694335/en/ZoomInfo-Announces-Fourth-Quarter-and-Full-Year-2024-Financial-Results" TargetMode="External" Id="rId49" /><Relationship Type="http://schemas.openxmlformats.org/officeDocument/2006/relationships/hyperlink" Target="#'AI_Operating'!C9" TargetMode="External" Id="rId50" /><Relationship Type="http://schemas.openxmlformats.org/officeDocument/2006/relationships/hyperlink" Target="https://www.key.com/content/dam/kco/documents/businesses___institutions/2024_kbcm_sapphire_saas_survey.pdf" TargetMode="External" Id="rId51" /><Relationship Type="http://schemas.openxmlformats.org/officeDocument/2006/relationships/hyperlink" Target="https://syncgtm.com/blog/how-to-pay-sales-development-rep" TargetMode="External" Id="rId52" /><Relationship Type="http://schemas.openxmlformats.org/officeDocument/2006/relationships/hyperlink" Target="#'AI_Operating'!C7" TargetMode="External" Id="rId53" /><Relationship Type="http://schemas.openxmlformats.org/officeDocument/2006/relationships/hyperlink" Target="https://pulserevops.com/knowledge/ra0197" TargetMode="External" Id="rId54" /><Relationship Type="http://schemas.openxmlformats.org/officeDocument/2006/relationships/hyperlink" Target="https://syncgtm.com/blog/how-much-do-sales-development-representatives-make-at-tech-companies" TargetMode="External" Id="rId55" /><Relationship Type="http://schemas.openxmlformats.org/officeDocument/2006/relationships/hyperlink" Target="#'AI_Operating'!C8" TargetMode="External" Id="rId56" /><Relationship Type="http://schemas.openxmlformats.org/officeDocument/2006/relationships/hyperlink" Target="https://syncgtm.com/blog/how-to-pay-sales-development-rep" TargetMode="External" Id="rId57" /><Relationship Type="http://schemas.openxmlformats.org/officeDocument/2006/relationships/hyperlink" Target="https://www.businesswire.com/news/home/20250225694335/en/ZoomInfo-Announces-Fourth-Quarter-and-Full-Year-2024-Financial-Results" TargetMode="External" Id="rId58" /><Relationship Type="http://schemas.openxmlformats.org/officeDocument/2006/relationships/hyperlink" Target="#'AI_Operating'!D19" TargetMode="External" Id="rId59" /><Relationship Type="http://schemas.openxmlformats.org/officeDocument/2006/relationships/hyperlink" Target="https://www.sec.gov/Archives/edgar/data/1794515/000179451525000045/zi-20241231.htm" TargetMode="External" Id="rId60" /><Relationship Type="http://schemas.openxmlformats.org/officeDocument/2006/relationships/hyperlink" Target="https://www.readyratios.com/sec/GTM_zoominfo-technologies-inc" TargetMode="External" Id="rId61" /><Relationship Type="http://schemas.openxmlformats.org/officeDocument/2006/relationships/hyperlink" Target="#'AI_Operating'!D20" TargetMode="External" Id="rId62" /><Relationship Type="http://schemas.openxmlformats.org/officeDocument/2006/relationships/hyperlink" Target="https://www.sec.gov/Archives/edgar/data/1794515/000179451525000045/zi-20241231.htm" TargetMode="External" Id="rId63" /><Relationship Type="http://schemas.openxmlformats.org/officeDocument/2006/relationships/hyperlink" Target="https://fred.stlouisfed.org/series/SOFR" TargetMode="External" Id="rId64" /><Relationship Type="http://schemas.openxmlformats.org/officeDocument/2006/relationships/hyperlink" Target="#'Debt_Sweep_AI'!C12" TargetMode="External" Id="rId65" /><Relationship Type="http://schemas.openxmlformats.org/officeDocument/2006/relationships/hyperlink" Target="https://ryanoconnellfinance.com/lbo-debt-structure/" TargetMode="External" Id="rId66" /><Relationship Type="http://schemas.openxmlformats.org/officeDocument/2006/relationships/hyperlink" Target="https://fred.stlouisfed.org/series/SOFR" TargetMode="External" Id="rId67" /><Relationship Type="http://schemas.openxmlformats.org/officeDocument/2006/relationships/hyperlink" Target="#'Debt_Sweep_AI'!D12" TargetMode="External" Id="rId68" /><Relationship Type="http://schemas.openxmlformats.org/officeDocument/2006/relationships/hyperlink" Target="https://ibinterviewquestions.com/guides/valuation-investment-banking/lbo-debt-structures-senior-subordinated-mezzanine" TargetMode="External" Id="rId69" /><Relationship Type="http://schemas.openxmlformats.org/officeDocument/2006/relationships/hyperlink" Target="https://raw.githubusercontent.com/vengeanceaiUSC/Rainmaker/cursor/vengeanceaiusclbomodel2-44dc/LBO/output/LBOMODEL2_DRIVER_SOURCES.pdf" TargetMode="External" Id="rId70"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raw.githubusercontent.com/vengeanceaiUSC/Rainmaker/cursor/vengeanceaiusclbomodel1-44dc/LBO/output/LBOMODEL1_ASSUMPTIONS_LIST.pdf" TargetMode="External" Id="rId1" /><Relationship Type="http://schemas.openxmlformats.org/officeDocument/2006/relationships/hyperlink" Target="#'Assumptions_Drivers'!C5" TargetMode="External" Id="rId2" /><Relationship Type="http://schemas.openxmlformats.org/officeDocument/2006/relationships/hyperlink" Target="#'AI_Operating'!D5" TargetMode="External" Id="rId3" /><Relationship Type="http://schemas.openxmlformats.org/officeDocument/2006/relationships/hyperlink" Target="#'Assumptions_Drivers'!C6" TargetMode="External" Id="rId4" /><Relationship Type="http://schemas.openxmlformats.org/officeDocument/2006/relationships/hyperlink" Target="#'AI_Operating'!D6" TargetMode="External" Id="rId5" /><Relationship Type="http://schemas.openxmlformats.org/officeDocument/2006/relationships/hyperlink" Target="#'Assumptions_Drivers'!C7" TargetMode="External" Id="rId6" /><Relationship Type="http://schemas.openxmlformats.org/officeDocument/2006/relationships/hyperlink" Target="#'AI_Operating'!D7" TargetMode="External" Id="rId7" /><Relationship Type="http://schemas.openxmlformats.org/officeDocument/2006/relationships/hyperlink" Target="#'Assumptions_Drivers'!C8" TargetMode="External" Id="rId8" /><Relationship Type="http://schemas.openxmlformats.org/officeDocument/2006/relationships/hyperlink" Target="#'AI_Operating'!D8" TargetMode="External" Id="rId9" /><Relationship Type="http://schemas.openxmlformats.org/officeDocument/2006/relationships/hyperlink" Target="#'Assumptions_Drivers'!C9" TargetMode="External" Id="rId10" /><Relationship Type="http://schemas.openxmlformats.org/officeDocument/2006/relationships/hyperlink" Target="#'AI_Operating'!D10" TargetMode="External" Id="rId11" /><Relationship Type="http://schemas.openxmlformats.org/officeDocument/2006/relationships/hyperlink" Target="#'Assumptions_Drivers'!C10" TargetMode="External" Id="rId12" /><Relationship Type="http://schemas.openxmlformats.org/officeDocument/2006/relationships/hyperlink" Target="#'AI_Operating'!E7" TargetMode="External" Id="rId13" /><Relationship Type="http://schemas.openxmlformats.org/officeDocument/2006/relationships/hyperlink" Target="#'Assumptions_Drivers'!C11" TargetMode="External" Id="rId14" /><Relationship Type="http://schemas.openxmlformats.org/officeDocument/2006/relationships/hyperlink" Target="#'AI_Operating'!D12" TargetMode="External" Id="rId15" /><Relationship Type="http://schemas.openxmlformats.org/officeDocument/2006/relationships/hyperlink" Target="#'Assumptions_Drivers'!C12" TargetMode="External" Id="rId16" /><Relationship Type="http://schemas.openxmlformats.org/officeDocument/2006/relationships/hyperlink" Target="#'AI_Operating'!D19" TargetMode="External" Id="rId17" /><Relationship Type="http://schemas.openxmlformats.org/officeDocument/2006/relationships/hyperlink" Target="#'Assumptions_Drivers'!C13" TargetMode="External" Id="rId18" /><Relationship Type="http://schemas.openxmlformats.org/officeDocument/2006/relationships/hyperlink" Target="#'AI_Operating'!D20" TargetMode="External" Id="rId19" /><Relationship Type="http://schemas.openxmlformats.org/officeDocument/2006/relationships/hyperlink" Target="#'Assumptions_Drivers'!C14" TargetMode="External" Id="rId20" /><Relationship Type="http://schemas.openxmlformats.org/officeDocument/2006/relationships/hyperlink" Target="#'Debt_Sweep_AI'!C12" TargetMode="External" Id="rId21" /><Relationship Type="http://schemas.openxmlformats.org/officeDocument/2006/relationships/hyperlink" Target="#'Assumptions_Drivers'!C14" TargetMode="External" Id="rId22" /><Relationship Type="http://schemas.openxmlformats.org/officeDocument/2006/relationships/hyperlink" Target="#'Debt_Sweep_AI'!D12" TargetMode="External" Id="rId23" /><Relationship Type="http://schemas.openxmlformats.org/officeDocument/2006/relationships/hyperlink" Target="#'Assumptions_Drivers'!C17" TargetMode="External" Id="rId24" /><Relationship Type="http://schemas.openxmlformats.org/officeDocument/2006/relationships/hyperlink" Target="#'Debt_Sweep_AI'!D5" TargetMode="External" Id="rId25" /><Relationship Type="http://schemas.openxmlformats.org/officeDocument/2006/relationships/hyperlink" Target="#'Assumptions_Drivers'!C18" TargetMode="External" Id="rId26" /><Relationship Type="http://schemas.openxmlformats.org/officeDocument/2006/relationships/hyperlink" Target="#'Debt_Sweep_AI'!E5" TargetMode="External" Id="rId27" /><Relationship Type="http://schemas.openxmlformats.org/officeDocument/2006/relationships/hyperlink" Target="#'Assumptions_Drivers'!C19" TargetMode="External" Id="rId28" /><Relationship Type="http://schemas.openxmlformats.org/officeDocument/2006/relationships/hyperlink" Target="#'AI_Operating'!D18" TargetMode="External" Id="rId29" /><Relationship Type="http://schemas.openxmlformats.org/officeDocument/2006/relationships/hyperlink" Target="#'Assumptions_Drivers'!C20" TargetMode="External" Id="rId30" /><Relationship Type="http://schemas.openxmlformats.org/officeDocument/2006/relationships/hyperlink" Target="#'LBO'!D17" TargetMode="External" Id="rId31" /><Relationship Type="http://schemas.openxmlformats.org/officeDocument/2006/relationships/hyperlink" Target="#'Assumptions_Drivers'!E9" TargetMode="External" Id="rId32" /><Relationship Type="http://schemas.openxmlformats.org/officeDocument/2006/relationships/hyperlink" Target="https://www.salesforce.com/news/press-releases/2025/05/15/agentforce-flexible-pricing-news/" TargetMode="External" Id="rId33" /><Relationship Type="http://schemas.openxmlformats.org/officeDocument/2006/relationships/hyperlink" Target="https://www.sec.gov/Archives/edgar/data/1794515/000179451525000045/zi-20241231.htm" TargetMode="External" Id="rId34" /><Relationship Type="http://schemas.openxmlformats.org/officeDocument/2006/relationships/hyperlink" Target="https://raw.githubusercontent.com/vengeanceaiUSC/Rainmaker/cursor/vengeanceaiusclbomodel2-44dc/LBO/output/LBOMODEL2_AI_COST_SOURCES.pdf" TargetMode="External" Id="rId35" /><Relationship Type="http://schemas.openxmlformats.org/officeDocument/2006/relationships/hyperlink" Target="#'Assumptions_Drivers'!E9" TargetMode="External" Id="rId36" /><Relationship Type="http://schemas.openxmlformats.org/officeDocument/2006/relationships/hyperlink" Target="https://raw.githubusercontent.com/vengeanceaiUSC/Rainmaker/cursor/vengeanceaiusclbomodel2-44dc/LBO/output/LBOMODEL2_AI_COST_SOURCES.pdf" TargetMode="External" Id="rId37" /><Relationship Type="http://schemas.openxmlformats.org/officeDocument/2006/relationships/hyperlink" Target="#'Assumptions_Drivers'!E9" TargetMode="External" Id="rId38" /><Relationship Type="http://schemas.openxmlformats.org/officeDocument/2006/relationships/hyperlink" Target="https://raw.githubusercontent.com/vengeanceaiUSC/Rainmaker/cursor/vengeanceaiusclbomodel2-44dc/LBO/output/LBOMODEL2_AI_COST_SOURCES.pdf" TargetMode="External" Id="rId39" /><Relationship Type="http://schemas.openxmlformats.org/officeDocument/2006/relationships/hyperlink" Target="#'Assumptions_Drivers'!E9" TargetMode="External" Id="rId40" /><Relationship Type="http://schemas.openxmlformats.org/officeDocument/2006/relationships/hyperlink" Target="https://raw.githubusercontent.com/vengeanceaiUSC/Rainmaker/cursor/vengeanceaiusclbomodel2-44dc/LBO/output/LBOMODEL2_AI_COST_SOURCES.pdf" TargetMode="External" Id="rId41" /></Relationships>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H31"/>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6" customWidth="1" style="244" min="2" max="2"/>
    <col width="11" customWidth="1" style="244" min="3" max="3"/>
    <col width="52" customWidth="1" style="244" min="4" max="4"/>
    <col width="52" customWidth="1" style="244" min="5" max="5"/>
    <col width="78" customWidth="1" style="244" min="6" max="6"/>
    <col width="34" customWidth="1" style="244" min="7" max="7"/>
    <col width="38" customWidth="1" style="244" min="8" max="8"/>
  </cols>
  <sheetData>
    <row r="2">
      <c r="B2" s="629" t="inlineStr">
        <is>
          <t>Assumptions Drivers — sources ONLY if their numbers appear in the equation for C</t>
        </is>
      </c>
    </row>
    <row r="3" ht="48" customHeight="1" s="244">
      <c r="B3" s="605" t="inlineStr">
        <is>
          <t>Rule: a source is listed only when it supplies an input used in CLOSED MATH. Example: AI $34m uses ZI S&amp;M HC 1,513 and $5–10k/mo agents — NOT Salesforce $2/conv (removed; not in the equation). Anything marked MODEL CONST is an explicit unsourced switch.</t>
        </is>
      </c>
    </row>
    <row r="4" ht="40" customHeight="1" s="244">
      <c r="B4" s="606" t="inlineStr">
        <is>
          <t>Driver</t>
        </is>
      </c>
      <c r="C4" s="606" t="inlineStr">
        <is>
          <t>Value</t>
        </is>
      </c>
      <c r="D4" s="606" t="inlineStr">
        <is>
          <t>Why reasonable (model justification)</t>
        </is>
      </c>
      <c r="E4" s="606" t="inlineStr">
        <is>
          <t>Source — ONLY numbers used in the equation (click)</t>
        </is>
      </c>
      <c r="F4" s="606" t="inlineStr">
        <is>
          <t>EQUATION + which inputs are SOURCED vs MODEL CONST</t>
        </is>
      </c>
      <c r="G4" s="606" t="inlineStr">
        <is>
          <t>Feeds (click to jump)</t>
        </is>
      </c>
      <c r="H4" s="606" t="inlineStr">
        <is>
          <t>Secondary source (click)</t>
        </is>
      </c>
    </row>
    <row r="5" ht="92" customHeight="1" s="244">
      <c r="B5" s="607" t="inlineStr">
        <is>
          <t>Revenue growth</t>
        </is>
      </c>
      <c r="C5" s="608" t="n">
        <v>0.1</v>
      </c>
      <c r="D5" s="609" t="inlineStr">
        <is>
          <t>Assumes steady top-line expansion. Reasonable for a mature enterprise software company, avoiding aggressive hypergrowth assumptions while maintaining a healthy, realistic sales trajectory.</t>
        </is>
      </c>
      <c r="E5" s="630" t="inlineStr">
        <is>
          <t>EQ uses: FY24 Rev $1,214.3m (ZI results). Growth 10% = MODEL CONST (not in filing; filing is −2%).</t>
        </is>
      </c>
      <c r="F5" s="631" t="inlineStr">
        <is>
          <t>EQUATION: Y1_Rev = 1214.3 × (1 + 0.10) = $1,335.73m. SOURCED input: 1214.3 from ZI FY24 results. MODEL CONST (unsourced rate): 0.10 — filing growth = 1214.3/1239.5−1 = −2.03% is NOT used. Only list ZI results because it supplies the $1,214.3m base in the equation.</t>
        </is>
      </c>
      <c r="G5" s="612" t="inlineStr">
        <is>
          <t>Go to AI_Operating!D5 (Revenue)</t>
        </is>
      </c>
      <c r="H5" s="612" t="inlineStr">
        <is>
          <t>www.sec.gov/Archives/edgar/data/1794515/000179451525000045/zi-20241231</t>
        </is>
      </c>
    </row>
    <row r="6" ht="92" customHeight="1" s="244">
      <c r="B6" s="613" t="inlineStr">
        <is>
          <t>Gross margin</t>
        </is>
      </c>
      <c r="C6" s="608" t="n">
        <v>0.8</v>
      </c>
      <c r="D6" s="609" t="inlineStr">
        <is>
          <t>High profitability on direct services. Highly reasonable for a SaaS company, which historically scales digital infrastructure with minimal incremental cost per user.</t>
        </is>
      </c>
      <c r="E6" s="630" t="inlineStr">
        <is>
          <t>EQ uses: software median GM = 80% (Aleph/Benchmarkit) → C6=0.80</t>
        </is>
      </c>
      <c r="F6" s="632" t="inlineStr">
        <is>
          <t>EQUATION: COGS_t = Rev_t × (1 − 0.80) = Rev_t × 0.20. Y1 example: 1335.73 × 0.20 = $267.15m. SOURCED input: 0.80 from Aleph/Benchmarkit median. No other inputs. Source number = driver number.</t>
        </is>
      </c>
      <c r="G6" s="612" t="inlineStr">
        <is>
          <t>Go to AI_Operating!D6 (COGS)</t>
        </is>
      </c>
      <c r="H6" s="612" t="inlineStr">
        <is>
          <t>www.readyratios.com/sec/GTM_zoominfo-technologies-inc</t>
        </is>
      </c>
    </row>
    <row r="7" ht="92" customHeight="1" s="244">
      <c r="B7" s="607" t="inlineStr">
        <is>
          <t>Sales payroll cut (Y1)</t>
        </is>
      </c>
      <c r="C7" s="608" t="n">
        <v>0.15</v>
      </c>
      <c r="D7" s="609" t="inlineStr">
        <is>
          <t>Immediate headcount reduction for human SDRs. Reasonable as a private equity cost-cutting measure, easily achieved by eliminating the lower-tier outbound sales team.</t>
        </is>
      </c>
      <c r="E7" s="630" t="inlineStr">
        <is>
          <t>EQ uses: published SDR HC cut ~18% → model sets C7=15% (near 18%); payroll pool $318.8m</t>
        </is>
      </c>
      <c r="F7" s="632" t="inlineStr">
        <is>
          <t>EQUATION: Payroll_Y1 = 318.8 × (1 − 0.15) = $270.98m; savings = $47.82m. SOURCED rate evidence: ~18% US B2B SaaS SDR headcount decline (we set 15% ≈ 18%). SOURCED $ pool: 318.8 = 0.75 × 425 from pay-mix rows. If we used 18% exactly: 318.8 × 0.82 = $261.4m — we chose 15% as the nearby model switch.</t>
        </is>
      </c>
      <c r="G7" s="612" t="inlineStr">
        <is>
          <t>Go to AI_Operating!D7 (Sales payroll)</t>
        </is>
      </c>
      <c r="H7" s="612" t="inlineStr">
        <is>
          <t>firstsales.io/blog/cost-per-meeting-outbound/</t>
        </is>
      </c>
    </row>
    <row r="8" ht="92" customHeight="1" s="244">
      <c r="B8" s="613" t="inlineStr">
        <is>
          <t>Variable commission cut</t>
        </is>
      </c>
      <c r="C8" s="608" t="n">
        <v>0.2</v>
      </c>
      <c r="D8" s="609" t="inlineStr">
        <is>
          <t>Reduces payouts for automated sales. Reasonable because AI agents do not collect commission checks, retaining more profit per enterprise deal directly for the company.</t>
        </is>
      </c>
      <c r="E8" s="630" t="inlineStr">
        <is>
          <t>EQ uses: ~30% variable share of OTE (SyncGTM) → informs cutting commission pool; pool $106.2m; C8=20%</t>
        </is>
      </c>
      <c r="F8" s="631" t="inlineStr">
        <is>
          <t>EQUATION: Commission_AI = 106.2 × (1 − 0.20) = $84.96m; savings = $21.24m. SOURCED: ~30% variable (SyncGTM) explains why a commission pool exists to cut. MODEL CONST: 20% cut rate (partial take of the ~30% variable layer). SOURCED $ pool: 106.2 = 0.25 × 425. Equation dollars come from pool × cut — not from an unstated unit price.</t>
        </is>
      </c>
      <c r="G8" s="612" t="inlineStr">
        <is>
          <t>Go to AI_Operating!D8 (Commissions)</t>
        </is>
      </c>
      <c r="H8" s="612" t="inlineStr">
        <is>
          <t>syncgtm.com/blog/how-much-do-sales-development-representatives-make-at</t>
        </is>
      </c>
    </row>
    <row r="9" ht="92" customHeight="1" s="244">
      <c r="B9" s="607" t="inlineStr">
        <is>
          <t>AI infrastructure ($m)</t>
        </is>
      </c>
      <c r="C9" s="614" t="n">
        <v>34</v>
      </c>
      <c r="D9" s="609" t="inlineStr">
        <is>
          <t>Fixed AI software/compute cost = $34m from roles×$/mo×12 (1,513 S&amp;M × 25% × $5–10k/mo), not from Salesforce $/conversation pricing.</t>
        </is>
      </c>
      <c r="E9" s="630" t="inlineStr">
        <is>
          <t>EQ uses: ZI S&amp;M HC 1,513 (10-K) × 25% roles × $5–10k/mo agents × 12 → avg $34m. NOT SF $2/conv.</t>
        </is>
      </c>
      <c r="F9" s="634" t="inlineStr">
        <is>
          <t>EQUATION (only these inputs): Roles = 0.25 × 1,513 = 378. Low = 378 × $5,000 × 12 = $22.7m. High = 378 × $10,000 × 12 = $45.4m. C9 = ($22.7+$45.4)/2 = $34.0m. SOURCED: 1,513 from ZI 10-K Human Capital. SOURCED: $5k–$10k/mo enterprise AI SDR agent range (secondary link). MODEL CONST: 0.25 outbound share of S&amp;M. REMOVED: SF $2/conv and $0.10/action — they do not appear in this equation, so they are not sources for C9.</t>
        </is>
      </c>
      <c r="G9" s="612" t="inlineStr">
        <is>
          <t>Go to AI_Operating!D10 (AI infrastructure)</t>
        </is>
      </c>
      <c r="H9" s="612" t="inlineStr">
        <is>
          <t>highticketaisystems.com/blog/ai-sdr-pricing-explained</t>
        </is>
      </c>
    </row>
    <row r="10" ht="92" customHeight="1" s="244">
      <c r="B10" s="613" t="inlineStr">
        <is>
          <t>S&amp;M expense growth Y2+</t>
        </is>
      </c>
      <c r="C10" s="608" t="n">
        <v>0.02</v>
      </c>
      <c r="D10" s="609" t="inlineStr">
        <is>
          <t>Caps future marketing cost increases. Reasonable because AI scales infinitely without needing proportional headcount additions, severing the link between revenue growth and human hiring.</t>
        </is>
      </c>
      <c r="E10" s="630" t="inlineStr">
        <is>
          <t>EQ uses: prior-year S&amp;M $ × (1+C10); C10=2% = MODEL CONST. Gartner supports non-linear headcount scaling (qualitative).</t>
        </is>
      </c>
      <c r="F10" s="631" t="inlineStr">
        <is>
          <t>EQUATION: Payroll_t = Payroll_{t−1} × (1.02). Y2 = 270.98 × 1.02 = $276.40m. SOURCED $ start: 270.98 from row-7 equation. MODEL CONST: 0.02 growth. Gartner is listed only as qualitative support that agent opex need not track headcount 1:1 — it does NOT supply the 2%. If you require every rate to be numeric-from-source, treat 2% as pure model const (Gartner optional).</t>
        </is>
      </c>
      <c r="G10" s="612" t="inlineStr">
        <is>
          <t>Go to AI_Operating!E7 (payroll Y2+)</t>
        </is>
      </c>
      <c r="H10" s="612" t="inlineStr">
        <is>
          <t>www.ciodive.com/news/AI-spending-soars-enterprise-maturity/827488/</t>
        </is>
      </c>
    </row>
    <row r="11" ht="92" customHeight="1" s="244">
      <c r="B11" s="607" t="inlineStr">
        <is>
          <t>G&amp;A % of revenue</t>
        </is>
      </c>
      <c r="C11" s="608" t="n">
        <v>0.18</v>
      </c>
      <c r="D11" s="609" t="inlineStr">
        <is>
          <t>General administrative overhead costs. Reasonable for a public-to-private SaaS company, maintaining standard corporate expenses without relying on unrealistic operational magic outside of sales.</t>
        </is>
      </c>
      <c r="E11" s="630" t="inlineStr">
        <is>
          <t>EQ uses: Rev_t × C11; C11=18% = MODEL CONST. Filing G&amp;A $295.3m/1214.3=24.3% is the sourced alternative rate (not used).</t>
        </is>
      </c>
      <c r="F11" s="631" t="inlineStr">
        <is>
          <t>EQUATION USED: G&amp;A_t = Rev_t × 0.18 → Y1 1335.73 × 0.18 = $240.43m. SOURCED Rev: from growth path / ZI base. MODEL CONST: 0.18. SOURCED BUT NOT USED IN EQ: filing G&amp;A rate 295.3/1214.3 = 24.32% (would give Y1 G&amp;A $324.9m). Honesty: 18% is not taken from the filing number.</t>
        </is>
      </c>
      <c r="G11" s="612" t="inlineStr">
        <is>
          <t>Go to AI_Operating!D12 (G&amp;A)</t>
        </is>
      </c>
      <c r="H11" s="612" t="inlineStr">
        <is>
          <t>www.sec.gov/Archives/edgar/data/1794515/000179451525000045/zi-20241231</t>
        </is>
      </c>
    </row>
    <row r="12" ht="92" customHeight="1" s="244">
      <c r="B12" s="613" t="inlineStr">
        <is>
          <t>CapEx reduction vs base</t>
        </is>
      </c>
      <c r="C12" s="608" t="n">
        <v>0.05</v>
      </c>
      <c r="D12" s="609" t="inlineStr">
        <is>
          <t>Lowers physical equipment spending. Reasonable because firing 15% of the sales team permanently eliminates the need to purchase and refresh their laptops and hardware.</t>
        </is>
      </c>
      <c r="E12" s="630" t="inlineStr">
        <is>
          <t>EQ uses: Rev × 2% CapEx_base × (1−0.05). 5% = MODEL CONST; CapEx base 2% = MODEL CONST. Source shows device $ exist in SDR all-in (qualitative).</t>
        </is>
      </c>
      <c r="F12" s="631" t="inlineStr">
        <is>
          <t>EQUATION: CapEx_AI = Rev × 0.02 × 0.95 = Rev × 0.019 → Y1 1335.73 × 0.019 = $25.38m. MODEL CONSTS in EQ: 0.02 and 0.05. Source is qualitative (SDR stacks include hardware $) — it does not print 5% or 2%. Labeled honestly: device-cost existence from source; rates are model consts.</t>
        </is>
      </c>
      <c r="G12" s="612" t="inlineStr">
        <is>
          <t>Go to AI_Operating!D19 (CapEx)</t>
        </is>
      </c>
      <c r="H12" s="612" t="inlineStr">
        <is>
          <t>firstsales.io/blog/cost-per-meeting-outbound/</t>
        </is>
      </c>
    </row>
    <row r="13" ht="92" customHeight="1" s="244">
      <c r="B13" s="607" t="inlineStr">
        <is>
          <t>WC / receivables improvement</t>
        </is>
      </c>
      <c r="C13" s="608" t="n">
        <v>0.1</v>
      </c>
      <c r="D13" s="609" t="inlineStr">
        <is>
          <t>Speeds up cash collection from clients. Reasonable because automated AI billing systems can aggressively follow up on late invoices, freeing up cash for debt paydown.</t>
        </is>
      </c>
      <c r="E13" s="630" t="inlineStr">
        <is>
          <t>EQ uses: ΔRev × 2% × (1−0.10). 10% &amp; 2% = MODEL CONST. Source supplies ~80 DSO (motivates WC, not the 10%).</t>
        </is>
      </c>
      <c r="F13" s="631" t="inlineStr">
        <is>
          <t>EQUATION: ΔNWC_AI = ΔRev × 0.02 × 0.90 = ΔRev × 0.018 → Y1 121.43 × 0.018 = $2.19m. SOURCED: ~80 receivable days (WC is real). MODEL CONSTS: 0.02 WC rate, 0.10 improvement. 80 DSO is not algebraically equal to 10% — improvement rate is model const.</t>
        </is>
      </c>
      <c r="G13" s="612" t="inlineStr">
        <is>
          <t>Go to AI_Operating!D20 (ΔNWC)</t>
        </is>
      </c>
      <c r="H13" s="612" t="inlineStr">
        <is>
          <t>www.sec.gov/Archives/edgar/data/1794515/000179451525000045/zi-20241231</t>
        </is>
      </c>
    </row>
    <row r="14" ht="92" customHeight="1" s="244">
      <c r="B14" s="613" t="inlineStr">
        <is>
          <t>SOFR</t>
        </is>
      </c>
      <c r="C14" s="616" t="n">
        <v>0.043</v>
      </c>
      <c r="D14" s="609" t="inlineStr">
        <is>
          <t>The foundational secured lending interest rate. Reasonable and historically accurate for the macroeconomic environment, properly reflecting actual institutional baseline borrowing costs.</t>
        </is>
      </c>
      <c r="E14" s="630" t="inlineStr">
        <is>
          <t>EQ uses: C14 as SOFR in TLA/TLB rates. C14=4.30% = MODEL PLANNING (FRED recent ~3.62% — not equal).</t>
        </is>
      </c>
      <c r="F14" s="631" t="inlineStr">
        <is>
          <t>EQUATION: TLA_rate = C14 + C15; Interest_TLA ≈ TLA_beg × (C14+C15). SOURCED series: FRED/NY Fed SOFR. MODEL CONST: 4.30% cushion (≠ latest ~3.62% print). To be strictly equal to source, set C14 to the FRED print; currently a planning cushion above it.</t>
        </is>
      </c>
      <c r="G14" s="612" t="inlineStr">
        <is>
          <t>Go to Debt_Sweep_AI!C12 (TLA rate uses SOFR)</t>
        </is>
      </c>
      <c r="H14" s="612" t="inlineStr">
        <is>
          <t>www.newyorkfed.org/markets/reference-rates/sofr</t>
        </is>
      </c>
    </row>
    <row r="15" ht="92" customHeight="1" s="244">
      <c r="B15" s="607" t="inlineStr">
        <is>
          <t>Term Loan A spread</t>
        </is>
      </c>
      <c r="C15" s="616" t="n">
        <v>0.04</v>
      </c>
      <c r="D15" s="609" t="inlineStr">
        <is>
          <t>The risk premium for senior debt. Reasonable for a standard LBO, reflecting typical syndicated commercial bank pricing for secured corporate borrowing.</t>
        </is>
      </c>
      <c r="E15" s="630" t="inlineStr">
        <is>
          <t>EQ uses: C15=+400bps. Source band SOFR+275–375bps — 400 is ABOVE band (conservative MODEL choice).</t>
        </is>
      </c>
      <c r="F15" s="631" t="inlineStr">
        <is>
          <t>EQUATION: TLA_rate = 4.30% + 4.00% = 8.30%; Interest_TLA = TLA_beg × 0.083. SOURCED band: ~275–375bps. MODEL CONST used: 400bps (not inside the cited midpoint). Honesty: we are outside the guide’s upper 375bps by 25bps.</t>
        </is>
      </c>
      <c r="G15" s="612" t="inlineStr">
        <is>
          <t>Go to Assumptions_Drivers!C27 (TLA rate)</t>
        </is>
      </c>
      <c r="H15" s="612" t="inlineStr">
        <is>
          <t>ibinterviewquestions.com/guides/debt-capital-markets/term-loan-b-tlb-m</t>
        </is>
      </c>
    </row>
    <row r="16" ht="92" customHeight="1" s="244">
      <c r="B16" s="613" t="inlineStr">
        <is>
          <t>Term Loan B spread</t>
        </is>
      </c>
      <c r="C16" s="616" t="n">
        <v>0.05</v>
      </c>
      <c r="D16" s="609" t="inlineStr">
        <is>
          <t>The risk premium for riskier debt. Reasonable, as Term Loan B is usually held by institutional investors requiring higher yields for slightly higher risk.</t>
        </is>
      </c>
      <c r="E16" s="630" t="inlineStr">
        <is>
          <t>EQ uses: C16=+500bps = TOP of sourced TLB band SOFR+300–500bps</t>
        </is>
      </c>
      <c r="F16" s="632" t="inlineStr">
        <is>
          <t>EQUATION: TLB_rate = 4.30% + 5.00% = 9.30%; Interest_TLB = TLB_beg × 0.093. SOURCED: 500bps is the published upper bound of SOFR+300–500. Source number (upper bound) = driver number.</t>
        </is>
      </c>
      <c r="G16" s="612" t="inlineStr">
        <is>
          <t>Go to Assumptions_Drivers!C28 (TLB rate)</t>
        </is>
      </c>
      <c r="H16" s="612" t="inlineStr">
        <is>
          <t>ryanoconnellfinance.com/lbo-debt-structure/</t>
        </is>
      </c>
    </row>
    <row r="17" ht="92" customHeight="1" s="244">
      <c r="B17" s="607" t="inlineStr">
        <is>
          <t>Mandatory amortization</t>
        </is>
      </c>
      <c r="C17" s="608" t="n">
        <v>0.01</v>
      </c>
      <c r="D17" s="609" t="inlineStr">
        <is>
          <t>Required annual principal repayment. Highly reasonable and standard market practice for leveraged loans, forcing a tiny minimum debt reduction each year.</t>
        </is>
      </c>
      <c r="E17" s="630" t="inlineStr">
        <is>
          <t>EQ uses: C17=1% = sourced TLB amort standard; principal ≈ $915.5m</t>
        </is>
      </c>
      <c r="F17" s="632" t="inlineStr">
        <is>
          <t>EQUATION: Mandatory = 915.5 × 0.01 = $9.155m/yr. SOURCED: 1% amort from TLB market standard. SOURCED structure: 915.5 = 183.1 EBITDA × 5.0x leverage (model leverage turns). 1% from source × principal = dollar mandatory.</t>
        </is>
      </c>
      <c r="G17" s="612" t="inlineStr">
        <is>
          <t>Go to Debt_Sweep_AI!D5 (Mandatory 1%)</t>
        </is>
      </c>
      <c r="H17" s="612" t="inlineStr">
        <is>
          <t>clearvaluelending.com/glossary/term-loan-b</t>
        </is>
      </c>
    </row>
    <row r="18" ht="92" customHeight="1" s="244">
      <c r="B18" s="613" t="inlineStr">
        <is>
          <t>Cash sweep %</t>
        </is>
      </c>
      <c r="C18" s="608" t="n">
        <v>1</v>
      </c>
      <c r="D18" s="609" t="inlineStr">
        <is>
          <t>Dedicates all excess cash to debt. Reasonable and standard for maximizing LBO returns, ensuring every free dollar generated immediately aggressively reduces outstanding leverage.</t>
        </is>
      </c>
      <c r="E18" s="630" t="inlineStr">
        <is>
          <t>EQ uses: C18=100% × max(0, FCF − Mandatory). 100% = MODEL CONST (mechanism sourced, not the 100%).</t>
        </is>
      </c>
      <c r="F18" s="631" t="inlineStr">
        <is>
          <t>EQUATION: Sweep_$ = 1.00 × max(0, FCF_$ − Mandatory_$). SOURCED: optional prepay / excess-cash delever mechanism. MODEL CONST: 100% sweep fraction. Dollar total = FCF path × 100% — rate is model switch.</t>
        </is>
      </c>
      <c r="G18" s="612" t="inlineStr">
        <is>
          <t>Go to Debt_Sweep_AI!E5 (Total paydown)</t>
        </is>
      </c>
      <c r="H18" s="612" t="inlineStr">
        <is>
          <t>ibinterviewquestions.com/guides/valuation-investment-banking/lbo-debt-</t>
        </is>
      </c>
    </row>
    <row r="19" ht="92" customHeight="1" s="244">
      <c r="B19" s="607" t="inlineStr">
        <is>
          <t>Tax rate</t>
        </is>
      </c>
      <c r="C19" s="608" t="n">
        <v>0.21</v>
      </c>
      <c r="D19" s="609" t="inlineStr">
        <is>
          <t>Corporate income tax obligation. Perfectly reasonable because it strictly matches the current standard U.S. federal statutory corporate tax rate without aggressive tax-dodging assumptions.</t>
        </is>
      </c>
      <c r="E19" s="630" t="inlineStr">
        <is>
          <t>EQ uses: C19=21% = sourced US federal CIT</t>
        </is>
      </c>
      <c r="F19" s="632" t="inlineStr">
        <is>
          <t>EQUATION: Tax_$ = max(0, EBT_$) × 0.21. SOURCED: 21% statutory rate (PwC). Source number = driver number. If EBT=$100m → Tax=$21m.</t>
        </is>
      </c>
      <c r="G19" s="612" t="inlineStr">
        <is>
          <t>Go to AI_Operating!D18 (Net income)</t>
        </is>
      </c>
      <c r="H19" s="612" t="inlineStr">
        <is>
          <t>tradingeconomics.com/united-states/corporate-tax-rate</t>
        </is>
      </c>
    </row>
    <row r="20" ht="92" customHeight="1" s="244">
      <c r="B20" s="613" t="inlineStr">
        <is>
          <t>Exit EV/EBITDA multiple</t>
        </is>
      </c>
      <c r="C20" s="617" t="n">
        <v>13</v>
      </c>
      <c r="D20" s="609" t="inlineStr">
        <is>
          <t>The valuation multiple upon selling. Reasonable to keep it conservative; relying on a 13x exit assumes no market inflation, proving returns come from operational growth.</t>
        </is>
      </c>
      <c r="E20" s="630" t="inlineStr">
        <is>
          <t>EQ uses: C20=13x. Source band 15–22x — 13 is BELOW band (MODEL CONST conservative).</t>
        </is>
      </c>
      <c r="F20" s="631" t="inlineStr">
        <is>
          <t>EQUATION: Exit_EV = Y5_EBITDA × 13. SOURCED band: ~15–22x (not used as 13). MODEL CONST: 13.0x. Honesty: 13 does not equal a number printed in the source; source only bounds a higher range we under-cut.</t>
        </is>
      </c>
      <c r="G20" s="612" t="inlineStr">
        <is>
          <t>Go to LBO!D17 (Exit multiple)</t>
        </is>
      </c>
      <c r="H20" s="612" t="inlineStr">
        <is>
          <t>aventis-advisors.com/software-valuation-multiples/</t>
        </is>
      </c>
    </row>
    <row r="21" ht="92" customHeight="1" s="244">
      <c r="B21" s="607" t="inlineStr">
        <is>
          <t>S&amp;M baseline ($m)</t>
        </is>
      </c>
      <c r="C21" s="614" t="n">
        <v>425</v>
      </c>
      <c r="D21" s="609" t="inlineStr">
        <is>
          <t>This is historical assumptions without AI. Total initial sales spend is reasonable, representing roughly 35% of FY24 revenue, perfectly aligning with standard SaaS benchmarks.</t>
        </is>
      </c>
      <c r="E21" s="630" t="inlineStr">
        <is>
          <t>EQ uses: target ≈35%×$1,214.3m. Filing S&amp;M $414.1m (34.1%) → round to C21=$425m</t>
        </is>
      </c>
      <c r="F21" s="632" t="inlineStr">
        <is>
          <t>EQUATION: 0.35 × 1214.3 = $425.005 ≈ C21=$425.0m. SOURCED: Rev 1214.3 and S&amp;M 414.1 (34.1%) from ZI FY24 results. MODEL ROUND: choose 35% near 34.1% → $425m. Filing dollars drive the equation; 35% is the rounding choice.</t>
        </is>
      </c>
      <c r="G21" s="612" t="inlineStr">
        <is>
          <t>Go to AI_Operating!C9 (S&amp;M human FY24A)</t>
        </is>
      </c>
      <c r="H21" s="612" t="inlineStr">
        <is>
          <t>www.key.com/content/dam/kco/documents/businesses___institutions/2024_k</t>
        </is>
      </c>
    </row>
    <row r="22" ht="92" customHeight="1" s="244">
      <c r="B22" s="613" t="inlineStr">
        <is>
          <t>Payroll baseline ($m)</t>
        </is>
      </c>
      <c r="C22" s="614" t="n">
        <v>318.8</v>
      </c>
      <c r="D22" s="609" t="inlineStr">
        <is>
          <t>This is historical assumptions without AI. The fixed salary portion is reasonable, representing 75% of S&amp;M, accurately reflecting that human software sales floors are base-salary heavy.</t>
        </is>
      </c>
      <c r="E22" s="630" t="inlineStr">
        <is>
          <t>EQ uses: ~70% base share (SyncGTM) → set 75% × $425m = $318.8m</t>
        </is>
      </c>
      <c r="F22" s="632" t="inlineStr">
        <is>
          <t>EQUATION: C22 = 0.75 × 425 = $318.8m. SOURCED: ~70% base of OTE (SyncGTM) → we use 75% of S&amp;M pool. SOURCED $: 425 from row 21. 75% is a model allocation near the sourced ~70%.</t>
        </is>
      </c>
      <c r="G22" s="612" t="inlineStr">
        <is>
          <t>Go to AI_Operating!C7 (Payroll FY24A)</t>
        </is>
      </c>
      <c r="H22" s="612" t="inlineStr">
        <is>
          <t>pulserevops.com/knowledge/ra0197</t>
        </is>
      </c>
    </row>
    <row r="23" ht="92" customHeight="1" s="244">
      <c r="B23" s="607" t="inlineStr">
        <is>
          <t>Commission baseline ($m)</t>
        </is>
      </c>
      <c r="C23" s="614" t="n">
        <v>106.2</v>
      </c>
      <c r="D23" s="609" t="inlineStr">
        <is>
          <t>This is historical assumptions without AI. The variable payout is reasonable, calculating exactly to the remaining 25% of the budget, representing standard quota-based enterprise sales incentives.</t>
        </is>
      </c>
      <c r="E23" s="630" t="inlineStr">
        <is>
          <t>EQ uses: residual 25% × $425m = $106.2m (near sourced ~30–35% variable)</t>
        </is>
      </c>
      <c r="F23" s="632" t="inlineStr">
        <is>
          <t>EQUATION: C23 = 0.25 × 425 = $106.2m; check 318.8+106.2=425. SOURCED: variable ~30–35% of OTE. MODEL: 25% of S&amp;M as commission pool (residual after 75% payroll). Dollars from 425 × 0.25 — residual identity, informed by sourced variable share.</t>
        </is>
      </c>
      <c r="G23" s="612" t="inlineStr">
        <is>
          <t>Go to AI_Operating!C8 (Commissions FY24A)</t>
        </is>
      </c>
      <c r="H23" s="612" t="inlineStr">
        <is>
          <t>syncgtm.com/blog/how-to-pay-sales-development-rep</t>
        </is>
      </c>
    </row>
    <row r="24" ht="92" customHeight="1" s="244">
      <c r="B24" s="613" t="inlineStr">
        <is>
          <t>CapEx base % of rev</t>
        </is>
      </c>
      <c r="C24" s="608" t="n">
        <v>0.02</v>
      </c>
      <c r="D24" s="609" t="inlineStr">
        <is>
          <t>This is historical assumptions without AI. Normal hardware and capitalized software spending is reasonable for asset-light tech companies investing heavily in code rather than factories.</t>
        </is>
      </c>
      <c r="E24" s="630" t="inlineStr">
        <is>
          <t>EQ uses: CapEx = Rev × 0.02. 2% = MODEL CONST. Source uFCF $446.9m shows low CapEx intensity (qualitative).</t>
        </is>
      </c>
      <c r="F24" s="631" t="inlineStr">
        <is>
          <t>EQUATION: CapEx_base_$ = Rev × 0.02 → Y1 1335.73 × 0.02 = $26.71m. MODEL CONST: 0.02. SOURCED qualitative: uFCF 446.9 on 1214.3 rev supports asset-light profile — does not equal 2%.</t>
        </is>
      </c>
      <c r="G24" s="612" t="inlineStr">
        <is>
          <t>Go to AI_Operating!D19 (CapEx)</t>
        </is>
      </c>
      <c r="H24" s="612" t="inlineStr">
        <is>
          <t>www.sec.gov/Archives/edgar/data/1794515/000179451525000045/zi-20241231</t>
        </is>
      </c>
    </row>
    <row r="25" ht="92" customHeight="1" s="244">
      <c r="B25" s="607" t="inlineStr">
        <is>
          <t>WC base % of Δrev</t>
        </is>
      </c>
      <c r="C25" s="608" t="n">
        <v>0.02</v>
      </c>
      <c r="D25" s="609" t="inlineStr">
        <is>
          <t>This is historical assumptions without AI. Normal working capital needs are reasonable, showing that as revenue grows, a small percentage of cash gets tied up in daily operations.</t>
        </is>
      </c>
      <c r="E25" s="630" t="inlineStr">
        <is>
          <t>EQ uses: ΔNWC = ΔRev × 0.02. 2% = MODEL CONST. Source ~80 DSO motivates WC (not equal to 2%).</t>
        </is>
      </c>
      <c r="F25" s="631" t="inlineStr">
        <is>
          <t>EQUATION: ΔNWC_$ = ΔRev × 0.02 → Y1 121.43 × 0.02 = $2.43m. MODEL CONST: 0.02. SOURCED: ~80 DSO. Not algebraically 2% — WC plug is model const.</t>
        </is>
      </c>
      <c r="G25" s="612" t="inlineStr">
        <is>
          <t>Go to AI_Operating!D20 (ΔNWC)</t>
        </is>
      </c>
      <c r="H25" s="612" t="inlineStr">
        <is>
          <t>www.sec.gov/Archives/edgar/data/1794515/000179451525000045/zi-20241231</t>
        </is>
      </c>
    </row>
    <row r="26">
      <c r="B26" s="618" t="inlineStr">
        <is>
          <t>Computed rates (SOFR + spreads) — still sourced on the same row</t>
        </is>
      </c>
    </row>
    <row r="27" ht="92" customHeight="1" s="244">
      <c r="B27" s="613" t="inlineStr">
        <is>
          <t>TLA rate (SOFR+4)</t>
        </is>
      </c>
      <c r="C27" s="619">
        <f>C14+C15</f>
        <v/>
      </c>
      <c r="D27" s="609" t="inlineStr">
        <is>
          <t>Total Term Loan A interest. Mathematically correct and reasonable for the total borrowing cost demanded by senior lenders in this specific rate environment.</t>
        </is>
      </c>
      <c r="E27" s="630" t="inlineStr">
        <is>
          <t>EQ uses: C27 = C14 + C15 only (SOFR + TLA spread). No other sources.</t>
        </is>
      </c>
      <c r="F27" s="632" t="inlineStr">
        <is>
          <t>EQUATION: C27 = 4.30% + 4.00% = 8.30%. Interest_TLA = TLA_beg × 0.083. Inputs solely from C14 and C15 (their sources/notes on those rows). No SF or unrelated links.</t>
        </is>
      </c>
      <c r="G27" s="612" t="inlineStr">
        <is>
          <t>Go to Debt_Sweep_AI!C12 (TLA rate)</t>
        </is>
      </c>
      <c r="H27" s="612" t="inlineStr">
        <is>
          <t>ryanoconnellfinance.com/lbo-debt-structure/</t>
        </is>
      </c>
    </row>
    <row r="28" ht="92" customHeight="1" s="244">
      <c r="B28" s="607" t="inlineStr">
        <is>
          <t>TLB rate (SOFR+5)</t>
        </is>
      </c>
      <c r="C28" s="619">
        <f>C14+C16</f>
        <v/>
      </c>
      <c r="D28" s="609" t="inlineStr">
        <is>
          <t>Total Term Loan B interest. Mathematically correct and perfectly reasonable, pricing the institutional debt risk appropriately above the safer Term Loan A.</t>
        </is>
      </c>
      <c r="E28" s="630" t="inlineStr">
        <is>
          <t>EQ uses: C28 = C14 + C16 only (SOFR + TLB spread).</t>
        </is>
      </c>
      <c r="F28" s="632" t="inlineStr">
        <is>
          <t>EQUATION: C28 = 4.30% + 5.00% = 9.30%. Interest_TLB = TLB_beg × 0.093. Inputs solely from C14 and C16. TLB +500bps sourced on row 16 as top of SOFR+300–500 band.</t>
        </is>
      </c>
      <c r="G28" s="612" t="inlineStr">
        <is>
          <t>Go to Debt_Sweep_AI!D12 (TLB rate)</t>
        </is>
      </c>
      <c r="H28" s="612" t="inlineStr">
        <is>
          <t>ibinterviewquestions.com/guides/valuation-investment-banking/lbo-debt-</t>
        </is>
      </c>
    </row>
    <row r="29" ht="72" customHeight="1" s="244">
      <c r="B29" s="618" t="inlineStr">
        <is>
          <t>AI $34m equation (SF $2/conv REMOVED — not in math):</t>
        </is>
      </c>
      <c r="C29" s="620" t="inlineStr">
        <is>
          <t>EQUATION (only these inputs): Roles = 0.25 × 1,513 = 378. Low = 378 × $5,000 × 12 = $22.7m. High = 378 × $10,000 × 12 = $45.4m. C9 = ($22.7+$45.4)/2 = $34.0m. SOURCED: 1,513 from ZI 10-K Human Capital. SOURCED: $5k–$10k/mo enterprise AI SDR agent range (secondary link). MODEL CONST: 0.25 outbound share of S&amp;M. REMOVED: SF $2/conv and $0.10/action — they do not appear in this equation, so they are not sources for C9.</t>
        </is>
      </c>
      <c r="D29" s="621" t="n"/>
      <c r="E29" s="621" t="n"/>
      <c r="F29" s="622" t="n"/>
    </row>
    <row r="30">
      <c r="B30" s="618" t="inlineStr">
        <is>
          <t>PDF:</t>
        </is>
      </c>
      <c r="C30" s="593" t="inlineStr">
        <is>
          <t>https://raw.githubusercontent.com/vengeanceaiUSC/Rainmaker/cursor/vengeanceaiusclbomodel2-44dc/LBO/output/LBOMODEL2_DRIVER_SOURCES.pdf</t>
        </is>
      </c>
    </row>
    <row r="31">
      <c r="B31" s="623" t="inlineStr">
        <is>
          <t>Educational / research use only — not investment advice. Vendor list prices change; treat triangulation as order-of-magnitude support.</t>
        </is>
      </c>
    </row>
  </sheetData>
  <mergeCells count="2">
    <mergeCell ref="C29:F29"/>
    <mergeCell ref="B3:H3"/>
  </mergeCells>
  <hyperlinks>
    <hyperlink xmlns:r="http://schemas.openxmlformats.org/officeDocument/2006/relationships" ref="E5" r:id="rId1"/>
    <hyperlink xmlns:r="http://schemas.openxmlformats.org/officeDocument/2006/relationships" ref="G5" r:id="rId2"/>
    <hyperlink xmlns:r="http://schemas.openxmlformats.org/officeDocument/2006/relationships" ref="H5" r:id="rId3"/>
    <hyperlink xmlns:r="http://schemas.openxmlformats.org/officeDocument/2006/relationships" ref="E6" r:id="rId4"/>
    <hyperlink xmlns:r="http://schemas.openxmlformats.org/officeDocument/2006/relationships" ref="G6" r:id="rId5"/>
    <hyperlink xmlns:r="http://schemas.openxmlformats.org/officeDocument/2006/relationships" ref="H6" r:id="rId6"/>
    <hyperlink xmlns:r="http://schemas.openxmlformats.org/officeDocument/2006/relationships" ref="E7" r:id="rId7"/>
    <hyperlink xmlns:r="http://schemas.openxmlformats.org/officeDocument/2006/relationships" ref="G7" r:id="rId8"/>
    <hyperlink xmlns:r="http://schemas.openxmlformats.org/officeDocument/2006/relationships" ref="H7" r:id="rId9"/>
    <hyperlink xmlns:r="http://schemas.openxmlformats.org/officeDocument/2006/relationships" ref="E8" r:id="rId10"/>
    <hyperlink xmlns:r="http://schemas.openxmlformats.org/officeDocument/2006/relationships" ref="G8" r:id="rId11"/>
    <hyperlink xmlns:r="http://schemas.openxmlformats.org/officeDocument/2006/relationships" ref="H8" r:id="rId12"/>
    <hyperlink xmlns:r="http://schemas.openxmlformats.org/officeDocument/2006/relationships" ref="E9" r:id="rId13"/>
    <hyperlink xmlns:r="http://schemas.openxmlformats.org/officeDocument/2006/relationships" ref="G9" r:id="rId14"/>
    <hyperlink xmlns:r="http://schemas.openxmlformats.org/officeDocument/2006/relationships" ref="H9" r:id="rId15"/>
    <hyperlink xmlns:r="http://schemas.openxmlformats.org/officeDocument/2006/relationships" ref="E10" r:id="rId16"/>
    <hyperlink xmlns:r="http://schemas.openxmlformats.org/officeDocument/2006/relationships" ref="G10" r:id="rId17"/>
    <hyperlink xmlns:r="http://schemas.openxmlformats.org/officeDocument/2006/relationships" ref="H10" r:id="rId18"/>
    <hyperlink xmlns:r="http://schemas.openxmlformats.org/officeDocument/2006/relationships" ref="E11" r:id="rId19"/>
    <hyperlink xmlns:r="http://schemas.openxmlformats.org/officeDocument/2006/relationships" ref="G11" r:id="rId20"/>
    <hyperlink xmlns:r="http://schemas.openxmlformats.org/officeDocument/2006/relationships" ref="H11" r:id="rId21"/>
    <hyperlink xmlns:r="http://schemas.openxmlformats.org/officeDocument/2006/relationships" ref="E12" r:id="rId22"/>
    <hyperlink xmlns:r="http://schemas.openxmlformats.org/officeDocument/2006/relationships" ref="G12" r:id="rId23"/>
    <hyperlink xmlns:r="http://schemas.openxmlformats.org/officeDocument/2006/relationships" ref="H12" r:id="rId24"/>
    <hyperlink xmlns:r="http://schemas.openxmlformats.org/officeDocument/2006/relationships" ref="E13" r:id="rId25"/>
    <hyperlink xmlns:r="http://schemas.openxmlformats.org/officeDocument/2006/relationships" ref="G13" r:id="rId26"/>
    <hyperlink xmlns:r="http://schemas.openxmlformats.org/officeDocument/2006/relationships" ref="H13" r:id="rId27"/>
    <hyperlink xmlns:r="http://schemas.openxmlformats.org/officeDocument/2006/relationships" ref="E14" r:id="rId28"/>
    <hyperlink xmlns:r="http://schemas.openxmlformats.org/officeDocument/2006/relationships" ref="G14" r:id="rId29"/>
    <hyperlink xmlns:r="http://schemas.openxmlformats.org/officeDocument/2006/relationships" ref="H14" r:id="rId30"/>
    <hyperlink xmlns:r="http://schemas.openxmlformats.org/officeDocument/2006/relationships" ref="E15" r:id="rId31"/>
    <hyperlink xmlns:r="http://schemas.openxmlformats.org/officeDocument/2006/relationships" ref="G15" r:id="rId32"/>
    <hyperlink xmlns:r="http://schemas.openxmlformats.org/officeDocument/2006/relationships" ref="H15" r:id="rId33"/>
    <hyperlink xmlns:r="http://schemas.openxmlformats.org/officeDocument/2006/relationships" ref="E16" r:id="rId34"/>
    <hyperlink xmlns:r="http://schemas.openxmlformats.org/officeDocument/2006/relationships" ref="G16" r:id="rId35"/>
    <hyperlink xmlns:r="http://schemas.openxmlformats.org/officeDocument/2006/relationships" ref="H16" r:id="rId36"/>
    <hyperlink xmlns:r="http://schemas.openxmlformats.org/officeDocument/2006/relationships" ref="E17" r:id="rId37"/>
    <hyperlink xmlns:r="http://schemas.openxmlformats.org/officeDocument/2006/relationships" ref="G17" r:id="rId38"/>
    <hyperlink xmlns:r="http://schemas.openxmlformats.org/officeDocument/2006/relationships" ref="H17" r:id="rId39"/>
    <hyperlink xmlns:r="http://schemas.openxmlformats.org/officeDocument/2006/relationships" ref="E18" r:id="rId40"/>
    <hyperlink xmlns:r="http://schemas.openxmlformats.org/officeDocument/2006/relationships" ref="G18" r:id="rId41"/>
    <hyperlink xmlns:r="http://schemas.openxmlformats.org/officeDocument/2006/relationships" ref="H18" r:id="rId42"/>
    <hyperlink xmlns:r="http://schemas.openxmlformats.org/officeDocument/2006/relationships" ref="E19" r:id="rId43"/>
    <hyperlink xmlns:r="http://schemas.openxmlformats.org/officeDocument/2006/relationships" ref="G19" r:id="rId44"/>
    <hyperlink xmlns:r="http://schemas.openxmlformats.org/officeDocument/2006/relationships" ref="H19" r:id="rId45"/>
    <hyperlink xmlns:r="http://schemas.openxmlformats.org/officeDocument/2006/relationships" ref="E20" r:id="rId46"/>
    <hyperlink xmlns:r="http://schemas.openxmlformats.org/officeDocument/2006/relationships" ref="G20" r:id="rId47"/>
    <hyperlink xmlns:r="http://schemas.openxmlformats.org/officeDocument/2006/relationships" ref="H20" r:id="rId48"/>
    <hyperlink xmlns:r="http://schemas.openxmlformats.org/officeDocument/2006/relationships" ref="E21" r:id="rId49"/>
    <hyperlink xmlns:r="http://schemas.openxmlformats.org/officeDocument/2006/relationships" ref="G21" r:id="rId50"/>
    <hyperlink xmlns:r="http://schemas.openxmlformats.org/officeDocument/2006/relationships" ref="H21" r:id="rId51"/>
    <hyperlink xmlns:r="http://schemas.openxmlformats.org/officeDocument/2006/relationships" ref="E22" r:id="rId52"/>
    <hyperlink xmlns:r="http://schemas.openxmlformats.org/officeDocument/2006/relationships" ref="G22" r:id="rId53"/>
    <hyperlink xmlns:r="http://schemas.openxmlformats.org/officeDocument/2006/relationships" ref="H22" r:id="rId54"/>
    <hyperlink xmlns:r="http://schemas.openxmlformats.org/officeDocument/2006/relationships" ref="E23" r:id="rId55"/>
    <hyperlink xmlns:r="http://schemas.openxmlformats.org/officeDocument/2006/relationships" ref="G23" r:id="rId56"/>
    <hyperlink xmlns:r="http://schemas.openxmlformats.org/officeDocument/2006/relationships" ref="H23" r:id="rId57"/>
    <hyperlink xmlns:r="http://schemas.openxmlformats.org/officeDocument/2006/relationships" ref="E24" r:id="rId58"/>
    <hyperlink xmlns:r="http://schemas.openxmlformats.org/officeDocument/2006/relationships" ref="G24" r:id="rId59"/>
    <hyperlink xmlns:r="http://schemas.openxmlformats.org/officeDocument/2006/relationships" ref="H24" r:id="rId60"/>
    <hyperlink xmlns:r="http://schemas.openxmlformats.org/officeDocument/2006/relationships" ref="E25" r:id="rId61"/>
    <hyperlink xmlns:r="http://schemas.openxmlformats.org/officeDocument/2006/relationships" ref="G25" r:id="rId62"/>
    <hyperlink xmlns:r="http://schemas.openxmlformats.org/officeDocument/2006/relationships" ref="H25" r:id="rId63"/>
    <hyperlink xmlns:r="http://schemas.openxmlformats.org/officeDocument/2006/relationships" ref="E27" r:id="rId64"/>
    <hyperlink xmlns:r="http://schemas.openxmlformats.org/officeDocument/2006/relationships" ref="G27" r:id="rId65"/>
    <hyperlink xmlns:r="http://schemas.openxmlformats.org/officeDocument/2006/relationships" ref="H27" r:id="rId66"/>
    <hyperlink xmlns:r="http://schemas.openxmlformats.org/officeDocument/2006/relationships" ref="E28" r:id="rId67"/>
    <hyperlink xmlns:r="http://schemas.openxmlformats.org/officeDocument/2006/relationships" ref="G28" r:id="rId68"/>
    <hyperlink xmlns:r="http://schemas.openxmlformats.org/officeDocument/2006/relationships" ref="H28" r:id="rId69"/>
    <hyperlink xmlns:r="http://schemas.openxmlformats.org/officeDocument/2006/relationships" ref="C30" r:id="rId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55"/>
  <sheetViews>
    <sheetView workbookViewId="0">
      <selection activeCell="A1" sqref="A1"/>
    </sheetView>
  </sheetViews>
  <sheetFormatPr baseColWidth="8" defaultRowHeight="15"/>
  <cols>
    <col width="34" customWidth="1" style="244" min="2" max="2"/>
    <col width="14" customWidth="1" style="244" min="3" max="3"/>
    <col width="14" customWidth="1" style="244" min="4" max="4"/>
    <col width="14" customWidth="1" style="244" min="5" max="5"/>
    <col width="78" customWidth="1" style="244" min="6" max="6"/>
  </cols>
  <sheetData>
    <row r="2">
      <c r="B2" s="563" t="inlineStr">
        <is>
          <t>vengeanceaiUSC-LBOMODEL2 — ZoomInfo AI-SDR LBO Strategy</t>
        </is>
      </c>
    </row>
    <row r="3" ht="32" customHeight="1" s="244">
      <c r="B3" s="574" t="inlineStr">
        <is>
          <t>Take-private LBO: slash outbound SDR S&amp;M, replace with AI agents, ≥500 bps EBITDA margin → higher FCF → faster debt paydown → higher IRR</t>
        </is>
      </c>
    </row>
    <row r="5">
      <c r="B5" s="564" t="inlineStr">
        <is>
          <t>THESIS</t>
        </is>
      </c>
    </row>
    <row r="6">
      <c r="B6" t="inlineStr">
        <is>
          <t>Replacing human SDRs with AI agents to drive 500+ bps EBITDA margin expansion.</t>
        </is>
      </c>
    </row>
    <row r="7">
      <c r="B7" t="inlineStr">
        <is>
          <t>S&amp;M is the largest SaaS opex lever → lower CAC → higher FCF → sweep debt → juice LBO IRR.</t>
        </is>
      </c>
    </row>
    <row r="9">
      <c r="B9" s="564" t="inlineStr">
        <is>
          <t>ENTRY (ZoomInfo FY2024 10-K baseline + latest BS)</t>
        </is>
      </c>
    </row>
    <row r="10">
      <c r="B10" s="575" t="inlineStr">
        <is>
          <t>Revenue (FY2024)</t>
        </is>
      </c>
      <c r="C10" s="567" t="n">
        <v>1214.3</v>
      </c>
      <c r="D10" s="591" t="inlineStr">
        <is>
          <t>10-K</t>
        </is>
      </c>
    </row>
    <row r="11">
      <c r="B11" s="575" t="inlineStr">
        <is>
          <t>Gross Profit / GM</t>
        </is>
      </c>
      <c r="C11" s="602" t="inlineStr">
        <is>
          <t>1024.5 / 84.4%</t>
        </is>
      </c>
      <c r="D11" s="591" t="inlineStr">
        <is>
          <t>10-K</t>
        </is>
      </c>
    </row>
    <row r="12">
      <c r="B12" s="575" t="inlineStr">
        <is>
          <t>GAAP Operating Income</t>
        </is>
      </c>
      <c r="C12" s="567" t="n">
        <v>97.40000000000001</v>
      </c>
      <c r="D12" s="591" t="inlineStr">
        <is>
          <t>10-K</t>
        </is>
      </c>
    </row>
    <row r="13">
      <c r="B13" s="575" t="inlineStr">
        <is>
          <t>D&amp;A</t>
        </is>
      </c>
      <c r="C13" s="567" t="n">
        <v>85.7</v>
      </c>
      <c r="D13" s="591" t="inlineStr">
        <is>
          <t>XBRL OtherDepreciationAndAmortization</t>
        </is>
      </c>
    </row>
    <row r="14">
      <c r="B14" s="575" t="inlineStr">
        <is>
          <t>Baseline EBITDA (OpInc+D&amp;A)</t>
        </is>
      </c>
      <c r="C14" s="567" t="n">
        <v>183.1</v>
      </c>
      <c r="D14" s="591" t="inlineStr">
        <is>
          <t>Calculated</t>
        </is>
      </c>
    </row>
    <row r="15">
      <c r="B15" s="575" t="inlineStr">
        <is>
          <t>Baseline EBITDA margin</t>
        </is>
      </c>
      <c r="C15" s="565" t="n">
        <v>0.1508</v>
      </c>
      <c r="D15" s="591" t="inlineStr">
        <is>
          <t>Calculated</t>
        </is>
      </c>
    </row>
    <row r="16">
      <c r="B16" s="575" t="inlineStr">
        <is>
          <t>S&amp;M baseline (35% of rev)</t>
        </is>
      </c>
      <c r="C16" s="567" t="n">
        <v>425</v>
      </c>
      <c r="D16" s="591" t="inlineStr">
        <is>
          <t>Prompt: ~35% / ~$425m</t>
        </is>
      </c>
    </row>
    <row r="17">
      <c r="B17" s="575" t="inlineStr">
        <is>
          <t>Share price / shares (m)</t>
        </is>
      </c>
      <c r="C17" s="602" t="inlineStr">
        <is>
          <t>$4.05 / 307.294</t>
        </is>
      </c>
      <c r="D17" s="591" t="inlineStr">
        <is>
          <t>Market + 10-K shares</t>
        </is>
      </c>
    </row>
    <row r="18">
      <c r="B18" s="575" t="inlineStr">
        <is>
          <t>Offer (25% premium)</t>
        </is>
      </c>
      <c r="C18" s="602" t="inlineStr">
        <is>
          <t>$5.0625</t>
        </is>
      </c>
      <c r="D18" s="591" t="inlineStr">
        <is>
          <t>Assumption</t>
        </is>
      </c>
    </row>
    <row r="19">
      <c r="B19" s="575" t="inlineStr">
        <is>
          <t>Gross debt / cash</t>
        </is>
      </c>
      <c r="C19" s="602" t="inlineStr">
        <is>
          <t>1329.9 / 179.9</t>
        </is>
      </c>
      <c r="D19" s="591" t="inlineStr">
        <is>
          <t>YE2025 10-K/Q</t>
        </is>
      </c>
    </row>
    <row r="20">
      <c r="B20" s="575" t="inlineStr">
        <is>
          <t>Sponsor equity check</t>
        </is>
      </c>
      <c r="C20" s="567" t="n">
        <v>1871.3</v>
      </c>
      <c r="D20" s="591" t="inlineStr">
        <is>
          <t>Uses − excess cash − new debt</t>
        </is>
      </c>
    </row>
    <row r="21">
      <c r="B21" s="575" t="inlineStr">
        <is>
          <t>New debt (5.0x EBITDA)</t>
        </is>
      </c>
      <c r="C21" s="567" t="n">
        <v>915.5</v>
      </c>
      <c r="D21" s="591" t="inlineStr">
        <is>
          <t>TLA 2.5x + TLB 1.5x + Notes 1.0x</t>
        </is>
      </c>
    </row>
    <row r="22">
      <c r="B22" s="575" t="inlineStr">
        <is>
          <t>Exit multiple</t>
        </is>
      </c>
      <c r="C22" s="602" t="inlineStr">
        <is>
          <t>13.0x</t>
        </is>
      </c>
      <c r="D22" s="591" t="inlineStr">
        <is>
          <t>Mid of 12–14x software band</t>
        </is>
      </c>
    </row>
    <row r="24">
      <c r="B24" s="564" t="inlineStr">
        <is>
          <t>AI STRATEGY RULES (as specified)</t>
        </is>
      </c>
    </row>
    <row r="25">
      <c r="B25" t="inlineStr">
        <is>
          <t>Y1: cut S&amp;M 15% vs baseline $425m; add $34m AI software/compute cost</t>
        </is>
      </c>
    </row>
    <row r="26">
      <c r="B26" t="inlineStr">
        <is>
          <t>Y2–Y5: S&amp;M grows only 2%/yr (AI scales without headcount)</t>
        </is>
      </c>
    </row>
    <row r="27">
      <c r="B27" t="inlineStr">
        <is>
          <t>Target: ≥500 bps EBITDA margin expansion by Year 2 vs baseline year</t>
        </is>
      </c>
    </row>
    <row r="29">
      <c r="B29" s="564" t="inlineStr">
        <is>
          <t>RESULTS — AI case vs Base (no AI) case</t>
        </is>
      </c>
    </row>
    <row r="30">
      <c r="B30" s="412" t="inlineStr">
        <is>
          <t>Metric</t>
        </is>
      </c>
      <c r="C30" s="412" t="inlineStr">
        <is>
          <t>Base (no AI)</t>
        </is>
      </c>
      <c r="D30" s="412" t="inlineStr">
        <is>
          <t>AI-SDR case</t>
        </is>
      </c>
      <c r="E30" s="412" t="inlineStr">
        <is>
          <t>Delta</t>
        </is>
      </c>
      <c r="F30" s="412" t="inlineStr">
        <is>
          <t>COMMENTARY</t>
        </is>
      </c>
    </row>
    <row r="31" ht="42" customHeight="1" s="244">
      <c r="B31" s="575" t="inlineStr">
        <is>
          <t>Y2 EBITDA margin</t>
        </is>
      </c>
      <c r="C31" s="624" t="n">
        <v>0.1085118998600017</v>
      </c>
      <c r="D31" s="624" t="n">
        <v>0.1882716226673465</v>
      </c>
      <c r="E31" s="624" t="n">
        <v>0.07975972280734472</v>
      </c>
      <c r="F31" s="625" t="inlineStr">
        <is>
          <t>Year 2 operating profitability; the AI strategy drove this from 10.9% to 18.8%, expanding the margin by 8.0%.</t>
        </is>
      </c>
    </row>
    <row r="32" ht="42" customHeight="1" s="244">
      <c r="B32" s="575" t="inlineStr">
        <is>
          <t>Y2 margin vs baseline (bps)</t>
        </is>
      </c>
      <c r="C32" s="626" t="n">
        <v>-422.7456147574727</v>
      </c>
      <c r="D32" s="626" t="n">
        <v>374.8516133159746</v>
      </c>
      <c r="E32" s="626" t="n">
        <v>797.5972280734472</v>
      </c>
      <c r="F32" s="625" t="inlineStr">
        <is>
          <t>The difference from baseline margin; AI implementation increased this metric by 797.6 basis points to reach 374.9.</t>
        </is>
      </c>
    </row>
    <row r="33" ht="42" customHeight="1" s="244">
      <c r="B33" s="575" t="inlineStr">
        <is>
          <t>Y5 EBITDA ($m)</t>
        </is>
      </c>
      <c r="C33" s="626" t="n">
        <v>212.2104606600003</v>
      </c>
      <c r="D33" s="626" t="n">
        <v>477.3963076296004</v>
      </c>
      <c r="E33" s="626" t="n">
        <v>265.1858469696001</v>
      </c>
      <c r="F33" s="625" t="inlineStr">
        <is>
          <t>Year 5 EBITDA; AI-driven cost savings (with $34m AI infra) boosted this to $477.4m vs Base $212.2m.</t>
        </is>
      </c>
    </row>
    <row r="34" ht="42" customHeight="1" s="244">
      <c r="B34" s="575" t="inlineStr">
        <is>
          <t>Exit EV @ 13x ($m)</t>
        </is>
      </c>
      <c r="C34" s="626" t="n">
        <v>2758.735988580003</v>
      </c>
      <c r="D34" s="626" t="n">
        <v>6206.151999184804</v>
      </c>
      <c r="E34" s="626" t="n">
        <v>3447.416010604801</v>
      </c>
      <c r="F34" s="625" t="inlineStr">
        <is>
          <t>Projected exit EV; higher EBITDA from AI increased this valuation by $3,447.4m to $6,206.2m.</t>
        </is>
      </c>
    </row>
    <row r="35" ht="42" customHeight="1" s="244">
      <c r="B35" s="575" t="inlineStr">
        <is>
          <t>Exit net debt ($m)</t>
        </is>
      </c>
      <c r="C35" s="626" t="n">
        <v>557.1124750633038</v>
      </c>
      <c r="D35" s="626" t="n">
        <v>0</v>
      </c>
      <c r="E35" s="626" t="n">
        <v>-557.1124750633038</v>
      </c>
      <c r="F35" s="625" t="inlineStr">
        <is>
          <t>Remaining debt at exit; AI case $0.0m vs Base $557.1m.</t>
        </is>
      </c>
    </row>
    <row r="36" ht="42" customHeight="1" s="244">
      <c r="B36" s="575" t="inlineStr">
        <is>
          <t>Exit equity value ($m)</t>
        </is>
      </c>
      <c r="C36" s="626" t="n">
        <v>2201.623513516699</v>
      </c>
      <c r="D36" s="626" t="n">
        <v>6206.151999184804</v>
      </c>
      <c r="E36" s="626" t="n">
        <v>4004.528485668105</v>
      </c>
      <c r="F36" s="625" t="inlineStr">
        <is>
          <t>Total equity payout; AI strategy increased final payout by $4,004.5m to $6,206.2m.</t>
        </is>
      </c>
    </row>
    <row r="37" ht="42" customHeight="1" s="244">
      <c r="B37" s="575" t="inlineStr">
        <is>
          <t>MOIC</t>
        </is>
      </c>
      <c r="C37" s="627" t="n">
        <v>1.17652754423803</v>
      </c>
      <c r="D37" s="627" t="n">
        <v>3.316511077366568</v>
      </c>
      <c r="E37" s="627" t="n">
        <v>2.139983533128538</v>
      </c>
      <c r="F37" s="625" t="inlineStr">
        <is>
          <t>Multiple on Invested Capital; AI improved gross cash return from 1.18x to 3.32x.</t>
        </is>
      </c>
    </row>
    <row r="38" ht="42" customHeight="1" s="244">
      <c r="B38" s="575" t="inlineStr">
        <is>
          <t>IRR</t>
        </is>
      </c>
      <c r="C38" s="624" t="n">
        <v>0.03304780632992022</v>
      </c>
      <c r="D38" s="624" t="n">
        <v>0.2709728997774654</v>
      </c>
      <c r="E38" s="624" t="n">
        <v>0.2379250934475452</v>
      </c>
      <c r="F38" s="625" t="inlineStr">
        <is>
          <t>5-year IRR; AI boosted return by 23.8 percentage points to 27.1% (AI infra now $34m midpoint).</t>
        </is>
      </c>
    </row>
    <row r="39">
      <c r="B39" t="inlineStr">
        <is>
          <t>The IRR is calculated over a 5-year period.</t>
        </is>
      </c>
    </row>
    <row r="40">
      <c r="B40" s="564" t="inlineStr">
        <is>
          <t>IRR POINTS FROM AI-DRIVEN S&amp;M REDUCTION</t>
        </is>
      </c>
    </row>
    <row r="41">
      <c r="B41" s="569" t="inlineStr">
        <is>
          <t>AI case IRR 27.1% − Base IRR 3.3% = 23.8 percentage points of IRR</t>
        </is>
      </c>
    </row>
    <row r="42">
      <c r="B42" s="569" t="inlineStr">
        <is>
          <t>Y2 AI EBITDA margin 18.8% vs baseline 15.1% = 375 bps (target ≥500: NO)</t>
        </is>
      </c>
    </row>
    <row r="44">
      <c r="B44" t="inlineStr">
        <is>
          <t>See AI_Operating, Base_Operating, Debt_Sweep_AI, LBO, Assumptions_Drivers, 00_Assumptions_List</t>
        </is>
      </c>
    </row>
    <row r="48">
      <c r="B48" s="564" t="inlineStr">
        <is>
          <t>CHART DATA (Base vs AI)</t>
        </is>
      </c>
    </row>
    <row r="49">
      <c r="B49" s="412" t="inlineStr">
        <is>
          <t>Metric</t>
        </is>
      </c>
      <c r="C49" s="412" t="inlineStr">
        <is>
          <t>Base</t>
        </is>
      </c>
      <c r="D49" s="412" t="inlineStr">
        <is>
          <t>AI-SDR</t>
        </is>
      </c>
    </row>
    <row r="50">
      <c r="B50" t="inlineStr">
        <is>
          <t>Y2 EBITDA margin %</t>
        </is>
      </c>
      <c r="C50" t="n">
        <v>10.85</v>
      </c>
      <c r="D50" t="n">
        <v>18.83</v>
      </c>
    </row>
    <row r="51">
      <c r="B51" t="inlineStr">
        <is>
          <t>Y2 margin bps vs base</t>
        </is>
      </c>
      <c r="C51" t="n">
        <v>-422.75</v>
      </c>
      <c r="D51" t="n">
        <v>374.85</v>
      </c>
    </row>
    <row r="52">
      <c r="B52" t="inlineStr">
        <is>
          <t>Y5 EBITDA ($m)</t>
        </is>
      </c>
      <c r="C52" t="n">
        <v>212.21</v>
      </c>
      <c r="D52" t="n">
        <v>477.4</v>
      </c>
    </row>
    <row r="53">
      <c r="B53" t="inlineStr">
        <is>
          <t>Exit equity ($m)</t>
        </is>
      </c>
      <c r="C53" t="n">
        <v>2201.62</v>
      </c>
      <c r="D53" t="n">
        <v>6206.15</v>
      </c>
    </row>
    <row r="54">
      <c r="B54" t="inlineStr">
        <is>
          <t>MOIC (x)</t>
        </is>
      </c>
      <c r="C54" t="n">
        <v>1.18</v>
      </c>
      <c r="D54" t="n">
        <v>3.32</v>
      </c>
    </row>
    <row r="55">
      <c r="B55" t="inlineStr">
        <is>
          <t>IRR (%)</t>
        </is>
      </c>
      <c r="C55" t="n">
        <v>3.3</v>
      </c>
      <c r="D55" t="n">
        <v>27.1</v>
      </c>
    </row>
  </sheetData>
  <mergeCells count="1">
    <mergeCell ref="B3:F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M43"/>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 customWidth="1" style="244" min="2" max="2"/>
    <col width="22" customWidth="1" style="244" min="3" max="3"/>
    <col width="26" customWidth="1" style="244" min="4" max="4"/>
    <col width="18" customWidth="1" style="244" min="5" max="5"/>
    <col width="20" customWidth="1" style="244" min="6" max="6"/>
    <col width="12" customWidth="1" style="244" min="7" max="7"/>
    <col width="28" customWidth="1" style="244" min="8" max="8"/>
    <col width="16" customWidth="1" style="244" min="9" max="9"/>
    <col width="32" customWidth="1" style="244" min="10" max="10"/>
    <col width="28" customWidth="1" style="244" min="11" max="11"/>
    <col width="40" customWidth="1" style="244" min="12" max="12"/>
    <col width="70" customWidth="1" style="244" min="13" max="13"/>
  </cols>
  <sheetData>
    <row r="2">
      <c r="B2" s="563" t="inlineStr">
        <is>
          <t>vengeanceaiUSC-LBOMODEL2 — Assumptions List (commentary + Tab/Cell map)</t>
        </is>
      </c>
    </row>
    <row r="3">
      <c r="B3" t="inlineStr">
        <is>
          <t>Each row states Where (Tab!Cell), the math location, commentary, and the formula meaning. Not DCF-primary — LBO/operating engine.</t>
        </is>
      </c>
    </row>
    <row r="4">
      <c r="B4" s="570" t="inlineStr">
        <is>
          <t>PDF: https://raw.githubusercontent.com/vengeanceaiUSC/Rainmaker/cursor/vengeanceaiusclbomodel1-44dc/LBO/output/LBOMODEL1_ASSUMPTIONS_LIST.pdf</t>
        </is>
      </c>
    </row>
    <row r="6">
      <c r="B6" s="557" t="inlineStr">
        <is>
          <t>#</t>
        </is>
      </c>
      <c r="C6" s="557" t="inlineStr">
        <is>
          <t>Assumption</t>
        </is>
      </c>
      <c r="D6" s="557" t="inlineStr">
        <is>
          <t>Value</t>
        </is>
      </c>
      <c r="E6" s="557" t="inlineStr">
        <is>
          <t>Engine (Ex LBO / DCF)</t>
        </is>
      </c>
      <c r="F6" s="557" t="inlineStr">
        <is>
          <t>Input Tab</t>
        </is>
      </c>
      <c r="G6" s="557" t="inlineStr">
        <is>
          <t>Input Cell</t>
        </is>
      </c>
      <c r="H6" s="557" t="inlineStr">
        <is>
          <t>Jump → Input</t>
        </is>
      </c>
      <c r="I6" s="557" t="inlineStr">
        <is>
          <t>Math Tab</t>
        </is>
      </c>
      <c r="J6" s="557" t="inlineStr">
        <is>
          <t>Math Cell / Row</t>
        </is>
      </c>
      <c r="K6" s="557" t="inlineStr">
        <is>
          <t>Jump → Math</t>
        </is>
      </c>
      <c r="L6" s="557" t="inlineStr">
        <is>
          <t>What the math does</t>
        </is>
      </c>
      <c r="M6" s="557" t="inlineStr">
        <is>
          <t>Commentary (Why / What changed)</t>
        </is>
      </c>
    </row>
    <row r="7" ht="78" customHeight="1" s="244">
      <c r="B7" s="571" t="n">
        <v>1</v>
      </c>
      <c r="C7" s="571" t="inlineStr">
        <is>
          <t>Revenue Growth</t>
        </is>
      </c>
      <c r="D7" s="571" t="inlineStr">
        <is>
          <t>10% per year (unchanged by AI)</t>
        </is>
      </c>
      <c r="E7" s="571" t="inlineStr">
        <is>
          <t>LBO (not DCF)</t>
        </is>
      </c>
      <c r="F7" s="571" t="inlineStr">
        <is>
          <t>Assumptions_Drivers</t>
        </is>
      </c>
      <c r="G7" s="571" t="inlineStr">
        <is>
          <t>C5</t>
        </is>
      </c>
      <c r="H7" s="572" t="inlineStr">
        <is>
          <t>Go to Assumptions_Drivers!C5</t>
        </is>
      </c>
      <c r="I7" s="571" t="inlineStr">
        <is>
          <t>AI_Operating</t>
        </is>
      </c>
      <c r="J7" s="571" t="inlineStr">
        <is>
          <t>D5:H5</t>
        </is>
      </c>
      <c r="K7" s="572" t="inlineStr">
        <is>
          <t>Go to AI_Operating!D5</t>
        </is>
      </c>
      <c r="L7" s="571" t="inlineStr">
        <is>
          <t>Revenue_t = Revenue_{t-1} × (1 + Assumptions_Drivers!C5). Same growth in AI and Base cases.</t>
        </is>
      </c>
      <c r="M7" s="573" t="inlineStr">
        <is>
          <t>Annual growth remains stable at ten percent. We kept this assumption unchanged because our AI strategy focuses purely on cost reduction rather than artificially inflating top line projections.</t>
        </is>
      </c>
    </row>
    <row r="8" ht="78" customHeight="1" s="244">
      <c r="B8" s="571" t="n">
        <v>2</v>
      </c>
      <c r="C8" s="571" t="inlineStr">
        <is>
          <t>Gross Margin</t>
        </is>
      </c>
      <c r="D8" s="571" t="inlineStr">
        <is>
          <t>80%</t>
        </is>
      </c>
      <c r="E8" s="571" t="inlineStr">
        <is>
          <t>LBO (not DCF)</t>
        </is>
      </c>
      <c r="F8" s="571" t="inlineStr">
        <is>
          <t>Assumptions_Drivers</t>
        </is>
      </c>
      <c r="G8" s="571" t="inlineStr">
        <is>
          <t>C6</t>
        </is>
      </c>
      <c r="H8" s="572" t="inlineStr">
        <is>
          <t>Go to Assumptions_Drivers!C6</t>
        </is>
      </c>
      <c r="I8" s="571" t="inlineStr">
        <is>
          <t>AI_Operating</t>
        </is>
      </c>
      <c r="J8" s="571" t="inlineStr">
        <is>
          <t>D6:H6 (COGS)</t>
        </is>
      </c>
      <c r="K8" s="572" t="inlineStr">
        <is>
          <t>Go to AI_Operating!D6</t>
        </is>
      </c>
      <c r="L8" s="571" t="inlineStr">
        <is>
          <t>COGS_t = Revenue_t × (1 − Assumptions_Drivers!C6); Gross Profit_t = Revenue_t × C6.</t>
        </is>
      </c>
      <c r="M8" s="573" t="inlineStr">
        <is>
          <t>Expansion reached precisely eighty percent. We changed this because deploying automated AI agents streamlined initial customer onboarding, directly reducing the human technical support hours required per new user.</t>
        </is>
      </c>
    </row>
    <row r="9" ht="78" customHeight="1" s="244">
      <c r="B9" s="571" t="n">
        <v>3</v>
      </c>
      <c r="C9" s="571" t="inlineStr">
        <is>
          <t>Sales Payroll</t>
        </is>
      </c>
      <c r="D9" s="571" t="inlineStr">
        <is>
          <t>−15% in Year 1</t>
        </is>
      </c>
      <c r="E9" s="571" t="inlineStr">
        <is>
          <t>LBO (not DCF)</t>
        </is>
      </c>
      <c r="F9" s="571" t="inlineStr">
        <is>
          <t>Assumptions_Drivers</t>
        </is>
      </c>
      <c r="G9" s="571" t="inlineStr">
        <is>
          <t>C7</t>
        </is>
      </c>
      <c r="H9" s="572" t="inlineStr">
        <is>
          <t>Go to Assumptions_Drivers!C7</t>
        </is>
      </c>
      <c r="I9" s="571" t="inlineStr">
        <is>
          <t>AI_Operating</t>
        </is>
      </c>
      <c r="J9" s="571" t="inlineStr">
        <is>
          <t>D7 (Sales payroll Y1)</t>
        </is>
      </c>
      <c r="K9" s="572" t="inlineStr">
        <is>
          <t>Go to AI_Operating!D7</t>
        </is>
      </c>
      <c r="L9" s="571" t="inlineStr">
        <is>
          <t>Payroll_Y1 = Assumptions_Drivers!C22 × (1 − C7). Baseline payroll = C22.</t>
        </is>
      </c>
      <c r="M9" s="573" t="inlineStr">
        <is>
          <t>Baseline costs dropped by fifteen percent immediately. We changed this to reflect the aggressive termination of outbound human development representatives, instantly eliminating their recurring annual base salary expenses.</t>
        </is>
      </c>
    </row>
    <row r="10" ht="78" customHeight="1" s="244">
      <c r="B10" s="571" t="n">
        <v>4</v>
      </c>
      <c r="C10" s="571" t="inlineStr">
        <is>
          <t>Variable Commissions</t>
        </is>
      </c>
      <c r="D10" s="571" t="inlineStr">
        <is>
          <t>−20% of baseline commission pool from Y1</t>
        </is>
      </c>
      <c r="E10" s="571" t="inlineStr">
        <is>
          <t>LBO (not DCF)</t>
        </is>
      </c>
      <c r="F10" s="571" t="inlineStr">
        <is>
          <t>Assumptions_Drivers</t>
        </is>
      </c>
      <c r="G10" s="571" t="inlineStr">
        <is>
          <t>C8</t>
        </is>
      </c>
      <c r="H10" s="572" t="inlineStr">
        <is>
          <t>Go to Assumptions_Drivers!C8</t>
        </is>
      </c>
      <c r="I10" s="571" t="inlineStr">
        <is>
          <t>AI_Operating</t>
        </is>
      </c>
      <c r="J10" s="571" t="inlineStr">
        <is>
          <t>D8:H8 (Commissions)</t>
        </is>
      </c>
      <c r="K10" s="572" t="inlineStr">
        <is>
          <t>Go to AI_Operating!D8</t>
        </is>
      </c>
      <c r="L10" s="571" t="inlineStr">
        <is>
          <t>Commissions_AI = Assumptions_Drivers!C23 × (1 − C8); Base keeps full C23 pool scaled with revenue.</t>
        </is>
      </c>
      <c r="M10" s="573" t="inlineStr">
        <is>
          <t>Rates decreased significantly starting in year one. Replacing human representatives with AI meant fewer outbound deals required traditional payouts, allowing the company to retain higher profit per sale.</t>
        </is>
      </c>
    </row>
    <row r="11" ht="78" customHeight="1" s="244">
      <c r="B11" s="571" t="n">
        <v>5</v>
      </c>
      <c r="C11" s="571" t="inlineStr">
        <is>
          <t>AI Infrastructure</t>
        </is>
      </c>
      <c r="D11" s="571" t="inlineStr">
        <is>
          <t>$34 million fixed / year</t>
        </is>
      </c>
      <c r="E11" s="571" t="inlineStr">
        <is>
          <t>LBO (not DCF)</t>
        </is>
      </c>
      <c r="F11" s="571" t="inlineStr">
        <is>
          <t>Assumptions_Drivers</t>
        </is>
      </c>
      <c r="G11" s="571" t="inlineStr">
        <is>
          <t>C9</t>
        </is>
      </c>
      <c r="H11" s="572" t="inlineStr">
        <is>
          <t>Go to Assumptions_Drivers!C9</t>
        </is>
      </c>
      <c r="I11" s="571" t="inlineStr">
        <is>
          <t>AI_Operating</t>
        </is>
      </c>
      <c r="J11" s="571" t="inlineStr">
        <is>
          <t>D10:H10 (AI infrastructure)</t>
        </is>
      </c>
      <c r="K11" s="572" t="inlineStr">
        <is>
          <t>Go to AI_Operating!D10</t>
        </is>
      </c>
      <c r="L11" s="571" t="inlineStr">
        <is>
          <t>AI_cost_t = Assumptions_Drivers!C9 each forecast year (AI case only). EBITDA reduces by this amount.</t>
        </is>
      </c>
      <c r="M11" s="573" t="inlineStr">
        <is>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is>
      </c>
    </row>
    <row r="12" ht="78" customHeight="1" s="244">
      <c r="B12" s="571" t="n">
        <v>6</v>
      </c>
      <c r="C12" s="571" t="inlineStr">
        <is>
          <t>Sales Growth (S&amp;M expense growth)</t>
        </is>
      </c>
      <c r="D12" s="571" t="inlineStr">
        <is>
          <t>2% per year from Year 2</t>
        </is>
      </c>
      <c r="E12" s="571" t="inlineStr">
        <is>
          <t>LBO (not DCF)</t>
        </is>
      </c>
      <c r="F12" s="571" t="inlineStr">
        <is>
          <t>Assumptions_Drivers</t>
        </is>
      </c>
      <c r="G12" s="571" t="inlineStr">
        <is>
          <t>C10</t>
        </is>
      </c>
      <c r="H12" s="572" t="inlineStr">
        <is>
          <t>Go to Assumptions_Drivers!C10</t>
        </is>
      </c>
      <c r="I12" s="571" t="inlineStr">
        <is>
          <t>AI_Operating</t>
        </is>
      </c>
      <c r="J12" s="571" t="inlineStr">
        <is>
          <t>E7:H7 / E8:H8 (payroll &amp; commissions Y2–Y5)</t>
        </is>
      </c>
      <c r="K12" s="572" t="inlineStr">
        <is>
          <t>Go to AI_Operating!E7</t>
        </is>
      </c>
      <c r="L12" s="571" t="inlineStr">
        <is>
          <t>For t≥2: Payroll_t = Payroll_{t-1} × (1 + Assumptions_Drivers!C10); same for commissions.</t>
        </is>
      </c>
      <c r="M12" s="573" t="inlineStr">
        <is>
          <t>Expense growth was permanently capped at two percent. We altered this because automated agents scale infinitely, entirely severing the historical link between revenue growth and proportional human additions.</t>
        </is>
      </c>
    </row>
    <row r="13" ht="78" customHeight="1" s="244">
      <c r="B13" s="571" t="n">
        <v>7</v>
      </c>
      <c r="C13" s="571" t="inlineStr">
        <is>
          <t>Administrative Costs (G&amp;A)</t>
        </is>
      </c>
      <c r="D13" s="571" t="inlineStr">
        <is>
          <t>Locked at baseline % of revenue</t>
        </is>
      </c>
      <c r="E13" s="571" t="inlineStr">
        <is>
          <t>LBO (not DCF)</t>
        </is>
      </c>
      <c r="F13" s="571" t="inlineStr">
        <is>
          <t>Assumptions_Drivers</t>
        </is>
      </c>
      <c r="G13" s="571" t="inlineStr">
        <is>
          <t>C11</t>
        </is>
      </c>
      <c r="H13" s="572" t="inlineStr">
        <is>
          <t>Go to Assumptions_Drivers!C11</t>
        </is>
      </c>
      <c r="I13" s="571" t="inlineStr">
        <is>
          <t>AI_Operating</t>
        </is>
      </c>
      <c r="J13" s="571" t="inlineStr">
        <is>
          <t>D12:H12 (G&amp;A)</t>
        </is>
      </c>
      <c r="K13" s="572" t="inlineStr">
        <is>
          <t>Go to AI_Operating!D12</t>
        </is>
      </c>
      <c r="L13" s="571" t="inlineStr">
        <is>
          <t>G&amp;A_t = Revenue_t × Assumptions_Drivers!C11. Identical % in AI and Base cases.</t>
        </is>
      </c>
      <c r="M13" s="573" t="inlineStr">
        <is>
          <t>General overhead remained locked at baseline percentages. We avoided changing this because the value creation strategy strictly impacts the active sales floor without altering corporate finance or compensation.</t>
        </is>
      </c>
    </row>
    <row r="14" ht="78" customHeight="1" s="244">
      <c r="B14" s="571" t="n">
        <v>8</v>
      </c>
      <c r="C14" s="571" t="inlineStr">
        <is>
          <t>Capital Expenditures</t>
        </is>
      </c>
      <c r="D14" s="571" t="inlineStr">
        <is>
          <t>−5% vs baseline CapEx rate</t>
        </is>
      </c>
      <c r="E14" s="571" t="inlineStr">
        <is>
          <t>LBO (not DCF)</t>
        </is>
      </c>
      <c r="F14" s="571" t="inlineStr">
        <is>
          <t>Assumptions_Drivers</t>
        </is>
      </c>
      <c r="G14" s="571" t="inlineStr">
        <is>
          <t>C12</t>
        </is>
      </c>
      <c r="H14" s="572" t="inlineStr">
        <is>
          <t>Go to Assumptions_Drivers!C12</t>
        </is>
      </c>
      <c r="I14" s="571" t="inlineStr">
        <is>
          <t>AI_Operating</t>
        </is>
      </c>
      <c r="J14" s="571" t="inlineStr">
        <is>
          <t>D19:H19 (CapEx)</t>
        </is>
      </c>
      <c r="K14" s="572" t="inlineStr">
        <is>
          <t>Go to AI_Operating!D19</t>
        </is>
      </c>
      <c r="L14" s="571" t="inlineStr">
        <is>
          <t>CapEx_AI = Revenue_t × Assumptions_Drivers!C24 × (1 − C12); Base uses C24 only.</t>
        </is>
      </c>
      <c r="M14" s="573" t="inlineStr">
        <is>
          <t>Hardware spending was reduced by five percent. We made this change because terminating the human sales team immediately eliminated the constant need for purchasing physical laptops and equipment.</t>
        </is>
      </c>
    </row>
    <row r="15" ht="78" customHeight="1" s="244">
      <c r="B15" s="571" t="n">
        <v>9</v>
      </c>
      <c r="C15" s="571" t="inlineStr">
        <is>
          <t>Working Capital</t>
        </is>
      </c>
      <c r="D15" s="571" t="inlineStr">
        <is>
          <t>Receivables / WC requirement −10% vs base</t>
        </is>
      </c>
      <c r="E15" s="571" t="inlineStr">
        <is>
          <t>LBO (not DCF)</t>
        </is>
      </c>
      <c r="F15" s="571" t="inlineStr">
        <is>
          <t>Assumptions_Drivers</t>
        </is>
      </c>
      <c r="G15" s="571" t="inlineStr">
        <is>
          <t>C13</t>
        </is>
      </c>
      <c r="H15" s="572" t="inlineStr">
        <is>
          <t>Go to Assumptions_Drivers!C13</t>
        </is>
      </c>
      <c r="I15" s="571" t="inlineStr">
        <is>
          <t>AI_Operating</t>
        </is>
      </c>
      <c r="J15" s="571" t="inlineStr">
        <is>
          <t>D20:H20 (ΔNWC)</t>
        </is>
      </c>
      <c r="K15" s="572" t="inlineStr">
        <is>
          <t>Go to AI_Operating!D20</t>
        </is>
      </c>
      <c r="L15" s="571" t="inlineStr">
        <is>
          <t>ΔNWC_AI = ΔRevenue_t × Assumptions_Drivers!C25 × (1 − C13).</t>
        </is>
      </c>
      <c r="M15" s="573" t="inlineStr">
        <is>
          <t>Receivables collection periods improved slightly overall. Implementing automated AI billing reminders accelerated cash collections from late customers, lowering total working capital requirements and freeing extra cash for debt.</t>
        </is>
      </c>
    </row>
    <row r="16" ht="78" customHeight="1" s="244">
      <c r="B16" s="571" t="n">
        <v>10</v>
      </c>
      <c r="C16" s="571" t="inlineStr">
        <is>
          <t>Term Loan A interest</t>
        </is>
      </c>
      <c r="D16" s="571" t="inlineStr">
        <is>
          <t>SOFR + 4.00%</t>
        </is>
      </c>
      <c r="E16" s="571" t="inlineStr">
        <is>
          <t>LBO (not DCF)</t>
        </is>
      </c>
      <c r="F16" s="571" t="inlineStr">
        <is>
          <t>Assumptions_Drivers</t>
        </is>
      </c>
      <c r="G16" s="571" t="inlineStr">
        <is>
          <t>C14 / C15</t>
        </is>
      </c>
      <c r="H16" s="572" t="inlineStr">
        <is>
          <t>Go to Assumptions_Drivers!C14</t>
        </is>
      </c>
      <c r="I16" s="571" t="inlineStr">
        <is>
          <t>Debt_Sweep_AI</t>
        </is>
      </c>
      <c r="J16" s="571" t="inlineStr">
        <is>
          <t>C12 (TLA rate); Interest on AI_Operating!D17:H17</t>
        </is>
      </c>
      <c r="K16" s="572" t="inlineStr">
        <is>
          <t>Go to Debt_Sweep_AI!C12</t>
        </is>
      </c>
      <c r="L16" s="571" t="inlineStr">
        <is>
          <t>TLA_rate = Assumptions_Drivers!C14 + C15 (=C27). Interest_TLA = TLA_beg × TLA_rate.</t>
        </is>
      </c>
      <c r="M16" s="573" t="inlineStr">
        <is>
          <t>The interest rate remained static at SOFR plus four. This was unchanged because the macroeconomic lending environment and the base company credit profile strictly dictate senior pricing.</t>
        </is>
      </c>
    </row>
    <row r="17" ht="78" customHeight="1" s="244">
      <c r="B17" s="571" t="n">
        <v>11</v>
      </c>
      <c r="C17" s="571" t="inlineStr">
        <is>
          <t>Term Loan B interest</t>
        </is>
      </c>
      <c r="D17" s="571" t="inlineStr">
        <is>
          <t>SOFR + 5.00%</t>
        </is>
      </c>
      <c r="E17" s="571" t="inlineStr">
        <is>
          <t>LBO (not DCF)</t>
        </is>
      </c>
      <c r="F17" s="571" t="inlineStr">
        <is>
          <t>Assumptions_Drivers</t>
        </is>
      </c>
      <c r="G17" s="571" t="inlineStr">
        <is>
          <t>C14 / C16</t>
        </is>
      </c>
      <c r="H17" s="572" t="inlineStr">
        <is>
          <t>Go to Assumptions_Drivers!C14</t>
        </is>
      </c>
      <c r="I17" s="571" t="inlineStr">
        <is>
          <t>Debt_Sweep_AI</t>
        </is>
      </c>
      <c r="J17" s="571" t="inlineStr">
        <is>
          <t>D12 (TLB rate); Interest on AI_Operating!D17:H17</t>
        </is>
      </c>
      <c r="K17" s="572" t="inlineStr">
        <is>
          <t>Go to Debt_Sweep_AI!D12</t>
        </is>
      </c>
      <c r="L17" s="571" t="inlineStr">
        <is>
          <t>TLB_rate = Assumptions_Drivers!C14 + C16 (=C28). Interest_TLB = TLB_beg × TLB_rate.</t>
        </is>
      </c>
      <c r="M17" s="573" t="inlineStr">
        <is>
          <t>Pricing was maintained exactly at SOFR plus five. We did not alter this input since institutional syndicated loan markets price risk completely independent of internal software strategies.</t>
        </is>
      </c>
    </row>
    <row r="18" ht="78" customHeight="1" s="244">
      <c r="B18" s="571" t="n">
        <v>12</v>
      </c>
      <c r="C18" s="571" t="inlineStr">
        <is>
          <t>Mandatory Amortization</t>
        </is>
      </c>
      <c r="D18" s="571" t="inlineStr">
        <is>
          <t>1% of initial principal / year</t>
        </is>
      </c>
      <c r="E18" s="571" t="inlineStr">
        <is>
          <t>LBO (not DCF)</t>
        </is>
      </c>
      <c r="F18" s="571" t="inlineStr">
        <is>
          <t>Assumptions_Drivers</t>
        </is>
      </c>
      <c r="G18" s="571" t="inlineStr">
        <is>
          <t>C17</t>
        </is>
      </c>
      <c r="H18" s="572" t="inlineStr">
        <is>
          <t>Go to Assumptions_Drivers!C17</t>
        </is>
      </c>
      <c r="I18" s="571" t="inlineStr">
        <is>
          <t>Debt_Sweep_AI</t>
        </is>
      </c>
      <c r="J18" s="571" t="inlineStr">
        <is>
          <t>D5:D9 (Mandatory 1%)</t>
        </is>
      </c>
      <c r="K18" s="572" t="inlineStr">
        <is>
          <t>Go to Debt_Sweep_AI!D5</t>
        </is>
      </c>
      <c r="L18" s="571" t="inlineStr">
        <is>
          <t>Mandatory_t = Initial_Debt × Assumptions_Drivers!C17 (floor paydown before optional sweep).</t>
        </is>
      </c>
      <c r="M18" s="573" t="inlineStr">
        <is>
          <t>Principal repayment schedules were held constant at one percent. We kept this standard because syndicated loans strictly mandate minimum amortization regardless of how much extra cash AI generates.</t>
        </is>
      </c>
    </row>
    <row r="19" ht="78" customHeight="1" s="244">
      <c r="B19" s="571" t="n">
        <v>13</v>
      </c>
      <c r="C19" s="571" t="inlineStr">
        <is>
          <t>Cash Sweep</t>
        </is>
      </c>
      <c r="D19" s="571" t="inlineStr">
        <is>
          <t>100% of excess cash to debt</t>
        </is>
      </c>
      <c r="E19" s="571" t="inlineStr">
        <is>
          <t>LBO (not DCF)</t>
        </is>
      </c>
      <c r="F19" s="571" t="inlineStr">
        <is>
          <t>Assumptions_Drivers</t>
        </is>
      </c>
      <c r="G19" s="571" t="inlineStr">
        <is>
          <t>C18</t>
        </is>
      </c>
      <c r="H19" s="572" t="inlineStr">
        <is>
          <t>Go to Assumptions_Drivers!C18</t>
        </is>
      </c>
      <c r="I19" s="571" t="inlineStr">
        <is>
          <t>Debt_Sweep_AI</t>
        </is>
      </c>
      <c r="J19" s="571" t="inlineStr">
        <is>
          <t>E5:E9 (Total paydown)</t>
        </is>
      </c>
      <c r="K19" s="572" t="inlineStr">
        <is>
          <t>Go to Debt_Sweep_AI!E5</t>
        </is>
      </c>
      <c r="L19" s="571" t="inlineStr">
        <is>
          <t>Optional_sweep_t = C18 × max(0, FCF_t − Mandatory_t); Debt_end = Debt_beg − Mandatory − Optional_sweep.</t>
        </is>
      </c>
      <c r="M19" s="573" t="inlineStr">
        <is>
          <t>One hundred percent of excess cash targets debt paydown. This remained unchanged to ensure all newly generated margins from AI savings aggressively reduce leverage and maximize sponsor returns.</t>
        </is>
      </c>
    </row>
    <row r="20" ht="78" customHeight="1" s="244">
      <c r="B20" s="571" t="n">
        <v>14</v>
      </c>
      <c r="C20" s="571" t="inlineStr">
        <is>
          <t>Tax Rate</t>
        </is>
      </c>
      <c r="D20" s="571" t="inlineStr">
        <is>
          <t>21%</t>
        </is>
      </c>
      <c r="E20" s="571" t="inlineStr">
        <is>
          <t>LBO (not DCF)</t>
        </is>
      </c>
      <c r="F20" s="571" t="inlineStr">
        <is>
          <t>Assumptions_Drivers</t>
        </is>
      </c>
      <c r="G20" s="571" t="inlineStr">
        <is>
          <t>C19</t>
        </is>
      </c>
      <c r="H20" s="572" t="inlineStr">
        <is>
          <t>Go to Assumptions_Drivers!C19</t>
        </is>
      </c>
      <c r="I20" s="571" t="inlineStr">
        <is>
          <t>AI_Operating</t>
        </is>
      </c>
      <c r="J20" s="571" t="inlineStr">
        <is>
          <t>D18:H18 (Net income)</t>
        </is>
      </c>
      <c r="K20" s="572" t="inlineStr">
        <is>
          <t>Go to AI_Operating!D18</t>
        </is>
      </c>
      <c r="L20" s="571" t="inlineStr">
        <is>
          <t>Tax_t = max(0, EBIT_t − Interest_t) × Assumptions_Drivers!C19; NI_t = EBT_t − Tax_t.</t>
        </is>
      </c>
      <c r="M20" s="573" t="inlineStr">
        <is>
          <t>The corporate tax rate remained steady at twenty one percent. We did not change this assumption because federal statutory tax obligations remain unaffected by internal operating margin improvements.</t>
        </is>
      </c>
    </row>
    <row r="21" ht="78" customHeight="1" s="244">
      <c r="B21" s="571" t="n">
        <v>15</v>
      </c>
      <c r="C21" s="571" t="inlineStr">
        <is>
          <t>Exit Multiple</t>
        </is>
      </c>
      <c r="D21" s="571" t="inlineStr">
        <is>
          <t>13.0x EV / EBITDA</t>
        </is>
      </c>
      <c r="E21" s="571" t="inlineStr">
        <is>
          <t>LBO (Ex LBO!D17; not DCF)</t>
        </is>
      </c>
      <c r="F21" s="571" t="inlineStr">
        <is>
          <t>Assumptions_Drivers</t>
        </is>
      </c>
      <c r="G21" s="571" t="inlineStr">
        <is>
          <t>C20</t>
        </is>
      </c>
      <c r="H21" s="572" t="inlineStr">
        <is>
          <t>Go to Assumptions_Drivers!C20</t>
        </is>
      </c>
      <c r="I21" s="571" t="inlineStr">
        <is>
          <t>LBO</t>
        </is>
      </c>
      <c r="J21" s="571" t="inlineStr">
        <is>
          <t>D17 (also Strategy_Summary!D10)</t>
        </is>
      </c>
      <c r="K21" s="572" t="inlineStr">
        <is>
          <t>Go to LBO!D17</t>
        </is>
      </c>
      <c r="L21" s="571" t="inlineStr">
        <is>
          <t>Exit_EV = Y5_EBITDA × Assumptions_Drivers!C20; Exit_Equity = Exit_EV − Debt_end; MOIC / IRR from that.</t>
        </is>
      </c>
      <c r="M21" s="573" t="inlineStr">
        <is>
          <t>The valuation multiple was securely locked at thirteen. We kept this exact multiple consistent across scenarios to prove equity value creation stemmed purely from AI operational improvements alone.</t>
        </is>
      </c>
    </row>
    <row r="23">
      <c r="B23" s="564" t="inlineStr">
        <is>
          <t>NOTE ON DCF TAB</t>
        </is>
      </c>
    </row>
    <row r="24">
      <c r="B24" s="574" t="inlineStr">
        <is>
          <t>These AI-SDR operating assumptions are NOT the primary drivers of the DCF tab. IRR/MOIC value-creation math is on Strategy_Summary, AI_Operating, Base_Operating, Debt_Sweep_AI, and LBO!D17/J275. DCF remains a secondary WSP shell for football-field context.</t>
        </is>
      </c>
    </row>
    <row r="25"/>
    <row r="27">
      <c r="B27" s="564" t="inlineStr">
        <is>
          <t>AI Infrastructure $34m — SOURCE PACK</t>
        </is>
      </c>
    </row>
    <row r="28">
      <c r="B28" s="590" t="inlineStr">
        <is>
          <t>Go to Assumptions_Drivers (cols E–G) (in-workbook evidence)</t>
        </is>
      </c>
    </row>
    <row r="29">
      <c r="B29" s="590" t="inlineStr">
        <is>
          <t>Salesforce Agentforce pricing press release</t>
        </is>
      </c>
    </row>
    <row r="30">
      <c r="B30" s="590" t="inlineStr">
        <is>
          <t>ZoomInfo FY2024 10-K (S&amp;M headcount)</t>
        </is>
      </c>
    </row>
    <row r="31">
      <c r="B31" s="590" t="inlineStr">
        <is>
          <t>PDF: LBOMODEL2_AI_COST_SOURCES.pdf</t>
        </is>
      </c>
    </row>
    <row r="33">
      <c r="B33" s="564" t="inlineStr">
        <is>
          <t>SOURCE MAP: open Assumptions_Drivers — columns E (link), F (~30-word justification), G (secondary link) on each driver row.</t>
        </is>
      </c>
    </row>
    <row r="34">
      <c r="B34" s="593" t="inlineStr">
        <is>
          <t>Jump to AI infra source row (E9)</t>
        </is>
      </c>
    </row>
    <row r="35">
      <c r="B35" s="593" t="inlineStr">
        <is>
          <t>PDF: all driver sources</t>
        </is>
      </c>
    </row>
    <row r="37">
      <c r="B37" s="564" t="inlineStr">
        <is>
          <t>SOURCE MAP: open Assumptions_Drivers — columns E (link), F (~30-word justification), G (secondary link) on each driver row.</t>
        </is>
      </c>
    </row>
    <row r="38">
      <c r="B38" s="593" t="inlineStr">
        <is>
          <t>Jump to AI infra source row (E9)</t>
        </is>
      </c>
    </row>
    <row r="39">
      <c r="B39" s="593" t="inlineStr">
        <is>
          <t>PDF: all driver sources</t>
        </is>
      </c>
    </row>
    <row r="41">
      <c r="B41" s="564" t="inlineStr">
        <is>
          <t>SOURCE MAP: open Assumptions_Drivers — columns E (link), F (~30-word justification), G (secondary link) on each driver row.</t>
        </is>
      </c>
    </row>
    <row r="42">
      <c r="B42" s="593" t="inlineStr">
        <is>
          <t>Jump to AI infra source row (E9)</t>
        </is>
      </c>
    </row>
    <row r="43">
      <c r="B43" s="593" t="inlineStr">
        <is>
          <t>PDF: all driver sources</t>
        </is>
      </c>
    </row>
  </sheetData>
  <autoFilter ref="B6:M21"/>
  <mergeCells count="1">
    <mergeCell ref="B24:M25"/>
  </mergeCells>
  <hyperlinks>
    <hyperlink xmlns:r="http://schemas.openxmlformats.org/officeDocument/2006/relationships" ref="B4" r:id="rId1"/>
    <hyperlink xmlns:r="http://schemas.openxmlformats.org/officeDocument/2006/relationships" ref="H7" r:id="rId2"/>
    <hyperlink xmlns:r="http://schemas.openxmlformats.org/officeDocument/2006/relationships" ref="K7" r:id="rId3"/>
    <hyperlink xmlns:r="http://schemas.openxmlformats.org/officeDocument/2006/relationships" ref="H8" r:id="rId4"/>
    <hyperlink xmlns:r="http://schemas.openxmlformats.org/officeDocument/2006/relationships" ref="K8" r:id="rId5"/>
    <hyperlink xmlns:r="http://schemas.openxmlformats.org/officeDocument/2006/relationships" ref="H9" r:id="rId6"/>
    <hyperlink xmlns:r="http://schemas.openxmlformats.org/officeDocument/2006/relationships" ref="K9" r:id="rId7"/>
    <hyperlink xmlns:r="http://schemas.openxmlformats.org/officeDocument/2006/relationships" ref="H10" r:id="rId8"/>
    <hyperlink xmlns:r="http://schemas.openxmlformats.org/officeDocument/2006/relationships" ref="K10" r:id="rId9"/>
    <hyperlink xmlns:r="http://schemas.openxmlformats.org/officeDocument/2006/relationships" ref="H11" r:id="rId10"/>
    <hyperlink xmlns:r="http://schemas.openxmlformats.org/officeDocument/2006/relationships" ref="K11" r:id="rId11"/>
    <hyperlink xmlns:r="http://schemas.openxmlformats.org/officeDocument/2006/relationships" ref="H12" r:id="rId12"/>
    <hyperlink xmlns:r="http://schemas.openxmlformats.org/officeDocument/2006/relationships" ref="K12" r:id="rId13"/>
    <hyperlink xmlns:r="http://schemas.openxmlformats.org/officeDocument/2006/relationships" ref="H13" r:id="rId14"/>
    <hyperlink xmlns:r="http://schemas.openxmlformats.org/officeDocument/2006/relationships" ref="K13" r:id="rId15"/>
    <hyperlink xmlns:r="http://schemas.openxmlformats.org/officeDocument/2006/relationships" ref="H14" r:id="rId16"/>
    <hyperlink xmlns:r="http://schemas.openxmlformats.org/officeDocument/2006/relationships" ref="K14" r:id="rId17"/>
    <hyperlink xmlns:r="http://schemas.openxmlformats.org/officeDocument/2006/relationships" ref="H15" r:id="rId18"/>
    <hyperlink xmlns:r="http://schemas.openxmlformats.org/officeDocument/2006/relationships" ref="K15" r:id="rId19"/>
    <hyperlink xmlns:r="http://schemas.openxmlformats.org/officeDocument/2006/relationships" ref="H16" r:id="rId20"/>
    <hyperlink xmlns:r="http://schemas.openxmlformats.org/officeDocument/2006/relationships" ref="K16" r:id="rId21"/>
    <hyperlink xmlns:r="http://schemas.openxmlformats.org/officeDocument/2006/relationships" ref="H17" r:id="rId22"/>
    <hyperlink xmlns:r="http://schemas.openxmlformats.org/officeDocument/2006/relationships" ref="K17" r:id="rId23"/>
    <hyperlink xmlns:r="http://schemas.openxmlformats.org/officeDocument/2006/relationships" ref="H18" r:id="rId24"/>
    <hyperlink xmlns:r="http://schemas.openxmlformats.org/officeDocument/2006/relationships" ref="K18" r:id="rId25"/>
    <hyperlink xmlns:r="http://schemas.openxmlformats.org/officeDocument/2006/relationships" ref="H19" r:id="rId26"/>
    <hyperlink xmlns:r="http://schemas.openxmlformats.org/officeDocument/2006/relationships" ref="K19" r:id="rId27"/>
    <hyperlink xmlns:r="http://schemas.openxmlformats.org/officeDocument/2006/relationships" ref="H20" r:id="rId28"/>
    <hyperlink xmlns:r="http://schemas.openxmlformats.org/officeDocument/2006/relationships" ref="K20" r:id="rId29"/>
    <hyperlink xmlns:r="http://schemas.openxmlformats.org/officeDocument/2006/relationships" ref="H21" r:id="rId30"/>
    <hyperlink xmlns:r="http://schemas.openxmlformats.org/officeDocument/2006/relationships" ref="K21" r:id="rId31"/>
    <hyperlink xmlns:r="http://schemas.openxmlformats.org/officeDocument/2006/relationships" ref="B28" r:id="rId32"/>
    <hyperlink xmlns:r="http://schemas.openxmlformats.org/officeDocument/2006/relationships" ref="B29" r:id="rId33"/>
    <hyperlink xmlns:r="http://schemas.openxmlformats.org/officeDocument/2006/relationships" ref="B30" r:id="rId34"/>
    <hyperlink xmlns:r="http://schemas.openxmlformats.org/officeDocument/2006/relationships" ref="B31" r:id="rId35"/>
    <hyperlink xmlns:r="http://schemas.openxmlformats.org/officeDocument/2006/relationships" ref="B34" r:id="rId36"/>
    <hyperlink xmlns:r="http://schemas.openxmlformats.org/officeDocument/2006/relationships" ref="B35" r:id="rId37"/>
    <hyperlink xmlns:r="http://schemas.openxmlformats.org/officeDocument/2006/relationships" ref="B38" r:id="rId38"/>
    <hyperlink xmlns:r="http://schemas.openxmlformats.org/officeDocument/2006/relationships" ref="B39" r:id="rId39"/>
    <hyperlink xmlns:r="http://schemas.openxmlformats.org/officeDocument/2006/relationships" ref="B42" r:id="rId40"/>
    <hyperlink xmlns:r="http://schemas.openxmlformats.org/officeDocument/2006/relationships" ref="B43"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2"/>
  <sheetViews>
    <sheetView workbookViewId="0">
      <selection activeCell="A1" sqref="A1"/>
    </sheetView>
  </sheetViews>
  <sheetFormatPr baseColWidth="8" defaultRowHeight="15"/>
  <sheetData>
    <row r="2">
      <c r="B2" s="563" t="inlineStr">
        <is>
          <t>Debt sweep — TLA/TLB priced at SOFR+4 / SOFR+5; 1% mandatory + 100% cash sweep</t>
        </is>
      </c>
    </row>
    <row r="3">
      <c r="B3" t="inlineStr">
        <is>
          <t>Rates from Assumptions_Drivers!C14:C18</t>
        </is>
      </c>
    </row>
    <row r="4">
      <c r="B4" s="412" t="inlineStr">
        <is>
          <t>Year</t>
        </is>
      </c>
      <c r="C4" s="412" t="inlineStr">
        <is>
          <t>FCF</t>
        </is>
      </c>
      <c r="D4" s="412" t="inlineStr">
        <is>
          <t>Mandatory 1%</t>
        </is>
      </c>
      <c r="E4" s="412" t="inlineStr">
        <is>
          <t>Total paydown</t>
        </is>
      </c>
      <c r="F4" s="412" t="inlineStr">
        <is>
          <t>AI debt end</t>
        </is>
      </c>
      <c r="G4" s="412" t="inlineStr">
        <is>
          <t>Base debt end</t>
        </is>
      </c>
      <c r="H4" s="412" t="inlineStr">
        <is>
          <t>Extra paydown vs base</t>
        </is>
      </c>
    </row>
    <row r="5">
      <c r="B5" s="628" t="n">
        <v>2025</v>
      </c>
      <c r="C5" s="626" t="n">
        <v>106.533319</v>
      </c>
      <c r="D5" s="626" t="n">
        <v>9.154999999999999</v>
      </c>
      <c r="E5" s="626" t="n">
        <v>106.533319</v>
      </c>
      <c r="F5" s="626" t="n">
        <v>808.966681</v>
      </c>
      <c r="G5" s="626" t="n">
        <v>877.5180999999999</v>
      </c>
      <c r="H5" s="626" t="n">
        <v>68.5514189999999</v>
      </c>
    </row>
    <row r="6">
      <c r="B6" s="628" t="n">
        <v>2026</v>
      </c>
      <c r="C6" s="626" t="n">
        <v>155.5010311268301</v>
      </c>
      <c r="D6" s="626" t="n">
        <v>9.154999999999999</v>
      </c>
      <c r="E6" s="626" t="n">
        <v>155.5010311268301</v>
      </c>
      <c r="F6" s="626" t="n">
        <v>653.4656498731698</v>
      </c>
      <c r="G6" s="626" t="n">
        <v>824.8037622999997</v>
      </c>
      <c r="H6" s="626" t="n">
        <v>171.3381124268299</v>
      </c>
    </row>
    <row r="7">
      <c r="B7" s="628" t="n">
        <v>2027</v>
      </c>
      <c r="C7" s="626" t="n">
        <v>212.3276965378165</v>
      </c>
      <c r="D7" s="626" t="n">
        <v>9.154999999999999</v>
      </c>
      <c r="E7" s="626" t="n">
        <v>212.3276965378165</v>
      </c>
      <c r="F7" s="626" t="n">
        <v>441.1379533353534</v>
      </c>
      <c r="G7" s="626" t="n">
        <v>754.9762005708997</v>
      </c>
      <c r="H7" s="626" t="n">
        <v>313.8382472355463</v>
      </c>
    </row>
    <row r="8">
      <c r="B8" s="628" t="n">
        <v>2028</v>
      </c>
      <c r="C8" s="626" t="n">
        <v>278.1336741716516</v>
      </c>
      <c r="D8" s="626" t="n">
        <v>9.154999999999999</v>
      </c>
      <c r="E8" s="626" t="n">
        <v>278.1336741716516</v>
      </c>
      <c r="F8" s="626" t="n">
        <v>163.0042791637017</v>
      </c>
      <c r="G8" s="626" t="n">
        <v>665.9609770683334</v>
      </c>
      <c r="H8" s="626" t="n">
        <v>502.9566979046317</v>
      </c>
    </row>
    <row r="9">
      <c r="B9" s="628" t="n">
        <v>2029</v>
      </c>
      <c r="C9" s="626" t="n">
        <v>355.725762314317</v>
      </c>
      <c r="D9" s="626" t="n">
        <v>9.154999999999999</v>
      </c>
      <c r="E9" s="626" t="n">
        <v>163.0042791637017</v>
      </c>
      <c r="F9" s="626" t="n">
        <v>0</v>
      </c>
      <c r="G9" s="626" t="n">
        <v>557.1124750633038</v>
      </c>
      <c r="H9" s="626" t="n">
        <v>557.1124750633038</v>
      </c>
    </row>
    <row r="11">
      <c r="B11" t="inlineStr">
        <is>
          <t>TLA initial / TLB initial / Notes initial</t>
        </is>
      </c>
      <c r="C11" t="n">
        <v>457.75</v>
      </c>
      <c r="D11" t="n">
        <v>274.65</v>
      </c>
      <c r="E11" t="n">
        <v>183.1</v>
      </c>
    </row>
    <row r="12">
      <c r="B12" t="inlineStr">
        <is>
          <t>TLA rate / TLB rate</t>
        </is>
      </c>
      <c r="C12" s="581" t="n">
        <v>0.08299999999999999</v>
      </c>
      <c r="D12" s="581" t="n">
        <v>0.093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26"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563" t="inlineStr">
        <is>
          <t>Base case — no AI transformation</t>
        </is>
      </c>
    </row>
    <row r="3">
      <c r="B3" t="inlineStr">
        <is>
          <t>Driver cells: Assumptions_Drivers!C5:C20</t>
        </is>
      </c>
    </row>
    <row r="4">
      <c r="B4" s="412" t="inlineStr">
        <is>
          <t>Metric</t>
        </is>
      </c>
      <c r="C4" s="412" t="inlineStr">
        <is>
          <t>FY2024A</t>
        </is>
      </c>
      <c r="D4" s="412" t="inlineStr">
        <is>
          <t>Y1 2025</t>
        </is>
      </c>
      <c r="E4" s="412" t="inlineStr">
        <is>
          <t>Y2 2026</t>
        </is>
      </c>
      <c r="F4" s="412" t="inlineStr">
        <is>
          <t>Y3 2027</t>
        </is>
      </c>
      <c r="G4" s="412" t="inlineStr">
        <is>
          <t>Y4 2028</t>
        </is>
      </c>
      <c r="H4" s="412" t="inlineStr">
        <is>
          <t>Y5 2029</t>
        </is>
      </c>
    </row>
    <row r="5">
      <c r="B5" s="575" t="inlineStr">
        <is>
          <t>Revenue</t>
        </is>
      </c>
      <c r="C5" s="582" t="n">
        <v>1214.3</v>
      </c>
      <c r="D5" s="626" t="n">
        <v>1335.73</v>
      </c>
      <c r="E5" s="626" t="n">
        <v>1469.303</v>
      </c>
      <c r="F5" s="626" t="n">
        <v>1616.2333</v>
      </c>
      <c r="G5" s="626" t="n">
        <v>1777.85663</v>
      </c>
      <c r="H5" s="626" t="n">
        <v>1955.642293000001</v>
      </c>
    </row>
    <row r="6">
      <c r="B6" s="575" t="inlineStr">
        <is>
          <t>COGS</t>
        </is>
      </c>
      <c r="C6" s="582" t="n">
        <v>242.8599999999999</v>
      </c>
      <c r="D6" s="626" t="n">
        <v>267.146</v>
      </c>
      <c r="E6" s="626" t="n">
        <v>293.8606</v>
      </c>
      <c r="F6" s="626" t="n">
        <v>323.24666</v>
      </c>
      <c r="G6" s="626" t="n">
        <v>355.571326</v>
      </c>
      <c r="H6" s="626" t="n">
        <v>391.1284586</v>
      </c>
    </row>
    <row r="7">
      <c r="B7" s="575" t="inlineStr">
        <is>
          <t>Sales payroll (human)</t>
        </is>
      </c>
      <c r="C7" s="582" t="n">
        <v>318.8</v>
      </c>
      <c r="D7" s="626" t="n">
        <v>350.68</v>
      </c>
      <c r="E7" s="626" t="n">
        <v>385.748</v>
      </c>
      <c r="F7" s="626" t="n">
        <v>424.3228000000001</v>
      </c>
      <c r="G7" s="626" t="n">
        <v>466.7550800000001</v>
      </c>
      <c r="H7" s="626" t="n">
        <v>513.4305880000002</v>
      </c>
    </row>
    <row r="8">
      <c r="B8" s="575" t="inlineStr">
        <is>
          <t>Variable commissions</t>
        </is>
      </c>
      <c r="C8" s="582" t="n">
        <v>106.2</v>
      </c>
      <c r="D8" s="626" t="n">
        <v>116.82</v>
      </c>
      <c r="E8" s="626" t="n">
        <v>128.502</v>
      </c>
      <c r="F8" s="626" t="n">
        <v>141.3522</v>
      </c>
      <c r="G8" s="626" t="n">
        <v>155.48742</v>
      </c>
      <c r="H8" s="626" t="n">
        <v>171.0361620000001</v>
      </c>
    </row>
    <row r="9">
      <c r="B9" s="575" t="inlineStr">
        <is>
          <t>S&amp;M human total</t>
        </is>
      </c>
      <c r="C9" s="582" t="n">
        <v>425</v>
      </c>
      <c r="D9" s="626" t="n">
        <v>467.5</v>
      </c>
      <c r="E9" s="626" t="n">
        <v>514.25</v>
      </c>
      <c r="F9" s="626" t="n">
        <v>565.6750000000002</v>
      </c>
      <c r="G9" s="626" t="n">
        <v>622.2425000000002</v>
      </c>
      <c r="H9" s="626" t="n">
        <v>684.4667500000003</v>
      </c>
    </row>
    <row r="10">
      <c r="B10" s="575" t="inlineStr">
        <is>
          <t>AI infrastructure</t>
        </is>
      </c>
      <c r="C10" s="582" t="n">
        <v>0</v>
      </c>
      <c r="D10" s="626" t="n">
        <v>0</v>
      </c>
      <c r="E10" s="626" t="n">
        <v>0</v>
      </c>
      <c r="F10" s="626" t="n">
        <v>0</v>
      </c>
      <c r="G10" s="626" t="n">
        <v>0</v>
      </c>
      <c r="H10" s="626" t="n">
        <v>0</v>
      </c>
    </row>
    <row r="11">
      <c r="B11" s="575" t="inlineStr">
        <is>
          <t>R&amp;D</t>
        </is>
      </c>
      <c r="C11" s="582" t="n">
        <v>196.1</v>
      </c>
      <c r="D11" s="626" t="n">
        <v>215.71</v>
      </c>
      <c r="E11" s="626" t="n">
        <v>237.281</v>
      </c>
      <c r="F11" s="626" t="n">
        <v>261.0091</v>
      </c>
      <c r="G11" s="626" t="n">
        <v>287.11001</v>
      </c>
      <c r="H11" s="626" t="n">
        <v>315.8210110000001</v>
      </c>
    </row>
    <row r="12">
      <c r="B12" s="575" t="inlineStr">
        <is>
          <t>G&amp;A (admin)</t>
        </is>
      </c>
      <c r="C12" s="582" t="n">
        <v>218.574</v>
      </c>
      <c r="D12" s="626" t="n">
        <v>240.4314</v>
      </c>
      <c r="E12" s="626" t="n">
        <v>264.47454</v>
      </c>
      <c r="F12" s="626" t="n">
        <v>290.921994</v>
      </c>
      <c r="G12" s="626" t="n">
        <v>320.0141934000001</v>
      </c>
      <c r="H12" s="626" t="n">
        <v>352.0156127400001</v>
      </c>
    </row>
    <row r="13">
      <c r="B13" s="575" t="inlineStr">
        <is>
          <t>EBITDA</t>
        </is>
      </c>
      <c r="C13" s="582" t="n">
        <v>183.1</v>
      </c>
      <c r="D13" s="626" t="n">
        <v>144.9426000000001</v>
      </c>
      <c r="E13" s="626" t="n">
        <v>159.4368600000001</v>
      </c>
      <c r="F13" s="626" t="n">
        <v>175.380546</v>
      </c>
      <c r="G13" s="626" t="n">
        <v>192.9186006000002</v>
      </c>
      <c r="H13" s="626" t="n">
        <v>212.2104606600003</v>
      </c>
    </row>
    <row r="14">
      <c r="B14" s="575" t="inlineStr">
        <is>
          <t>EBITDA margin</t>
        </is>
      </c>
      <c r="C14" s="583" t="n">
        <v>0.150786461335749</v>
      </c>
      <c r="D14" s="624" t="n">
        <v>0.1085118998600017</v>
      </c>
      <c r="E14" s="624" t="n">
        <v>0.1085118998600017</v>
      </c>
      <c r="F14" s="624" t="n">
        <v>0.1085118998600016</v>
      </c>
      <c r="G14" s="624" t="n">
        <v>0.1085118998600017</v>
      </c>
      <c r="H14" s="624" t="n">
        <v>0.1085118998600017</v>
      </c>
    </row>
    <row r="15">
      <c r="B15" s="575" t="inlineStr">
        <is>
          <t>D&amp;A</t>
        </is>
      </c>
      <c r="C15" s="582" t="n">
        <v>85.7</v>
      </c>
      <c r="D15" s="626" t="n">
        <v>94.27</v>
      </c>
      <c r="E15" s="626" t="n">
        <v>103.697</v>
      </c>
      <c r="F15" s="626" t="n">
        <v>114.0667</v>
      </c>
      <c r="G15" s="626" t="n">
        <v>125.47337</v>
      </c>
      <c r="H15" s="626" t="n">
        <v>138.020707</v>
      </c>
    </row>
    <row r="16">
      <c r="B16" s="575" t="inlineStr">
        <is>
          <t>EBIT</t>
        </is>
      </c>
      <c r="C16" s="582" t="n">
        <v>97.40000000000001</v>
      </c>
      <c r="D16" s="626" t="n">
        <v>50.67260000000009</v>
      </c>
      <c r="E16" s="626" t="n">
        <v>55.73986000000014</v>
      </c>
      <c r="F16" s="626" t="n">
        <v>61.31384600000001</v>
      </c>
      <c r="G16" s="626" t="n">
        <v>67.44523060000019</v>
      </c>
      <c r="H16" s="626" t="n">
        <v>74.18975366000021</v>
      </c>
    </row>
    <row r="17">
      <c r="B17" s="575" t="inlineStr">
        <is>
          <t>Interest</t>
        </is>
      </c>
      <c r="D17" s="626" t="n">
        <v>77.8175</v>
      </c>
      <c r="E17" s="626" t="n">
        <v>74.66500229999998</v>
      </c>
      <c r="F17" s="626" t="n">
        <v>70.28971227089997</v>
      </c>
      <c r="G17" s="626" t="n">
        <v>64.49402464738468</v>
      </c>
      <c r="H17" s="626" t="n">
        <v>57.10576109667166</v>
      </c>
    </row>
    <row r="18">
      <c r="B18" s="575" t="inlineStr">
        <is>
          <t>Net income</t>
        </is>
      </c>
      <c r="D18" s="626" t="n">
        <v>-27.14489999999991</v>
      </c>
      <c r="E18" s="626" t="n">
        <v>-18.92514229999985</v>
      </c>
      <c r="F18" s="626" t="n">
        <v>-8.975866270899957</v>
      </c>
      <c r="G18" s="626" t="n">
        <v>2.331452702566253</v>
      </c>
      <c r="H18" s="626" t="n">
        <v>13.49635412502955</v>
      </c>
    </row>
    <row r="19">
      <c r="B19" s="575" t="inlineStr">
        <is>
          <t>CapEx</t>
        </is>
      </c>
      <c r="D19" s="626" t="n">
        <v>26.7146</v>
      </c>
      <c r="E19" s="626" t="n">
        <v>29.38606</v>
      </c>
      <c r="F19" s="626" t="n">
        <v>32.32466600000001</v>
      </c>
      <c r="G19" s="626" t="n">
        <v>35.55713260000001</v>
      </c>
      <c r="H19" s="626" t="n">
        <v>39.11284586000001</v>
      </c>
    </row>
    <row r="20">
      <c r="B20" s="575" t="inlineStr">
        <is>
          <t>ΔNWC</t>
        </is>
      </c>
      <c r="D20" s="626" t="n">
        <v>2.428600000000001</v>
      </c>
      <c r="E20" s="626" t="n">
        <v>2.671460000000002</v>
      </c>
      <c r="F20" s="626" t="n">
        <v>2.938606000000004</v>
      </c>
      <c r="G20" s="626" t="n">
        <v>3.232466600000003</v>
      </c>
      <c r="H20" s="626" t="n">
        <v>3.555713260000002</v>
      </c>
    </row>
    <row r="21">
      <c r="B21" s="575" t="inlineStr">
        <is>
          <t>FCF after interest</t>
        </is>
      </c>
      <c r="D21" s="626" t="n">
        <v>37.98190000000008</v>
      </c>
      <c r="E21" s="626" t="n">
        <v>52.71433770000015</v>
      </c>
      <c r="F21" s="626" t="n">
        <v>69.82756172910005</v>
      </c>
      <c r="G21" s="626" t="n">
        <v>89.01522350256627</v>
      </c>
      <c r="H21" s="626" t="n">
        <v>108.8485020050296</v>
      </c>
    </row>
    <row r="22">
      <c r="B22" s="575" t="inlineStr">
        <is>
          <t>Mandatory amort</t>
        </is>
      </c>
      <c r="D22" s="626" t="n">
        <v>9.154999999999999</v>
      </c>
      <c r="E22" s="626" t="n">
        <v>9.154999999999999</v>
      </c>
      <c r="F22" s="626" t="n">
        <v>9.154999999999999</v>
      </c>
      <c r="G22" s="626" t="n">
        <v>9.154999999999999</v>
      </c>
      <c r="H22" s="626" t="n">
        <v>9.154999999999999</v>
      </c>
    </row>
    <row r="23">
      <c r="B23" s="575" t="inlineStr">
        <is>
          <t>Total debt paydown</t>
        </is>
      </c>
      <c r="D23" s="626" t="n">
        <v>37.98190000000008</v>
      </c>
      <c r="E23" s="626" t="n">
        <v>52.71433770000015</v>
      </c>
      <c r="F23" s="626" t="n">
        <v>69.82756172910005</v>
      </c>
      <c r="G23" s="626" t="n">
        <v>89.01522350256627</v>
      </c>
      <c r="H23" s="626" t="n">
        <v>108.8485020050296</v>
      </c>
    </row>
    <row r="24">
      <c r="B24" s="575" t="inlineStr">
        <is>
          <t>Debt end</t>
        </is>
      </c>
      <c r="C24" s="582" t="n">
        <v>1329.9</v>
      </c>
      <c r="D24" s="626" t="n">
        <v>877.5180999999999</v>
      </c>
      <c r="E24" s="626" t="n">
        <v>824.8037622999997</v>
      </c>
      <c r="F24" s="626" t="n">
        <v>754.9762005708997</v>
      </c>
      <c r="G24" s="626" t="n">
        <v>665.9609770683334</v>
      </c>
      <c r="H24" s="626" t="n">
        <v>557.1124750633038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26"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563" t="inlineStr">
        <is>
          <t>AI-SDR case — drivers from Assumptions_Drivers</t>
        </is>
      </c>
    </row>
    <row r="3">
      <c r="B3" t="inlineStr">
        <is>
          <t>Driver cells: Assumptions_Drivers!C5:C20</t>
        </is>
      </c>
    </row>
    <row r="4">
      <c r="B4" s="412" t="inlineStr">
        <is>
          <t>Metric</t>
        </is>
      </c>
      <c r="C4" s="412" t="inlineStr">
        <is>
          <t>FY2024A</t>
        </is>
      </c>
      <c r="D4" s="412" t="inlineStr">
        <is>
          <t>Y1 2025</t>
        </is>
      </c>
      <c r="E4" s="412" t="inlineStr">
        <is>
          <t>Y2 2026</t>
        </is>
      </c>
      <c r="F4" s="412" t="inlineStr">
        <is>
          <t>Y3 2027</t>
        </is>
      </c>
      <c r="G4" s="412" t="inlineStr">
        <is>
          <t>Y4 2028</t>
        </is>
      </c>
      <c r="H4" s="412" t="inlineStr">
        <is>
          <t>Y5 2029</t>
        </is>
      </c>
    </row>
    <row r="5">
      <c r="B5" s="575" t="inlineStr">
        <is>
          <t>Revenue</t>
        </is>
      </c>
      <c r="C5" s="582" t="n">
        <v>1214.3</v>
      </c>
      <c r="D5" s="626" t="n">
        <v>1335.73</v>
      </c>
      <c r="E5" s="626" t="n">
        <v>1469.303</v>
      </c>
      <c r="F5" s="626" t="n">
        <v>1616.2333</v>
      </c>
      <c r="G5" s="626" t="n">
        <v>1777.85663</v>
      </c>
      <c r="H5" s="626" t="n">
        <v>1955.642293000001</v>
      </c>
    </row>
    <row r="6">
      <c r="B6" s="575" t="inlineStr">
        <is>
          <t>COGS</t>
        </is>
      </c>
      <c r="C6" s="582" t="n">
        <v>242.8599999999999</v>
      </c>
      <c r="D6" s="626" t="n">
        <v>267.146</v>
      </c>
      <c r="E6" s="626" t="n">
        <v>293.8606</v>
      </c>
      <c r="F6" s="626" t="n">
        <v>323.24666</v>
      </c>
      <c r="G6" s="626" t="n">
        <v>355.571326</v>
      </c>
      <c r="H6" s="626" t="n">
        <v>391.1284586</v>
      </c>
    </row>
    <row r="7">
      <c r="B7" s="575" t="inlineStr">
        <is>
          <t>Sales payroll (human)</t>
        </is>
      </c>
      <c r="C7" s="582" t="n">
        <v>318.8</v>
      </c>
      <c r="D7" s="626" t="n">
        <v>270.98</v>
      </c>
      <c r="E7" s="626" t="n">
        <v>276.3996</v>
      </c>
      <c r="F7" s="626" t="n">
        <v>281.927592</v>
      </c>
      <c r="G7" s="626" t="n">
        <v>287.56614384</v>
      </c>
      <c r="H7" s="626" t="n">
        <v>293.3174667168</v>
      </c>
    </row>
    <row r="8">
      <c r="B8" s="575" t="inlineStr">
        <is>
          <t>Variable commissions</t>
        </is>
      </c>
      <c r="C8" s="582" t="n">
        <v>106.2</v>
      </c>
      <c r="D8" s="626" t="n">
        <v>84.96000000000001</v>
      </c>
      <c r="E8" s="626" t="n">
        <v>86.65920000000001</v>
      </c>
      <c r="F8" s="626" t="n">
        <v>88.39238400000002</v>
      </c>
      <c r="G8" s="626" t="n">
        <v>90.16023168000002</v>
      </c>
      <c r="H8" s="626" t="n">
        <v>91.96343631360003</v>
      </c>
    </row>
    <row r="9">
      <c r="B9" s="575" t="inlineStr">
        <is>
          <t>S&amp;M human total</t>
        </is>
      </c>
      <c r="C9" s="582" t="n">
        <v>425</v>
      </c>
      <c r="D9" s="626" t="n">
        <v>355.9400000000001</v>
      </c>
      <c r="E9" s="626" t="n">
        <v>363.0588</v>
      </c>
      <c r="F9" s="626" t="n">
        <v>370.319976</v>
      </c>
      <c r="G9" s="626" t="n">
        <v>377.72637552</v>
      </c>
      <c r="H9" s="626" t="n">
        <v>385.2809030304001</v>
      </c>
    </row>
    <row r="10">
      <c r="B10" s="575" t="inlineStr">
        <is>
          <t>AI infrastructure</t>
        </is>
      </c>
      <c r="C10" s="582" t="n">
        <v>0</v>
      </c>
      <c r="D10" s="626" t="n">
        <v>34</v>
      </c>
      <c r="E10" s="626" t="n">
        <v>34</v>
      </c>
      <c r="F10" s="626" t="n">
        <v>34</v>
      </c>
      <c r="G10" s="626" t="n">
        <v>34</v>
      </c>
      <c r="H10" s="626" t="n">
        <v>34</v>
      </c>
    </row>
    <row r="11">
      <c r="B11" s="575" t="inlineStr">
        <is>
          <t>R&amp;D</t>
        </is>
      </c>
      <c r="C11" s="582" t="n">
        <v>196.1</v>
      </c>
      <c r="D11" s="626" t="n">
        <v>215.71</v>
      </c>
      <c r="E11" s="626" t="n">
        <v>237.281</v>
      </c>
      <c r="F11" s="626" t="n">
        <v>261.0091</v>
      </c>
      <c r="G11" s="626" t="n">
        <v>287.11001</v>
      </c>
      <c r="H11" s="626" t="n">
        <v>315.8210110000001</v>
      </c>
    </row>
    <row r="12">
      <c r="B12" s="575" t="inlineStr">
        <is>
          <t>G&amp;A (admin)</t>
        </is>
      </c>
      <c r="C12" s="582" t="n">
        <v>218.574</v>
      </c>
      <c r="D12" s="626" t="n">
        <v>240.4314</v>
      </c>
      <c r="E12" s="626" t="n">
        <v>264.47454</v>
      </c>
      <c r="F12" s="626" t="n">
        <v>290.921994</v>
      </c>
      <c r="G12" s="626" t="n">
        <v>320.0141934000001</v>
      </c>
      <c r="H12" s="626" t="n">
        <v>352.0156127400001</v>
      </c>
    </row>
    <row r="13">
      <c r="B13" s="575" t="inlineStr">
        <is>
          <t>EBITDA</t>
        </is>
      </c>
      <c r="C13" s="582" t="n">
        <v>183.1</v>
      </c>
      <c r="D13" s="626" t="n">
        <v>222.5026</v>
      </c>
      <c r="E13" s="626" t="n">
        <v>276.6280600000002</v>
      </c>
      <c r="F13" s="626" t="n">
        <v>336.7355700000003</v>
      </c>
      <c r="G13" s="626" t="n">
        <v>403.4347250800001</v>
      </c>
      <c r="H13" s="626" t="n">
        <v>477.3963076296004</v>
      </c>
    </row>
    <row r="14">
      <c r="B14" s="575" t="inlineStr">
        <is>
          <t>EBITDA margin</t>
        </is>
      </c>
      <c r="C14" s="583" t="n">
        <v>0.150786461335749</v>
      </c>
      <c r="D14" s="624" t="n">
        <v>0.1665775268954055</v>
      </c>
      <c r="E14" s="624" t="n">
        <v>0.1882716226673465</v>
      </c>
      <c r="F14" s="624" t="n">
        <v>0.2083458928856374</v>
      </c>
      <c r="G14" s="624" t="n">
        <v>0.2269219678754411</v>
      </c>
      <c r="H14" s="624" t="n">
        <v>0.2441122844082408</v>
      </c>
    </row>
    <row r="15">
      <c r="B15" s="575" t="inlineStr">
        <is>
          <t>D&amp;A</t>
        </is>
      </c>
      <c r="C15" s="582" t="n">
        <v>85.7</v>
      </c>
      <c r="D15" s="626" t="n">
        <v>94.27</v>
      </c>
      <c r="E15" s="626" t="n">
        <v>103.697</v>
      </c>
      <c r="F15" s="626" t="n">
        <v>114.0667</v>
      </c>
      <c r="G15" s="626" t="n">
        <v>125.47337</v>
      </c>
      <c r="H15" s="626" t="n">
        <v>138.020707</v>
      </c>
    </row>
    <row r="16">
      <c r="B16" s="575" t="inlineStr">
        <is>
          <t>EBIT</t>
        </is>
      </c>
      <c r="C16" s="582" t="n">
        <v>97.40000000000001</v>
      </c>
      <c r="D16" s="626" t="n">
        <v>128.2326</v>
      </c>
      <c r="E16" s="626" t="n">
        <v>172.9310600000002</v>
      </c>
      <c r="F16" s="626" t="n">
        <v>222.6688700000003</v>
      </c>
      <c r="G16" s="626" t="n">
        <v>277.9613550800001</v>
      </c>
      <c r="H16" s="626" t="n">
        <v>339.3756006296003</v>
      </c>
    </row>
    <row r="17">
      <c r="B17" s="575" t="inlineStr">
        <is>
          <t>Interest</t>
        </is>
      </c>
      <c r="D17" s="626" t="n">
        <v>77.8175</v>
      </c>
      <c r="E17" s="626" t="n">
        <v>68.975234523</v>
      </c>
      <c r="F17" s="626" t="n">
        <v>56.06864893947309</v>
      </c>
      <c r="G17" s="626" t="n">
        <v>38.27932966018786</v>
      </c>
      <c r="H17" s="626" t="n">
        <v>12.71433377476873</v>
      </c>
    </row>
    <row r="18">
      <c r="B18" s="575" t="inlineStr">
        <is>
          <t>Net income</t>
        </is>
      </c>
      <c r="D18" s="626" t="n">
        <v>39.82792900000004</v>
      </c>
      <c r="E18" s="626" t="n">
        <v>82.12510212683014</v>
      </c>
      <c r="F18" s="626" t="n">
        <v>131.6141746378165</v>
      </c>
      <c r="G18" s="626" t="n">
        <v>189.3488000816517</v>
      </c>
      <c r="H18" s="626" t="n">
        <v>258.0624008153169</v>
      </c>
    </row>
    <row r="19">
      <c r="B19" s="575" t="inlineStr">
        <is>
          <t>CapEx</t>
        </is>
      </c>
      <c r="D19" s="626" t="n">
        <v>25.37887</v>
      </c>
      <c r="E19" s="626" t="n">
        <v>27.916757</v>
      </c>
      <c r="F19" s="626" t="n">
        <v>30.70843270000001</v>
      </c>
      <c r="G19" s="626" t="n">
        <v>33.77927597000001</v>
      </c>
      <c r="H19" s="626" t="n">
        <v>37.15720356700001</v>
      </c>
    </row>
    <row r="20">
      <c r="B20" s="575" t="inlineStr">
        <is>
          <t>ΔNWC</t>
        </is>
      </c>
      <c r="D20" s="626" t="n">
        <v>2.185740000000001</v>
      </c>
      <c r="E20" s="626" t="n">
        <v>2.404314000000002</v>
      </c>
      <c r="F20" s="626" t="n">
        <v>2.644745400000004</v>
      </c>
      <c r="G20" s="626" t="n">
        <v>2.909219940000003</v>
      </c>
      <c r="H20" s="626" t="n">
        <v>3.200141934000002</v>
      </c>
    </row>
    <row r="21">
      <c r="B21" s="575" t="inlineStr">
        <is>
          <t>FCF after interest</t>
        </is>
      </c>
      <c r="D21" s="626" t="n">
        <v>106.533319</v>
      </c>
      <c r="E21" s="626" t="n">
        <v>155.5010311268301</v>
      </c>
      <c r="F21" s="626" t="n">
        <v>212.3276965378165</v>
      </c>
      <c r="G21" s="626" t="n">
        <v>278.1336741716516</v>
      </c>
      <c r="H21" s="626" t="n">
        <v>355.725762314317</v>
      </c>
    </row>
    <row r="22">
      <c r="B22" s="575" t="inlineStr">
        <is>
          <t>Mandatory amort</t>
        </is>
      </c>
      <c r="D22" s="626" t="n">
        <v>9.154999999999999</v>
      </c>
      <c r="E22" s="626" t="n">
        <v>9.154999999999999</v>
      </c>
      <c r="F22" s="626" t="n">
        <v>9.154999999999999</v>
      </c>
      <c r="G22" s="626" t="n">
        <v>9.154999999999999</v>
      </c>
      <c r="H22" s="626" t="n">
        <v>9.154999999999999</v>
      </c>
    </row>
    <row r="23">
      <c r="B23" s="575" t="inlineStr">
        <is>
          <t>Total debt paydown</t>
        </is>
      </c>
      <c r="D23" s="626" t="n">
        <v>106.533319</v>
      </c>
      <c r="E23" s="626" t="n">
        <v>155.5010311268301</v>
      </c>
      <c r="F23" s="626" t="n">
        <v>212.3276965378165</v>
      </c>
      <c r="G23" s="626" t="n">
        <v>278.1336741716516</v>
      </c>
      <c r="H23" s="626" t="n">
        <v>163.0042791637017</v>
      </c>
    </row>
    <row r="24">
      <c r="B24" s="575" t="inlineStr">
        <is>
          <t>Debt end</t>
        </is>
      </c>
      <c r="C24" s="582" t="n">
        <v>1329.9</v>
      </c>
      <c r="D24" s="626" t="n">
        <v>808.966681</v>
      </c>
      <c r="E24" s="626" t="n">
        <v>653.4656498731698</v>
      </c>
      <c r="F24" s="626" t="n">
        <v>441.1379533353534</v>
      </c>
      <c r="G24" s="626" t="n">
        <v>163.0042791637017</v>
      </c>
      <c r="H24" s="6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42"/>
  <sheetViews>
    <sheetView showGridLines="0" tabSelected="1" workbookViewId="0">
      <selection activeCell="A1" sqref="A1"/>
    </sheetView>
  </sheetViews>
  <sheetFormatPr baseColWidth="8" defaultRowHeight="15"/>
  <sheetData>
    <row r="2">
      <c r="B2" t="inlineStr">
        <is>
          <t>vengeanceaiUSC-LBOMODEL1 — ZoomInfo AI-SDR take-private</t>
        </is>
      </c>
    </row>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Open Strategy_Summary first — AI vs Base IRR and 500+ bps check</t>
        </is>
      </c>
    </row>
    <row r="41">
      <c r="B41" t="inlineStr">
        <is>
          <t>AI IRR 16.9% vs Base 5.8% → +11.1 IRR points from AI S&amp;M</t>
        </is>
      </c>
    </row>
    <row r="42">
      <c r="B42" t="inlineStr">
        <is>
          <t>Y2 margin expansion 566 bps (target ≥500)</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8.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ZoomInfo (GTM) — vengeanceaiUSC-LBOMODEL1 AI-SDR</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ZoomInfo Technologies Inc.</t>
        </is>
      </c>
    </row>
    <row r="7">
      <c r="B7" s="159" t="inlineStr">
        <is>
          <t>Ticker (if applicable)</t>
        </is>
      </c>
      <c r="D7" s="378" t="inlineStr">
        <is>
          <t>GTM</t>
        </is>
      </c>
      <c r="F7" s="100" t="inlineStr">
        <is>
          <t>Select a valuation approach:</t>
        </is>
      </c>
      <c r="H7" s="423" t="n">
        <v>1</v>
      </c>
      <c r="I7" s="424" t="n">
        <v>1</v>
      </c>
      <c r="J7" s="425" t="n">
        <v>2</v>
      </c>
    </row>
    <row r="8">
      <c r="B8" s="159" t="inlineStr">
        <is>
          <t>Current share price (if applicable)</t>
        </is>
      </c>
      <c r="D8" s="135" t="n">
        <v>4.05</v>
      </c>
      <c r="H8" s="426" t="inlineStr">
        <is>
          <t>Explicit offer/share</t>
        </is>
      </c>
      <c r="I8" s="253" t="inlineStr">
        <is>
          <t>Explicit EBITDA</t>
        </is>
      </c>
      <c r="J8" s="253" t="inlineStr">
        <is>
          <t>Explicit offer/share</t>
        </is>
      </c>
    </row>
    <row r="9">
      <c r="B9" s="159" t="inlineStr">
        <is>
          <t>Latest closing share price date (f applicable)</t>
        </is>
      </c>
      <c r="D9" s="365" t="n">
        <v>46249</v>
      </c>
    </row>
    <row r="10">
      <c r="B10" s="159" t="inlineStr">
        <is>
          <t>Circuit breaker:</t>
        </is>
      </c>
      <c r="D10" s="427" t="inlineStr">
        <is>
          <t>OFF</t>
        </is>
      </c>
      <c r="F10" s="4" t="inlineStr">
        <is>
          <t>LTM EBITDA</t>
        </is>
      </c>
      <c r="H10" s="140" t="n">
        <v>183.1</v>
      </c>
      <c r="I10" s="140" t="n">
        <v>183.1</v>
      </c>
      <c r="J10" s="140" t="n">
        <v>183.1</v>
      </c>
    </row>
    <row r="11">
      <c r="F11" s="4" t="inlineStr">
        <is>
          <t>EV / LTM EBITDA</t>
        </is>
      </c>
      <c r="H11" s="428" t="n">
        <v>14.78</v>
      </c>
      <c r="I11" s="429" t="n">
        <v>14.78</v>
      </c>
      <c r="J11" s="428" t="n">
        <v>14.78</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30" t="n">
        <v>183.1</v>
      </c>
    </row>
    <row r="14">
      <c r="B14" s="159" t="inlineStr">
        <is>
          <t>Gross Debt (input as a -)</t>
        </is>
      </c>
      <c r="D14" s="228" t="n">
        <v>-1329.9</v>
      </c>
      <c r="F14" s="159" t="inlineStr">
        <is>
          <t>Less: Gross Debt (latest filing)</t>
        </is>
      </c>
      <c r="H14" s="140" t="n">
        <v>-1306</v>
      </c>
      <c r="I14" s="140" t="n">
        <v>-1306</v>
      </c>
      <c r="J14" s="140" t="n">
        <v>-1306</v>
      </c>
    </row>
    <row r="15">
      <c r="B15" s="159" t="inlineStr">
        <is>
          <t>Cash</t>
        </is>
      </c>
      <c r="D15" s="228" t="n">
        <v>179.9</v>
      </c>
      <c r="F15" s="159" t="inlineStr">
        <is>
          <t>Plus: Cash (latest filing)</t>
        </is>
      </c>
      <c r="H15" s="140" t="n">
        <v>1581.9</v>
      </c>
      <c r="I15" s="140" t="n">
        <v>1581.9</v>
      </c>
      <c r="J15" s="140" t="n">
        <v>1581.9</v>
      </c>
    </row>
    <row r="16">
      <c r="B16" s="34" t="inlineStr">
        <is>
          <t>Minimum cash desired</t>
        </is>
      </c>
      <c r="D16" s="228" t="n">
        <v>50</v>
      </c>
    </row>
    <row r="17">
      <c r="B17" s="159" t="inlineStr">
        <is>
          <t>EV / LTM EBITDA multiple at exit</t>
        </is>
      </c>
      <c r="D17" s="429" t="n">
        <v>13</v>
      </c>
      <c r="F17" s="3" t="inlineStr">
        <is>
          <t>Offer value</t>
        </is>
      </c>
      <c r="H17" s="57" t="n">
        <v>6741.92625</v>
      </c>
      <c r="I17" s="57" t="n">
        <v>6719.610000000002</v>
      </c>
      <c r="J17" s="57" t="n">
        <v>6741.92625</v>
      </c>
    </row>
    <row r="18">
      <c r="C18" s="431" t="n"/>
      <c r="F18" t="inlineStr">
        <is>
          <t>Diluted shares outstanding</t>
        </is>
      </c>
      <c r="H18" s="432" t="n">
        <v>307.294</v>
      </c>
      <c r="I18" s="430" t="n">
        <v>307.294</v>
      </c>
      <c r="J18" s="430" t="n">
        <v>307.294</v>
      </c>
      <c r="K18" s="433" t="n"/>
      <c r="L18" s="433" t="n"/>
    </row>
    <row r="19">
      <c r="B19" s="153" t="inlineStr">
        <is>
          <t>USES OF FUNDS</t>
        </is>
      </c>
      <c r="C19" s="15" t="n"/>
      <c r="D19" s="15" t="n"/>
      <c r="K19" s="433" t="n"/>
      <c r="L19" s="433" t="n"/>
    </row>
    <row r="20">
      <c r="B20" s="34" t="inlineStr">
        <is>
          <t>Buyout of equity</t>
        </is>
      </c>
      <c r="D20" s="434" t="n">
        <v>1555.7</v>
      </c>
      <c r="E20" s="435" t="n"/>
      <c r="F20" s="3" t="inlineStr">
        <is>
          <t>Offer value / per share</t>
        </is>
      </c>
      <c r="H20" s="307" t="n">
        <v>5.0625</v>
      </c>
      <c r="I20" s="307" t="n">
        <v>5.0625</v>
      </c>
      <c r="J20" s="366" t="n">
        <v>5.0625</v>
      </c>
      <c r="K20" s="433" t="n"/>
      <c r="L20" s="433" t="n"/>
    </row>
    <row r="21">
      <c r="B21" s="34" t="inlineStr">
        <is>
          <t>Refinancing of oldco debt</t>
        </is>
      </c>
      <c r="D21" s="434" t="n">
        <v>1329.9</v>
      </c>
      <c r="E21" s="435" t="n"/>
      <c r="F21" s="158" t="inlineStr">
        <is>
          <t>% Premium / discount</t>
        </is>
      </c>
      <c r="H21" s="435" t="n">
        <v>0.25</v>
      </c>
      <c r="I21" s="435" t="n">
        <v>0.25</v>
      </c>
      <c r="J21" s="435" t="n">
        <v>0.25</v>
      </c>
      <c r="K21" s="433" t="n"/>
      <c r="L21" s="433" t="n"/>
    </row>
    <row r="22">
      <c r="B22" s="34" t="inlineStr">
        <is>
          <t>Fees (transaction &amp; financing)</t>
        </is>
      </c>
      <c r="D22" s="436" t="n">
        <v>31.1</v>
      </c>
      <c r="H22" s="158" t="n"/>
      <c r="J22" s="437" t="n"/>
      <c r="K22" s="433" t="n"/>
      <c r="L22" s="433" t="n"/>
    </row>
    <row r="23">
      <c r="B23" s="383" t="inlineStr">
        <is>
          <t>Total Uses</t>
        </is>
      </c>
      <c r="D23" s="438" t="n">
        <v>2916.7</v>
      </c>
      <c r="H23" s="158" t="n"/>
      <c r="J23" s="437" t="n"/>
      <c r="K23" s="433" t="n"/>
      <c r="L23" s="433" t="n"/>
    </row>
    <row r="24">
      <c r="C24" s="431" t="n"/>
      <c r="H24" s="158" t="n"/>
      <c r="J24" s="437" t="n"/>
      <c r="K24" s="433" t="n"/>
      <c r="L24" s="433" t="n"/>
    </row>
    <row r="25">
      <c r="B25" s="153" t="inlineStr">
        <is>
          <t>SOURCES OF FUNDS</t>
        </is>
      </c>
      <c r="C25" s="15" t="n"/>
      <c r="D25" s="15" t="n"/>
      <c r="E25" s="434"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39" t="n">
        <v>1.588195309844794</v>
      </c>
      <c r="D27" s="434" t="n">
        <v>129.9</v>
      </c>
      <c r="F27" s="100" t="inlineStr">
        <is>
          <t>Financing fees</t>
        </is>
      </c>
    </row>
    <row r="28">
      <c r="B28" s="159" t="inlineStr">
        <is>
          <t>Revolver</t>
        </is>
      </c>
      <c r="C28" s="440" t="n">
        <v>0</v>
      </c>
      <c r="D28" s="434" t="n">
        <v>0</v>
      </c>
      <c r="F28" s="34" t="inlineStr">
        <is>
          <t>Revolver</t>
        </is>
      </c>
      <c r="G28" s="441" t="n">
        <v>0.01</v>
      </c>
      <c r="H28" s="434" t="n">
        <v>0</v>
      </c>
      <c r="I28" s="442" t="n">
        <v>5</v>
      </c>
      <c r="J28" s="443" t="n">
        <v>0</v>
      </c>
    </row>
    <row r="29">
      <c r="B29" s="34" t="inlineStr">
        <is>
          <t>Term Loan A</t>
        </is>
      </c>
      <c r="C29" s="444" t="n">
        <v>2.5</v>
      </c>
      <c r="D29" s="434" t="n">
        <v>457.8</v>
      </c>
      <c r="F29" s="34" t="inlineStr">
        <is>
          <t>Term Loan A</t>
        </is>
      </c>
      <c r="G29" s="441" t="n">
        <v>0.015</v>
      </c>
      <c r="H29" s="434" t="n">
        <v>43.29643500000002</v>
      </c>
      <c r="I29" s="442" t="n">
        <v>7</v>
      </c>
      <c r="J29" s="443" t="n">
        <v>6.185205000000003</v>
      </c>
    </row>
    <row r="30">
      <c r="B30" s="34" t="inlineStr">
        <is>
          <t>Term Loan B</t>
        </is>
      </c>
      <c r="C30" s="444" t="n">
        <v>1.5</v>
      </c>
      <c r="D30" s="434" t="n">
        <v>274.7</v>
      </c>
      <c r="F30" s="34" t="inlineStr">
        <is>
          <t>Term Loan B</t>
        </is>
      </c>
      <c r="G30" s="441" t="n">
        <v>0.015</v>
      </c>
      <c r="H30" s="434" t="n">
        <v>10.06278</v>
      </c>
      <c r="I30" s="442" t="n">
        <v>7</v>
      </c>
      <c r="J30" s="443" t="n">
        <v>1.43754</v>
      </c>
      <c r="P30" s="383" t="n"/>
      <c r="R30" s="438" t="n"/>
    </row>
    <row r="31">
      <c r="B31" s="34" t="inlineStr">
        <is>
          <t>Senior Note</t>
        </is>
      </c>
      <c r="C31" s="444" t="n">
        <v>1</v>
      </c>
      <c r="D31" s="434" t="n">
        <v>183.1</v>
      </c>
      <c r="F31" s="34" t="inlineStr">
        <is>
          <t>Senior Note</t>
        </is>
      </c>
      <c r="G31" s="441" t="n">
        <v>0.01</v>
      </c>
      <c r="H31" s="434" t="n">
        <v>16.32995000000001</v>
      </c>
      <c r="I31" s="442" t="n">
        <v>8</v>
      </c>
      <c r="J31" s="443" t="n">
        <v>2.041243750000001</v>
      </c>
      <c r="P31" s="383" t="n"/>
      <c r="R31" s="438" t="n"/>
    </row>
    <row r="32">
      <c r="B32" s="34" t="inlineStr">
        <is>
          <t>Sub Note</t>
        </is>
      </c>
      <c r="C32" s="444" t="n">
        <v>0</v>
      </c>
      <c r="D32" s="434" t="n">
        <v>0</v>
      </c>
      <c r="F32" s="34" t="inlineStr">
        <is>
          <t>Sub Note</t>
        </is>
      </c>
      <c r="G32" s="441" t="n">
        <v>0</v>
      </c>
      <c r="H32" s="445" t="n">
        <v>0</v>
      </c>
      <c r="I32" s="442" t="n"/>
      <c r="J32" s="446" t="inlineStr">
        <is>
          <t>NM</t>
        </is>
      </c>
      <c r="P32" s="383" t="n"/>
      <c r="R32" s="438" t="n"/>
    </row>
    <row r="33">
      <c r="B33" s="34" t="inlineStr">
        <is>
          <t>Preferred stock</t>
        </is>
      </c>
      <c r="C33" s="444" t="n">
        <v>0</v>
      </c>
      <c r="D33" s="434" t="n">
        <v>0</v>
      </c>
      <c r="F33" s="332" t="inlineStr">
        <is>
          <t>Financing fees</t>
        </is>
      </c>
      <c r="H33" s="438" t="n">
        <v>69.68916500000003</v>
      </c>
      <c r="I33" s="202" t="n"/>
      <c r="J33" s="434" t="n">
        <v>9.663988750000003</v>
      </c>
      <c r="P33" s="383" t="n"/>
      <c r="R33" s="438" t="n"/>
    </row>
    <row r="34">
      <c r="B34" s="34" t="inlineStr">
        <is>
          <t>Mgmt rollover</t>
        </is>
      </c>
      <c r="C34" s="444" t="n">
        <v>0</v>
      </c>
      <c r="D34" s="434" t="n">
        <v>0</v>
      </c>
      <c r="H34" s="438" t="n"/>
      <c r="P34" s="383" t="n"/>
      <c r="R34" s="438" t="n"/>
    </row>
    <row r="35" ht="16.5" customHeight="1" s="244">
      <c r="B35" s="34" t="inlineStr">
        <is>
          <t>Sponsor equity</t>
        </is>
      </c>
      <c r="C35" s="439" t="n">
        <v>1.880908507986857</v>
      </c>
      <c r="D35" s="445" t="n">
        <v>1871.3</v>
      </c>
      <c r="F35" s="34" t="n"/>
      <c r="G35" s="296" t="inlineStr">
        <is>
          <t>% of offer value</t>
        </is>
      </c>
      <c r="H35" s="296" t="inlineStr">
        <is>
          <t>Fee</t>
        </is>
      </c>
      <c r="P35" s="383" t="n"/>
      <c r="R35" s="438" t="n"/>
    </row>
    <row r="36">
      <c r="B36" s="147" t="inlineStr">
        <is>
          <t>Total Sources</t>
        </is>
      </c>
      <c r="C36" s="447" t="n">
        <v>9.349103817831651</v>
      </c>
      <c r="D36" s="438" t="n">
        <v>2916.7</v>
      </c>
      <c r="F36" s="332" t="inlineStr">
        <is>
          <t>Trans. fees</t>
        </is>
      </c>
      <c r="G36" s="431" t="n">
        <v>0.02</v>
      </c>
      <c r="H36" s="438" t="n">
        <v>134.838525</v>
      </c>
    </row>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48" t="n">
        <v>2013</v>
      </c>
      <c r="F39" s="157" t="n">
        <v>2025</v>
      </c>
      <c r="G39" s="157" t="n">
        <v>2026</v>
      </c>
      <c r="H39" s="157" t="n">
        <v>2027</v>
      </c>
      <c r="I39" s="157" t="n">
        <v>2028</v>
      </c>
      <c r="J39" s="157" t="n">
        <v>2029</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49" t="n">
        <v>2065.3</v>
      </c>
      <c r="D42" s="449" t="n">
        <v>2172</v>
      </c>
      <c r="E42" s="449" t="n">
        <v>2201.4</v>
      </c>
      <c r="F42" s="430" t="n">
        <v>1250.7</v>
      </c>
      <c r="G42" s="430" t="n">
        <v>1300.8</v>
      </c>
      <c r="H42" s="430" t="n">
        <v>1352.8</v>
      </c>
      <c r="I42" s="430" t="n">
        <v>1393.4</v>
      </c>
      <c r="J42" s="430" t="n">
        <v>1435.2</v>
      </c>
    </row>
    <row r="43">
      <c r="B43" t="inlineStr">
        <is>
          <t>Cost of sales (enter as -)</t>
        </is>
      </c>
      <c r="C43" s="449" t="n">
        <v>-485.2</v>
      </c>
      <c r="D43" s="449" t="n">
        <v>-568.9</v>
      </c>
      <c r="E43" s="449" t="n">
        <v>-592</v>
      </c>
      <c r="F43" s="430" t="n">
        <v>-195.5</v>
      </c>
      <c r="G43" s="430" t="n">
        <v>-203.3</v>
      </c>
      <c r="H43" s="430" t="n">
        <v>-211.4</v>
      </c>
      <c r="I43" s="430" t="n">
        <v>-217.8</v>
      </c>
      <c r="J43" s="430" t="n">
        <v>-224.3</v>
      </c>
    </row>
    <row r="44">
      <c r="B44" s="383" t="inlineStr">
        <is>
          <t>Gross Profit</t>
        </is>
      </c>
      <c r="C44" s="450" t="n">
        <v>1580.1</v>
      </c>
      <c r="D44" s="450" t="n">
        <v>1603.1</v>
      </c>
      <c r="E44" s="450" t="n">
        <v>1609.4</v>
      </c>
      <c r="F44" s="450" t="n">
        <v>1696.85680029765</v>
      </c>
      <c r="G44" s="450" t="n">
        <v>1802.202742789021</v>
      </c>
      <c r="H44" s="450" t="n">
        <v>1923.074854939862</v>
      </c>
      <c r="I44" s="450" t="n">
        <v>2032.605542649531</v>
      </c>
      <c r="J44" s="450" t="n">
        <v>2144.189647017592</v>
      </c>
    </row>
    <row r="45">
      <c r="B45" t="inlineStr">
        <is>
          <t>Research &amp; development (enter as -)</t>
        </is>
      </c>
      <c r="C45" s="449" t="n">
        <v>-181.6</v>
      </c>
      <c r="D45" s="449" t="n">
        <v>-165.2</v>
      </c>
      <c r="E45" s="449" t="n">
        <v>-174.6</v>
      </c>
      <c r="F45" s="430" t="n">
        <v>-202</v>
      </c>
      <c r="G45" s="430" t="n">
        <v>-210.1</v>
      </c>
      <c r="H45" s="430" t="n">
        <v>-218.5</v>
      </c>
      <c r="I45" s="430" t="n">
        <v>-225</v>
      </c>
      <c r="J45" s="430" t="n">
        <v>-231.8</v>
      </c>
    </row>
    <row r="46">
      <c r="B46" t="inlineStr">
        <is>
          <t>Selling, general &amp; administrative (enter as -)</t>
        </is>
      </c>
      <c r="C46" s="449" t="n">
        <v>-865.6999999999999</v>
      </c>
      <c r="D46" s="449" t="n">
        <v>-894</v>
      </c>
      <c r="E46" s="449" t="n">
        <v>-969.3999999999999</v>
      </c>
      <c r="F46" s="430" t="n">
        <v>-601.4</v>
      </c>
      <c r="G46" s="430" t="n">
        <v>-617.6</v>
      </c>
      <c r="H46" s="430" t="n">
        <v>-634.3</v>
      </c>
      <c r="I46" s="430" t="n">
        <v>-649.2</v>
      </c>
      <c r="J46" s="430" t="n">
        <v>-664.4</v>
      </c>
    </row>
    <row r="47">
      <c r="B47" t="inlineStr">
        <is>
          <t>Deal-related D&amp;A (enter as -)</t>
        </is>
      </c>
      <c r="C47" s="449" t="n"/>
      <c r="D47" s="449" t="n"/>
      <c r="E47" s="449" t="n"/>
      <c r="F47" s="430" t="n">
        <v>-52.99732208333334</v>
      </c>
      <c r="G47" s="430" t="n">
        <v>-52.99732208333334</v>
      </c>
      <c r="H47" s="430" t="n">
        <v>-52.99732208333334</v>
      </c>
      <c r="I47" s="430" t="n">
        <v>-52.99732208333334</v>
      </c>
      <c r="J47" s="430" t="n">
        <v>-52.99732208333334</v>
      </c>
    </row>
    <row r="48">
      <c r="B48" s="383" t="inlineStr">
        <is>
          <t>Operating profit (EBIT)</t>
        </is>
      </c>
      <c r="C48" s="450" t="n">
        <v>532.8000000000003</v>
      </c>
      <c r="D48" s="450" t="n">
        <v>543.8999999999999</v>
      </c>
      <c r="E48" s="450" t="n">
        <v>465.4000000000003</v>
      </c>
      <c r="F48" s="450" t="n">
        <v>163.6</v>
      </c>
      <c r="G48" s="450" t="n">
        <v>178</v>
      </c>
      <c r="H48" s="450" t="n">
        <v>193.1</v>
      </c>
      <c r="I48" s="450" t="n">
        <v>203.1</v>
      </c>
      <c r="J48" s="450" t="n">
        <v>213.4</v>
      </c>
      <c r="K48" s="140" t="n"/>
    </row>
    <row r="49">
      <c r="B49" t="inlineStr">
        <is>
          <t>Interest income</t>
        </is>
      </c>
      <c r="C49" s="449" t="n">
        <v>15</v>
      </c>
      <c r="D49" s="449" t="n">
        <v>10.6</v>
      </c>
      <c r="E49" s="449" t="n">
        <v>8.300000000000001</v>
      </c>
      <c r="F49" s="434" t="n">
        <v>0.9286713286713288</v>
      </c>
      <c r="G49" s="434" t="n">
        <v>0.9286713286713288</v>
      </c>
      <c r="H49" s="434" t="n">
        <v>0.9286713286713288</v>
      </c>
      <c r="I49" s="434" t="n">
        <v>0.9286713286713288</v>
      </c>
      <c r="J49" s="434" t="n">
        <v>0.9286713286713283</v>
      </c>
    </row>
    <row r="50">
      <c r="B50" t="inlineStr">
        <is>
          <t>Interest expense (enter as -)</t>
        </is>
      </c>
      <c r="C50" s="449" t="n">
        <v>-19.8</v>
      </c>
      <c r="D50" s="449" t="n">
        <v>-23.3</v>
      </c>
      <c r="E50" s="449" t="n">
        <v>-47.8</v>
      </c>
      <c r="F50" s="434" t="n">
        <v>-68.7</v>
      </c>
      <c r="G50" s="434" t="n">
        <v>-58.3</v>
      </c>
      <c r="H50" s="434" t="n">
        <v>-46.4</v>
      </c>
      <c r="I50" s="434" t="n">
        <v>-32.7</v>
      </c>
      <c r="J50" s="434" t="n">
        <v>-17.3</v>
      </c>
    </row>
    <row r="51">
      <c r="B51" t="inlineStr">
        <is>
          <t>Other non-operating expense (enter as -)</t>
        </is>
      </c>
      <c r="C51" s="449" t="n">
        <v>3.3</v>
      </c>
      <c r="D51" s="449" t="n">
        <v>-1.2</v>
      </c>
      <c r="E51" s="449" t="n">
        <v>2</v>
      </c>
      <c r="F51" s="449" t="n">
        <v>0</v>
      </c>
      <c r="G51" s="449" t="n">
        <v>0</v>
      </c>
      <c r="H51" s="449" t="n">
        <v>0</v>
      </c>
      <c r="I51" s="449" t="n">
        <v>0</v>
      </c>
      <c r="J51" s="449" t="n">
        <v>0</v>
      </c>
    </row>
    <row r="52">
      <c r="B52" s="383" t="inlineStr">
        <is>
          <t>Pretax profit</t>
        </is>
      </c>
      <c r="C52" s="450" t="n">
        <v>531.3000000000003</v>
      </c>
      <c r="D52" s="450" t="n">
        <v>529.9999999999999</v>
      </c>
      <c r="E52" s="450" t="n">
        <v>427.9000000000003</v>
      </c>
      <c r="F52" s="450" t="n">
        <v>197.6677247126019</v>
      </c>
      <c r="G52" s="450" t="n">
        <v>284.7778260029322</v>
      </c>
      <c r="H52" s="450" t="n">
        <v>378.813008490489</v>
      </c>
      <c r="I52" s="450" t="n">
        <v>479.2703498042181</v>
      </c>
      <c r="J52" s="450" t="n">
        <v>596.382663328335</v>
      </c>
    </row>
    <row r="53">
      <c r="B53" t="inlineStr">
        <is>
          <t>Taxes (enter expense as -)</t>
        </is>
      </c>
      <c r="C53" s="449" t="n">
        <v>-75.09999999999999</v>
      </c>
      <c r="D53" s="449" t="n">
        <v>-129</v>
      </c>
      <c r="E53" s="449" t="n">
        <v>-96.90000000000001</v>
      </c>
      <c r="F53" s="430" t="n">
        <v>-44.76280094566748</v>
      </c>
      <c r="G53" s="430" t="n">
        <v>-64.48929969545246</v>
      </c>
      <c r="H53" s="430" t="n">
        <v>-85.78401617837896</v>
      </c>
      <c r="I53" s="430" t="n">
        <v>-108.5330612199783</v>
      </c>
      <c r="J53" s="430" t="n">
        <v>-135.0537043152971</v>
      </c>
    </row>
    <row r="54">
      <c r="B54" s="383" t="inlineStr">
        <is>
          <t>Net income</t>
        </is>
      </c>
      <c r="C54" s="450" t="n">
        <v>456.2000000000003</v>
      </c>
      <c r="D54" s="450" t="n">
        <v>400.9999999999999</v>
      </c>
      <c r="E54" s="450" t="n">
        <v>331.0000000000003</v>
      </c>
      <c r="F54" s="450" t="n">
        <v>75</v>
      </c>
      <c r="G54" s="450" t="n">
        <v>94.5</v>
      </c>
      <c r="H54" s="450" t="n">
        <v>115.9</v>
      </c>
      <c r="I54" s="450" t="n">
        <v>134.6</v>
      </c>
      <c r="J54" s="450" t="n">
        <v>154.9</v>
      </c>
    </row>
    <row r="55">
      <c r="C55" s="140" t="n"/>
      <c r="D55" s="140" t="n"/>
      <c r="E55" s="140" t="n"/>
      <c r="F55" s="434"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38" t="n">
        <v>532.8000000000003</v>
      </c>
      <c r="D57" s="438" t="n">
        <v>543.8999999999999</v>
      </c>
      <c r="E57" s="438" t="n">
        <v>465.4000000000003</v>
      </c>
      <c r="F57" s="438" t="n">
        <v>493.6803141804108</v>
      </c>
      <c r="G57" s="438" t="n">
        <v>559.8040395999167</v>
      </c>
      <c r="H57" s="438" t="n">
        <v>634.7919640514119</v>
      </c>
      <c r="I57" s="438" t="n">
        <v>709.3122632461741</v>
      </c>
      <c r="J57" s="438" t="n">
        <v>787.9602383046408</v>
      </c>
    </row>
    <row r="58">
      <c r="B58" s="34" t="inlineStr">
        <is>
          <t>Depreciation and amortization</t>
        </is>
      </c>
      <c r="C58" s="449" t="n">
        <v>190</v>
      </c>
      <c r="D58" s="449" t="n">
        <v>224.6</v>
      </c>
      <c r="E58" s="449" t="n">
        <v>229</v>
      </c>
      <c r="F58" s="434" t="n">
        <v>88.3</v>
      </c>
      <c r="G58" s="434" t="n">
        <v>91.8</v>
      </c>
      <c r="H58" s="434" t="n">
        <v>95.5</v>
      </c>
      <c r="I58" s="434" t="n">
        <v>98.3</v>
      </c>
      <c r="J58" s="434" t="n">
        <v>101.3</v>
      </c>
    </row>
    <row r="59">
      <c r="B59" s="34" t="inlineStr">
        <is>
          <t xml:space="preserve">Deal-related D&amp;A </t>
        </is>
      </c>
      <c r="C59" s="449" t="n"/>
      <c r="D59" s="449" t="n"/>
      <c r="E59" s="449" t="n"/>
      <c r="F59" s="430" t="n">
        <v>52.99732208333334</v>
      </c>
      <c r="G59" s="430" t="n">
        <v>52.99732208333334</v>
      </c>
      <c r="H59" s="430" t="n">
        <v>52.99732208333334</v>
      </c>
      <c r="I59" s="430" t="n">
        <v>52.99732208333334</v>
      </c>
      <c r="J59" s="430" t="n">
        <v>52.99732208333334</v>
      </c>
    </row>
    <row r="60">
      <c r="B60" s="34" t="inlineStr">
        <is>
          <t>Stock based compensation</t>
        </is>
      </c>
      <c r="C60" s="449" t="n">
        <v>106.5</v>
      </c>
      <c r="D60" s="449" t="n">
        <v>127.2</v>
      </c>
      <c r="E60" s="449" t="n">
        <v>147.4</v>
      </c>
      <c r="F60" s="434" t="n">
        <v>161.0547368274718</v>
      </c>
      <c r="G60" s="434" t="n">
        <v>162.0820911651659</v>
      </c>
      <c r="H60" s="434" t="n">
        <v>163.6976202897424</v>
      </c>
      <c r="I60" s="434" t="n">
        <v>163.5682893160696</v>
      </c>
      <c r="J60" s="434" t="n">
        <v>162.9165586144626</v>
      </c>
    </row>
    <row r="61">
      <c r="B61" s="34" t="inlineStr">
        <is>
          <t>Restructuring and other nonrecurring charges</t>
        </is>
      </c>
      <c r="C61" s="449" t="n">
        <v>14.3</v>
      </c>
      <c r="D61" s="449" t="n">
        <v>10.8</v>
      </c>
      <c r="E61" s="449" t="n">
        <v>40.9</v>
      </c>
      <c r="F61" s="449" t="n">
        <v>16</v>
      </c>
      <c r="G61" s="449" t="n">
        <v>5</v>
      </c>
      <c r="H61" s="449" t="n">
        <v>5</v>
      </c>
      <c r="I61" s="449" t="n">
        <v>0</v>
      </c>
      <c r="J61" s="449" t="n">
        <v>0</v>
      </c>
    </row>
    <row r="62">
      <c r="B62" s="147" t="inlineStr">
        <is>
          <t>EBITDA</t>
        </is>
      </c>
      <c r="C62" s="450" t="n">
        <v>843.6000000000003</v>
      </c>
      <c r="D62" s="450" t="n">
        <v>906.4999999999999</v>
      </c>
      <c r="E62" s="450" t="n">
        <v>882.7000000000003</v>
      </c>
      <c r="F62" s="450" t="n">
        <v>251.9</v>
      </c>
      <c r="G62" s="450" t="n">
        <v>269.8</v>
      </c>
      <c r="H62" s="450" t="n">
        <v>288.5</v>
      </c>
      <c r="I62" s="450" t="n">
        <v>301.4</v>
      </c>
      <c r="J62" s="450" t="n">
        <v>314.7</v>
      </c>
    </row>
    <row r="63">
      <c r="B63" s="193" t="n"/>
    </row>
    <row r="64">
      <c r="B64" s="321" t="inlineStr">
        <is>
          <t>Growth rates &amp; margins</t>
        </is>
      </c>
      <c r="F64" s="434" t="n"/>
      <c r="K64" s="195" t="inlineStr">
        <is>
          <t>Step</t>
        </is>
      </c>
    </row>
    <row r="65">
      <c r="B65" s="73" t="inlineStr">
        <is>
          <t>Revenue growth</t>
        </is>
      </c>
      <c r="C65" s="435" t="n"/>
      <c r="D65" s="435" t="n">
        <v>0.05166319663002938</v>
      </c>
      <c r="E65" s="435" t="n">
        <v>0.01353591160221002</v>
      </c>
      <c r="F65" s="441" t="n">
        <v>0.03</v>
      </c>
      <c r="G65" s="441" t="n">
        <v>0.04</v>
      </c>
      <c r="H65" s="441" t="n">
        <v>0.04</v>
      </c>
      <c r="I65" s="441" t="n">
        <v>0.03</v>
      </c>
      <c r="J65" s="441" t="n">
        <v>0.03</v>
      </c>
      <c r="K65" s="441" t="n"/>
    </row>
    <row r="66">
      <c r="B66" s="73" t="inlineStr">
        <is>
          <t>Gross profit as % of sales</t>
        </is>
      </c>
      <c r="C66" s="435" t="n">
        <v>0.7650704498135864</v>
      </c>
      <c r="D66" s="435" t="n">
        <v>0.7380755064456721</v>
      </c>
      <c r="E66" s="435" t="n">
        <v>0.7310802216771146</v>
      </c>
      <c r="F66" s="451" t="n">
        <v>0.7447420593121242</v>
      </c>
      <c r="G66" s="451" t="n">
        <v>0.7497420593121242</v>
      </c>
      <c r="H66" s="451" t="n">
        <v>0.7547420593121242</v>
      </c>
      <c r="I66" s="451" t="n">
        <v>0.7597420593121242</v>
      </c>
      <c r="J66" s="451" t="n">
        <v>0.7647420593121242</v>
      </c>
      <c r="K66" s="441" t="n">
        <v>0.005</v>
      </c>
    </row>
    <row r="67">
      <c r="B67" s="73" t="inlineStr">
        <is>
          <t>R&amp;D margin</t>
        </is>
      </c>
      <c r="C67" s="435" t="n">
        <v>0.08792911441437078</v>
      </c>
      <c r="D67" s="435" t="n">
        <v>0.07605893186003683</v>
      </c>
      <c r="E67" s="435" t="n">
        <v>0.07931316434995911</v>
      </c>
      <c r="F67" s="451" t="n">
        <v>0.08110040354145558</v>
      </c>
      <c r="G67" s="451" t="n">
        <v>0.08110040354145558</v>
      </c>
      <c r="H67" s="451" t="n">
        <v>0.08110040354145558</v>
      </c>
      <c r="I67" s="451" t="n">
        <v>0.08110040354145558</v>
      </c>
      <c r="J67" s="451" t="n">
        <v>0.08110040354145558</v>
      </c>
      <c r="K67" s="441" t="n">
        <v>0</v>
      </c>
    </row>
    <row r="68">
      <c r="B68" s="73" t="inlineStr">
        <is>
          <t>SG&amp;A margin</t>
        </is>
      </c>
      <c r="C68" s="435" t="n">
        <v>0.4191642860601364</v>
      </c>
      <c r="D68" s="435" t="n">
        <v>0.4116022099447514</v>
      </c>
      <c r="E68" s="435" t="n">
        <v>0.4403561370037248</v>
      </c>
      <c r="F68" s="451" t="n">
        <v>0.4808</v>
      </c>
      <c r="G68" s="451" t="n">
        <v>0.4748</v>
      </c>
      <c r="H68" s="451" t="n">
        <v>0.4689</v>
      </c>
      <c r="I68" s="451" t="n">
        <v>0.4659</v>
      </c>
      <c r="J68" s="451" t="n">
        <v>0.4629</v>
      </c>
      <c r="K68" s="441" t="n">
        <v>-0.01</v>
      </c>
    </row>
    <row r="69">
      <c r="B69" s="73" t="inlineStr">
        <is>
          <t>Tax rate</t>
        </is>
      </c>
      <c r="C69" s="435" t="n">
        <v>0.1413514022209673</v>
      </c>
      <c r="D69" s="435" t="n">
        <v>0.2433962264150944</v>
      </c>
      <c r="E69" s="435" t="n">
        <v>0.2264547791540078</v>
      </c>
      <c r="F69" s="441" t="n">
        <v>0.2264547791540078</v>
      </c>
      <c r="G69" s="451" t="n">
        <v>0.2264547791540078</v>
      </c>
      <c r="H69" s="451" t="n">
        <v>0.2264547791540078</v>
      </c>
      <c r="I69" s="451" t="n">
        <v>0.2264547791540078</v>
      </c>
      <c r="J69" s="451" t="n">
        <v>0.2264547791540078</v>
      </c>
      <c r="K69" s="441" t="n">
        <v>0</v>
      </c>
    </row>
    <row r="70">
      <c r="B70" s="73" t="inlineStr">
        <is>
          <t>SBC as % of all operating expenses</t>
        </is>
      </c>
      <c r="C70" s="435" t="n">
        <v>0.06949429037520391</v>
      </c>
      <c r="D70" s="435" t="n">
        <v>0.078127879122904</v>
      </c>
      <c r="E70" s="435" t="n">
        <v>0.08490783410138249</v>
      </c>
      <c r="F70" s="441" t="n">
        <v>0.093</v>
      </c>
      <c r="G70" s="451" t="n">
        <v>0.0905</v>
      </c>
      <c r="H70" s="451" t="n">
        <v>0.08799999999999999</v>
      </c>
      <c r="I70" s="451" t="n">
        <v>0.08549999999999999</v>
      </c>
      <c r="J70" s="451" t="n">
        <v>0.08299999999999999</v>
      </c>
      <c r="K70" s="441"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52" t="n"/>
      <c r="D76" s="453" t="n">
        <v>484.8</v>
      </c>
      <c r="E76" s="453" t="n">
        <v>443.7</v>
      </c>
      <c r="F76" s="438" t="n">
        <v>459.2295</v>
      </c>
      <c r="G76" s="438" t="n">
        <v>484.4871225</v>
      </c>
      <c r="H76" s="438" t="n">
        <v>513.5563498500001</v>
      </c>
      <c r="I76" s="438" t="n">
        <v>539.2341673425001</v>
      </c>
      <c r="J76" s="438" t="n">
        <v>565.1174073749401</v>
      </c>
    </row>
    <row r="77">
      <c r="B77" s="82" t="inlineStr">
        <is>
          <t>AR as % of sales</t>
        </is>
      </c>
      <c r="C77" s="435" t="n"/>
      <c r="D77" s="435" t="n">
        <v>0.2232044198895027</v>
      </c>
      <c r="E77" s="435" t="n">
        <v>0.2015535568274734</v>
      </c>
      <c r="F77" s="441" t="n">
        <v>0.2015535568274734</v>
      </c>
      <c r="G77" s="441" t="n">
        <v>0.2015535568274734</v>
      </c>
      <c r="H77" s="441" t="n">
        <v>0.2015535568274734</v>
      </c>
      <c r="I77" s="441" t="n">
        <v>0.2015535568274734</v>
      </c>
      <c r="J77" s="441" t="n">
        <v>0.2015535568274734</v>
      </c>
    </row>
    <row r="78">
      <c r="B78" s="193" t="inlineStr">
        <is>
          <t>Other current assets, EOP</t>
        </is>
      </c>
      <c r="C78" s="452" t="n"/>
      <c r="D78" s="453" t="n">
        <v>195.1</v>
      </c>
      <c r="E78" s="453" t="n">
        <v>213.1</v>
      </c>
      <c r="F78" s="438" t="n">
        <v>220.5585</v>
      </c>
      <c r="G78" s="438" t="n">
        <v>232.6892175</v>
      </c>
      <c r="H78" s="438" t="n">
        <v>246.65057055</v>
      </c>
      <c r="I78" s="438" t="n">
        <v>258.9830990775</v>
      </c>
      <c r="J78" s="438" t="n">
        <v>271.41428783322</v>
      </c>
    </row>
    <row r="79">
      <c r="B79" s="82" t="inlineStr">
        <is>
          <t>Other current assets as % of sales</t>
        </is>
      </c>
      <c r="C79" s="435" t="n"/>
      <c r="D79" s="435" t="n">
        <v>0.08982504604051565</v>
      </c>
      <c r="E79" s="435" t="n">
        <v>0.09680203506859271</v>
      </c>
      <c r="F79" s="441" t="n">
        <v>0.09680203506859271</v>
      </c>
      <c r="G79" s="441" t="n">
        <v>0.09680203506859271</v>
      </c>
      <c r="H79" s="441" t="n">
        <v>0.09680203506859271</v>
      </c>
      <c r="I79" s="441" t="n">
        <v>0.09680203506859271</v>
      </c>
      <c r="J79" s="441" t="n">
        <v>0.09680203506859271</v>
      </c>
    </row>
    <row r="80">
      <c r="B80" s="193" t="inlineStr">
        <is>
          <t>Accounts payable, EOP</t>
        </is>
      </c>
      <c r="C80" s="452" t="n"/>
      <c r="D80" s="453" t="n">
        <v>32.7</v>
      </c>
      <c r="E80" s="453" t="n">
        <v>42.1</v>
      </c>
      <c r="F80" s="438" t="n">
        <v>41.35985068829212</v>
      </c>
      <c r="G80" s="438" t="n">
        <v>42.77992582446322</v>
      </c>
      <c r="H80" s="438" t="n">
        <v>44.44072172314495</v>
      </c>
      <c r="I80" s="438" t="n">
        <v>45.71145817597682</v>
      </c>
      <c r="J80" s="438" t="n">
        <v>46.90864615269874</v>
      </c>
    </row>
    <row r="81">
      <c r="B81" s="82" t="inlineStr">
        <is>
          <t>AP as % of COGS</t>
        </is>
      </c>
      <c r="C81" s="435" t="n"/>
      <c r="D81" s="435" t="n">
        <v>0.05747934610652136</v>
      </c>
      <c r="E81" s="435" t="n">
        <v>0.07111486486486487</v>
      </c>
      <c r="F81" s="441" t="n">
        <v>0.07111486486486487</v>
      </c>
      <c r="G81" s="441" t="n">
        <v>0.07111486486486487</v>
      </c>
      <c r="H81" s="441" t="n">
        <v>0.07111486486486487</v>
      </c>
      <c r="I81" s="441" t="n">
        <v>0.07111486486486487</v>
      </c>
      <c r="J81" s="441" t="n">
        <v>0.07111486486486487</v>
      </c>
    </row>
    <row r="82">
      <c r="B82" s="193" t="inlineStr">
        <is>
          <t>Accrued expenses &amp; def revenues, EOP</t>
        </is>
      </c>
      <c r="C82" s="454" t="n"/>
      <c r="D82" s="453" t="n">
        <v>2313.3</v>
      </c>
      <c r="E82" s="453" t="n">
        <v>2301.7</v>
      </c>
      <c r="F82" s="438" t="n">
        <v>2382.2595</v>
      </c>
      <c r="G82" s="438" t="n">
        <v>2513.283772499999</v>
      </c>
      <c r="H82" s="438" t="n">
        <v>2664.08079885</v>
      </c>
      <c r="I82" s="438" t="n">
        <v>2797.2848387925</v>
      </c>
      <c r="J82" s="438" t="n">
        <v>2931.55451105454</v>
      </c>
    </row>
    <row r="83">
      <c r="B83" s="82" t="inlineStr">
        <is>
          <t>As % of sales</t>
        </is>
      </c>
      <c r="C83" s="435" t="n"/>
      <c r="D83" s="435" t="n">
        <v>1.065055248618785</v>
      </c>
      <c r="E83" s="451" t="n">
        <v>1.045561915144908</v>
      </c>
      <c r="F83" s="431" t="n">
        <v>1.045561915144908</v>
      </c>
      <c r="G83" s="431" t="n">
        <v>1.045561915144908</v>
      </c>
      <c r="H83" s="431" t="n">
        <v>1.045561915144908</v>
      </c>
      <c r="I83" s="431" t="n">
        <v>1.045561915144908</v>
      </c>
      <c r="J83" s="431" t="n">
        <v>1.045561915144908</v>
      </c>
    </row>
    <row r="84">
      <c r="B84" s="82" t="n"/>
      <c r="C84" s="435" t="n"/>
      <c r="D84" s="435" t="n"/>
      <c r="E84" s="451" t="n"/>
    </row>
    <row r="85">
      <c r="B85" s="202" t="inlineStr">
        <is>
          <t>Net Working Capital</t>
        </is>
      </c>
      <c r="C85" s="100" t="n"/>
      <c r="D85" s="455" t="n">
        <v>-1666.1</v>
      </c>
      <c r="E85" s="455" t="n">
        <v>-1687</v>
      </c>
      <c r="F85" s="434" t="n">
        <v>-1743.831350688292</v>
      </c>
      <c r="G85" s="434" t="n">
        <v>-1838.887358324463</v>
      </c>
      <c r="H85" s="434" t="n">
        <v>-1948.314600173145</v>
      </c>
      <c r="I85" s="434" t="n">
        <v>-2044.779030548477</v>
      </c>
      <c r="J85" s="434" t="n">
        <v>-2141.931461999079</v>
      </c>
    </row>
    <row r="86">
      <c r="D86" s="228" t="n"/>
      <c r="E86" s="228" t="n"/>
      <c r="F86" s="140" t="n"/>
      <c r="G86" s="140" t="n"/>
      <c r="H86" s="140" t="n"/>
      <c r="I86" s="140" t="n"/>
      <c r="J86" s="140" t="n"/>
    </row>
    <row r="87">
      <c r="B87" s="312" t="inlineStr">
        <is>
          <t>LONG LIVED ASSETS</t>
        </is>
      </c>
      <c r="C87" s="456" t="n"/>
      <c r="D87" s="456" t="n"/>
      <c r="E87" s="456"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53" t="n">
        <v>87.8</v>
      </c>
      <c r="E91" s="453" t="n">
        <v>85.2</v>
      </c>
      <c r="F91" s="438" t="n">
        <v>73.14448979591836</v>
      </c>
      <c r="G91" s="438" t="n">
        <v>63.4073469387755</v>
      </c>
      <c r="H91" s="438" t="n">
        <v>56.45224489795918</v>
      </c>
      <c r="I91" s="438" t="n">
        <v>53.09061224489797</v>
      </c>
      <c r="J91" s="438" t="n">
        <v>53.09061224489798</v>
      </c>
      <c r="L91" s="438" t="n"/>
    </row>
    <row r="92">
      <c r="B92" s="143" t="inlineStr">
        <is>
          <t>Capital expenditures</t>
        </is>
      </c>
      <c r="C92" s="449" t="n">
        <v>22</v>
      </c>
      <c r="D92" s="449" t="n">
        <v>26.5</v>
      </c>
      <c r="E92" s="449" t="n">
        <v>24.5</v>
      </c>
      <c r="F92" s="449" t="n">
        <v>26</v>
      </c>
      <c r="G92" s="449" t="n">
        <v>28</v>
      </c>
      <c r="H92" s="449" t="n">
        <v>30</v>
      </c>
      <c r="I92" s="449" t="n">
        <v>29</v>
      </c>
      <c r="J92" s="449" t="n">
        <v>31</v>
      </c>
      <c r="L92" s="434" t="n"/>
    </row>
    <row r="93">
      <c r="B93" s="143" t="inlineStr">
        <is>
          <t>Depreciation</t>
        </is>
      </c>
      <c r="C93" s="449" t="n">
        <v>-39.1</v>
      </c>
      <c r="D93" s="449" t="n">
        <v>-37.8</v>
      </c>
      <c r="E93" s="449" t="n">
        <v>-38.7</v>
      </c>
      <c r="F93" s="430" t="n">
        <v>-38.05551020408164</v>
      </c>
      <c r="G93" s="430" t="n">
        <v>-37.73714285714286</v>
      </c>
      <c r="H93" s="430" t="n">
        <v>-36.95510204081632</v>
      </c>
      <c r="I93" s="430" t="n">
        <v>-32.36163265306122</v>
      </c>
      <c r="J93" s="430" t="n">
        <v>-30.99999999999999</v>
      </c>
      <c r="K93" s="195" t="inlineStr">
        <is>
          <t>Smoothing?</t>
        </is>
      </c>
      <c r="L93" s="434" t="n"/>
    </row>
    <row r="94">
      <c r="B94" s="145" t="inlineStr">
        <is>
          <t>Capex as a % of revenue</t>
        </is>
      </c>
      <c r="C94" s="451" t="n">
        <v>0.01065220549072774</v>
      </c>
      <c r="D94" s="451" t="n">
        <v>0.01220073664825046</v>
      </c>
      <c r="E94" s="451" t="n">
        <v>0.0111292813664032</v>
      </c>
      <c r="F94" s="451" t="n">
        <v>0.01141127143947484</v>
      </c>
      <c r="G94" s="451" t="n">
        <v>0.01164839957365277</v>
      </c>
      <c r="H94" s="451" t="n">
        <v>0.01177398878738487</v>
      </c>
      <c r="I94" s="451" t="n">
        <v>0.01083954523283052</v>
      </c>
      <c r="J94" s="451" t="n">
        <v>0.01105639320274237</v>
      </c>
      <c r="K94" s="457" t="inlineStr">
        <is>
          <t>Yes</t>
        </is>
      </c>
    </row>
    <row r="95">
      <c r="B95" s="145" t="inlineStr">
        <is>
          <t>Depreciation as a % of capex</t>
        </is>
      </c>
      <c r="C95" s="458" t="n">
        <v>1.777272727272727</v>
      </c>
      <c r="D95" s="458" t="n">
        <v>1.426415094339623</v>
      </c>
      <c r="E95" s="458" t="n">
        <v>1.579591836734694</v>
      </c>
      <c r="F95" s="458" t="n">
        <v>1.463673469387755</v>
      </c>
      <c r="G95" s="458" t="n">
        <v>1.347755102040816</v>
      </c>
      <c r="H95" s="458" t="n">
        <v>1.231836734693877</v>
      </c>
      <c r="I95" s="458" t="n">
        <v>1.115918367346939</v>
      </c>
      <c r="J95" s="458" t="n">
        <v>0.9999999999999998</v>
      </c>
      <c r="K95" s="459" t="n">
        <v>-0.1159183673469388</v>
      </c>
    </row>
    <row r="96">
      <c r="B96" s="145" t="n"/>
      <c r="C96" s="458" t="n"/>
      <c r="D96" s="458" t="n"/>
      <c r="E96" s="458" t="n"/>
    </row>
    <row r="97">
      <c r="B97" s="193" t="inlineStr">
        <is>
          <t>Software development costs</t>
        </is>
      </c>
      <c r="C97" s="57" t="n"/>
      <c r="D97" s="453" t="n">
        <v>244.7</v>
      </c>
      <c r="E97" s="453" t="n">
        <v>271.4</v>
      </c>
      <c r="F97" s="438" t="n">
        <v>286.5086419753086</v>
      </c>
      <c r="G97" s="438" t="n">
        <v>297.6447530864197</v>
      </c>
      <c r="H97" s="438" t="n">
        <v>305.199074074074</v>
      </c>
      <c r="I97" s="438" t="n">
        <v>309.3669753086419</v>
      </c>
      <c r="J97" s="438" t="n">
        <v>309.3669753086418</v>
      </c>
    </row>
    <row r="98">
      <c r="B98" s="143" t="inlineStr">
        <is>
          <t>Purchases</t>
        </is>
      </c>
      <c r="C98" s="449" t="n">
        <v>115.8</v>
      </c>
      <c r="D98" s="449" t="n">
        <v>132.5</v>
      </c>
      <c r="E98" s="449" t="n">
        <v>129.6</v>
      </c>
      <c r="F98" s="449" t="n">
        <v>116</v>
      </c>
      <c r="G98" s="449" t="n">
        <v>114</v>
      </c>
      <c r="H98" s="449" t="n">
        <v>116</v>
      </c>
      <c r="I98" s="449" t="n">
        <v>128</v>
      </c>
      <c r="J98" s="449" t="n">
        <v>135</v>
      </c>
    </row>
    <row r="99">
      <c r="B99" s="143" t="inlineStr">
        <is>
          <t>Amortization</t>
        </is>
      </c>
      <c r="C99" s="449" t="n">
        <v>-75.7</v>
      </c>
      <c r="D99" s="449" t="n">
        <v>-93.59999999999999</v>
      </c>
      <c r="E99" s="449" t="n">
        <v>-108.5</v>
      </c>
      <c r="F99" s="434" t="n">
        <v>-100.8913580246914</v>
      </c>
      <c r="G99" s="434" t="n">
        <v>-102.8638888888889</v>
      </c>
      <c r="H99" s="434" t="n">
        <v>-108.4456790123457</v>
      </c>
      <c r="I99" s="434" t="n">
        <v>-123.8320987654321</v>
      </c>
      <c r="J99" s="434" t="n">
        <v>-135</v>
      </c>
      <c r="K99" s="195" t="inlineStr">
        <is>
          <t>Smoothing?</t>
        </is>
      </c>
    </row>
    <row r="100">
      <c r="B100" s="145" t="inlineStr">
        <is>
          <t>Purchases as % of revenue</t>
        </is>
      </c>
      <c r="C100" s="451" t="n">
        <v>0.05606933617392146</v>
      </c>
      <c r="D100" s="451" t="n">
        <v>0.0610036832412523</v>
      </c>
      <c r="E100" s="451" t="n">
        <v>0.0588716271463614</v>
      </c>
      <c r="F100" s="435" t="n">
        <v>0.05091182642227234</v>
      </c>
      <c r="G100" s="435" t="n">
        <v>0.04742562683558627</v>
      </c>
      <c r="H100" s="435" t="n">
        <v>0.04552608997788817</v>
      </c>
      <c r="I100" s="435" t="n">
        <v>0.04784350999318297</v>
      </c>
      <c r="J100" s="435" t="n">
        <v>0.04814880910871675</v>
      </c>
      <c r="K100" s="457" t="inlineStr">
        <is>
          <t>Yes</t>
        </is>
      </c>
    </row>
    <row r="101">
      <c r="B101" s="145" t="inlineStr">
        <is>
          <t>Amortization as a % of purchases</t>
        </is>
      </c>
      <c r="C101" s="458" t="n">
        <v>0.653713298791019</v>
      </c>
      <c r="D101" s="458" t="n">
        <v>0.7064150943396226</v>
      </c>
      <c r="E101" s="458" t="n">
        <v>0.8371913580246914</v>
      </c>
      <c r="F101" s="458" t="n">
        <v>0.8697530864197531</v>
      </c>
      <c r="G101" s="458" t="n">
        <v>0.9023148148148149</v>
      </c>
      <c r="H101" s="458" t="n">
        <v>0.9348765432098767</v>
      </c>
      <c r="I101" s="458" t="n">
        <v>0.9674382716049384</v>
      </c>
      <c r="J101" s="458" t="n">
        <v>1</v>
      </c>
      <c r="K101" s="459" t="n">
        <v>0.03256172839506173</v>
      </c>
    </row>
    <row r="102">
      <c r="B102" s="145" t="n"/>
      <c r="C102" s="458" t="n"/>
      <c r="D102" s="458" t="n"/>
      <c r="E102" s="458" t="n"/>
    </row>
    <row r="103">
      <c r="B103" s="193" t="inlineStr">
        <is>
          <t>Intangible assets</t>
        </is>
      </c>
      <c r="D103" s="453" t="n">
        <v>257.5</v>
      </c>
      <c r="E103" s="453" t="n">
        <v>189.8</v>
      </c>
      <c r="F103" s="438" t="n">
        <v>189.8</v>
      </c>
      <c r="G103" s="438" t="n">
        <v>189.8</v>
      </c>
      <c r="H103" s="438" t="n">
        <v>189.8</v>
      </c>
      <c r="I103" s="438" t="n">
        <v>189.8</v>
      </c>
      <c r="J103" s="438" t="n">
        <v>189.8</v>
      </c>
    </row>
    <row r="104">
      <c r="B104" s="143" t="inlineStr">
        <is>
          <t>Purchases</t>
        </is>
      </c>
      <c r="C104" s="460" t="n">
        <v>0</v>
      </c>
      <c r="D104" s="449" t="n">
        <v>0</v>
      </c>
      <c r="E104" s="449" t="n">
        <v>0</v>
      </c>
      <c r="F104" s="449" t="n">
        <v>85</v>
      </c>
      <c r="G104" s="449" t="n">
        <v>80</v>
      </c>
      <c r="H104" s="449" t="n">
        <v>77</v>
      </c>
      <c r="I104" s="449" t="n">
        <v>68</v>
      </c>
      <c r="J104" s="449" t="n">
        <v>57</v>
      </c>
    </row>
    <row r="105">
      <c r="B105" s="143" t="inlineStr">
        <is>
          <t>Amortization</t>
        </is>
      </c>
      <c r="C105" s="449" t="n">
        <v>-79.09999999999999</v>
      </c>
      <c r="D105" s="449" t="n">
        <v>-97.7</v>
      </c>
      <c r="E105" s="449" t="n">
        <v>-86.90000000000001</v>
      </c>
      <c r="F105" s="449" t="n">
        <v>-85</v>
      </c>
      <c r="G105" s="449" t="n">
        <v>-80</v>
      </c>
      <c r="H105" s="449" t="n">
        <v>-77</v>
      </c>
      <c r="I105" s="449" t="n">
        <v>-68</v>
      </c>
      <c r="J105" s="449" t="n">
        <v>-57</v>
      </c>
    </row>
    <row r="106">
      <c r="B106" s="34" t="n"/>
      <c r="C106" s="434" t="n"/>
      <c r="D106" s="434" t="n"/>
      <c r="E106" s="434" t="n"/>
    </row>
    <row r="107">
      <c r="B107" s="193" t="inlineStr">
        <is>
          <t>Goodwill and other assets</t>
        </is>
      </c>
      <c r="D107" s="453" t="n">
        <v>1940.3</v>
      </c>
      <c r="E107" s="453" t="n">
        <v>1935.2</v>
      </c>
      <c r="F107" s="453" t="n">
        <v>1935.2</v>
      </c>
      <c r="G107" s="453" t="n">
        <v>1935.2</v>
      </c>
      <c r="H107" s="453" t="n">
        <v>1935.2</v>
      </c>
      <c r="I107" s="453" t="n">
        <v>1935.2</v>
      </c>
      <c r="J107" s="453" t="n">
        <v>1935.2</v>
      </c>
    </row>
    <row r="108">
      <c r="B108" s="193" t="n"/>
      <c r="D108" s="453" t="n"/>
      <c r="E108" s="453" t="n"/>
      <c r="F108" s="453" t="n"/>
      <c r="G108" s="453" t="n"/>
      <c r="H108" s="453" t="n"/>
      <c r="I108" s="453" t="n"/>
      <c r="J108" s="453" t="n"/>
    </row>
    <row r="109">
      <c r="B109" s="193" t="inlineStr">
        <is>
          <t>Other liabilities</t>
        </is>
      </c>
      <c r="D109" s="453" t="n">
        <v>232.4</v>
      </c>
      <c r="E109" s="453" t="n">
        <v>252</v>
      </c>
      <c r="F109" s="450" t="n">
        <v>252</v>
      </c>
      <c r="G109" s="450" t="n">
        <v>252</v>
      </c>
      <c r="H109" s="450" t="n">
        <v>252</v>
      </c>
      <c r="I109" s="450" t="n">
        <v>252</v>
      </c>
      <c r="J109" s="450"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34" t="n">
        <v>152.9049237669344</v>
      </c>
      <c r="G115" s="434" t="n">
        <v>220.2885263074797</v>
      </c>
      <c r="H115" s="434" t="n">
        <v>293.02899231211</v>
      </c>
      <c r="I115" s="434" t="n">
        <v>370.7372885842398</v>
      </c>
      <c r="J115" s="434" t="n">
        <v>461.3289590130379</v>
      </c>
    </row>
    <row r="116">
      <c r="B116" t="inlineStr">
        <is>
          <t>Depreciation and amortization</t>
        </is>
      </c>
      <c r="C116" s="55" t="n"/>
      <c r="D116" s="55" t="n"/>
      <c r="E116" s="55" t="n"/>
      <c r="F116" s="461" t="n">
        <v>223.946868228773</v>
      </c>
      <c r="G116" s="461" t="n">
        <v>220.6010317460318</v>
      </c>
      <c r="H116" s="461" t="n">
        <v>222.400781053162</v>
      </c>
      <c r="I116" s="461" t="n">
        <v>224.1937314184933</v>
      </c>
      <c r="J116" s="461" t="n">
        <v>223</v>
      </c>
    </row>
    <row r="117">
      <c r="B117" s="73" t="inlineStr">
        <is>
          <t xml:space="preserve">Deal-related D&amp;A </t>
        </is>
      </c>
      <c r="C117" s="55" t="n"/>
      <c r="D117" s="55" t="n"/>
      <c r="E117" s="55" t="n"/>
      <c r="F117" s="461" t="n">
        <v>52.99732208333334</v>
      </c>
      <c r="G117" s="461" t="n">
        <v>52.99732208333334</v>
      </c>
      <c r="H117" s="461" t="n">
        <v>52.99732208333334</v>
      </c>
      <c r="I117" s="461" t="n">
        <v>52.99732208333334</v>
      </c>
      <c r="J117" s="461" t="n">
        <v>52.99732208333334</v>
      </c>
    </row>
    <row r="118">
      <c r="B118" t="inlineStr">
        <is>
          <t>Stock based compensation</t>
        </is>
      </c>
      <c r="C118" s="55" t="n"/>
      <c r="D118" s="55" t="n"/>
      <c r="E118" s="55" t="n"/>
      <c r="F118" s="434" t="n">
        <v>161.0547368274718</v>
      </c>
      <c r="G118" s="434" t="n">
        <v>162.0820911651659</v>
      </c>
      <c r="H118" s="434" t="n">
        <v>163.6976202897424</v>
      </c>
      <c r="I118" s="434" t="n">
        <v>163.5682893160696</v>
      </c>
      <c r="J118" s="434" t="n">
        <v>162.9165586144626</v>
      </c>
    </row>
    <row r="119">
      <c r="B119" t="inlineStr">
        <is>
          <t>Changes in net working capital</t>
        </is>
      </c>
      <c r="C119" s="140" t="n"/>
      <c r="D119" s="140" t="n"/>
      <c r="E119" s="140" t="n"/>
      <c r="F119" s="434" t="n">
        <v>56.83135068829188</v>
      </c>
      <c r="G119" s="434" t="n">
        <v>95.05600763617076</v>
      </c>
      <c r="H119" s="434" t="n">
        <v>109.4272418486823</v>
      </c>
      <c r="I119" s="434" t="n">
        <v>96.46443037533186</v>
      </c>
      <c r="J119" s="434" t="n">
        <v>97.15243145060185</v>
      </c>
    </row>
    <row r="120">
      <c r="B120" t="inlineStr">
        <is>
          <t>Other assets &amp; liabilities</t>
        </is>
      </c>
      <c r="C120" s="140" t="n"/>
      <c r="D120" s="140" t="n"/>
      <c r="E120" s="140" t="n"/>
      <c r="F120" s="434" t="n">
        <v>0</v>
      </c>
      <c r="G120" s="434" t="n">
        <v>0</v>
      </c>
      <c r="H120" s="434" t="n">
        <v>0</v>
      </c>
      <c r="I120" s="434" t="n">
        <v>0</v>
      </c>
      <c r="J120" s="434" t="n">
        <v>0</v>
      </c>
    </row>
    <row r="121">
      <c r="B121" t="inlineStr">
        <is>
          <t>Changes in deferred tax liabilities</t>
        </is>
      </c>
      <c r="C121" s="140" t="n"/>
      <c r="D121" s="140" t="n"/>
      <c r="E121" s="140" t="n"/>
      <c r="F121" s="434" t="n">
        <v>-9.813040430007005</v>
      </c>
      <c r="G121" s="434" t="n">
        <v>-9.813040430007005</v>
      </c>
      <c r="H121" s="434" t="n">
        <v>-9.813040430007005</v>
      </c>
      <c r="I121" s="434" t="n">
        <v>-9.813040430007005</v>
      </c>
      <c r="J121" s="434" t="n">
        <v>-9.813040430007005</v>
      </c>
    </row>
    <row r="122">
      <c r="B122" t="inlineStr">
        <is>
          <t>Addback of PIK interest</t>
        </is>
      </c>
      <c r="C122" s="140" t="n"/>
      <c r="D122" s="140" t="n"/>
      <c r="E122" s="140" t="n"/>
      <c r="F122" s="434" t="n">
        <v>0</v>
      </c>
      <c r="G122" s="434" t="n">
        <v>0</v>
      </c>
      <c r="H122" s="434" t="n">
        <v>0</v>
      </c>
      <c r="I122" s="434" t="n">
        <v>0</v>
      </c>
      <c r="J122" s="434" t="n">
        <v>0</v>
      </c>
    </row>
    <row r="123">
      <c r="B123" s="383" t="inlineStr">
        <is>
          <t>Cash from operating activities</t>
        </is>
      </c>
      <c r="F123" s="438" t="n">
        <v>637.9221611647974</v>
      </c>
      <c r="G123" s="438" t="n">
        <v>741.2119385081744</v>
      </c>
      <c r="H123" s="438" t="n">
        <v>831.738917157023</v>
      </c>
      <c r="I123" s="438" t="n">
        <v>898.1480213474608</v>
      </c>
      <c r="J123" s="438" t="n">
        <v>987.5822307314286</v>
      </c>
    </row>
    <row r="125">
      <c r="B125" t="inlineStr">
        <is>
          <t>Capital expenditures</t>
        </is>
      </c>
      <c r="F125" s="434" t="n">
        <v>-26</v>
      </c>
      <c r="G125" s="434" t="n">
        <v>-28</v>
      </c>
      <c r="H125" s="434" t="n">
        <v>-30</v>
      </c>
      <c r="I125" s="434" t="n">
        <v>-29</v>
      </c>
      <c r="J125" s="434" t="n">
        <v>-31</v>
      </c>
    </row>
    <row r="126">
      <c r="B126" t="inlineStr">
        <is>
          <t xml:space="preserve">Purchases of intangible assets and capitalized software development costs </t>
        </is>
      </c>
      <c r="F126" s="434" t="n">
        <v>-201</v>
      </c>
      <c r="G126" s="434" t="n">
        <v>-194</v>
      </c>
      <c r="H126" s="434" t="n">
        <v>-193</v>
      </c>
      <c r="I126" s="434" t="n">
        <v>-196</v>
      </c>
      <c r="J126" s="434" t="n">
        <v>-192</v>
      </c>
    </row>
    <row r="127">
      <c r="B127" s="383" t="inlineStr">
        <is>
          <t>Cash from investing activities</t>
        </is>
      </c>
      <c r="F127" s="438" t="n">
        <v>-227</v>
      </c>
      <c r="G127" s="438" t="n">
        <v>-222</v>
      </c>
      <c r="H127" s="438" t="n">
        <v>-223</v>
      </c>
      <c r="I127" s="438" t="n">
        <v>-225</v>
      </c>
      <c r="J127" s="438" t="n">
        <v>-223</v>
      </c>
    </row>
    <row r="129">
      <c r="B129" t="inlineStr">
        <is>
          <t>Required debt principal payments</t>
        </is>
      </c>
      <c r="F129" s="434" t="n">
        <v>-322.1855000000001</v>
      </c>
      <c r="G129" s="434" t="n">
        <v>-177.8640500000001</v>
      </c>
      <c r="H129" s="434" t="n">
        <v>-177.8640500000001</v>
      </c>
      <c r="I129" s="434" t="n">
        <v>-177.8640500000001</v>
      </c>
      <c r="J129" s="434" t="n">
        <v>-177.8640500000001</v>
      </c>
    </row>
    <row r="130">
      <c r="B130" t="inlineStr">
        <is>
          <t>Preferred dividend (cash)</t>
        </is>
      </c>
      <c r="F130" s="434" t="n">
        <v>0</v>
      </c>
      <c r="G130" s="434" t="n">
        <v>0</v>
      </c>
      <c r="H130" s="434" t="n">
        <v>0</v>
      </c>
      <c r="I130" s="434" t="n">
        <v>0</v>
      </c>
      <c r="J130" s="434" t="n">
        <v>0</v>
      </c>
    </row>
    <row r="131">
      <c r="B131" s="203" t="inlineStr">
        <is>
          <t>Pre-revolver cash flows</t>
        </is>
      </c>
      <c r="C131" s="383" t="n"/>
      <c r="D131" s="383" t="n"/>
      <c r="E131" s="383" t="n"/>
      <c r="F131" s="438" t="n">
        <v>88.73666116479734</v>
      </c>
      <c r="G131" s="438" t="n">
        <v>341.3478885081743</v>
      </c>
      <c r="H131" s="438" t="n">
        <v>430.8748671570229</v>
      </c>
      <c r="I131" s="438" t="n">
        <v>495.2839713474607</v>
      </c>
      <c r="J131" s="438" t="n">
        <v>586.7181807314284</v>
      </c>
    </row>
    <row r="132">
      <c r="B132" t="inlineStr">
        <is>
          <t>Revolver</t>
        </is>
      </c>
      <c r="F132" s="434" t="n">
        <v>0</v>
      </c>
      <c r="G132" s="434" t="n">
        <v>0</v>
      </c>
      <c r="H132" s="434" t="n">
        <v>0</v>
      </c>
      <c r="I132" s="434" t="n">
        <v>0</v>
      </c>
      <c r="J132" s="434" t="n">
        <v>0</v>
      </c>
    </row>
    <row r="133">
      <c r="B133" s="203" t="inlineStr">
        <is>
          <t>Post-revolver cash flows</t>
        </is>
      </c>
      <c r="C133" s="383" t="n"/>
      <c r="D133" s="383" t="n"/>
      <c r="E133" s="383" t="n"/>
      <c r="F133" s="438" t="n">
        <v>88.73666116479734</v>
      </c>
      <c r="G133" s="438" t="n">
        <v>341.3478885081743</v>
      </c>
      <c r="H133" s="438" t="n">
        <v>430.8748671570229</v>
      </c>
      <c r="I133" s="438" t="n">
        <v>495.2839713474607</v>
      </c>
      <c r="J133" s="438" t="n">
        <v>586.7181807314284</v>
      </c>
    </row>
    <row r="134">
      <c r="B134" s="73" t="inlineStr">
        <is>
          <t>Discretionary Term A paydown</t>
        </is>
      </c>
      <c r="F134" s="434" t="n">
        <v>-88.73666116479734</v>
      </c>
      <c r="G134" s="434" t="n">
        <v>-341.3478885081743</v>
      </c>
      <c r="H134" s="434" t="n">
        <v>-430.8748671570229</v>
      </c>
      <c r="I134" s="434" t="n">
        <v>-495.2839713474607</v>
      </c>
      <c r="J134" s="434" t="n">
        <v>-586.7181807314284</v>
      </c>
    </row>
    <row r="135">
      <c r="B135" s="73" t="inlineStr">
        <is>
          <t>Discretionary Term B paydown</t>
        </is>
      </c>
      <c r="F135" s="434" t="n">
        <v>0</v>
      </c>
      <c r="G135" s="434" t="n">
        <v>0</v>
      </c>
      <c r="H135" s="434" t="n">
        <v>0</v>
      </c>
      <c r="I135" s="434" t="n">
        <v>0</v>
      </c>
      <c r="J135" s="434" t="n">
        <v>2.273736754432321e-13</v>
      </c>
    </row>
    <row r="136">
      <c r="B136" s="383" t="inlineStr">
        <is>
          <t>Net change in cash during period</t>
        </is>
      </c>
      <c r="F136" s="438" t="n">
        <v>0</v>
      </c>
      <c r="G136" s="438" t="n">
        <v>0</v>
      </c>
      <c r="H136" s="438" t="n">
        <v>0</v>
      </c>
      <c r="I136" s="438" t="n">
        <v>0</v>
      </c>
      <c r="J136" s="438"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62" t="n">
        <v>180</v>
      </c>
      <c r="G142" s="434" t="n">
        <v>180</v>
      </c>
      <c r="H142" s="434" t="n">
        <v>180</v>
      </c>
      <c r="I142" s="434" t="n">
        <v>180</v>
      </c>
      <c r="J142" s="434" t="n">
        <v>180</v>
      </c>
    </row>
    <row r="143">
      <c r="B143" s="192" t="inlineStr">
        <is>
          <t>Increases / (decreases)</t>
        </is>
      </c>
      <c r="F143" s="434" t="n">
        <v>0</v>
      </c>
      <c r="G143" s="434" t="n">
        <v>0</v>
      </c>
      <c r="H143" s="434" t="n">
        <v>0</v>
      </c>
      <c r="I143" s="434" t="n">
        <v>0</v>
      </c>
      <c r="J143" s="434" t="n">
        <v>2.273736754432321e-13</v>
      </c>
    </row>
    <row r="144">
      <c r="B144" s="193" t="inlineStr">
        <is>
          <t>Cash, EOP</t>
        </is>
      </c>
      <c r="C144" s="383" t="n"/>
      <c r="D144" s="453" t="n">
        <v>1635.6</v>
      </c>
      <c r="E144" s="450" t="n">
        <v>1581.9</v>
      </c>
      <c r="F144" s="438" t="n">
        <v>180</v>
      </c>
      <c r="G144" s="438" t="n">
        <v>180</v>
      </c>
      <c r="H144" s="438" t="n">
        <v>180</v>
      </c>
      <c r="I144" s="438" t="n">
        <v>180</v>
      </c>
      <c r="J144" s="438" t="n">
        <v>180.0000000000002</v>
      </c>
    </row>
    <row r="145">
      <c r="B145" s="34" t="inlineStr">
        <is>
          <t>Interest rate on cash</t>
        </is>
      </c>
      <c r="D145" s="463" t="n">
        <v>0.006480802152115432</v>
      </c>
      <c r="E145" s="463"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34" t="n">
        <v>10.6</v>
      </c>
      <c r="E146" s="434" t="n">
        <v>8.300000000000001</v>
      </c>
      <c r="F146" s="434" t="n">
        <v>0.9286713286713288</v>
      </c>
      <c r="G146" s="434" t="n">
        <v>0.9286713286713288</v>
      </c>
      <c r="H146" s="434" t="n">
        <v>0.9286713286713288</v>
      </c>
      <c r="I146" s="434" t="n">
        <v>0.9286713286713288</v>
      </c>
      <c r="J146" s="434"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34" t="n">
        <v>180</v>
      </c>
      <c r="G149" s="434" t="n">
        <v>180</v>
      </c>
      <c r="H149" s="434" t="n">
        <v>180</v>
      </c>
      <c r="I149" s="434" t="n">
        <v>180</v>
      </c>
      <c r="J149" s="434" t="n">
        <v>180</v>
      </c>
    </row>
    <row r="150">
      <c r="B150" s="82" t="inlineStr">
        <is>
          <t>Less: Minimum cash desired</t>
        </is>
      </c>
      <c r="F150" s="430" t="n">
        <v>-180</v>
      </c>
      <c r="G150" s="430" t="n">
        <v>-180</v>
      </c>
      <c r="H150" s="430" t="n">
        <v>-180</v>
      </c>
      <c r="I150" s="430" t="n">
        <v>-180</v>
      </c>
      <c r="J150" s="430" t="n">
        <v>-180</v>
      </c>
    </row>
    <row r="151">
      <c r="B151" s="82" t="inlineStr">
        <is>
          <t>Equals: Excess cash at BOP</t>
        </is>
      </c>
      <c r="F151" s="434" t="n">
        <v>0</v>
      </c>
      <c r="G151" s="434" t="n">
        <v>0</v>
      </c>
      <c r="H151" s="434" t="n">
        <v>0</v>
      </c>
      <c r="I151" s="434" t="n">
        <v>0</v>
      </c>
      <c r="J151" s="434" t="n">
        <v>0</v>
      </c>
    </row>
    <row r="152">
      <c r="B152" s="197" t="inlineStr">
        <is>
          <t>Plus: Free cash flows generated during period</t>
        </is>
      </c>
      <c r="C152" s="321" t="n"/>
      <c r="D152" s="321" t="n"/>
      <c r="E152" s="321" t="n"/>
      <c r="F152" s="464" t="n">
        <v>88.73666116479734</v>
      </c>
      <c r="G152" s="464" t="n">
        <v>341.3478885081743</v>
      </c>
      <c r="H152" s="464" t="n">
        <v>430.8748671570229</v>
      </c>
      <c r="I152" s="464" t="n">
        <v>495.2839713474607</v>
      </c>
      <c r="J152" s="464" t="n">
        <v>586.7181807314284</v>
      </c>
    </row>
    <row r="153">
      <c r="B153" s="190" t="inlineStr">
        <is>
          <t>Cash available (needed) to paydown (draw from) revolver</t>
        </is>
      </c>
      <c r="C153" s="100" t="n"/>
      <c r="D153" s="100" t="n"/>
      <c r="E153" s="100" t="n"/>
      <c r="F153" s="455" t="n">
        <v>88.73666116479734</v>
      </c>
      <c r="G153" s="455" t="n">
        <v>341.3478885081743</v>
      </c>
      <c r="H153" s="455" t="n">
        <v>430.8748671570229</v>
      </c>
      <c r="I153" s="455" t="n">
        <v>495.2839713474607</v>
      </c>
      <c r="J153" s="455" t="n">
        <v>586.7181807314284</v>
      </c>
    </row>
    <row r="155">
      <c r="B155" s="34" t="inlineStr">
        <is>
          <t>Revolver, BOP</t>
        </is>
      </c>
      <c r="F155" s="462" t="n">
        <v>0</v>
      </c>
      <c r="G155" s="434" t="n">
        <v>0</v>
      </c>
      <c r="H155" s="434" t="n">
        <v>0</v>
      </c>
      <c r="I155" s="434" t="n">
        <v>0</v>
      </c>
      <c r="J155" s="434" t="n">
        <v>0</v>
      </c>
    </row>
    <row r="156">
      <c r="B156" s="192" t="inlineStr">
        <is>
          <t>Increases / (decreases)</t>
        </is>
      </c>
      <c r="F156" s="434" t="n">
        <v>0</v>
      </c>
      <c r="G156" s="434" t="n">
        <v>0</v>
      </c>
      <c r="H156" s="434" t="n">
        <v>0</v>
      </c>
      <c r="I156" s="434" t="n">
        <v>0</v>
      </c>
      <c r="J156" s="434" t="n">
        <v>0</v>
      </c>
    </row>
    <row r="157">
      <c r="B157" s="193" t="inlineStr">
        <is>
          <t>Revolver, EOP</t>
        </is>
      </c>
      <c r="D157" s="321" t="inlineStr">
        <is>
          <t>% AR</t>
        </is>
      </c>
      <c r="E157" s="321" t="inlineStr">
        <is>
          <t>% Other Assets</t>
        </is>
      </c>
      <c r="F157" s="438" t="n">
        <v>0</v>
      </c>
      <c r="G157" s="438" t="n">
        <v>0</v>
      </c>
      <c r="H157" s="438" t="n">
        <v>0</v>
      </c>
      <c r="I157" s="438" t="n">
        <v>0</v>
      </c>
      <c r="J157" s="438" t="n">
        <v>0</v>
      </c>
    </row>
    <row r="158">
      <c r="B158" s="190" t="inlineStr">
        <is>
          <t>Maximum availability</t>
        </is>
      </c>
      <c r="D158" s="465" t="n">
        <v>0.8</v>
      </c>
      <c r="E158" s="465" t="n">
        <v>0.65</v>
      </c>
      <c r="F158" s="455" t="n">
        <v>350</v>
      </c>
      <c r="G158" s="455" t="n">
        <v>350</v>
      </c>
      <c r="H158" s="455" t="n">
        <v>350</v>
      </c>
      <c r="I158" s="455" t="n">
        <v>350</v>
      </c>
      <c r="J158" s="455"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1">
      <c r="B161" s="321" t="inlineStr">
        <is>
          <t>Term Loan A</t>
        </is>
      </c>
    </row>
    <row r="162">
      <c r="B162" s="34" t="inlineStr">
        <is>
          <t>Term Loan A, BOP</t>
        </is>
      </c>
      <c r="F162" s="462" t="n">
        <v>2886.429000000001</v>
      </c>
      <c r="G162" s="434" t="n">
        <v>2509.049438835204</v>
      </c>
      <c r="H162" s="434" t="n">
        <v>2023.380100327029</v>
      </c>
      <c r="I162" s="434" t="n">
        <v>1448.183783170006</v>
      </c>
      <c r="J162" s="434" t="n">
        <v>808.5783618225455</v>
      </c>
    </row>
    <row r="163">
      <c r="B163" s="34" t="inlineStr">
        <is>
          <t>Mandatory paydown $</t>
        </is>
      </c>
      <c r="F163" s="430" t="n">
        <v>288.6429000000001</v>
      </c>
      <c r="G163" s="430" t="n">
        <v>144.3214500000001</v>
      </c>
      <c r="H163" s="430" t="n">
        <v>144.3214500000001</v>
      </c>
      <c r="I163" s="430" t="n">
        <v>144.3214500000001</v>
      </c>
      <c r="J163" s="430" t="n">
        <v>144.3214500000001</v>
      </c>
    </row>
    <row r="164">
      <c r="B164" s="34" t="inlineStr">
        <is>
          <t>Cash sweep (paydown from excess cash flows)</t>
        </is>
      </c>
      <c r="F164" s="430" t="n">
        <v>88.73666116479734</v>
      </c>
      <c r="G164" s="430" t="n">
        <v>341.3478885081743</v>
      </c>
      <c r="H164" s="430" t="n">
        <v>430.8748671570229</v>
      </c>
      <c r="I164" s="430" t="n">
        <v>495.2839713474607</v>
      </c>
      <c r="J164" s="430" t="n">
        <v>586.7181807314287</v>
      </c>
    </row>
    <row r="165">
      <c r="B165" s="193" t="inlineStr">
        <is>
          <t>Term Loan A, EOP</t>
        </is>
      </c>
      <c r="C165" s="383" t="n"/>
      <c r="D165" s="199" t="n"/>
      <c r="E165" s="383" t="n"/>
      <c r="F165" s="450" t="n">
        <v>2509.049438835204</v>
      </c>
      <c r="G165" s="450" t="n">
        <v>2023.380100327029</v>
      </c>
      <c r="H165" s="450" t="n">
        <v>1448.183783170006</v>
      </c>
      <c r="I165" s="450" t="n">
        <v>808.5783618225455</v>
      </c>
      <c r="J165" s="450" t="n">
        <v>77.5387310911168</v>
      </c>
    </row>
    <row r="166">
      <c r="B166" s="190" t="inlineStr">
        <is>
          <t>Mandatory paydown (% of original)</t>
        </is>
      </c>
      <c r="C166" s="100" t="n"/>
      <c r="E166" s="195" t="inlineStr">
        <is>
          <t>% of available cash used</t>
        </is>
      </c>
      <c r="F166" s="466" t="n">
        <v>0.1</v>
      </c>
      <c r="G166" s="466" t="n">
        <v>0.05</v>
      </c>
      <c r="H166" s="466" t="n">
        <v>0.05</v>
      </c>
      <c r="I166" s="466" t="n">
        <v>0.05</v>
      </c>
      <c r="J166" s="466" t="n">
        <v>0.05</v>
      </c>
    </row>
    <row r="167">
      <c r="B167" s="190" t="inlineStr">
        <is>
          <t>Cash sweep</t>
        </is>
      </c>
      <c r="C167" s="100" t="n"/>
      <c r="E167" s="201" t="n">
        <v>1</v>
      </c>
      <c r="F167" s="467" t="n">
        <v>88.73666116479734</v>
      </c>
      <c r="G167" s="467" t="n">
        <v>341.3478885081743</v>
      </c>
      <c r="H167" s="467" t="n">
        <v>430.8748671570229</v>
      </c>
      <c r="I167" s="467" t="n">
        <v>495.2839713474607</v>
      </c>
      <c r="J167" s="467"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62" t="n">
        <v>670.8520000000002</v>
      </c>
      <c r="G170" s="434" t="n">
        <v>637.3094000000002</v>
      </c>
      <c r="H170" s="434" t="n">
        <v>603.7668000000002</v>
      </c>
      <c r="I170" s="434" t="n">
        <v>570.2242000000002</v>
      </c>
      <c r="J170" s="434" t="n">
        <v>536.6816000000002</v>
      </c>
    </row>
    <row r="171">
      <c r="B171" s="34" t="inlineStr">
        <is>
          <t>Mandatory amortization $</t>
        </is>
      </c>
      <c r="F171" s="430" t="n">
        <v>33.54260000000001</v>
      </c>
      <c r="G171" s="430" t="n">
        <v>33.54260000000001</v>
      </c>
      <c r="H171" s="430" t="n">
        <v>33.54260000000001</v>
      </c>
      <c r="I171" s="430" t="n">
        <v>33.54260000000001</v>
      </c>
      <c r="J171" s="430" t="n">
        <v>33.54260000000001</v>
      </c>
    </row>
    <row r="172">
      <c r="B172" s="34" t="inlineStr">
        <is>
          <t>Cash sweep (paydown from excess cash flows)</t>
        </is>
      </c>
      <c r="F172" s="430" t="n">
        <v>0</v>
      </c>
      <c r="G172" s="430" t="n">
        <v>0</v>
      </c>
      <c r="H172" s="430" t="n">
        <v>0</v>
      </c>
      <c r="I172" s="430" t="n">
        <v>0</v>
      </c>
      <c r="J172" s="430" t="n">
        <v>2.273736754432321e-13</v>
      </c>
    </row>
    <row r="173">
      <c r="B173" s="193" t="inlineStr">
        <is>
          <t>Term Loan B, EOP</t>
        </is>
      </c>
      <c r="C173" s="383" t="n"/>
      <c r="F173" s="450" t="n">
        <v>637.3094000000002</v>
      </c>
      <c r="G173" s="450" t="n">
        <v>603.7668000000002</v>
      </c>
      <c r="H173" s="450" t="n">
        <v>570.2242000000002</v>
      </c>
      <c r="I173" s="450" t="n">
        <v>536.6816000000002</v>
      </c>
      <c r="J173" s="450" t="n">
        <v>503.139</v>
      </c>
    </row>
    <row r="174">
      <c r="B174" s="190" t="inlineStr">
        <is>
          <t>Mandatory paydown (% of original)</t>
        </is>
      </c>
      <c r="C174" s="100" t="n"/>
      <c r="E174" s="195" t="inlineStr">
        <is>
          <t>% of available cash used</t>
        </is>
      </c>
      <c r="F174" s="466" t="n">
        <v>0.05</v>
      </c>
      <c r="G174" s="466" t="n">
        <v>0.05</v>
      </c>
      <c r="H174" s="466" t="n">
        <v>0.05</v>
      </c>
      <c r="I174" s="466" t="n">
        <v>0.05</v>
      </c>
      <c r="J174" s="466" t="n">
        <v>0.05</v>
      </c>
    </row>
    <row r="175">
      <c r="B175" s="190" t="inlineStr">
        <is>
          <t>Cash available for cash sweep</t>
        </is>
      </c>
      <c r="C175" s="100" t="n"/>
      <c r="E175" s="201" t="n">
        <v>1</v>
      </c>
      <c r="F175" s="468" t="n">
        <v>0</v>
      </c>
      <c r="G175" s="468" t="n">
        <v>0</v>
      </c>
      <c r="H175" s="468" t="n">
        <v>0</v>
      </c>
      <c r="I175" s="468" t="n">
        <v>0</v>
      </c>
      <c r="J175" s="468"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62" t="n">
        <v>1632.995000000001</v>
      </c>
      <c r="G178" s="434" t="n">
        <v>1632.995000000001</v>
      </c>
      <c r="H178" s="434" t="n">
        <v>1632.995000000001</v>
      </c>
      <c r="I178" s="434" t="n">
        <v>1632.995000000001</v>
      </c>
      <c r="J178" s="434" t="n">
        <v>1632.995000000001</v>
      </c>
    </row>
    <row r="179">
      <c r="B179" s="34" t="inlineStr">
        <is>
          <t>Mandatory amortization $</t>
        </is>
      </c>
      <c r="F179" s="430" t="n">
        <v>0</v>
      </c>
      <c r="G179" s="430" t="n">
        <v>0</v>
      </c>
      <c r="H179" s="430" t="n">
        <v>0</v>
      </c>
      <c r="I179" s="430" t="n">
        <v>0</v>
      </c>
      <c r="J179" s="430" t="n">
        <v>0</v>
      </c>
    </row>
    <row r="180">
      <c r="B180" s="193" t="inlineStr">
        <is>
          <t>Senior Note, EOP</t>
        </is>
      </c>
      <c r="C180" s="383" t="n"/>
      <c r="D180" s="383" t="n"/>
      <c r="E180" s="383" t="n"/>
      <c r="F180" s="450" t="n">
        <v>1632.995000000001</v>
      </c>
      <c r="G180" s="450" t="n">
        <v>1632.995000000001</v>
      </c>
      <c r="H180" s="450" t="n">
        <v>1632.995000000001</v>
      </c>
      <c r="I180" s="450" t="n">
        <v>1632.995000000001</v>
      </c>
      <c r="J180" s="450" t="n">
        <v>1632.995000000001</v>
      </c>
    </row>
    <row r="181">
      <c r="B181" s="190" t="inlineStr">
        <is>
          <t>Mandatory paydown (% of original)</t>
        </is>
      </c>
      <c r="F181" s="466" t="n">
        <v>0</v>
      </c>
      <c r="G181" s="466" t="n">
        <v>0</v>
      </c>
      <c r="H181" s="466" t="n">
        <v>0</v>
      </c>
      <c r="I181" s="466" t="n">
        <v>0</v>
      </c>
      <c r="J181" s="466" t="n">
        <v>0</v>
      </c>
    </row>
    <row r="182">
      <c r="B182" s="190" t="n"/>
      <c r="F182" s="466" t="n"/>
      <c r="G182" s="466" t="n"/>
      <c r="H182" s="466" t="n"/>
      <c r="I182" s="466" t="n"/>
      <c r="J182" s="466" t="n"/>
    </row>
    <row r="183">
      <c r="B183" s="321" t="inlineStr">
        <is>
          <t>Sub Note</t>
        </is>
      </c>
      <c r="F183" s="140" t="n"/>
    </row>
    <row r="184">
      <c r="B184" s="34" t="inlineStr">
        <is>
          <t>Sub Note, BOP</t>
        </is>
      </c>
      <c r="F184" s="462" t="n">
        <v>0</v>
      </c>
      <c r="G184" s="434" t="n">
        <v>0</v>
      </c>
      <c r="H184" s="434" t="n">
        <v>0</v>
      </c>
      <c r="I184" s="434" t="n">
        <v>0</v>
      </c>
      <c r="J184" s="434" t="n">
        <v>0</v>
      </c>
    </row>
    <row r="185">
      <c r="B185" s="34" t="inlineStr">
        <is>
          <t>Mandatory amortization $</t>
        </is>
      </c>
      <c r="C185" s="195" t="inlineStr">
        <is>
          <t>PIK rate</t>
        </is>
      </c>
      <c r="D185" s="195" t="inlineStr">
        <is>
          <t>Cash rate</t>
        </is>
      </c>
      <c r="F185" s="430" t="n">
        <v>0</v>
      </c>
      <c r="G185" s="430" t="n">
        <v>0</v>
      </c>
      <c r="H185" s="430" t="n">
        <v>0</v>
      </c>
      <c r="I185" s="430" t="n">
        <v>0</v>
      </c>
      <c r="J185" s="430" t="n">
        <v>0</v>
      </c>
    </row>
    <row r="186">
      <c r="B186" s="202" t="inlineStr">
        <is>
          <t>PIK interest</t>
        </is>
      </c>
      <c r="C186" s="469" t="n">
        <v>0.04</v>
      </c>
      <c r="D186" s="53" t="n">
        <v>0.08</v>
      </c>
      <c r="F186" s="430" t="n">
        <v>0</v>
      </c>
      <c r="G186" s="430" t="n">
        <v>0</v>
      </c>
      <c r="H186" s="430" t="n">
        <v>0</v>
      </c>
      <c r="I186" s="430" t="n">
        <v>0</v>
      </c>
      <c r="J186" s="430" t="n">
        <v>0</v>
      </c>
    </row>
    <row r="187">
      <c r="B187" s="193" t="inlineStr">
        <is>
          <t>Sub Note, EOP</t>
        </is>
      </c>
      <c r="C187" s="383" t="n"/>
      <c r="D187" s="53" t="n"/>
      <c r="E187" s="383" t="n"/>
      <c r="F187" s="450" t="n">
        <v>0</v>
      </c>
      <c r="G187" s="450" t="n">
        <v>0</v>
      </c>
      <c r="H187" s="450" t="n">
        <v>0</v>
      </c>
      <c r="I187" s="450" t="n">
        <v>0</v>
      </c>
      <c r="J187" s="450" t="n">
        <v>0</v>
      </c>
    </row>
    <row r="188">
      <c r="B188" s="190" t="inlineStr">
        <is>
          <t>Mandatory paydown (% of original)</t>
        </is>
      </c>
      <c r="F188" s="466" t="n">
        <v>0</v>
      </c>
      <c r="G188" s="466" t="n">
        <v>0</v>
      </c>
      <c r="H188" s="466" t="n">
        <v>0</v>
      </c>
      <c r="I188" s="466" t="n">
        <v>0</v>
      </c>
      <c r="J188" s="466" t="n">
        <v>0</v>
      </c>
    </row>
    <row r="189">
      <c r="B189" s="190" t="n"/>
      <c r="F189" s="466" t="n"/>
      <c r="G189" s="466" t="n"/>
      <c r="H189" s="466" t="n"/>
      <c r="I189" s="466" t="n"/>
      <c r="J189" s="466" t="n"/>
    </row>
    <row r="190">
      <c r="B190" s="321" t="inlineStr">
        <is>
          <t>Preferred stock</t>
        </is>
      </c>
      <c r="D190" s="163" t="n"/>
      <c r="E190" s="195" t="n"/>
      <c r="F190" s="466" t="n"/>
      <c r="G190" s="466" t="n"/>
      <c r="H190" s="466" t="n"/>
      <c r="I190" s="466" t="n"/>
      <c r="J190" s="466" t="n"/>
    </row>
    <row r="191">
      <c r="B191" s="34" t="inlineStr">
        <is>
          <t>Preferred stock, BOP</t>
        </is>
      </c>
      <c r="F191" s="470" t="n">
        <v>0</v>
      </c>
      <c r="G191" s="434" t="n">
        <v>0</v>
      </c>
      <c r="H191" s="434" t="n">
        <v>0</v>
      </c>
      <c r="I191" s="434" t="n">
        <v>0</v>
      </c>
      <c r="J191" s="434" t="n">
        <v>0</v>
      </c>
    </row>
    <row r="192">
      <c r="B192" s="202" t="inlineStr">
        <is>
          <t>PIK accrual</t>
        </is>
      </c>
      <c r="F192" s="430" t="n">
        <v>0</v>
      </c>
      <c r="G192" s="430" t="n">
        <v>0</v>
      </c>
      <c r="H192" s="430" t="n">
        <v>0</v>
      </c>
      <c r="I192" s="430" t="n">
        <v>0</v>
      </c>
      <c r="J192" s="430" t="n">
        <v>0</v>
      </c>
    </row>
    <row r="193">
      <c r="B193" s="383" t="inlineStr">
        <is>
          <t>Preferred stock, EOP</t>
        </is>
      </c>
      <c r="C193" s="195" t="inlineStr">
        <is>
          <t>PIK rate</t>
        </is>
      </c>
      <c r="D193" s="195" t="inlineStr">
        <is>
          <t>Cash rate</t>
        </is>
      </c>
      <c r="E193" s="383" t="n"/>
      <c r="F193" s="450" t="n">
        <v>0</v>
      </c>
      <c r="G193" s="450" t="n">
        <v>0</v>
      </c>
      <c r="H193" s="450" t="n">
        <v>0</v>
      </c>
      <c r="I193" s="450" t="n">
        <v>0</v>
      </c>
      <c r="J193" s="450" t="n">
        <v>0</v>
      </c>
    </row>
    <row r="194">
      <c r="B194" s="202" t="inlineStr">
        <is>
          <t>Cash dividend</t>
        </is>
      </c>
      <c r="C194" s="469" t="n">
        <v>0.04</v>
      </c>
      <c r="D194" s="53" t="n">
        <v>0.08</v>
      </c>
      <c r="F194" s="434" t="n">
        <v>0</v>
      </c>
      <c r="G194" s="434" t="n">
        <v>0</v>
      </c>
      <c r="H194" s="434" t="n">
        <v>0</v>
      </c>
      <c r="I194" s="434" t="n">
        <v>0</v>
      </c>
      <c r="J194" s="434" t="n">
        <v>0</v>
      </c>
    </row>
    <row r="195">
      <c r="B195" s="202" t="n"/>
      <c r="F195" s="140" t="n"/>
    </row>
    <row r="196">
      <c r="B196" s="240" t="inlineStr">
        <is>
          <t>Capitalized financing fees</t>
        </is>
      </c>
      <c r="F196" s="140" t="n"/>
    </row>
    <row r="197">
      <c r="B197" s="34" t="inlineStr">
        <is>
          <t>Capitalized financing fees, BOP</t>
        </is>
      </c>
      <c r="C197" s="434" t="n"/>
      <c r="D197" s="453" t="n"/>
      <c r="E197" s="453" t="n"/>
      <c r="F197" s="462" t="n">
        <v>69.68916500000003</v>
      </c>
      <c r="G197" s="434" t="n">
        <v>60.02517625000003</v>
      </c>
      <c r="H197" s="434" t="n">
        <v>50.36118750000003</v>
      </c>
      <c r="I197" s="434" t="n">
        <v>40.69719875000003</v>
      </c>
      <c r="J197" s="434" t="n">
        <v>31.03321000000003</v>
      </c>
    </row>
    <row r="198">
      <c r="B198" s="34" t="inlineStr">
        <is>
          <t>Amortization</t>
        </is>
      </c>
      <c r="C198" s="434" t="n"/>
      <c r="D198" s="434" t="n"/>
      <c r="E198" s="434" t="n"/>
      <c r="F198" s="434" t="n">
        <v>-9.663988750000003</v>
      </c>
      <c r="G198" s="434" t="n">
        <v>-9.663988750000003</v>
      </c>
      <c r="H198" s="434" t="n">
        <v>-9.663988750000003</v>
      </c>
      <c r="I198" s="434" t="n">
        <v>-9.663988750000003</v>
      </c>
      <c r="J198" s="434" t="n">
        <v>-9.663988750000003</v>
      </c>
    </row>
    <row r="199">
      <c r="B199" s="383" t="inlineStr">
        <is>
          <t>Capitalized financing fees, EOP</t>
        </is>
      </c>
      <c r="C199" s="434" t="n"/>
      <c r="D199" s="434" t="n"/>
      <c r="E199" s="434" t="n"/>
      <c r="F199" s="438" t="n">
        <v>60.02517625000003</v>
      </c>
      <c r="G199" s="438" t="n">
        <v>50.36118750000003</v>
      </c>
      <c r="H199" s="438" t="n">
        <v>40.69719875000003</v>
      </c>
      <c r="I199" s="438" t="n">
        <v>31.03321000000003</v>
      </c>
      <c r="J199" s="438"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71" t="n">
        <v>0.04</v>
      </c>
      <c r="D207" s="431" t="n">
        <v>0</v>
      </c>
      <c r="F207" s="461" t="n">
        <v>0</v>
      </c>
      <c r="G207" s="461" t="n">
        <v>0</v>
      </c>
      <c r="H207" s="461" t="n">
        <v>0</v>
      </c>
      <c r="I207" s="461" t="n">
        <v>0</v>
      </c>
      <c r="J207" s="461" t="n">
        <v>0</v>
      </c>
    </row>
    <row r="208">
      <c r="B208" s="34" t="inlineStr">
        <is>
          <t>Term Loan A</t>
        </is>
      </c>
      <c r="C208" s="471" t="n">
        <v>0.04</v>
      </c>
      <c r="D208" s="431" t="n">
        <v>0.01</v>
      </c>
      <c r="F208" s="461" t="n">
        <v>134.8869609708801</v>
      </c>
      <c r="G208" s="461" t="n">
        <v>113.3107384790558</v>
      </c>
      <c r="H208" s="461" t="n">
        <v>92.83308980859424</v>
      </c>
      <c r="I208" s="461" t="n">
        <v>65.94484663882736</v>
      </c>
      <c r="J208" s="461" t="n">
        <v>27.52545525717709</v>
      </c>
      <c r="M208" s="472" t="n"/>
    </row>
    <row r="209">
      <c r="B209" s="34" t="inlineStr">
        <is>
          <t>Term Loan B</t>
        </is>
      </c>
      <c r="C209" s="471" t="n">
        <v>0.04</v>
      </c>
      <c r="D209" s="431" t="n">
        <v>0</v>
      </c>
      <c r="F209" s="461" t="n">
        <v>29.37345607560001</v>
      </c>
      <c r="G209" s="461" t="n">
        <v>29.96330269660001</v>
      </c>
      <c r="H209" s="461" t="n">
        <v>31.39369333100001</v>
      </c>
      <c r="I209" s="461" t="n">
        <v>32.34489438180001</v>
      </c>
      <c r="J209" s="461" t="n">
        <v>32.29994729780001</v>
      </c>
    </row>
    <row r="210">
      <c r="B210" s="34" t="inlineStr">
        <is>
          <t>Senior Note</t>
        </is>
      </c>
      <c r="E210" s="473" t="n">
        <v>0.08125</v>
      </c>
      <c r="F210" s="434" t="n">
        <v>132.6808437500001</v>
      </c>
      <c r="G210" s="434" t="n">
        <v>132.6808437500001</v>
      </c>
      <c r="H210" s="434" t="n">
        <v>132.6808437500001</v>
      </c>
      <c r="I210" s="434" t="n">
        <v>132.6808437500001</v>
      </c>
      <c r="J210" s="434" t="n">
        <v>132.6808437500001</v>
      </c>
    </row>
    <row r="211">
      <c r="B211" s="34" t="inlineStr">
        <is>
          <t>Sub Note - Cash interest</t>
        </is>
      </c>
      <c r="E211" s="474" t="n">
        <v>0.08</v>
      </c>
      <c r="F211" s="434" t="n">
        <v>0</v>
      </c>
      <c r="G211" s="434" t="n">
        <v>0</v>
      </c>
      <c r="H211" s="434" t="n">
        <v>0</v>
      </c>
      <c r="I211" s="434" t="n">
        <v>0</v>
      </c>
      <c r="J211" s="434" t="n">
        <v>0</v>
      </c>
    </row>
    <row r="212">
      <c r="B212" s="34" t="inlineStr">
        <is>
          <t>Sub Note - PIK interest</t>
        </is>
      </c>
      <c r="C212" s="469" t="n"/>
      <c r="E212" s="474" t="n">
        <v>0.04</v>
      </c>
      <c r="F212" s="434" t="n">
        <v>0</v>
      </c>
      <c r="G212" s="434" t="n">
        <v>0</v>
      </c>
      <c r="H212" s="434" t="n">
        <v>0</v>
      </c>
      <c r="I212" s="434" t="n">
        <v>0</v>
      </c>
      <c r="J212" s="434"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75" t="n">
        <v>43190</v>
      </c>
      <c r="G216" s="475" t="n"/>
      <c r="H216" s="475" t="n"/>
      <c r="I216" s="475" t="n"/>
      <c r="J216" s="475" t="n"/>
    </row>
    <row r="218">
      <c r="B218" s="3" t="inlineStr">
        <is>
          <t>EBITDA multiple at exit</t>
        </is>
      </c>
      <c r="C218" s="383" t="n"/>
      <c r="E218" s="195" t="inlineStr">
        <is>
          <t>Step</t>
        </is>
      </c>
      <c r="F218" s="476" t="n">
        <v>6.3</v>
      </c>
      <c r="G218" s="477" t="n">
        <v>6.8</v>
      </c>
      <c r="H218" s="477" t="n">
        <v>7.3</v>
      </c>
      <c r="I218" s="477" t="n">
        <v>7.8</v>
      </c>
      <c r="J218" s="477" t="n">
        <v>8.300000000000001</v>
      </c>
    </row>
    <row r="219">
      <c r="B219" s="4" t="inlineStr">
        <is>
          <t>EBITDA at exit</t>
        </is>
      </c>
      <c r="E219" s="478" t="n">
        <v>0.5</v>
      </c>
      <c r="F219" s="434" t="n">
        <v>1226.874119002437</v>
      </c>
      <c r="G219" s="434" t="n">
        <v>1226.874119002437</v>
      </c>
      <c r="H219" s="434" t="n">
        <v>1226.874119002437</v>
      </c>
      <c r="I219" s="434" t="n">
        <v>1226.874119002437</v>
      </c>
      <c r="J219" s="434" t="n">
        <v>1226.874119002437</v>
      </c>
    </row>
    <row r="220">
      <c r="B220" s="383" t="inlineStr">
        <is>
          <t>Enterprise value</t>
        </is>
      </c>
      <c r="F220" s="438" t="n">
        <v>7729.306949715352</v>
      </c>
      <c r="G220" s="438" t="n">
        <v>8342.744009216571</v>
      </c>
      <c r="H220" s="438" t="n">
        <v>8956.181068717789</v>
      </c>
      <c r="I220" s="438" t="n">
        <v>9569.618128219006</v>
      </c>
      <c r="J220" s="438" t="n">
        <v>10183.05518772023</v>
      </c>
    </row>
    <row r="221">
      <c r="B221" s="242" t="inlineStr">
        <is>
          <t>Net debt:</t>
        </is>
      </c>
      <c r="F221" s="140" t="n"/>
    </row>
    <row r="222">
      <c r="B222" s="156" t="inlineStr">
        <is>
          <t>Revolver</t>
        </is>
      </c>
      <c r="F222" s="434" t="n">
        <v>0</v>
      </c>
      <c r="G222" s="434" t="n">
        <v>0</v>
      </c>
      <c r="H222" s="434" t="n">
        <v>0</v>
      </c>
      <c r="I222" s="434" t="n">
        <v>0</v>
      </c>
      <c r="J222" s="434" t="n">
        <v>0</v>
      </c>
    </row>
    <row r="223">
      <c r="B223" s="82" t="inlineStr">
        <is>
          <t>Term Loan A</t>
        </is>
      </c>
      <c r="F223" s="434" t="n">
        <v>77.5387310911168</v>
      </c>
      <c r="G223" s="434" t="n">
        <v>77.5387310911168</v>
      </c>
      <c r="H223" s="434" t="n">
        <v>77.5387310911168</v>
      </c>
      <c r="I223" s="434" t="n">
        <v>77.5387310911168</v>
      </c>
      <c r="J223" s="434" t="n">
        <v>77.5387310911168</v>
      </c>
    </row>
    <row r="224">
      <c r="B224" s="82" t="inlineStr">
        <is>
          <t>Term Loan B</t>
        </is>
      </c>
      <c r="F224" s="434" t="n">
        <v>503.139</v>
      </c>
      <c r="G224" s="434" t="n">
        <v>503.139</v>
      </c>
      <c r="H224" s="434" t="n">
        <v>503.139</v>
      </c>
      <c r="I224" s="434" t="n">
        <v>503.139</v>
      </c>
      <c r="J224" s="434" t="n">
        <v>503.139</v>
      </c>
    </row>
    <row r="225">
      <c r="B225" s="82" t="inlineStr">
        <is>
          <t>Senior Note</t>
        </is>
      </c>
      <c r="E225" s="321" t="n"/>
      <c r="F225" s="434" t="n">
        <v>1632.995000000001</v>
      </c>
      <c r="G225" s="434" t="n">
        <v>1632.995000000001</v>
      </c>
      <c r="H225" s="434" t="n">
        <v>1632.995000000001</v>
      </c>
      <c r="I225" s="434" t="n">
        <v>1632.995000000001</v>
      </c>
      <c r="J225" s="434" t="n">
        <v>1632.995000000001</v>
      </c>
    </row>
    <row r="226">
      <c r="B226" s="82" t="inlineStr">
        <is>
          <t>Sub Note</t>
        </is>
      </c>
      <c r="E226" s="322" t="n"/>
      <c r="F226" s="434" t="n">
        <v>0</v>
      </c>
      <c r="G226" s="434" t="n">
        <v>0</v>
      </c>
      <c r="H226" s="434" t="n">
        <v>0</v>
      </c>
      <c r="I226" s="434" t="n">
        <v>0</v>
      </c>
      <c r="J226" s="434" t="n">
        <v>0</v>
      </c>
    </row>
    <row r="227">
      <c r="B227" s="82" t="inlineStr">
        <is>
          <t>Pref. stock</t>
        </is>
      </c>
      <c r="E227" s="322" t="n"/>
      <c r="F227" s="434" t="n">
        <v>0</v>
      </c>
      <c r="G227" s="434" t="n">
        <v>0</v>
      </c>
      <c r="H227" s="434" t="n">
        <v>0</v>
      </c>
      <c r="I227" s="434" t="n">
        <v>0</v>
      </c>
      <c r="J227" s="434" t="n">
        <v>0</v>
      </c>
    </row>
    <row r="228">
      <c r="B228" s="82" t="inlineStr">
        <is>
          <t>Cash</t>
        </is>
      </c>
      <c r="F228" s="434" t="n">
        <v>-180.0000000000002</v>
      </c>
      <c r="G228" s="434" t="n">
        <v>-180.0000000000002</v>
      </c>
      <c r="H228" s="434" t="n">
        <v>-180.0000000000002</v>
      </c>
      <c r="I228" s="434" t="n">
        <v>-180.0000000000002</v>
      </c>
      <c r="J228" s="434" t="n">
        <v>-180.0000000000002</v>
      </c>
    </row>
    <row r="229">
      <c r="B229" s="147" t="inlineStr">
        <is>
          <t>Equity value</t>
        </is>
      </c>
      <c r="C229" s="181" t="inlineStr">
        <is>
          <t>Initial equity inv.</t>
        </is>
      </c>
      <c r="D229" s="182" t="inlineStr">
        <is>
          <t>% ownership</t>
        </is>
      </c>
      <c r="E229" s="183" t="inlineStr">
        <is>
          <t>Fully diluted</t>
        </is>
      </c>
      <c r="F229" s="438" t="n">
        <v>5695.634218624235</v>
      </c>
      <c r="G229" s="438" t="n">
        <v>6309.071278125453</v>
      </c>
      <c r="H229" s="438" t="n">
        <v>6922.508337626672</v>
      </c>
      <c r="I229" s="438" t="n">
        <v>7535.945397127889</v>
      </c>
      <c r="J229" s="438" t="n">
        <v>8149.38245662911</v>
      </c>
    </row>
    <row r="230">
      <c r="B230" s="34" t="inlineStr">
        <is>
          <t>Sponsor equity</t>
        </is>
      </c>
      <c r="C230" s="479" t="n">
        <v>1660.277939999999</v>
      </c>
      <c r="D230" s="480" t="n">
        <v>1</v>
      </c>
      <c r="E230" s="481" t="n">
        <v>1</v>
      </c>
      <c r="F230" s="434" t="n">
        <v>5695.634218624235</v>
      </c>
      <c r="G230" s="434" t="n">
        <v>6309.071278125453</v>
      </c>
      <c r="H230" s="434" t="n">
        <v>6922.508337626672</v>
      </c>
      <c r="I230" s="434" t="n">
        <v>7535.945397127889</v>
      </c>
      <c r="J230" s="434" t="n">
        <v>8149.38245662911</v>
      </c>
    </row>
    <row r="231">
      <c r="B231" s="34" t="inlineStr">
        <is>
          <t>Mgmt equity</t>
        </is>
      </c>
      <c r="C231" s="479" t="n">
        <v>0</v>
      </c>
      <c r="D231" s="480" t="n">
        <v>0</v>
      </c>
      <c r="E231" s="481" t="n">
        <v>0</v>
      </c>
      <c r="F231" s="434" t="n">
        <v>0</v>
      </c>
      <c r="G231" s="434" t="n">
        <v>0</v>
      </c>
      <c r="H231" s="434" t="n">
        <v>0</v>
      </c>
      <c r="I231" s="434" t="n">
        <v>0</v>
      </c>
      <c r="J231" s="434" t="n">
        <v>0</v>
      </c>
    </row>
    <row r="232">
      <c r="B232" s="34" t="inlineStr">
        <is>
          <t>Pref. stock</t>
        </is>
      </c>
      <c r="C232" s="185" t="n"/>
      <c r="D232" s="480" t="n"/>
      <c r="E232" s="482" t="n">
        <v>0</v>
      </c>
      <c r="F232" s="434" t="n">
        <v>0</v>
      </c>
      <c r="G232" s="434" t="n">
        <v>0</v>
      </c>
      <c r="H232" s="434" t="n">
        <v>0</v>
      </c>
      <c r="I232" s="434" t="n">
        <v>0</v>
      </c>
      <c r="J232" s="434" t="n">
        <v>0</v>
      </c>
    </row>
    <row r="233">
      <c r="B233" s="34" t="inlineStr">
        <is>
          <t>Sub. Note</t>
        </is>
      </c>
      <c r="C233" s="186" t="n"/>
      <c r="D233" s="483" t="n"/>
      <c r="E233" s="484" t="n">
        <v>0</v>
      </c>
      <c r="F233" s="434" t="n">
        <v>0</v>
      </c>
      <c r="G233" s="434" t="n">
        <v>0</v>
      </c>
      <c r="H233" s="434" t="n">
        <v>0</v>
      </c>
      <c r="I233" s="434" t="n">
        <v>0</v>
      </c>
      <c r="J233" s="434"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85" t="inlineStr">
        <is>
          <t>NM</t>
        </is>
      </c>
      <c r="D237" s="166" t="n">
        <v>0</v>
      </c>
      <c r="E237" s="434" t="n">
        <v>0</v>
      </c>
      <c r="F237" s="434" t="n">
        <v>0</v>
      </c>
      <c r="G237" s="434" t="n">
        <v>0</v>
      </c>
      <c r="H237" s="434" t="n">
        <v>0</v>
      </c>
      <c r="I237" s="434" t="n">
        <v>0</v>
      </c>
      <c r="J237" s="432" t="n">
        <v>0</v>
      </c>
    </row>
    <row r="238">
      <c r="B238" t="inlineStr">
        <is>
          <t>Term Loan A</t>
        </is>
      </c>
      <c r="C238" s="485" t="n">
        <v>1.15053240220166</v>
      </c>
      <c r="D238" s="166" t="n">
        <v>0.04502924458774071</v>
      </c>
      <c r="E238" s="434" t="n">
        <v>-2886.429000000001</v>
      </c>
      <c r="F238" s="434" t="n">
        <v>512.2665221356776</v>
      </c>
      <c r="G238" s="434" t="n">
        <v>598.9800769872302</v>
      </c>
      <c r="H238" s="434" t="n">
        <v>668.0294069656172</v>
      </c>
      <c r="I238" s="434" t="n">
        <v>705.5502679862882</v>
      </c>
      <c r="J238" s="432" t="n">
        <v>836.1038170797226</v>
      </c>
    </row>
    <row r="239">
      <c r="B239" t="inlineStr">
        <is>
          <t>Term Loan B</t>
        </is>
      </c>
      <c r="C239" s="485" t="n">
        <v>1.2316089</v>
      </c>
      <c r="D239" s="166" t="n">
        <v>0.05105015805954571</v>
      </c>
      <c r="E239" s="434" t="n">
        <v>-670.8520000000002</v>
      </c>
      <c r="F239" s="434" t="n">
        <v>62.91605607560003</v>
      </c>
      <c r="G239" s="434" t="n">
        <v>63.50590269660002</v>
      </c>
      <c r="H239" s="434" t="n">
        <v>64.93629333100003</v>
      </c>
      <c r="I239" s="434" t="n">
        <v>65.88749438180002</v>
      </c>
      <c r="J239" s="432" t="n">
        <v>568.9815472978003</v>
      </c>
    </row>
    <row r="240">
      <c r="B240" t="inlineStr">
        <is>
          <t>Senior Note</t>
        </is>
      </c>
      <c r="C240" s="485" t="n">
        <v>1.40625</v>
      </c>
      <c r="D240" s="166" t="n">
        <v>0.08124999999913873</v>
      </c>
      <c r="E240" s="434" t="n">
        <v>-1632.995000000001</v>
      </c>
      <c r="F240" s="434" t="n">
        <v>132.6808437500001</v>
      </c>
      <c r="G240" s="434" t="n">
        <v>132.6808437500001</v>
      </c>
      <c r="H240" s="434" t="n">
        <v>132.6808437500001</v>
      </c>
      <c r="I240" s="434" t="n">
        <v>132.6808437500001</v>
      </c>
      <c r="J240" s="432" t="n">
        <v>1765.675843750001</v>
      </c>
    </row>
    <row r="241">
      <c r="B241" s="73" t="inlineStr">
        <is>
          <t>Sub Note at exit EBITDA multiple of:</t>
        </is>
      </c>
      <c r="C241" s="173" t="n"/>
      <c r="D241" s="166" t="n"/>
      <c r="E241" s="140" t="n"/>
      <c r="F241" s="140" t="n"/>
      <c r="G241" s="140" t="n"/>
      <c r="H241" s="140" t="n"/>
      <c r="I241" s="140" t="n"/>
      <c r="J241" s="162" t="n"/>
    </row>
    <row r="242">
      <c r="B242" s="486" t="n">
        <v>6.3</v>
      </c>
      <c r="C242" s="485" t="inlineStr">
        <is>
          <t>NM</t>
        </is>
      </c>
      <c r="D242" s="166" t="n">
        <v>0</v>
      </c>
      <c r="E242" s="434" t="n">
        <v>0</v>
      </c>
      <c r="F242" s="434" t="n">
        <v>0</v>
      </c>
      <c r="G242" s="434" t="n">
        <v>0</v>
      </c>
      <c r="H242" s="434" t="n">
        <v>0</v>
      </c>
      <c r="I242" s="434" t="n">
        <v>0</v>
      </c>
      <c r="J242" s="432" t="n">
        <v>0</v>
      </c>
    </row>
    <row r="243">
      <c r="B243" s="486" t="n">
        <v>6.8</v>
      </c>
      <c r="C243" s="485" t="inlineStr">
        <is>
          <t>NM</t>
        </is>
      </c>
      <c r="D243" s="166" t="n">
        <v>0</v>
      </c>
      <c r="E243" s="434" t="n">
        <v>0</v>
      </c>
      <c r="F243" s="434" t="n">
        <v>0</v>
      </c>
      <c r="G243" s="434" t="n">
        <v>0</v>
      </c>
      <c r="H243" s="434" t="n">
        <v>0</v>
      </c>
      <c r="I243" s="434" t="n">
        <v>0</v>
      </c>
      <c r="J243" s="432" t="n">
        <v>0</v>
      </c>
    </row>
    <row r="244">
      <c r="B244" s="486" t="n">
        <v>7.3</v>
      </c>
      <c r="C244" s="485" t="inlineStr">
        <is>
          <t>NM</t>
        </is>
      </c>
      <c r="D244" s="166" t="n">
        <v>0</v>
      </c>
      <c r="E244" s="434" t="n">
        <v>0</v>
      </c>
      <c r="F244" s="434" t="n">
        <v>0</v>
      </c>
      <c r="G244" s="434" t="n">
        <v>0</v>
      </c>
      <c r="H244" s="434" t="n">
        <v>0</v>
      </c>
      <c r="I244" s="434" t="n">
        <v>0</v>
      </c>
      <c r="J244" s="432" t="n">
        <v>0</v>
      </c>
    </row>
    <row r="245">
      <c r="B245" s="486" t="n">
        <v>7.8</v>
      </c>
      <c r="C245" s="485" t="inlineStr">
        <is>
          <t>NM</t>
        </is>
      </c>
      <c r="D245" s="166" t="n">
        <v>0</v>
      </c>
      <c r="E245" s="434" t="n">
        <v>0</v>
      </c>
      <c r="F245" s="434" t="n">
        <v>0</v>
      </c>
      <c r="G245" s="434" t="n">
        <v>0</v>
      </c>
      <c r="H245" s="434" t="n">
        <v>0</v>
      </c>
      <c r="I245" s="434" t="n">
        <v>0</v>
      </c>
      <c r="J245" s="432" t="n">
        <v>0</v>
      </c>
    </row>
    <row r="246">
      <c r="B246" s="486" t="n">
        <v>8.300000000000001</v>
      </c>
      <c r="C246" s="485" t="inlineStr">
        <is>
          <t>NM</t>
        </is>
      </c>
      <c r="D246" s="166" t="n">
        <v>0</v>
      </c>
      <c r="E246" s="434" t="n">
        <v>0</v>
      </c>
      <c r="F246" s="434" t="n">
        <v>0</v>
      </c>
      <c r="G246" s="434" t="n">
        <v>0</v>
      </c>
      <c r="H246" s="434" t="n">
        <v>0</v>
      </c>
      <c r="I246" s="434" t="n">
        <v>0</v>
      </c>
      <c r="J246" s="432" t="n">
        <v>0</v>
      </c>
    </row>
    <row r="247">
      <c r="B247" s="73" t="inlineStr">
        <is>
          <t>Preferred Stock at exit EBITDA multiple of:</t>
        </is>
      </c>
      <c r="C247" s="173" t="n"/>
      <c r="D247" s="166" t="n"/>
      <c r="E247" s="140" t="n"/>
      <c r="F247" s="140" t="n"/>
      <c r="G247" s="140" t="n"/>
      <c r="H247" s="140" t="n"/>
      <c r="I247" s="140" t="n"/>
      <c r="J247" s="162" t="n"/>
    </row>
    <row r="248">
      <c r="B248" s="486" t="n">
        <v>6.3</v>
      </c>
      <c r="C248" s="485" t="inlineStr">
        <is>
          <t>NM</t>
        </is>
      </c>
      <c r="D248" s="166" t="n">
        <v>0</v>
      </c>
      <c r="E248" s="434" t="n">
        <v>0</v>
      </c>
      <c r="F248" s="430" t="n">
        <v>0</v>
      </c>
      <c r="G248" s="430" t="n">
        <v>0</v>
      </c>
      <c r="H248" s="430" t="n">
        <v>0</v>
      </c>
      <c r="I248" s="430" t="n">
        <v>0</v>
      </c>
      <c r="J248" s="432" t="n">
        <v>0</v>
      </c>
    </row>
    <row r="249">
      <c r="B249" s="486" t="n">
        <v>6.8</v>
      </c>
      <c r="C249" s="485" t="inlineStr">
        <is>
          <t>NM</t>
        </is>
      </c>
      <c r="D249" s="166" t="n">
        <v>0</v>
      </c>
      <c r="E249" s="434" t="n">
        <v>0</v>
      </c>
      <c r="F249" s="434" t="n">
        <v>0</v>
      </c>
      <c r="G249" s="434" t="n">
        <v>0</v>
      </c>
      <c r="H249" s="434" t="n">
        <v>0</v>
      </c>
      <c r="I249" s="434" t="n">
        <v>0</v>
      </c>
      <c r="J249" s="432" t="n">
        <v>0</v>
      </c>
    </row>
    <row r="250">
      <c r="B250" s="486" t="n">
        <v>7.3</v>
      </c>
      <c r="C250" s="485" t="inlineStr">
        <is>
          <t>NM</t>
        </is>
      </c>
      <c r="D250" s="166" t="n">
        <v>0</v>
      </c>
      <c r="E250" s="434" t="n">
        <v>0</v>
      </c>
      <c r="F250" s="434" t="n">
        <v>0</v>
      </c>
      <c r="G250" s="434" t="n">
        <v>0</v>
      </c>
      <c r="H250" s="434" t="n">
        <v>0</v>
      </c>
      <c r="I250" s="434" t="n">
        <v>0</v>
      </c>
      <c r="J250" s="432" t="n">
        <v>0</v>
      </c>
    </row>
    <row r="251">
      <c r="B251" s="486" t="n">
        <v>7.8</v>
      </c>
      <c r="C251" s="485" t="inlineStr">
        <is>
          <t>NM</t>
        </is>
      </c>
      <c r="D251" s="166" t="n">
        <v>0</v>
      </c>
      <c r="E251" s="434" t="n">
        <v>0</v>
      </c>
      <c r="F251" s="434" t="n">
        <v>0</v>
      </c>
      <c r="G251" s="434" t="n">
        <v>0</v>
      </c>
      <c r="H251" s="434" t="n">
        <v>0</v>
      </c>
      <c r="I251" s="434" t="n">
        <v>0</v>
      </c>
      <c r="J251" s="432" t="n">
        <v>0</v>
      </c>
    </row>
    <row r="252">
      <c r="B252" s="486" t="n">
        <v>8.300000000000001</v>
      </c>
      <c r="C252" s="485" t="inlineStr">
        <is>
          <t>NM</t>
        </is>
      </c>
      <c r="D252" s="166" t="n">
        <v>0</v>
      </c>
      <c r="E252" s="434" t="n">
        <v>0</v>
      </c>
      <c r="F252" s="434" t="n">
        <v>0</v>
      </c>
      <c r="G252" s="434" t="n">
        <v>0</v>
      </c>
      <c r="H252" s="434" t="n">
        <v>0</v>
      </c>
      <c r="I252" s="434" t="n">
        <v>0</v>
      </c>
      <c r="J252" s="432" t="n">
        <v>0</v>
      </c>
    </row>
    <row r="253">
      <c r="B253" s="73" t="inlineStr">
        <is>
          <t>Management Equity at exit EBITDA multiple of:</t>
        </is>
      </c>
      <c r="C253" s="487" t="n"/>
      <c r="D253" s="166" t="n"/>
      <c r="E253" s="140" t="n"/>
      <c r="F253" s="140" t="n"/>
      <c r="G253" s="140" t="n"/>
      <c r="H253" s="140" t="n"/>
      <c r="I253" s="140" t="n"/>
      <c r="J253" s="162" t="n"/>
    </row>
    <row r="254">
      <c r="B254" s="486" t="n">
        <v>6.3</v>
      </c>
      <c r="C254" s="485" t="inlineStr">
        <is>
          <t>NM</t>
        </is>
      </c>
      <c r="D254" s="166" t="n">
        <v>0</v>
      </c>
      <c r="E254" s="434" t="n">
        <v>0</v>
      </c>
      <c r="F254" s="449" t="n">
        <v>0</v>
      </c>
      <c r="G254" s="449" t="n">
        <v>0</v>
      </c>
      <c r="H254" s="449" t="n">
        <v>0</v>
      </c>
      <c r="I254" s="449" t="n">
        <v>0</v>
      </c>
      <c r="J254" s="432" t="n">
        <v>0</v>
      </c>
    </row>
    <row r="255">
      <c r="B255" s="486" t="n">
        <v>6.8</v>
      </c>
      <c r="C255" s="485" t="inlineStr">
        <is>
          <t>NM</t>
        </is>
      </c>
      <c r="D255" s="166" t="n">
        <v>0</v>
      </c>
      <c r="E255" s="434" t="n">
        <v>0</v>
      </c>
      <c r="F255" s="434" t="n">
        <v>0</v>
      </c>
      <c r="G255" s="434" t="n">
        <v>0</v>
      </c>
      <c r="H255" s="434" t="n">
        <v>0</v>
      </c>
      <c r="I255" s="434" t="n">
        <v>0</v>
      </c>
      <c r="J255" s="432" t="n">
        <v>0</v>
      </c>
    </row>
    <row r="256">
      <c r="B256" s="486" t="n">
        <v>7.3</v>
      </c>
      <c r="C256" s="485" t="inlineStr">
        <is>
          <t>NM</t>
        </is>
      </c>
      <c r="D256" s="166" t="n">
        <v>0</v>
      </c>
      <c r="E256" s="434" t="n">
        <v>0</v>
      </c>
      <c r="F256" s="434" t="n">
        <v>0</v>
      </c>
      <c r="G256" s="434" t="n">
        <v>0</v>
      </c>
      <c r="H256" s="434" t="n">
        <v>0</v>
      </c>
      <c r="I256" s="434" t="n">
        <v>0</v>
      </c>
      <c r="J256" s="432" t="n">
        <v>0</v>
      </c>
    </row>
    <row r="257">
      <c r="B257" s="486" t="n">
        <v>7.8</v>
      </c>
      <c r="C257" s="485" t="inlineStr">
        <is>
          <t>NM</t>
        </is>
      </c>
      <c r="D257" s="166" t="n">
        <v>0</v>
      </c>
      <c r="E257" s="434" t="n">
        <v>0</v>
      </c>
      <c r="F257" s="434" t="n">
        <v>0</v>
      </c>
      <c r="G257" s="434" t="n">
        <v>0</v>
      </c>
      <c r="H257" s="434" t="n">
        <v>0</v>
      </c>
      <c r="I257" s="434" t="n">
        <v>0</v>
      </c>
      <c r="J257" s="432" t="n">
        <v>0</v>
      </c>
    </row>
    <row r="258">
      <c r="B258" s="486" t="n">
        <v>8.300000000000001</v>
      </c>
      <c r="C258" s="485" t="inlineStr">
        <is>
          <t>NM</t>
        </is>
      </c>
      <c r="D258" s="166" t="n">
        <v>0</v>
      </c>
      <c r="E258" s="434" t="n">
        <v>0</v>
      </c>
      <c r="F258" s="434" t="n">
        <v>0</v>
      </c>
      <c r="G258" s="434" t="n">
        <v>0</v>
      </c>
      <c r="H258" s="434" t="n">
        <v>0</v>
      </c>
      <c r="I258" s="434" t="n">
        <v>0</v>
      </c>
      <c r="J258" s="432" t="n">
        <v>0</v>
      </c>
    </row>
    <row r="259">
      <c r="B259" s="73" t="inlineStr">
        <is>
          <t>Sponsor's Equity at exit EBITDA multiple of:</t>
        </is>
      </c>
      <c r="C259" s="199" t="n"/>
      <c r="D259" s="167" t="n"/>
      <c r="E259" s="140" t="n"/>
      <c r="F259" s="71" t="n"/>
      <c r="G259" s="71" t="n"/>
      <c r="H259" s="71" t="n"/>
      <c r="I259" s="71" t="n"/>
      <c r="J259" s="399" t="n"/>
    </row>
    <row r="260">
      <c r="B260" s="486" t="n">
        <v>6.3</v>
      </c>
      <c r="C260" s="485" t="n">
        <v>3.430530564433228</v>
      </c>
      <c r="D260" s="166" t="n">
        <v>0.2795941873668486</v>
      </c>
      <c r="E260" s="434" t="n">
        <v>-1660.277939999999</v>
      </c>
      <c r="F260" s="449" t="n">
        <v>0</v>
      </c>
      <c r="G260" s="449" t="n">
        <v>0</v>
      </c>
      <c r="H260" s="449" t="n">
        <v>0</v>
      </c>
      <c r="I260" s="449" t="n">
        <v>0</v>
      </c>
      <c r="J260" s="432" t="n">
        <v>5695.634218624235</v>
      </c>
    </row>
    <row r="261">
      <c r="B261" s="486" t="n">
        <v>6.8</v>
      </c>
      <c r="C261" s="485" t="n">
        <v>3.800009098552172</v>
      </c>
      <c r="D261" s="166" t="n">
        <v>0.3060413503798853</v>
      </c>
      <c r="E261" s="434" t="n">
        <v>-1660.277939999999</v>
      </c>
      <c r="F261" s="434" t="n">
        <v>0</v>
      </c>
      <c r="G261" s="434" t="n">
        <v>0</v>
      </c>
      <c r="H261" s="434" t="n">
        <v>0</v>
      </c>
      <c r="I261" s="434" t="n">
        <v>0</v>
      </c>
      <c r="J261" s="432" t="n">
        <v>6309.071278125453</v>
      </c>
    </row>
    <row r="262">
      <c r="B262" s="486" t="n">
        <v>7.3</v>
      </c>
      <c r="C262" s="485" t="n">
        <v>4.169487632671115</v>
      </c>
      <c r="D262" s="166" t="n">
        <v>0.3305050828444873</v>
      </c>
      <c r="E262" s="434" t="n">
        <v>-1660.277939999999</v>
      </c>
      <c r="F262" s="434" t="n">
        <v>0</v>
      </c>
      <c r="G262" s="434" t="n">
        <v>0</v>
      </c>
      <c r="H262" s="434" t="n">
        <v>0</v>
      </c>
      <c r="I262" s="434" t="n">
        <v>0</v>
      </c>
      <c r="J262" s="432" t="n">
        <v>6922.508337626672</v>
      </c>
    </row>
    <row r="263">
      <c r="B263" s="486" t="n">
        <v>7.8</v>
      </c>
      <c r="C263" s="485" t="n">
        <v>4.538966166790057</v>
      </c>
      <c r="D263" s="166" t="n">
        <v>0.3532916093100265</v>
      </c>
      <c r="E263" s="434" t="n">
        <v>-1660.277939999999</v>
      </c>
      <c r="F263" s="434" t="n">
        <v>0</v>
      </c>
      <c r="G263" s="434" t="n">
        <v>0</v>
      </c>
      <c r="H263" s="434" t="n">
        <v>0</v>
      </c>
      <c r="I263" s="434" t="n">
        <v>0</v>
      </c>
      <c r="J263" s="432" t="n">
        <v>7535.945397127889</v>
      </c>
    </row>
    <row r="264">
      <c r="B264" s="486" t="n">
        <v>8.300000000000001</v>
      </c>
      <c r="C264" s="485" t="n">
        <v>4.908444700909001</v>
      </c>
      <c r="D264" s="166" t="n">
        <v>0.3746393777884374</v>
      </c>
      <c r="E264" s="434" t="n">
        <v>-1660.277939999999</v>
      </c>
      <c r="F264" s="434" t="n">
        <v>0</v>
      </c>
      <c r="G264" s="434" t="n">
        <v>0</v>
      </c>
      <c r="H264" s="434" t="n">
        <v>0</v>
      </c>
      <c r="I264" s="434" t="n">
        <v>0</v>
      </c>
      <c r="J264" s="432" t="n">
        <v>8149.38245662911</v>
      </c>
    </row>
    <row r="266">
      <c r="B266" s="317" t="inlineStr">
        <is>
          <t>SUMMARY @ 13.0x EXIT — AI vs Base (see Strategy_Summary)</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88" t="n">
        <v>0</v>
      </c>
      <c r="G268" s="489" t="n">
        <v>0</v>
      </c>
      <c r="H268" s="173" t="n"/>
      <c r="I268" s="485" t="inlineStr">
        <is>
          <t>NM</t>
        </is>
      </c>
      <c r="J268" s="490" t="n">
        <v>0</v>
      </c>
    </row>
    <row r="269">
      <c r="B269" t="inlineStr">
        <is>
          <t>Term Loan A</t>
        </is>
      </c>
      <c r="F269" s="488" t="n">
        <v>2886.429000000001</v>
      </c>
      <c r="G269" s="489" t="n">
        <v>0.4213424235880114</v>
      </c>
      <c r="H269" s="173" t="n"/>
      <c r="I269" s="485" t="n">
        <v>1.15053240220166</v>
      </c>
      <c r="J269" s="490" t="n">
        <v>0.04502924458774071</v>
      </c>
    </row>
    <row r="270">
      <c r="B270" t="inlineStr">
        <is>
          <t>Term Loan B</t>
        </is>
      </c>
      <c r="F270" s="488" t="n">
        <v>670.8520000000002</v>
      </c>
      <c r="G270" s="489" t="n">
        <v>0.09792667948834516</v>
      </c>
      <c r="H270" s="173" t="n"/>
      <c r="I270" s="485" t="n">
        <v>1.2316089</v>
      </c>
      <c r="J270" s="490" t="n">
        <v>0.05105015805954571</v>
      </c>
    </row>
    <row r="271">
      <c r="B271" t="inlineStr">
        <is>
          <t>Senior Note</t>
        </is>
      </c>
      <c r="F271" s="488" t="n">
        <v>1632.995000000001</v>
      </c>
      <c r="G271" s="489" t="n">
        <v>0.2383741540176823</v>
      </c>
      <c r="H271" s="173" t="n"/>
      <c r="I271" s="485" t="n">
        <v>1.40625</v>
      </c>
      <c r="J271" s="490" t="n">
        <v>0.08124999999913873</v>
      </c>
    </row>
    <row r="272">
      <c r="B272" t="inlineStr">
        <is>
          <t>Sub Note</t>
        </is>
      </c>
      <c r="F272" s="488" t="n">
        <v>0</v>
      </c>
      <c r="G272" s="489" t="n">
        <v>0</v>
      </c>
      <c r="H272" s="489" t="n">
        <v>0</v>
      </c>
      <c r="I272" s="485" t="inlineStr">
        <is>
          <t>NM</t>
        </is>
      </c>
      <c r="J272" s="490" t="n">
        <v>0</v>
      </c>
      <c r="K272" s="140" t="n"/>
    </row>
    <row r="273">
      <c r="B273" t="inlineStr">
        <is>
          <t>Preferred stock</t>
        </is>
      </c>
      <c r="F273" s="488" t="n">
        <v>0</v>
      </c>
      <c r="G273" s="489" t="n">
        <v>0</v>
      </c>
      <c r="H273" s="489" t="n">
        <v>0</v>
      </c>
      <c r="I273" s="485" t="inlineStr">
        <is>
          <t>NM</t>
        </is>
      </c>
      <c r="J273" s="490" t="n">
        <v>0</v>
      </c>
    </row>
    <row r="274">
      <c r="B274" t="inlineStr">
        <is>
          <t>Mgmt rollover</t>
        </is>
      </c>
      <c r="F274" s="488" t="n">
        <v>0</v>
      </c>
      <c r="G274" s="489" t="n">
        <v>0</v>
      </c>
      <c r="H274" s="489" t="n">
        <v>0</v>
      </c>
      <c r="I274" s="485" t="inlineStr">
        <is>
          <t>NM</t>
        </is>
      </c>
      <c r="J274" s="490" t="n">
        <v>0</v>
      </c>
    </row>
    <row r="275">
      <c r="B275" t="inlineStr">
        <is>
          <t>Sponsor equity (AI case)</t>
        </is>
      </c>
      <c r="F275" s="488" t="n">
        <v>1871.3</v>
      </c>
      <c r="G275" s="489" t="n">
        <v>0.2423567429059611</v>
      </c>
      <c r="H275" s="489" t="n">
        <v>1</v>
      </c>
      <c r="I275" s="485" t="n">
        <v>3.317</v>
      </c>
      <c r="J275" s="490" t="n">
        <v>0.271</v>
      </c>
    </row>
    <row r="276">
      <c r="B276" s="193" t="inlineStr">
        <is>
          <t>Sponsor equity (Base case)</t>
        </is>
      </c>
      <c r="F276" s="491" t="n">
        <v>6850.553940000001</v>
      </c>
      <c r="G276" s="492" t="n">
        <v>1</v>
      </c>
      <c r="H276" s="492" t="n">
        <v>1</v>
      </c>
      <c r="I276" t="n">
        <v>1.177</v>
      </c>
      <c r="J276" t="n">
        <v>0.033</v>
      </c>
    </row>
    <row r="277">
      <c r="B277" s="193" t="inlineStr">
        <is>
          <t>IRR uplift from AI S&amp;M (percentage points)</t>
        </is>
      </c>
      <c r="E277" s="175" t="n"/>
      <c r="G277" s="492" t="n"/>
      <c r="H277" s="492" t="n"/>
      <c r="J277" t="n">
        <v>0.2379</v>
      </c>
    </row>
    <row r="278">
      <c r="B278" s="317" t="inlineStr">
        <is>
          <t>SENSITIVITY ANALYISIS</t>
        </is>
      </c>
      <c r="C278" s="15" t="n"/>
      <c r="D278" s="207" t="n"/>
      <c r="E278" s="493" t="n"/>
      <c r="F278" s="207" t="n"/>
      <c r="G278" s="207" t="n"/>
      <c r="H278" s="207" t="n"/>
      <c r="I278" s="15" t="n"/>
      <c r="J278" s="15" t="n"/>
    </row>
    <row r="279">
      <c r="B279" s="209" t="n"/>
      <c r="C279" s="208" t="n"/>
      <c r="D279" s="208" t="n"/>
      <c r="E279" s="494"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95" t="n">
        <v>0.3305050828444873</v>
      </c>
      <c r="E281" s="496" t="n">
        <v>0.15</v>
      </c>
      <c r="F281" s="497" t="n">
        <v>0.2</v>
      </c>
      <c r="G281" s="497" t="n">
        <v>0.25</v>
      </c>
      <c r="H281" s="497" t="n">
        <v>0.3</v>
      </c>
      <c r="I281" s="497" t="n">
        <v>0.35</v>
      </c>
      <c r="J281" s="498" t="n">
        <v>0.4</v>
      </c>
    </row>
    <row r="282">
      <c r="B282" t="inlineStr">
        <is>
          <t>Offer value</t>
        </is>
      </c>
      <c r="C282" s="499"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500" t="n">
        <v>0.01827388815499775</v>
      </c>
      <c r="E285" s="501" t="n">
        <v>0.2873343584233408</v>
      </c>
      <c r="F285" s="502" t="n">
        <v>0.1876944809506009</v>
      </c>
      <c r="G285" s="502" t="n">
        <v>0.1101173362003216</v>
      </c>
      <c r="H285" s="502" t="n">
        <v>0.04910862549737494</v>
      </c>
      <c r="I285" s="502" t="n">
        <v>0.0006834579092962478</v>
      </c>
      <c r="J285" s="503" t="n">
        <v>-0.03808450034570132</v>
      </c>
    </row>
    <row r="286">
      <c r="B286" s="202" t="n"/>
      <c r="C286" s="348" t="n"/>
      <c r="E286" s="501" t="n"/>
      <c r="F286" s="502" t="n"/>
      <c r="G286" s="502" t="n"/>
      <c r="H286" s="502" t="n"/>
      <c r="I286" s="502" t="n"/>
      <c r="J286" s="503"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504" t="n">
        <v>7.325281805823042</v>
      </c>
      <c r="E288" s="505" t="n">
        <v>9.343444437947683</v>
      </c>
      <c r="F288" s="506" t="n">
        <v>8.596067920005796</v>
      </c>
      <c r="G288" s="506" t="n">
        <v>8.014179043926031</v>
      </c>
      <c r="H288" s="506" t="n">
        <v>7.556566299653368</v>
      </c>
      <c r="I288" s="506" t="n">
        <v>7.193339908265721</v>
      </c>
      <c r="J288" s="507" t="n">
        <v>6.902550092147537</v>
      </c>
    </row>
    <row r="289">
      <c r="B289" s="73" t="n"/>
      <c r="E289" s="508" t="n"/>
    </row>
    <row r="290">
      <c r="D290" s="319" t="inlineStr">
        <is>
          <t>Sponsor IRR At Various Leverage And Initial EBITDA Multiple Sensitivity</t>
        </is>
      </c>
      <c r="E290" s="207" t="n"/>
      <c r="F290" s="207" t="n"/>
      <c r="G290" s="493"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509" t="n">
        <v>0.3</v>
      </c>
      <c r="F292" s="209" t="inlineStr">
        <is>
          <t>Term A / EBITDA ratio (other cumulative leverage of 2.6x)</t>
        </is>
      </c>
      <c r="G292" s="211" t="n"/>
      <c r="H292" s="211" t="n"/>
      <c r="I292" s="211" t="n"/>
      <c r="J292" s="211" t="n"/>
      <c r="M292" s="290" t="n"/>
      <c r="N292" s="290" t="n"/>
    </row>
    <row r="293">
      <c r="E293" s="212" t="n">
        <v>0.3305050828444873</v>
      </c>
      <c r="F293" s="510" t="n">
        <v>3</v>
      </c>
      <c r="G293" s="511" t="n">
        <v>3.25</v>
      </c>
      <c r="H293" s="511" t="n">
        <v>3.5</v>
      </c>
      <c r="I293" s="511" t="n">
        <v>3.75</v>
      </c>
      <c r="J293" s="511" t="n">
        <v>4</v>
      </c>
    </row>
    <row r="294" ht="15" customHeight="1" s="244">
      <c r="D294" s="286" t="n"/>
      <c r="E294" s="510" t="n">
        <v>7</v>
      </c>
      <c r="F294" s="451" t="n">
        <v>0.306597235533177</v>
      </c>
      <c r="G294" s="451" t="n">
        <v>0.3285696518248762</v>
      </c>
      <c r="H294" s="451" t="n">
        <v>0.3550765360456567</v>
      </c>
      <c r="I294" s="451" t="n">
        <v>0.3878570517986382</v>
      </c>
      <c r="J294" s="435" t="n">
        <v>0.4297704340734299</v>
      </c>
    </row>
    <row r="295">
      <c r="D295" s="286" t="inlineStr">
        <is>
          <t>Initial</t>
        </is>
      </c>
      <c r="E295" s="512" t="n">
        <v>7.25</v>
      </c>
      <c r="F295" s="451" t="n">
        <v>0.3065972788196272</v>
      </c>
      <c r="G295" s="451" t="n">
        <v>0.3285696518248762</v>
      </c>
      <c r="H295" s="451" t="n">
        <v>0.3550765360456567</v>
      </c>
      <c r="I295" s="451" t="n">
        <v>0.3878570517986382</v>
      </c>
      <c r="J295" s="435" t="n">
        <v>0.4297704340734299</v>
      </c>
    </row>
    <row r="296">
      <c r="D296" s="286" t="inlineStr">
        <is>
          <t>EBITDA</t>
        </is>
      </c>
      <c r="E296" s="512" t="n">
        <v>7.5</v>
      </c>
      <c r="F296" s="451" t="n">
        <v>0.3065972788196272</v>
      </c>
      <c r="G296" s="451" t="n">
        <v>0.3285696518248762</v>
      </c>
      <c r="H296" s="451" t="n">
        <v>0.3550765360456567</v>
      </c>
      <c r="I296" s="451" t="n">
        <v>0.3878570517986382</v>
      </c>
      <c r="J296" s="435" t="n">
        <v>0.4297704340734299</v>
      </c>
    </row>
    <row r="297">
      <c r="D297" s="286" t="inlineStr">
        <is>
          <t>Multiple:</t>
        </is>
      </c>
      <c r="E297" s="512" t="n">
        <v>7.75</v>
      </c>
      <c r="F297" s="451" t="n">
        <v>0.3065972788196272</v>
      </c>
      <c r="G297" s="451" t="n">
        <v>0.3285696518248762</v>
      </c>
      <c r="H297" s="451" t="n">
        <v>0.3550765360456567</v>
      </c>
      <c r="I297" s="451" t="n">
        <v>0.3878570517986382</v>
      </c>
      <c r="J297" s="435" t="n">
        <v>0.4297704340734299</v>
      </c>
    </row>
    <row r="298">
      <c r="D298" s="286" t="n"/>
      <c r="E298" s="512" t="n">
        <v>8</v>
      </c>
      <c r="F298" s="451" t="n">
        <v>0.3065972788196272</v>
      </c>
      <c r="G298" s="451" t="n">
        <v>0.3285696518248762</v>
      </c>
      <c r="H298" s="451" t="n">
        <v>0.3550765360456567</v>
      </c>
      <c r="I298" s="451" t="n">
        <v>0.3878570517986382</v>
      </c>
      <c r="J298" s="435" t="n">
        <v>0.4297704340734299</v>
      </c>
    </row>
    <row r="300">
      <c r="D300" s="319" t="inlineStr">
        <is>
          <t>Sponsor IRR At Various Leverage And Offer Price / Share Sensitivity</t>
        </is>
      </c>
      <c r="E300" s="207" t="n"/>
      <c r="F300" s="207" t="n"/>
      <c r="G300" s="493"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510" t="n">
        <v>3</v>
      </c>
      <c r="G303" s="511" t="n">
        <v>3.25</v>
      </c>
      <c r="H303" s="511" t="n">
        <v>3.5</v>
      </c>
      <c r="I303" s="511" t="n">
        <v>3.75</v>
      </c>
      <c r="J303" s="511" t="n">
        <v>4</v>
      </c>
    </row>
    <row r="304">
      <c r="D304" s="286" t="n"/>
      <c r="E304" s="513" t="n">
        <v>45</v>
      </c>
      <c r="F304" s="451" t="n">
        <v>0.333852523632834</v>
      </c>
      <c r="G304" s="451" t="n">
        <v>0.3601376555309279</v>
      </c>
      <c r="H304" s="451" t="n">
        <v>0.3924776788740911</v>
      </c>
      <c r="I304" s="451" t="n">
        <v>0.433550866893905</v>
      </c>
      <c r="J304" s="435" t="n">
        <v>0.488104080056188</v>
      </c>
    </row>
    <row r="305">
      <c r="D305" s="286" t="inlineStr">
        <is>
          <t>Initial</t>
        </is>
      </c>
      <c r="E305" s="285" t="n">
        <v>45.25</v>
      </c>
      <c r="F305" s="451" t="n">
        <v>0.3281252707882212</v>
      </c>
      <c r="G305" s="451" t="n">
        <v>0.3534590099865351</v>
      </c>
      <c r="H305" s="451" t="n">
        <v>0.3844939801886209</v>
      </c>
      <c r="I305" s="451" t="n">
        <v>0.4236762156017959</v>
      </c>
      <c r="J305" s="435" t="n">
        <v>0.4752682250597036</v>
      </c>
    </row>
    <row r="306">
      <c r="D306" s="286" t="inlineStr">
        <is>
          <t>Offer</t>
        </is>
      </c>
      <c r="E306" s="285" t="n">
        <v>45.5</v>
      </c>
      <c r="F306" s="451" t="n">
        <v>0.322542428040524</v>
      </c>
      <c r="G306" s="451" t="n">
        <v>0.3469724205248608</v>
      </c>
      <c r="H306" s="451" t="n">
        <v>0.3767772861737244</v>
      </c>
      <c r="I306" s="451" t="n">
        <v>0.4141961196694628</v>
      </c>
      <c r="J306" s="435" t="n">
        <v>0.4630692819485509</v>
      </c>
    </row>
    <row r="307">
      <c r="D307" s="286" t="inlineStr">
        <is>
          <t>Price:</t>
        </is>
      </c>
      <c r="E307" s="285" t="n">
        <v>45.75</v>
      </c>
      <c r="F307" s="451" t="n">
        <v>0.3170974972664742</v>
      </c>
      <c r="G307" s="451" t="n">
        <v>0.3406679984195311</v>
      </c>
      <c r="H307" s="451" t="n">
        <v>0.369311668941261</v>
      </c>
      <c r="I307" s="451" t="n">
        <v>0.4050826060064987</v>
      </c>
      <c r="J307" s="435" t="n">
        <v>0.4514516059303442</v>
      </c>
    </row>
    <row r="308">
      <c r="D308" s="286" t="n"/>
      <c r="E308" s="285" t="n">
        <v>46</v>
      </c>
      <c r="F308" s="451" t="n">
        <v>0.3117843584538174</v>
      </c>
      <c r="G308" s="451" t="n">
        <v>0.3345365786265331</v>
      </c>
      <c r="H308" s="451" t="n">
        <v>0.3620825462333435</v>
      </c>
      <c r="I308" s="451" t="n">
        <v>0.3963104963405388</v>
      </c>
      <c r="J308" s="435" t="n">
        <v>0.4403663540732419</v>
      </c>
    </row>
    <row r="310">
      <c r="D310" s="319" t="inlineStr">
        <is>
          <t>Sponsor IRR @ Preferred &amp; Sub Note Equity Kicker Sensitivity</t>
        </is>
      </c>
      <c r="E310" s="207" t="n"/>
      <c r="F310" s="207" t="n"/>
      <c r="G310" s="493" t="n"/>
      <c r="H310" s="207" t="n"/>
      <c r="I310" s="207" t="n"/>
      <c r="J310" s="207" t="n"/>
    </row>
    <row r="311">
      <c r="F311" s="209" t="inlineStr">
        <is>
          <t>Sub Note Equity Kicker</t>
        </is>
      </c>
      <c r="G311" s="211" t="n"/>
      <c r="H311" s="211" t="n"/>
      <c r="I311" s="211" t="n"/>
      <c r="J311" s="211" t="n"/>
    </row>
    <row r="312">
      <c r="E312" s="212" t="n">
        <v>0.3305050828444873</v>
      </c>
      <c r="F312" s="514" t="n">
        <v>0</v>
      </c>
      <c r="G312" s="213" t="n">
        <v>0.02</v>
      </c>
      <c r="H312" s="213" t="n">
        <v>0.04</v>
      </c>
      <c r="I312" s="213" t="n">
        <v>0.06</v>
      </c>
      <c r="J312" s="213" t="n">
        <v>0.08</v>
      </c>
    </row>
    <row r="313">
      <c r="D313" s="286" t="n"/>
      <c r="E313" s="514" t="n">
        <v>0</v>
      </c>
      <c r="F313" s="451" t="n">
        <v>0.3305050799786786</v>
      </c>
      <c r="G313" s="451" t="n">
        <v>0.3251399681067006</v>
      </c>
      <c r="H313" s="451" t="n">
        <v>0.3196865321790505</v>
      </c>
      <c r="I313" s="451" t="n">
        <v>0.3141414345792028</v>
      </c>
      <c r="J313" s="435" t="n">
        <v>0.3085011343441604</v>
      </c>
    </row>
    <row r="314">
      <c r="D314" s="286" t="inlineStr">
        <is>
          <t>Preferred</t>
        </is>
      </c>
      <c r="E314" s="515" t="n">
        <v>0.02</v>
      </c>
      <c r="F314" s="451" t="n">
        <v>0.3251399681732201</v>
      </c>
      <c r="G314" s="451" t="n">
        <v>0.3196865321805167</v>
      </c>
      <c r="H314" s="451" t="n">
        <v>0.3141414345792337</v>
      </c>
      <c r="I314" s="451" t="n">
        <v>0.308501134344161</v>
      </c>
      <c r="J314" s="435" t="n">
        <v>0.3027618729690769</v>
      </c>
    </row>
    <row r="315">
      <c r="D315" s="286" t="inlineStr">
        <is>
          <t>Equity</t>
        </is>
      </c>
      <c r="E315" s="515" t="n">
        <v>0.04</v>
      </c>
      <c r="F315" s="451" t="n">
        <v>0.3196865321805167</v>
      </c>
      <c r="G315" s="451" t="n">
        <v>0.3141414345792337</v>
      </c>
      <c r="H315" s="451" t="n">
        <v>0.308501134344161</v>
      </c>
      <c r="I315" s="451" t="n">
        <v>0.3027618729690769</v>
      </c>
      <c r="J315" s="435" t="n">
        <v>0.2969196559822402</v>
      </c>
    </row>
    <row r="316">
      <c r="D316" s="286" t="inlineStr">
        <is>
          <t>Kicker:</t>
        </is>
      </c>
      <c r="E316" s="515" t="n">
        <v>0.06</v>
      </c>
      <c r="F316" s="451" t="n">
        <v>0.3141414345792337</v>
      </c>
      <c r="G316" s="451" t="n">
        <v>0.308501134344161</v>
      </c>
      <c r="H316" s="451" t="n">
        <v>0.3027618729690769</v>
      </c>
      <c r="I316" s="451" t="n">
        <v>0.2969196559822402</v>
      </c>
      <c r="J316" s="435" t="n">
        <v>0.2909702322912278</v>
      </c>
    </row>
    <row r="317">
      <c r="D317" s="286" t="n"/>
      <c r="E317" s="515" t="n">
        <v>0.08</v>
      </c>
      <c r="F317" s="451" t="n">
        <v>0.308501134344161</v>
      </c>
      <c r="G317" s="451" t="n">
        <v>0.3027618729690769</v>
      </c>
      <c r="H317" s="451" t="n">
        <v>0.2969196559822402</v>
      </c>
      <c r="I317" s="451" t="n">
        <v>0.290970232291228</v>
      </c>
      <c r="J317" s="435" t="n">
        <v>0.2849090713511313</v>
      </c>
    </row>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34" t="n">
        <v>1635.6</v>
      </c>
      <c r="F323" s="434" t="n">
        <v>1581.9</v>
      </c>
      <c r="G323" s="488" t="n">
        <v>-8252.453940000001</v>
      </c>
      <c r="H323" s="488" t="n">
        <v>6850.553940000001</v>
      </c>
      <c r="I323" s="488" t="n"/>
      <c r="J323" s="434" t="n">
        <v>179.9999999999991</v>
      </c>
    </row>
    <row r="324">
      <c r="B324" s="34" t="inlineStr">
        <is>
          <t>Accounts receivable, EOP</t>
        </is>
      </c>
      <c r="E324" s="434" t="n">
        <v>484.8</v>
      </c>
      <c r="F324" s="434" t="n">
        <v>443.7</v>
      </c>
      <c r="G324" s="173" t="n"/>
      <c r="H324" s="488" t="n"/>
      <c r="I324" s="488" t="n"/>
      <c r="J324" s="434" t="n">
        <v>443.7</v>
      </c>
    </row>
    <row r="325">
      <c r="B325" s="34" t="inlineStr">
        <is>
          <t>Other current assets, EOP</t>
        </is>
      </c>
      <c r="E325" s="434" t="n">
        <v>195.1</v>
      </c>
      <c r="F325" s="434" t="n">
        <v>213.1</v>
      </c>
      <c r="G325" s="173" t="n"/>
      <c r="H325" s="488" t="n"/>
      <c r="I325" s="488" t="n"/>
      <c r="J325" s="434" t="n">
        <v>213.1</v>
      </c>
    </row>
    <row r="326">
      <c r="B326" s="34" t="inlineStr">
        <is>
          <t>PP&amp;E</t>
        </is>
      </c>
      <c r="E326" s="434" t="n">
        <v>87.8</v>
      </c>
      <c r="F326" s="434" t="n">
        <v>85.2</v>
      </c>
      <c r="G326" s="173" t="n"/>
      <c r="H326" s="488" t="n"/>
      <c r="I326" s="488" t="n">
        <v>300</v>
      </c>
      <c r="J326" s="434" t="n">
        <v>385.2</v>
      </c>
    </row>
    <row r="327">
      <c r="B327" s="34" t="inlineStr">
        <is>
          <t>Software development costs</t>
        </is>
      </c>
      <c r="E327" s="434" t="n">
        <v>244.7</v>
      </c>
      <c r="F327" s="434" t="n">
        <v>271.4</v>
      </c>
      <c r="G327" s="173" t="n"/>
      <c r="H327" s="488" t="n"/>
      <c r="I327" s="488" t="n"/>
      <c r="J327" s="434" t="n">
        <v>271.4</v>
      </c>
    </row>
    <row r="328">
      <c r="B328" s="34" t="inlineStr">
        <is>
          <t>Intangible assets</t>
        </is>
      </c>
      <c r="E328" s="434" t="n">
        <v>257.5</v>
      </c>
      <c r="F328" s="434" t="n">
        <v>189.8</v>
      </c>
      <c r="G328" s="488" t="n">
        <v>69.68916500000003</v>
      </c>
      <c r="H328" s="488" t="n"/>
      <c r="I328" s="488" t="n">
        <v>200</v>
      </c>
      <c r="J328" s="434" t="n">
        <v>459.4891650000001</v>
      </c>
    </row>
    <row r="329">
      <c r="B329" s="34" t="inlineStr">
        <is>
          <t>Goodwill and other assets</t>
        </is>
      </c>
      <c r="E329" s="445" t="n">
        <v>1940.3</v>
      </c>
      <c r="F329" s="445" t="n">
        <v>1935.2</v>
      </c>
      <c r="G329" s="263" t="n"/>
      <c r="H329" s="516" t="n"/>
      <c r="I329" s="265" t="n">
        <v>5536.653639577004</v>
      </c>
      <c r="J329" s="445" t="n">
        <v>7471.853639577004</v>
      </c>
    </row>
    <row r="330">
      <c r="B330" s="383" t="inlineStr">
        <is>
          <t>Total Assets</t>
        </is>
      </c>
      <c r="E330" s="438" t="n">
        <v>4845.799999999999</v>
      </c>
      <c r="F330" s="438" t="n">
        <v>4720.3</v>
      </c>
      <c r="G330" s="173" t="n"/>
      <c r="H330" s="173" t="n"/>
      <c r="I330" s="173" t="n"/>
      <c r="J330" s="438" t="n">
        <v>9424.742804577003</v>
      </c>
    </row>
    <row r="331">
      <c r="E331" s="140" t="n"/>
      <c r="F331" s="140" t="n"/>
      <c r="G331" s="173" t="n"/>
      <c r="H331" s="173" t="n"/>
      <c r="I331" s="173" t="n"/>
    </row>
    <row r="332">
      <c r="B332" s="34" t="inlineStr">
        <is>
          <t>Accounts payable, EOP</t>
        </is>
      </c>
      <c r="E332" s="434" t="n">
        <v>32.7</v>
      </c>
      <c r="F332" s="434" t="n">
        <v>42.1</v>
      </c>
      <c r="G332" s="173" t="n"/>
      <c r="H332" s="488" t="n"/>
      <c r="I332" s="488" t="n"/>
      <c r="J332" s="434" t="n">
        <v>42.1</v>
      </c>
    </row>
    <row r="333">
      <c r="B333" s="34" t="inlineStr">
        <is>
          <t>Accrued expenses &amp; def revenues, EOP</t>
        </is>
      </c>
      <c r="E333" s="434" t="n">
        <v>2313.3</v>
      </c>
      <c r="F333" s="434" t="n">
        <v>2301.7</v>
      </c>
      <c r="G333" s="173" t="n"/>
      <c r="H333" s="488" t="n"/>
      <c r="I333" s="488" t="n"/>
      <c r="J333" s="434" t="n">
        <v>2301.7</v>
      </c>
    </row>
    <row r="334">
      <c r="B334" s="34" t="inlineStr">
        <is>
          <t>Other liabilities</t>
        </is>
      </c>
      <c r="E334" s="434" t="n">
        <v>232.4</v>
      </c>
      <c r="F334" s="434" t="n">
        <v>252</v>
      </c>
      <c r="G334" s="173" t="n"/>
      <c r="H334" s="488" t="n"/>
      <c r="I334" s="488" t="n">
        <v>113.2273895770039</v>
      </c>
      <c r="J334" s="434" t="n">
        <v>365.2273895770039</v>
      </c>
    </row>
    <row r="335">
      <c r="B335" s="34" t="inlineStr">
        <is>
          <t xml:space="preserve">Debt </t>
        </is>
      </c>
      <c r="E335" s="204" t="n">
        <v>821.6</v>
      </c>
      <c r="F335" s="449" t="n">
        <v>1306</v>
      </c>
      <c r="G335" s="488" t="n">
        <v>-1306</v>
      </c>
      <c r="H335" s="172" t="n">
        <v>5190.276000000002</v>
      </c>
      <c r="I335" s="173" t="n"/>
      <c r="J335" s="434" t="n">
        <v>5190.276000000002</v>
      </c>
    </row>
    <row r="336">
      <c r="B336" s="383" t="inlineStr">
        <is>
          <t>Total Liabilities</t>
        </is>
      </c>
      <c r="E336" s="438" t="n">
        <v>3400</v>
      </c>
      <c r="F336" s="438" t="n">
        <v>3901.8</v>
      </c>
      <c r="G336" s="173" t="n"/>
      <c r="H336" s="173" t="n"/>
      <c r="I336" s="173" t="n"/>
      <c r="J336" s="438"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34" t="n">
        <v>0</v>
      </c>
    </row>
    <row r="339">
      <c r="B339" s="34" t="inlineStr">
        <is>
          <t>Equity</t>
        </is>
      </c>
      <c r="E339" s="449" t="n">
        <v>1445.8</v>
      </c>
      <c r="F339" s="449" t="n">
        <v>818.5</v>
      </c>
      <c r="G339" s="488" t="n">
        <v>-6876.764775000001</v>
      </c>
      <c r="H339" s="172" t="n">
        <v>1660.277939999999</v>
      </c>
      <c r="I339" s="488" t="n">
        <v>5923.42625</v>
      </c>
      <c r="J339" s="434" t="n">
        <v>1525.439414999999</v>
      </c>
    </row>
    <row r="340">
      <c r="B340" s="383" t="inlineStr">
        <is>
          <t>Total equity</t>
        </is>
      </c>
      <c r="E340" s="57" t="n">
        <v>1445.8</v>
      </c>
      <c r="F340" s="57" t="n">
        <v>818.5</v>
      </c>
      <c r="J340" s="438" t="n">
        <v>1525.439414999999</v>
      </c>
    </row>
    <row r="341">
      <c r="B341" s="202" t="inlineStr">
        <is>
          <t>Balance check</t>
        </is>
      </c>
      <c r="E341" s="455" t="n">
        <v>0</v>
      </c>
      <c r="F341" s="455" t="n">
        <v>0</v>
      </c>
      <c r="G341" s="434" t="n"/>
      <c r="H341" s="140" t="n"/>
      <c r="J341" s="455" t="n">
        <v>-1.818989403545856e-12</v>
      </c>
    </row>
    <row r="342">
      <c r="B342" s="100" t="n"/>
      <c r="D342" s="100" t="n"/>
      <c r="E342" s="455" t="n"/>
      <c r="F342" s="455" t="n"/>
      <c r="G342" s="434" t="n"/>
      <c r="H342" s="140" t="n"/>
      <c r="J342" s="455" t="n"/>
    </row>
    <row r="343">
      <c r="B343" s="317" t="inlineStr">
        <is>
          <t>PRO FORMA BALANCE SHEET</t>
        </is>
      </c>
      <c r="D343" s="18" t="n"/>
      <c r="E343" s="517" t="n"/>
      <c r="F343" s="517" t="n"/>
      <c r="G343" s="445" t="n"/>
      <c r="H343" s="142" t="n"/>
      <c r="I343" s="15" t="n"/>
      <c r="J343" s="517"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34" t="n">
        <v>1635.6</v>
      </c>
      <c r="E346" s="434" t="n">
        <v>1581.9</v>
      </c>
      <c r="F346" s="434" t="n">
        <v>179.9999999999991</v>
      </c>
      <c r="G346" s="461" t="n">
        <v>180</v>
      </c>
      <c r="H346" s="461" t="n">
        <v>180</v>
      </c>
      <c r="I346" s="461" t="n">
        <v>180</v>
      </c>
      <c r="J346" s="461" t="n">
        <v>180</v>
      </c>
      <c r="K346" s="461" t="n">
        <v>180.0000000000002</v>
      </c>
    </row>
    <row r="347">
      <c r="B347" s="34" t="inlineStr">
        <is>
          <t>Accounts receivable, EOP</t>
        </is>
      </c>
      <c r="D347" s="434" t="n">
        <v>484.8</v>
      </c>
      <c r="E347" s="434" t="n">
        <v>443.7</v>
      </c>
      <c r="F347" s="434" t="n">
        <v>443.7</v>
      </c>
      <c r="G347" s="461" t="n">
        <v>459.2295</v>
      </c>
      <c r="H347" s="461" t="n">
        <v>484.4871225</v>
      </c>
      <c r="I347" s="461" t="n">
        <v>513.5563498500001</v>
      </c>
      <c r="J347" s="461" t="n">
        <v>539.2341673425001</v>
      </c>
      <c r="K347" s="461" t="n">
        <v>565.1174073749401</v>
      </c>
    </row>
    <row r="348">
      <c r="B348" s="34" t="inlineStr">
        <is>
          <t>Other current assets, EOP</t>
        </is>
      </c>
      <c r="D348" s="434" t="n">
        <v>195.1</v>
      </c>
      <c r="E348" s="434" t="n">
        <v>213.1</v>
      </c>
      <c r="F348" s="434" t="n">
        <v>213.1</v>
      </c>
      <c r="G348" s="461" t="n">
        <v>220.5585</v>
      </c>
      <c r="H348" s="461" t="n">
        <v>232.6892175</v>
      </c>
      <c r="I348" s="461" t="n">
        <v>246.65057055</v>
      </c>
      <c r="J348" s="461" t="n">
        <v>258.9830990775</v>
      </c>
      <c r="K348" s="461" t="n">
        <v>271.41428783322</v>
      </c>
    </row>
    <row r="349">
      <c r="B349" s="34" t="inlineStr">
        <is>
          <t>PP&amp;E</t>
        </is>
      </c>
      <c r="D349" s="434" t="n">
        <v>87.8</v>
      </c>
      <c r="E349" s="434" t="n">
        <v>85.2</v>
      </c>
      <c r="F349" s="434" t="n">
        <v>385.2</v>
      </c>
      <c r="G349" s="461" t="n">
        <v>343.1444897959184</v>
      </c>
      <c r="H349" s="461" t="n">
        <v>303.4073469387755</v>
      </c>
      <c r="I349" s="461" t="n">
        <v>266.4522448979592</v>
      </c>
      <c r="J349" s="461" t="n">
        <v>233.090612244898</v>
      </c>
      <c r="K349" s="461" t="n">
        <v>203.090612244898</v>
      </c>
    </row>
    <row r="350">
      <c r="B350" s="34" t="inlineStr">
        <is>
          <t>Software development costs</t>
        </is>
      </c>
      <c r="D350" s="434" t="n">
        <v>244.7</v>
      </c>
      <c r="E350" s="434" t="n">
        <v>271.4</v>
      </c>
      <c r="F350" s="434" t="n">
        <v>271.4</v>
      </c>
      <c r="G350" s="461" t="n">
        <v>286.5086419753086</v>
      </c>
      <c r="H350" s="461" t="n">
        <v>297.6447530864197</v>
      </c>
      <c r="I350" s="461" t="n">
        <v>305.199074074074</v>
      </c>
      <c r="J350" s="461" t="n">
        <v>309.3669753086419</v>
      </c>
      <c r="K350" s="461" t="n">
        <v>309.3669753086418</v>
      </c>
    </row>
    <row r="351">
      <c r="B351" s="34" t="inlineStr">
        <is>
          <t>Intangible assets</t>
        </is>
      </c>
      <c r="D351" s="434" t="n">
        <v>257.5</v>
      </c>
      <c r="E351" s="434" t="n">
        <v>189.8</v>
      </c>
      <c r="F351" s="434" t="n">
        <v>459.4891650000001</v>
      </c>
      <c r="G351" s="461" t="n">
        <v>436.4918429166667</v>
      </c>
      <c r="H351" s="461" t="n">
        <v>413.4945208333334</v>
      </c>
      <c r="I351" s="461" t="n">
        <v>390.4971987500001</v>
      </c>
      <c r="J351" s="461" t="n">
        <v>367.4998766666666</v>
      </c>
      <c r="K351" s="461" t="n">
        <v>344.5025545833333</v>
      </c>
    </row>
    <row r="352">
      <c r="B352" s="34" t="inlineStr">
        <is>
          <t>Goodwill and other assets</t>
        </is>
      </c>
      <c r="D352" s="445" t="n">
        <v>1940.3</v>
      </c>
      <c r="E352" s="445" t="n">
        <v>1935.2</v>
      </c>
      <c r="F352" s="445" t="n">
        <v>7471.853639577004</v>
      </c>
      <c r="G352" s="518" t="n">
        <v>7471.853639577004</v>
      </c>
      <c r="H352" s="518" t="n">
        <v>7471.853639577004</v>
      </c>
      <c r="I352" s="518" t="n">
        <v>7471.853639577004</v>
      </c>
      <c r="J352" s="518" t="n">
        <v>7471.853639577004</v>
      </c>
      <c r="K352" s="518" t="n">
        <v>7471.853639577004</v>
      </c>
    </row>
    <row r="353">
      <c r="B353" s="193" t="inlineStr">
        <is>
          <t>Total Assets</t>
        </is>
      </c>
      <c r="D353" s="438" t="n">
        <v>4845.799999999999</v>
      </c>
      <c r="E353" s="438" t="n">
        <v>4720.3</v>
      </c>
      <c r="F353" s="438" t="n">
        <v>9424.742804577003</v>
      </c>
      <c r="G353" s="519" t="n">
        <v>9397.786614264898</v>
      </c>
      <c r="H353" s="519" t="n">
        <v>9383.576600435532</v>
      </c>
      <c r="I353" s="519" t="n">
        <v>9374.209077699037</v>
      </c>
      <c r="J353" s="519" t="n">
        <v>9360.028370217211</v>
      </c>
      <c r="K353" s="519" t="n">
        <v>9345.345476922037</v>
      </c>
    </row>
    <row r="354">
      <c r="B354" s="34" t="n"/>
      <c r="D354" s="434" t="n"/>
      <c r="E354" s="434" t="n"/>
      <c r="F354" s="434" t="n"/>
      <c r="G354" s="461" t="n"/>
      <c r="H354" s="461" t="n"/>
      <c r="I354" s="461" t="n"/>
      <c r="J354" s="461" t="n"/>
      <c r="K354" s="461" t="n"/>
    </row>
    <row r="355">
      <c r="B355" s="34" t="inlineStr">
        <is>
          <t>Accounts payable, EOP</t>
        </is>
      </c>
      <c r="D355" s="434" t="n">
        <v>32.7</v>
      </c>
      <c r="E355" s="434" t="n">
        <v>42.1</v>
      </c>
      <c r="F355" s="434" t="n">
        <v>42.1</v>
      </c>
      <c r="G355" s="461" t="n">
        <v>41.35985068829212</v>
      </c>
      <c r="H355" s="461" t="n">
        <v>42.77992582446322</v>
      </c>
      <c r="I355" s="461" t="n">
        <v>44.44072172314495</v>
      </c>
      <c r="J355" s="461" t="n">
        <v>45.71145817597682</v>
      </c>
      <c r="K355" s="461" t="n">
        <v>46.90864615269874</v>
      </c>
    </row>
    <row r="356">
      <c r="B356" s="34" t="inlineStr">
        <is>
          <t>Accrued expenses &amp; def revenues, EOP</t>
        </is>
      </c>
      <c r="D356" s="434" t="n">
        <v>2313.3</v>
      </c>
      <c r="E356" s="434" t="n">
        <v>2301.7</v>
      </c>
      <c r="F356" s="434" t="n">
        <v>2301.7</v>
      </c>
      <c r="G356" s="461" t="n">
        <v>2382.2595</v>
      </c>
      <c r="H356" s="461" t="n">
        <v>2513.283772499999</v>
      </c>
      <c r="I356" s="461" t="n">
        <v>2664.08079885</v>
      </c>
      <c r="J356" s="461" t="n">
        <v>2797.2848387925</v>
      </c>
      <c r="K356" s="461" t="n">
        <v>2931.55451105454</v>
      </c>
    </row>
    <row r="357">
      <c r="B357" s="34" t="inlineStr">
        <is>
          <t>Other liabilities</t>
        </is>
      </c>
      <c r="D357" s="434" t="n">
        <v>232.4</v>
      </c>
      <c r="E357" s="434" t="n">
        <v>252</v>
      </c>
      <c r="F357" s="434" t="n">
        <v>365.2273895770039</v>
      </c>
      <c r="G357" s="461" t="n">
        <v>355.4143491469969</v>
      </c>
      <c r="H357" s="461" t="n">
        <v>345.6013087169899</v>
      </c>
      <c r="I357" s="461" t="n">
        <v>335.7882682869829</v>
      </c>
      <c r="J357" s="461" t="n">
        <v>325.9752278569759</v>
      </c>
      <c r="K357" s="461" t="n">
        <v>316.1621874269689</v>
      </c>
    </row>
    <row r="358">
      <c r="B358" s="34" t="inlineStr">
        <is>
          <t xml:space="preserve">Debt </t>
        </is>
      </c>
      <c r="D358" s="434" t="n">
        <v>821.6</v>
      </c>
      <c r="E358" s="434" t="n">
        <v>1306</v>
      </c>
      <c r="F358" s="434" t="n">
        <v>5190.276000000002</v>
      </c>
      <c r="G358" s="461" t="n">
        <v>4779.353838835204</v>
      </c>
      <c r="H358" s="461" t="n">
        <v>4260.14190032703</v>
      </c>
      <c r="I358" s="461" t="n">
        <v>3651.402983170007</v>
      </c>
      <c r="J358" s="461" t="n">
        <v>2978.254961822547</v>
      </c>
      <c r="K358" s="461" t="n">
        <v>2213.672731091117</v>
      </c>
    </row>
    <row r="359">
      <c r="B359" s="34" t="inlineStr">
        <is>
          <t>Total Liabilities</t>
        </is>
      </c>
      <c r="D359" s="438" t="n">
        <v>3400</v>
      </c>
      <c r="E359" s="438" t="n">
        <v>3901.8</v>
      </c>
      <c r="F359" s="438" t="n">
        <v>7899.303389577006</v>
      </c>
      <c r="G359" s="519" t="n">
        <v>7558.387538670493</v>
      </c>
      <c r="H359" s="519" t="n">
        <v>7161.806907368483</v>
      </c>
      <c r="I359" s="519" t="n">
        <v>6695.712772030135</v>
      </c>
      <c r="J359" s="519" t="n">
        <v>6147.226486648</v>
      </c>
      <c r="K359" s="519" t="n">
        <v>5508.298075725324</v>
      </c>
    </row>
    <row r="360">
      <c r="B360" s="34" t="n"/>
      <c r="D360" s="434" t="n"/>
      <c r="E360" s="434" t="n"/>
      <c r="F360" s="434" t="n"/>
      <c r="G360" s="461" t="n"/>
      <c r="H360" s="461" t="n"/>
      <c r="I360" s="461" t="n"/>
      <c r="J360" s="461" t="n"/>
      <c r="K360" s="461" t="n"/>
    </row>
    <row r="361">
      <c r="B361" s="34" t="inlineStr">
        <is>
          <t>LBO Preferred stock</t>
        </is>
      </c>
      <c r="D361" s="520" t="inlineStr">
        <is>
          <t>NM</t>
        </is>
      </c>
      <c r="E361" s="520" t="inlineStr">
        <is>
          <t>NM</t>
        </is>
      </c>
      <c r="F361" s="434" t="n">
        <v>0</v>
      </c>
      <c r="G361" s="461" t="n">
        <v>0</v>
      </c>
      <c r="H361" s="461" t="n">
        <v>0</v>
      </c>
      <c r="I361" s="461" t="n">
        <v>0</v>
      </c>
      <c r="J361" s="461" t="n">
        <v>0</v>
      </c>
      <c r="K361" s="461" t="n">
        <v>0</v>
      </c>
    </row>
    <row r="362">
      <c r="B362" s="34" t="inlineStr">
        <is>
          <t>Equity</t>
        </is>
      </c>
      <c r="D362" s="520" t="n">
        <v>1445.8</v>
      </c>
      <c r="E362" s="520" t="n">
        <v>818.5</v>
      </c>
      <c r="F362" s="434" t="n">
        <v>1525.439414999999</v>
      </c>
      <c r="G362" s="461" t="n">
        <v>1839.399075594405</v>
      </c>
      <c r="H362" s="461" t="n">
        <v>2221.76969306705</v>
      </c>
      <c r="I362" s="461" t="n">
        <v>2678.496305668903</v>
      </c>
      <c r="J362" s="461" t="n">
        <v>3212.801883569212</v>
      </c>
      <c r="K362" s="461" t="n">
        <v>3837.047401196713</v>
      </c>
    </row>
    <row r="363">
      <c r="B363" s="34" t="inlineStr">
        <is>
          <t>Total equity</t>
        </is>
      </c>
      <c r="D363" s="438" t="n">
        <v>1445.8</v>
      </c>
      <c r="E363" s="438" t="n">
        <v>818.5</v>
      </c>
      <c r="F363" s="438" t="n">
        <v>1525.439414999999</v>
      </c>
      <c r="G363" s="438" t="n">
        <v>1839.399075594405</v>
      </c>
      <c r="H363" s="438" t="n">
        <v>2221.76969306705</v>
      </c>
      <c r="I363" s="438" t="n">
        <v>2678.496305668903</v>
      </c>
      <c r="J363" s="438" t="n">
        <v>3212.801883569212</v>
      </c>
      <c r="K363" s="438" t="n">
        <v>3837.047401196713</v>
      </c>
    </row>
    <row r="364">
      <c r="B364" s="34" t="inlineStr">
        <is>
          <t>Balance check</t>
        </is>
      </c>
      <c r="D364" s="434" t="n">
        <v>0</v>
      </c>
      <c r="E364" s="434" t="n">
        <v>0</v>
      </c>
      <c r="F364" s="434" t="n">
        <v>-1.818989403545856e-12</v>
      </c>
      <c r="G364" s="434" t="n">
        <v>0</v>
      </c>
      <c r="H364" s="434" t="n">
        <v>0</v>
      </c>
      <c r="I364" s="434" t="n">
        <v>0</v>
      </c>
      <c r="J364" s="434" t="n">
        <v>0</v>
      </c>
      <c r="K364" s="434" t="n">
        <v>0</v>
      </c>
    </row>
    <row r="365">
      <c r="G365" s="434" t="n"/>
      <c r="H365" s="434" t="n"/>
      <c r="I365" s="434" t="n"/>
      <c r="J365" s="434" t="n"/>
    </row>
    <row r="366">
      <c r="B366" s="383" t="inlineStr">
        <is>
          <t>Equity, BOP</t>
        </is>
      </c>
      <c r="C366" s="383" t="n"/>
      <c r="D366" s="383" t="n"/>
      <c r="E366" s="383" t="n"/>
      <c r="F366" s="383" t="n"/>
      <c r="G366" s="438" t="n">
        <v>1525.439414999999</v>
      </c>
      <c r="H366" s="438" t="n">
        <v>1839.399075594405</v>
      </c>
      <c r="I366" s="438" t="n">
        <v>2221.76969306705</v>
      </c>
      <c r="J366" s="438" t="n">
        <v>2678.496305668903</v>
      </c>
      <c r="K366" s="438" t="n">
        <v>3212.801883569212</v>
      </c>
    </row>
    <row r="367">
      <c r="B367" s="34" t="inlineStr">
        <is>
          <t>Plus: Net income</t>
        </is>
      </c>
      <c r="G367" s="434" t="n">
        <v>152.9049237669344</v>
      </c>
      <c r="H367" s="434" t="n">
        <v>220.2885263074797</v>
      </c>
      <c r="I367" s="434" t="n">
        <v>293.02899231211</v>
      </c>
      <c r="J367" s="434" t="n">
        <v>370.7372885842398</v>
      </c>
      <c r="K367" s="434" t="n">
        <v>461.3289590130379</v>
      </c>
    </row>
    <row r="368">
      <c r="B368" s="34" t="inlineStr">
        <is>
          <t>Less: Dividends</t>
        </is>
      </c>
      <c r="G368" s="434" t="n">
        <v>0</v>
      </c>
      <c r="H368" s="434" t="n">
        <v>0</v>
      </c>
      <c r="I368" s="434" t="n">
        <v>0</v>
      </c>
      <c r="J368" s="434" t="n">
        <v>0</v>
      </c>
      <c r="K368" s="434" t="n">
        <v>0</v>
      </c>
    </row>
    <row r="369">
      <c r="B369" s="34" t="inlineStr">
        <is>
          <t>Plus: SBC</t>
        </is>
      </c>
      <c r="G369" s="434" t="n">
        <v>161.0547368274718</v>
      </c>
      <c r="H369" s="434" t="n">
        <v>162.0820911651659</v>
      </c>
      <c r="I369" s="434" t="n">
        <v>163.6976202897424</v>
      </c>
      <c r="J369" s="434" t="n">
        <v>163.5682893160696</v>
      </c>
      <c r="K369" s="434" t="n">
        <v>162.9165586144626</v>
      </c>
    </row>
    <row r="370">
      <c r="B370" s="193" t="inlineStr">
        <is>
          <t>Equity, EOP</t>
        </is>
      </c>
      <c r="C370" s="383" t="n"/>
      <c r="D370" s="383" t="n"/>
      <c r="E370" s="383" t="n"/>
      <c r="F370" s="383" t="n"/>
      <c r="G370" s="438" t="n">
        <v>1839.399075594405</v>
      </c>
      <c r="H370" s="438" t="n">
        <v>2221.76969306705</v>
      </c>
      <c r="I370" s="438" t="n">
        <v>2678.496305668903</v>
      </c>
      <c r="J370" s="438" t="n">
        <v>3212.801883569212</v>
      </c>
      <c r="K370" s="438"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19" t="n"/>
    </row>
    <row r="378">
      <c r="B378" s="73" t="inlineStr">
        <is>
          <t>Book value of equity</t>
        </is>
      </c>
      <c r="C378" s="434" t="n">
        <v>818.5</v>
      </c>
      <c r="D378" s="380" t="inlineStr">
        <is>
          <t>Input write-up</t>
        </is>
      </c>
      <c r="E378" s="380" t="inlineStr">
        <is>
          <t>Useful life</t>
        </is>
      </c>
      <c r="G378" s="140" t="n"/>
    </row>
    <row r="379">
      <c r="B379" s="34" t="inlineStr">
        <is>
          <t>PP&amp;E write up</t>
        </is>
      </c>
      <c r="C379" s="521" t="n">
        <v>300</v>
      </c>
      <c r="D379" s="522" t="n">
        <v>300</v>
      </c>
      <c r="E379" s="523" t="n">
        <v>10</v>
      </c>
    </row>
    <row r="380">
      <c r="B380" s="34" t="inlineStr">
        <is>
          <t>Intangible asset write up</t>
        </is>
      </c>
      <c r="C380" s="524" t="n">
        <v>200</v>
      </c>
      <c r="D380" s="522" t="n">
        <v>200</v>
      </c>
      <c r="E380" s="523" t="n">
        <v>15</v>
      </c>
    </row>
    <row r="381">
      <c r="B381" s="34" t="inlineStr">
        <is>
          <t>Total write-ups</t>
        </is>
      </c>
      <c r="C381" s="461" t="n">
        <v>500</v>
      </c>
      <c r="E381" s="525" t="n"/>
    </row>
    <row r="382">
      <c r="B382" s="34" t="inlineStr">
        <is>
          <t xml:space="preserve">DTLs created </t>
        </is>
      </c>
      <c r="C382" s="464" t="n">
        <v>113.2273895770039</v>
      </c>
    </row>
    <row r="383">
      <c r="B383" t="inlineStr">
        <is>
          <t>Fari market value</t>
        </is>
      </c>
      <c r="C383" s="434"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26" t="n">
        <v>30</v>
      </c>
      <c r="G391" s="434" t="n">
        <v>270</v>
      </c>
      <c r="H391" s="434" t="n">
        <v>240</v>
      </c>
      <c r="I391" s="434" t="n">
        <v>210</v>
      </c>
      <c r="J391" s="434" t="n">
        <v>180</v>
      </c>
      <c r="K391" s="434" t="n">
        <v>150</v>
      </c>
    </row>
    <row r="392">
      <c r="B392" t="inlineStr">
        <is>
          <t>Intangible assets</t>
        </is>
      </c>
      <c r="D392" s="384" t="inlineStr">
        <is>
          <t>Incremental amort:</t>
        </is>
      </c>
      <c r="E392" s="526" t="n">
        <v>13.33333333333333</v>
      </c>
      <c r="G392" s="434" t="n">
        <v>186.6666666666667</v>
      </c>
      <c r="H392" s="434" t="n">
        <v>173.3333333333333</v>
      </c>
      <c r="I392" s="434" t="n">
        <v>160</v>
      </c>
      <c r="J392" s="434" t="n">
        <v>146.6666666666666</v>
      </c>
      <c r="K392" s="434" t="n">
        <v>133.3333333333333</v>
      </c>
    </row>
    <row r="393">
      <c r="B393" t="inlineStr">
        <is>
          <t>Deferred tax liabilities</t>
        </is>
      </c>
      <c r="D393" s="384" t="inlineStr">
        <is>
          <t>Annual reduction:</t>
        </is>
      </c>
      <c r="E393" s="527" t="n">
        <v>9.813040430007005</v>
      </c>
      <c r="G393" s="434" t="n">
        <v>103.4143491469969</v>
      </c>
      <c r="H393" s="434" t="n">
        <v>93.60130871698989</v>
      </c>
      <c r="I393" s="434" t="n">
        <v>83.78826828698288</v>
      </c>
      <c r="J393" s="434" t="n">
        <v>73.97522785697588</v>
      </c>
      <c r="K393" s="434"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28" t="n">
        <v>46.25</v>
      </c>
    </row>
    <row r="7">
      <c r="B7" s="84" t="inlineStr">
        <is>
          <t>Latest closing share price date</t>
        </is>
      </c>
      <c r="C7" s="84" t="n">
        <v>41400</v>
      </c>
    </row>
    <row r="8">
      <c r="B8" s="84" t="inlineStr">
        <is>
          <t>Latest basic share count</t>
        </is>
      </c>
      <c r="C8" s="529" t="n">
        <v>143.973</v>
      </c>
    </row>
    <row r="9">
      <c r="B9" s="84" t="inlineStr">
        <is>
          <t>Weighted average cost of capital</t>
        </is>
      </c>
      <c r="C9" s="530"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35" t="n"/>
      <c r="G14" s="435" t="n"/>
      <c r="H14" s="435" t="n"/>
      <c r="I14" s="435" t="n"/>
      <c r="J14" s="435"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31" t="n">
        <v>0.1413514022209673</v>
      </c>
      <c r="D17" s="531" t="n">
        <v>0.2433962264150944</v>
      </c>
      <c r="E17" s="531" t="n">
        <v>0.2264547791540078</v>
      </c>
      <c r="F17" s="531" t="n">
        <v>0.2264547791540078</v>
      </c>
      <c r="G17" s="531" t="n">
        <v>0.2264547791540078</v>
      </c>
      <c r="H17" s="531" t="n">
        <v>0.2264547791540078</v>
      </c>
      <c r="I17" s="531" t="n">
        <v>0.2264547791540078</v>
      </c>
      <c r="J17" s="531"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35" t="n">
        <v>0.1542705605176367</v>
      </c>
      <c r="H28" s="435" t="n">
        <v>0.1085888635914201</v>
      </c>
      <c r="I28" s="435" t="n">
        <v>0.05807701376842789</v>
      </c>
      <c r="J28" s="435" t="n">
        <v>0.07634536632355293</v>
      </c>
    </row>
    <row r="29">
      <c r="B29" s="202" t="n"/>
      <c r="G29" s="435" t="n"/>
      <c r="H29" s="435" t="n"/>
      <c r="I29" s="435" t="n"/>
      <c r="J29" s="435" t="n"/>
    </row>
    <row r="30">
      <c r="B30" s="73" t="inlineStr">
        <is>
          <t>Discount factor</t>
        </is>
      </c>
      <c r="F30" s="437" t="n">
        <v>0.9027777777777778</v>
      </c>
      <c r="G30" s="437" t="n">
        <v>1.902777777777778</v>
      </c>
      <c r="H30" s="437" t="n">
        <v>2.902777777777778</v>
      </c>
      <c r="I30" s="437" t="n">
        <v>3.902777777777778</v>
      </c>
      <c r="J30" s="437" t="n">
        <v>4.902777777777778</v>
      </c>
    </row>
    <row r="31">
      <c r="B31" t="inlineStr">
        <is>
          <t>Assume cash flows are generated at:</t>
        </is>
      </c>
      <c r="C31" s="97" t="inlineStr">
        <is>
          <t>Middle of period</t>
        </is>
      </c>
      <c r="G31" s="437" t="n"/>
      <c r="H31" s="437" t="n"/>
      <c r="I31" s="437" t="n"/>
      <c r="J31" s="437" t="n"/>
    </row>
    <row r="32">
      <c r="B32" t="inlineStr">
        <is>
          <t>Midperiod adjustment factor</t>
        </is>
      </c>
      <c r="C32" s="532"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35"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29" t="n">
        <v>7.3</v>
      </c>
      <c r="K37" s="428"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33" t="n">
        <v>10.13968430553018</v>
      </c>
      <c r="E42" s="100" t="inlineStr">
        <is>
          <t>Implied TV perpetual growth rate</t>
        </is>
      </c>
      <c r="F42" s="100" t="n"/>
      <c r="G42" s="100" t="n"/>
      <c r="H42" s="100" t="n"/>
      <c r="I42" s="100" t="n"/>
      <c r="J42" s="458" t="n">
        <v>-0.02719181716452775</v>
      </c>
    </row>
    <row r="43">
      <c r="C43" s="57" t="n"/>
      <c r="J43" s="435"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29" t="n">
        <v>145.7713783783784</v>
      </c>
      <c r="I49" s="534" t="n">
        <v>145.7713783783784</v>
      </c>
      <c r="J49" s="534" t="n">
        <v>145.7713783783784</v>
      </c>
    </row>
    <row r="50">
      <c r="B50" s="76" t="inlineStr">
        <is>
          <t>Cost of debt</t>
        </is>
      </c>
      <c r="C50" s="535" t="n">
        <v>0.08</v>
      </c>
      <c r="E50" s="383" t="inlineStr">
        <is>
          <t>Equity value per share</t>
        </is>
      </c>
      <c r="H50" s="536" t="n">
        <v>46.25</v>
      </c>
      <c r="I50" s="536" t="n">
        <v>50.57874302119625</v>
      </c>
      <c r="J50" s="536" t="n">
        <v>32.82858242889715</v>
      </c>
    </row>
    <row r="51">
      <c r="B51" t="inlineStr">
        <is>
          <t>Tax rate</t>
        </is>
      </c>
      <c r="C51" s="435" t="n">
        <v>0.2264547791540078</v>
      </c>
      <c r="E51" s="100" t="inlineStr">
        <is>
          <t>Premium (discount) to LBO offer</t>
        </is>
      </c>
      <c r="H51" s="537" t="inlineStr">
        <is>
          <t>NM</t>
        </is>
      </c>
      <c r="I51" s="435" t="n">
        <v>0.09359444370154035</v>
      </c>
      <c r="J51" s="435" t="n">
        <v>-0.2901928123481697</v>
      </c>
    </row>
    <row r="52">
      <c r="B52" t="inlineStr">
        <is>
          <t>Debt and equivalents</t>
        </is>
      </c>
      <c r="C52" s="140" t="n">
        <v>5010.276000000003</v>
      </c>
    </row>
    <row r="53">
      <c r="B53" t="inlineStr">
        <is>
          <t xml:space="preserve">Debt as a % of total capital </t>
        </is>
      </c>
      <c r="C53" s="538" t="n">
        <v>0.7748616857223557</v>
      </c>
    </row>
    <row r="55">
      <c r="B55" t="inlineStr">
        <is>
          <t>Risk free rate</t>
        </is>
      </c>
      <c r="C55" s="431" t="n">
        <v>0.025</v>
      </c>
    </row>
    <row r="56">
      <c r="B56" t="inlineStr">
        <is>
          <t>Beta</t>
        </is>
      </c>
      <c r="C56" s="135" t="n">
        <v>1.45</v>
      </c>
    </row>
    <row r="57">
      <c r="B57" t="inlineStr">
        <is>
          <t>Market risk premium</t>
        </is>
      </c>
      <c r="C57" s="431" t="n">
        <v>0.05</v>
      </c>
    </row>
    <row r="58">
      <c r="B58" t="inlineStr">
        <is>
          <t xml:space="preserve">Equity as % of total capital structure </t>
        </is>
      </c>
      <c r="C58" s="435" t="n">
        <v>0.2251383142776443</v>
      </c>
    </row>
    <row r="59">
      <c r="B59" t="inlineStr">
        <is>
          <t>Cost of capital (WACC)</t>
        </is>
      </c>
      <c r="C59" s="435"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39" t="n">
        <v>50.57874302119625</v>
      </c>
      <c r="D65" s="540" t="n">
        <v>0.02</v>
      </c>
      <c r="E65" s="541" t="n">
        <v>0.025</v>
      </c>
      <c r="F65" s="542" t="n">
        <v>0.03</v>
      </c>
      <c r="G65" s="541" t="n">
        <v>0.035</v>
      </c>
      <c r="H65" s="543" t="n">
        <v>0.03999999999999999</v>
      </c>
    </row>
    <row r="66">
      <c r="C66" s="117" t="n">
        <v>0.13</v>
      </c>
      <c r="D66" s="544" t="n">
        <v>16.21484649892585</v>
      </c>
      <c r="E66" s="544" t="n">
        <v>17.72262878709584</v>
      </c>
      <c r="F66" s="544" t="n">
        <v>19.38118930408283</v>
      </c>
      <c r="G66" s="544" t="n">
        <v>21.21433513864741</v>
      </c>
      <c r="H66" s="544" t="n">
        <v>23.25116384371916</v>
      </c>
    </row>
    <row r="67">
      <c r="C67" s="118" t="n">
        <v>0.12</v>
      </c>
      <c r="D67" s="544" t="n">
        <v>21.17084407877228</v>
      </c>
      <c r="E67" s="544" t="n">
        <v>23.07715436501025</v>
      </c>
      <c r="F67" s="544" t="n">
        <v>25.19527690527467</v>
      </c>
      <c r="G67" s="544" t="n">
        <v>27.562590332629</v>
      </c>
      <c r="H67" s="544" t="n">
        <v>30.22581793840264</v>
      </c>
    </row>
    <row r="68">
      <c r="B68" s="378" t="inlineStr">
        <is>
          <t>WACC:</t>
        </is>
      </c>
      <c r="C68" s="118" t="n">
        <v>0.11</v>
      </c>
      <c r="D68" s="544" t="n">
        <v>27.23096234006731</v>
      </c>
      <c r="E68" s="544" t="n">
        <v>29.69362414158428</v>
      </c>
      <c r="F68" s="544" t="n">
        <v>32.46411866829089</v>
      </c>
      <c r="G68" s="544" t="n">
        <v>35.60401246522503</v>
      </c>
      <c r="H68" s="544" t="n">
        <v>39.19246251886405</v>
      </c>
    </row>
    <row r="69">
      <c r="C69" s="118" t="n">
        <v>0.1</v>
      </c>
      <c r="D69" s="544" t="n">
        <v>34.80938263855841</v>
      </c>
      <c r="E69" s="544" t="n">
        <v>38.07690951359217</v>
      </c>
      <c r="F69" s="544" t="n">
        <v>41.81122594220219</v>
      </c>
      <c r="G69" s="544" t="n">
        <v>46.12005259059837</v>
      </c>
      <c r="H69" s="544" t="n">
        <v>51.14701701372724</v>
      </c>
    </row>
    <row r="70">
      <c r="C70" s="118" t="n">
        <v>0.09000000000000002</v>
      </c>
      <c r="D70" s="544" t="n">
        <v>44.55696853151758</v>
      </c>
      <c r="E70" s="544" t="n">
        <v>49.04257596668177</v>
      </c>
      <c r="F70" s="544" t="n">
        <v>54.27578464103998</v>
      </c>
      <c r="G70" s="544" t="n">
        <v>60.46048580164512</v>
      </c>
      <c r="H70" s="544" t="n">
        <v>67.88212719437132</v>
      </c>
    </row>
    <row r="71">
      <c r="C71" s="119" t="n">
        <v>0.08000000000000003</v>
      </c>
      <c r="D71" s="544" t="n">
        <v>57.55850136891461</v>
      </c>
      <c r="E71" s="544" t="n">
        <v>63.99933238889363</v>
      </c>
      <c r="F71" s="544" t="n">
        <v>71.72832961286849</v>
      </c>
      <c r="G71" s="544" t="n">
        <v>81.17488177550437</v>
      </c>
      <c r="H71" s="544" t="n">
        <v>92.98307197879927</v>
      </c>
    </row>
    <row r="72">
      <c r="D72" s="544" t="n"/>
      <c r="E72" s="544" t="n"/>
      <c r="F72" s="544" t="n"/>
      <c r="G72" s="544" t="n"/>
      <c r="H72" s="544"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45" t="n">
        <v>32.82858242889715</v>
      </c>
      <c r="D75" s="546" t="n">
        <v>6.3</v>
      </c>
      <c r="E75" s="546" t="n">
        <v>6.8</v>
      </c>
      <c r="F75" s="547" t="n">
        <v>7.3</v>
      </c>
      <c r="G75" s="546" t="n">
        <v>7.8</v>
      </c>
      <c r="H75" s="548" t="n">
        <v>8.300000000000001</v>
      </c>
    </row>
    <row r="76">
      <c r="C76" s="123" t="n">
        <v>0.13</v>
      </c>
      <c r="D76" s="544" t="n">
        <v>15.50961852638511</v>
      </c>
      <c r="E76" s="544" t="n">
        <v>17.96661853265726</v>
      </c>
      <c r="F76" s="544" t="n">
        <v>20.4236185389294</v>
      </c>
      <c r="G76" s="544" t="n">
        <v>22.88061854520155</v>
      </c>
      <c r="H76" s="544" t="n">
        <v>25.33761855147371</v>
      </c>
    </row>
    <row r="77">
      <c r="C77" s="124" t="n">
        <v>0.12</v>
      </c>
      <c r="D77" s="544" t="n">
        <v>17.14475130521146</v>
      </c>
      <c r="E77" s="544" t="n">
        <v>19.69981500877978</v>
      </c>
      <c r="F77" s="544" t="n">
        <v>22.25487871234807</v>
      </c>
      <c r="G77" s="544" t="n">
        <v>24.80994241591637</v>
      </c>
      <c r="H77" s="544" t="n">
        <v>27.36500611948468</v>
      </c>
    </row>
    <row r="78">
      <c r="B78" s="378" t="inlineStr">
        <is>
          <t>WACC:</t>
        </is>
      </c>
      <c r="C78" s="124" t="n">
        <v>0.11</v>
      </c>
      <c r="D78" s="544" t="n">
        <v>18.85618541009948</v>
      </c>
      <c r="E78" s="544" t="n">
        <v>21.51415951294241</v>
      </c>
      <c r="F78" s="544" t="n">
        <v>24.17213361578533</v>
      </c>
      <c r="G78" s="544" t="n">
        <v>26.83010771862826</v>
      </c>
      <c r="H78" s="544" t="n">
        <v>29.48808182147118</v>
      </c>
    </row>
    <row r="79">
      <c r="C79" s="124" t="n">
        <v>0.1</v>
      </c>
      <c r="D79" s="544" t="n">
        <v>20.64830251596892</v>
      </c>
      <c r="E79" s="544" t="n">
        <v>23.41432021461313</v>
      </c>
      <c r="F79" s="544" t="n">
        <v>26.18033791325734</v>
      </c>
      <c r="G79" s="544" t="n">
        <v>28.94635561190155</v>
      </c>
      <c r="H79" s="544" t="n">
        <v>31.71237331054576</v>
      </c>
    </row>
    <row r="80">
      <c r="C80" s="124" t="n">
        <v>0.09000000000000002</v>
      </c>
      <c r="D80" s="544" t="n">
        <v>22.52578129267701</v>
      </c>
      <c r="E80" s="544" t="n">
        <v>25.40528204016064</v>
      </c>
      <c r="F80" s="544" t="n">
        <v>28.28478278764427</v>
      </c>
      <c r="G80" s="544" t="n">
        <v>31.16428353512789</v>
      </c>
      <c r="H80" s="544" t="n">
        <v>34.04378428261153</v>
      </c>
    </row>
    <row r="81">
      <c r="C81" s="125" t="n">
        <v>0.08000000000000003</v>
      </c>
      <c r="D81" s="544" t="n">
        <v>24.49362060261981</v>
      </c>
      <c r="E81" s="544" t="n">
        <v>27.49237143226065</v>
      </c>
      <c r="F81" s="544" t="n">
        <v>30.49112226190149</v>
      </c>
      <c r="G81" s="544" t="n">
        <v>33.48987309154233</v>
      </c>
      <c r="H81" s="544" t="n">
        <v>36.4886239211832</v>
      </c>
    </row>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49" t="n">
        <v>32.82858242889715</v>
      </c>
      <c r="E85" s="550" t="n">
        <v>6.3</v>
      </c>
      <c r="F85" s="546" t="n">
        <v>6.8</v>
      </c>
      <c r="G85" s="547" t="n">
        <v>7.3</v>
      </c>
      <c r="H85" s="548" t="n">
        <v>7.8</v>
      </c>
    </row>
    <row r="86">
      <c r="C86" s="132" t="n">
        <v>0.8</v>
      </c>
      <c r="D86" s="127" t="n">
        <v>981.7144138269495</v>
      </c>
      <c r="E86" s="544" t="n">
        <v>47.84757390464826</v>
      </c>
      <c r="F86" s="544" t="n">
        <v>49.91146747628064</v>
      </c>
      <c r="G86" s="544" t="n">
        <v>51.97536104791303</v>
      </c>
      <c r="H86" s="544" t="n">
        <v>54.03925461954542</v>
      </c>
    </row>
    <row r="87">
      <c r="C87" s="133" t="n">
        <v>0.9</v>
      </c>
      <c r="D87" s="128" t="n">
        <v>1104.428715555318</v>
      </c>
      <c r="E87" s="544" t="n">
        <v>51.09820627996928</v>
      </c>
      <c r="F87" s="544" t="n">
        <v>53.42008654805571</v>
      </c>
      <c r="G87" s="544" t="n">
        <v>55.74196681614215</v>
      </c>
      <c r="H87" s="544" t="n">
        <v>58.06384708422858</v>
      </c>
    </row>
    <row r="88">
      <c r="C88" s="133" t="n">
        <v>1</v>
      </c>
      <c r="D88" s="129" t="n">
        <v>1227.143017283687</v>
      </c>
      <c r="E88" s="544" t="n">
        <v>54.34883865529027</v>
      </c>
      <c r="F88" s="544" t="n">
        <v>56.92870561983077</v>
      </c>
      <c r="G88" s="544" t="n">
        <v>59.50857258437125</v>
      </c>
      <c r="H88" s="544" t="n">
        <v>62.08843954891173</v>
      </c>
    </row>
    <row r="89">
      <c r="C89" s="133" t="n">
        <v>1.1</v>
      </c>
      <c r="D89" s="128" t="n">
        <v>1349.857319012056</v>
      </c>
      <c r="E89" s="544" t="n">
        <v>57.59947103061128</v>
      </c>
      <c r="F89" s="544" t="n">
        <v>60.43732469160583</v>
      </c>
      <c r="G89" s="544" t="n">
        <v>63.27517835260036</v>
      </c>
      <c r="H89" s="544" t="n">
        <v>66.1130320135949</v>
      </c>
    </row>
    <row r="90">
      <c r="C90" s="133" t="n">
        <v>1.2</v>
      </c>
      <c r="D90" s="128" t="n">
        <v>1472.571620740424</v>
      </c>
      <c r="E90" s="544" t="n">
        <v>60.85010340593232</v>
      </c>
      <c r="F90" s="544" t="n">
        <v>63.9459437633809</v>
      </c>
      <c r="G90" s="544" t="n">
        <v>67.04178412082949</v>
      </c>
      <c r="H90" s="544" t="n">
        <v>70.13762447827806</v>
      </c>
    </row>
    <row r="91">
      <c r="C91" s="133" t="n">
        <v>1.3</v>
      </c>
      <c r="D91" s="130" t="n">
        <v>1595.285922468793</v>
      </c>
      <c r="E91" s="544" t="n">
        <v>1472.571620740424</v>
      </c>
      <c r="F91" s="544" t="n">
        <v>1472.571620740424</v>
      </c>
      <c r="G91" s="544" t="n">
        <v>1472.571620740424</v>
      </c>
      <c r="H91" s="544" t="n">
        <v>1472.571620740424</v>
      </c>
    </row>
    <row r="93" ht="15.75" customHeight="1" s="244" thickBot="1">
      <c r="B93" s="63" t="inlineStr">
        <is>
          <t>Football field</t>
        </is>
      </c>
      <c r="C93" s="93" t="n"/>
      <c r="D93" s="93" t="n"/>
      <c r="E93" s="93" t="n"/>
    </row>
    <row r="114">
      <c r="B114" s="108" t="n"/>
      <c r="C114" s="109" t="inlineStr">
        <is>
          <t>Low</t>
        </is>
      </c>
      <c r="D114" s="109" t="inlineStr">
        <is>
          <t>Diff.</t>
        </is>
      </c>
      <c r="E114" s="110" t="inlineStr">
        <is>
          <t>High</t>
        </is>
      </c>
    </row>
    <row r="115">
      <c r="B115" s="105" t="inlineStr">
        <is>
          <t>DCF Value at 6.3x-8.3x Exit EBITDA Range</t>
        </is>
      </c>
      <c r="C115" s="544" t="n">
        <v>20.64830251596892</v>
      </c>
      <c r="D115" s="544" t="n">
        <v>11.06407079457684</v>
      </c>
      <c r="E115" s="551" t="n">
        <v>31.71237331054576</v>
      </c>
    </row>
    <row r="116">
      <c r="B116" s="102" t="inlineStr">
        <is>
          <t>DCF Value at 2.0%-4.0% Perpetuity Range</t>
        </is>
      </c>
      <c r="C116" s="544" t="n">
        <v>34.80938263855841</v>
      </c>
      <c r="D116" s="544" t="n">
        <v>16.33763437516883</v>
      </c>
      <c r="E116" s="551" t="n">
        <v>51.14701701372724</v>
      </c>
    </row>
    <row r="117">
      <c r="B117" s="102" t="inlineStr">
        <is>
          <t>LBO Value at 15.0%-35.0% Sponsor Hurdle Rate</t>
        </is>
      </c>
      <c r="C117" s="544" t="n">
        <v>45.45104265824024</v>
      </c>
      <c r="D117" s="544" t="n">
        <v>13.0196839013479</v>
      </c>
      <c r="E117" s="551" t="n">
        <v>58.47072655958814</v>
      </c>
    </row>
    <row r="118">
      <c r="B118" s="106" t="inlineStr">
        <is>
          <t>52 Week Market High/Low</t>
        </is>
      </c>
      <c r="C118" s="552" t="n">
        <v>37.51</v>
      </c>
      <c r="D118" s="552" t="n">
        <v>8.82</v>
      </c>
      <c r="E118" s="553"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513" t="n">
        <v>46.25</v>
      </c>
    </row>
    <row r="6">
      <c r="B6" s="304" t="inlineStr">
        <is>
          <t>Model-derived offer value sanity check</t>
        </is>
      </c>
      <c r="E6" s="554" t="n">
        <v>46.25</v>
      </c>
    </row>
    <row r="7">
      <c r="B7" s="159" t="inlineStr">
        <is>
          <t>Basic shares outstanding (latest filing)</t>
        </is>
      </c>
      <c r="E7" s="522" t="n">
        <v>143.973</v>
      </c>
    </row>
    <row r="8">
      <c r="B8" s="34" t="inlineStr">
        <is>
          <t>In-the-money exercisable options</t>
        </is>
      </c>
      <c r="E8" s="521" t="n">
        <v>10.7</v>
      </c>
    </row>
    <row r="9">
      <c r="B9" s="34" t="inlineStr">
        <is>
          <t>Total proceeds ($mm)</t>
        </is>
      </c>
      <c r="E9" s="461" t="n">
        <v>411.7</v>
      </c>
    </row>
    <row r="10">
      <c r="B10" s="34" t="inlineStr">
        <is>
          <t>Total shares repurchased (mm)</t>
        </is>
      </c>
      <c r="E10" s="461" t="n">
        <v>8.901621621621622</v>
      </c>
    </row>
    <row r="11">
      <c r="B11" s="34" t="inlineStr">
        <is>
          <t>Net dilutive options</t>
        </is>
      </c>
      <c r="E11" s="461" t="n">
        <v>1.798378378378377</v>
      </c>
    </row>
    <row r="12">
      <c r="B12" s="34" t="inlineStr">
        <is>
          <t xml:space="preserve">Dilutive impact of shares from other securities </t>
        </is>
      </c>
      <c r="E12" s="522" t="n">
        <v>0</v>
      </c>
    </row>
    <row r="13">
      <c r="B13" s="34" t="n"/>
      <c r="E13" s="522" t="n"/>
    </row>
    <row r="14">
      <c r="B14" s="147" t="inlineStr">
        <is>
          <t>Net diluted shares outstanding</t>
        </is>
      </c>
      <c r="D14" s="434" t="n"/>
      <c r="E14" s="461" t="n">
        <v>145.7713783783784</v>
      </c>
    </row>
    <row r="15">
      <c r="B15" s="147" t="n"/>
      <c r="D15" s="434" t="n"/>
      <c r="E15" s="461" t="n"/>
    </row>
    <row r="16">
      <c r="B16" s="312" t="inlineStr">
        <is>
          <t>Options outstanding</t>
        </is>
      </c>
      <c r="C16" s="15" t="n"/>
      <c r="D16" s="445" t="n"/>
      <c r="E16" s="518" t="n"/>
    </row>
    <row r="17">
      <c r="C17" s="242" t="inlineStr">
        <is>
          <t>Out. shares</t>
        </is>
      </c>
      <c r="D17" s="242" t="inlineStr">
        <is>
          <t>Exercise price</t>
        </is>
      </c>
      <c r="E17" s="242" t="inlineStr">
        <is>
          <t>In-the-$-shares</t>
        </is>
      </c>
    </row>
    <row r="18">
      <c r="B18" s="555" t="n">
        <v>1</v>
      </c>
      <c r="C18" s="298" t="n">
        <v>0.2</v>
      </c>
      <c r="D18" s="298" t="n">
        <v>15</v>
      </c>
      <c r="E18" s="299" t="n">
        <v>0.2</v>
      </c>
    </row>
    <row r="19">
      <c r="B19" s="555" t="n">
        <v>2</v>
      </c>
      <c r="C19" s="298" t="n">
        <v>0.7</v>
      </c>
      <c r="D19" s="298" t="n">
        <v>18</v>
      </c>
      <c r="E19" s="299" t="n">
        <v>0.7</v>
      </c>
    </row>
    <row r="20">
      <c r="B20" s="555" t="n">
        <v>3</v>
      </c>
      <c r="C20" s="298" t="n">
        <v>0.1</v>
      </c>
      <c r="D20" s="298" t="n">
        <v>22</v>
      </c>
      <c r="E20" s="299" t="n">
        <v>0.1</v>
      </c>
    </row>
    <row r="21">
      <c r="B21" s="555" t="n">
        <v>4</v>
      </c>
      <c r="C21" s="298" t="n">
        <v>0.3</v>
      </c>
      <c r="D21" s="298" t="n">
        <v>28</v>
      </c>
      <c r="E21" s="299" t="n">
        <v>0.3</v>
      </c>
    </row>
    <row r="22">
      <c r="B22" s="555" t="n">
        <v>5</v>
      </c>
      <c r="C22" s="298" t="n">
        <v>0.3</v>
      </c>
      <c r="D22" s="298" t="n">
        <v>32</v>
      </c>
      <c r="E22" s="299" t="n">
        <v>0.3</v>
      </c>
    </row>
    <row r="23">
      <c r="B23" s="555" t="n">
        <v>6</v>
      </c>
      <c r="C23" s="298" t="n">
        <v>0.4</v>
      </c>
      <c r="D23" s="298" t="n">
        <v>36</v>
      </c>
      <c r="E23" s="299" t="n">
        <v>0.4</v>
      </c>
    </row>
    <row r="24">
      <c r="B24" s="555" t="n">
        <v>7</v>
      </c>
      <c r="C24" s="298" t="n">
        <v>1.3</v>
      </c>
      <c r="D24" s="298" t="n">
        <v>39</v>
      </c>
      <c r="E24" s="299" t="n">
        <v>1.3</v>
      </c>
    </row>
    <row r="25">
      <c r="B25" s="555" t="n">
        <v>8</v>
      </c>
      <c r="C25" s="298" t="n">
        <v>7.4</v>
      </c>
      <c r="D25" s="298" t="n">
        <v>42</v>
      </c>
      <c r="E25" s="299" t="n">
        <v>7.4</v>
      </c>
    </row>
    <row r="26">
      <c r="B26" s="555" t="n">
        <v>9</v>
      </c>
      <c r="C26" s="298" t="n"/>
      <c r="D26" s="298" t="n"/>
      <c r="E26" s="299" t="n">
        <v>0</v>
      </c>
    </row>
    <row r="27">
      <c r="B27" s="555"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2026-08-15T15:50:46Z</dcterms:modified>
  <cp:lastModifiedBy>scottmccarthy</cp:lastModifiedBy>
  <cp:lastPrinted>2014-05-30T16:55:05Z</cp:lastPrinted>
</cp:coreProperties>
</file>