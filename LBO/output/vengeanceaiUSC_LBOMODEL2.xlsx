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78">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xf numFmtId="173" fontId="0" fillId="36" borderId="41"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AI $24.5m; CapEx 8%; ΔNWC=ΔAR(16.2%×[1−10% AI])−ΔDR(39%).</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AR / receivables improvement (DSO)</t>
        </is>
      </c>
      <c r="C13" s="666" t="n">
        <v>0.1</v>
      </c>
      <c r="D13" s="667" t="inlineStr">
        <is>
          <t>6/59 DSO days ≈10% faster collections → ~10% lower AR if sales steady. That frees cash trapped in AR; it is NOT the same as a 10% cut to total NWC (NWC also reflects deferred revenue and other liabilities).</t>
        </is>
      </c>
      <c r="E13" s="676">
        <f>HYPERLINK("https://getfairview.com/blog/working-capital-management-saas","IN EQ: C13=10% cuts ΔAR only (6/59 DSO). NWC% change ≠10% once deferred revenue is netted.")</f>
        <v/>
      </c>
      <c r="F13" s="664" t="inlineStr">
        <is>
          <t>6/59≈10% DSO cut → ~10% less AR. That frees AR cash. It is not a 10% cut to total NWC (deferred revenue still nets in).</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20–40% headlines often measure overdue/FTE — not calendar DSO; we keep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AR intensity (DSO÷365)</t>
        </is>
      </c>
      <c r="C25" s="666" t="n">
        <v>0.1616438356164384</v>
      </c>
      <c r="D25" s="667" t="inlineStr">
        <is>
          <t>AR ≈ (DSO/365)×Revenue. Fairview median B2B SaaS DSO is 59 days → 59/365≈16.2% of Δrev builds AR if DSO is unchanged. This is the gross AR leg — not net NWC.</t>
        </is>
      </c>
      <c r="E25" s="676">
        <f>HYPERLINK("https://getfairview.com/blog/working-capital-management-saas","IN EQ: C25=59/365≈16.2% AR intensity; ΔAR=ΔRev×C25 before the 10% AI cut on row 13")</f>
        <v/>
      </c>
      <c r="F25" s="664" t="inlineStr">
        <is>
          <t>Fairview median DSO is 59 days. AR intensity = 59/365≈16.2% of Δrevenue. That is the AR leg of ΔNWC, not net NWC.</t>
        </is>
      </c>
      <c r="G25" s="664" t="inlineStr">
        <is>
          <t>Go to AI_Operating!D20 (ΔNWC)</t>
        </is>
      </c>
      <c r="H25" s="675">
        <f>HYPERLINK("https://www.sec.gov/Archives/edgar/data/1794515/000179451525000045/zi-20241231.htm","ZI FY24 AR $246.1m (~20% of sales; we use median DSO 16.2%)")</f>
        <v/>
      </c>
      <c r="I25" s="669" t="inlineStr">
        <is>
          <t>Ctrl+F: Median B2B SaaS DSO is 59 days</t>
        </is>
      </c>
      <c r="J25" s="672" t="inlineStr">
        <is>
          <t>Ctrl+F: Accounts receivable</t>
        </is>
      </c>
      <c r="K25" s="672" t="inlineStr">
        <is>
          <t>EQ: ΔAR_base=ΔRev×16.2%; ΔAR_AI=ΔRev×16.2%×(1−10%)</t>
        </is>
      </c>
    </row>
    <row r="26">
      <c r="A26" s="664" t="inlineStr">
        <is>
          <t>YES</t>
        </is>
      </c>
      <c r="B26" s="664" t="inlineStr">
        <is>
          <t>Deferred revenue % of rev</t>
        </is>
      </c>
      <c r="C26" s="677" t="n">
        <v>0.3901836448982953</v>
      </c>
      <c r="D26" s="664" t="inlineStr">
        <is>
          <t>ZI FY24 unearned revenue current $473.8m / $1,214.3m sales ≈39%. As sales grow, deferred revenue typically rises too — a cash source that nets against AR in NWC.</t>
        </is>
      </c>
      <c r="E26" s="675">
        <f>HYPERLINK("https://www.sec.gov/Archives/edgar/data/1794515/000179451525000045/zi-20241231.htm","IN EQ: C26≈39% = ZI FY24 unearned revenue current $473.8m / revenue $1,214.3m")</f>
        <v/>
      </c>
      <c r="F26" s="664" t="inlineStr">
        <is>
          <t>ZoomInfo FY24 unearned revenue was $473.8m on $1,214.3m sales (~39%). ΔDeferred≈39% of Δrev and reduces ΔNWC (cash source).</t>
        </is>
      </c>
      <c r="G26" s="664" t="inlineStr">
        <is>
          <t>Go to AI_Operating!D20 (ΔNWC)</t>
        </is>
      </c>
      <c r="H26" s="675">
        <f>HYPERLINK("https://markets.financialcontent.com/stocks/article/bizwire-2025-2-25-zoominfo-announces-fourth-quarter-and-full-year-2024-financial-results","FY24 results balance sheet: Unearned revenue")</f>
        <v/>
      </c>
      <c r="I26" s="664" t="inlineStr">
        <is>
          <t>Ctrl+F: 473.8</t>
        </is>
      </c>
      <c r="J26" s="664" t="inlineStr">
        <is>
          <t>Ctrl+F: Unearned revenue</t>
        </is>
      </c>
      <c r="K26" s="664" t="inlineStr">
        <is>
          <t>EQ: ΔNWC≈ΔAR−ΔDeferred; AI cuts only ΔAR by 10%</t>
        </is>
      </c>
    </row>
    <row r="27" ht="96" customHeight="1" s="244">
      <c r="A27" s="655" t="inlineStr">
        <is>
          <t>NO</t>
        </is>
      </c>
      <c r="B27" s="613" t="inlineStr">
        <is>
          <t>TLA rate (SOFR+4)</t>
        </is>
      </c>
      <c r="C27" s="619">
        <f>C14+C15</f>
        <v/>
      </c>
      <c r="D27" s="609" t="inlineStr">
        <is>
          <t>Total Term Loan A interest. Sum of sourced SOFR + TLA spread.</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Sum of sourced SOFR + TLB spread.</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487.1403992212673</v>
      </c>
      <c r="D35" s="626" t="n">
        <v>6.360467200663038</v>
      </c>
      <c r="E35" s="626" t="n">
        <v>-480.7799320206043</v>
      </c>
      <c r="F35" s="625" t="inlineStr">
        <is>
          <t>Remaining debt at exit; AI case $6.4m vs Base $487.1m.</t>
        </is>
      </c>
    </row>
    <row r="36" ht="42" customHeight="1" s="244">
      <c r="B36" s="575" t="inlineStr">
        <is>
          <t>Exit equity value ($m)</t>
        </is>
      </c>
      <c r="C36" s="626" t="n">
        <v>1861.717212382298</v>
      </c>
      <c r="D36" s="626" t="n">
        <v>4102.77136473646</v>
      </c>
      <c r="E36" s="626" t="n">
        <v>2241.054152354161</v>
      </c>
      <c r="F36" s="625" t="inlineStr">
        <is>
          <t>Total equity payout; AI strategy changed final payout by $2,241.1m to $4,102.8m (exit 12.9x).</t>
        </is>
      </c>
    </row>
    <row r="37" ht="42" customHeight="1" s="244">
      <c r="B37" s="575" t="inlineStr">
        <is>
          <t>MOIC</t>
        </is>
      </c>
      <c r="C37" s="627" t="n">
        <v>0.9948847141676397</v>
      </c>
      <c r="D37" s="627" t="n">
        <v>2.192483632504992</v>
      </c>
      <c r="E37" s="627" t="n">
        <v>1.197598918337353</v>
      </c>
      <c r="F37" s="625" t="inlineStr">
        <is>
          <t>Multiple on Invested Capital; AI improved gross cash return from 0.99x to 2.19x.</t>
        </is>
      </c>
    </row>
    <row r="38" ht="42" customHeight="1" s="244">
      <c r="B38" s="575" t="inlineStr">
        <is>
          <t>IRR</t>
        </is>
      </c>
      <c r="C38" s="624" t="n">
        <v>-0.001025156906170403</v>
      </c>
      <c r="D38" s="624" t="n">
        <v>0.1700037992226664</v>
      </c>
      <c r="E38" s="624" t="n">
        <v>0.1710289561288368</v>
      </c>
      <c r="F38" s="625" t="inlineStr">
        <is>
          <t>5-year IRR; AI boosted return by 17.1 percentage points to 17.0%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17.0% − Base IRR -0.1% = 17.1 percentage points of IRR</t>
        </is>
      </c>
    </row>
    <row r="42">
      <c r="B42" s="56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Working Capital</t>
        </is>
      </c>
      <c r="D15" s="571" t="inlineStr">
        <is>
          <t>AR improve 10% (6/59 DSO→AR); frees AR cash — not 10% of total NWC</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WC base % of Δrev</t>
        </is>
      </c>
      <c r="D27" t="inlineStr">
        <is>
          <t>AR 16.2% / DR 39.0% (net -22.9%)</t>
        </is>
      </c>
      <c r="E27" t="inlineStr">
        <is>
          <t>LBO (not DCF)</t>
        </is>
      </c>
      <c r="F27" t="inlineStr">
        <is>
          <t>Assumptions_Drivers</t>
        </is>
      </c>
      <c r="G27" t="inlineStr">
        <is>
          <t>C25</t>
        </is>
      </c>
      <c r="H27" t="inlineStr">
        <is>
          <t>Go to Assumptions_Drivers!C25</t>
        </is>
      </c>
      <c r="M27" t="inlineStr">
        <is>
          <t>MODEL CONST plug</t>
        </is>
      </c>
      <c r="N27" s="659" t="inlineStr">
        <is>
          <t>NO</t>
        </is>
      </c>
    </row>
    <row r="28">
      <c r="B28" s="590" t="inlineStr">
        <is>
          <t>#'Assumptions_Drivers'!E9</t>
        </is>
      </c>
    </row>
    <row r="29">
      <c r="B29" s="660" t="inlineStr">
        <is>
          <t>NOTE</t>
        </is>
      </c>
    </row>
    <row r="30">
      <c r="B30" s="590" t="inlineStr">
        <is>
          <t>This list must match Assumptions_Drivers: rev 5%, payroll/commission cut −18%, AI $24.5m, S&amp;M $414.1m, exit 12.9x, CapEx 8%; ΔNWC=ΔAR(59/365)−ΔDR(39%); AI cuts ΔAR 10% only.</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123.0463810684933</v>
      </c>
      <c r="D5" s="626" t="n">
        <v>9.154999999999999</v>
      </c>
      <c r="E5" s="626" t="n">
        <v>123.0463810684933</v>
      </c>
      <c r="F5" s="626" t="n">
        <v>792.4536189315066</v>
      </c>
      <c r="G5" s="626" t="n">
        <v>855.1427054794518</v>
      </c>
      <c r="H5" s="626" t="n">
        <v>62.68908654794518</v>
      </c>
    </row>
    <row r="6">
      <c r="B6" s="628" t="n">
        <v>2026</v>
      </c>
      <c r="C6" s="626" t="n">
        <v>149.3560119785791</v>
      </c>
      <c r="D6" s="626" t="n">
        <v>9.154999999999999</v>
      </c>
      <c r="E6" s="626" t="n">
        <v>149.3560119785791</v>
      </c>
      <c r="F6" s="626" t="n">
        <v>643.0976069529275</v>
      </c>
      <c r="G6" s="626" t="n">
        <v>782.867015787671</v>
      </c>
      <c r="H6" s="626" t="n">
        <v>139.7694088347434</v>
      </c>
    </row>
    <row r="7">
      <c r="B7" s="628" t="n">
        <v>2027</v>
      </c>
      <c r="C7" s="626" t="n">
        <v>178.4637917606104</v>
      </c>
      <c r="D7" s="626" t="n">
        <v>9.154999999999999</v>
      </c>
      <c r="E7" s="626" t="n">
        <v>178.4637917606104</v>
      </c>
      <c r="F7" s="626" t="n">
        <v>464.6338151923171</v>
      </c>
      <c r="G7" s="626" t="n">
        <v>697.3382671391433</v>
      </c>
      <c r="H7" s="626" t="n">
        <v>232.7044519468262</v>
      </c>
    </row>
    <row r="8">
      <c r="B8" s="628" t="n">
        <v>2028</v>
      </c>
      <c r="C8" s="626" t="n">
        <v>210.6100654025392</v>
      </c>
      <c r="D8" s="626" t="n">
        <v>9.154999999999999</v>
      </c>
      <c r="E8" s="626" t="n">
        <v>210.6100654025392</v>
      </c>
      <c r="F8" s="626" t="n">
        <v>254.0237497897778</v>
      </c>
      <c r="G8" s="626" t="n">
        <v>599.0955619064824</v>
      </c>
      <c r="H8" s="626" t="n">
        <v>345.0718121167046</v>
      </c>
    </row>
    <row r="9">
      <c r="B9" s="628" t="n">
        <v>2029</v>
      </c>
      <c r="C9" s="626" t="n">
        <v>247.6632825891148</v>
      </c>
      <c r="D9" s="626" t="n">
        <v>9.154999999999999</v>
      </c>
      <c r="E9" s="626" t="n">
        <v>247.6632825891148</v>
      </c>
      <c r="F9" s="626" t="n">
        <v>6.360467200663038</v>
      </c>
      <c r="G9" s="626" t="n">
        <v>487.1403992212673</v>
      </c>
      <c r="H9" s="626" t="n">
        <v>480.7799320206043</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72.8078445547945</v>
      </c>
      <c r="F17" s="626" t="n">
        <v>66.80896231037669</v>
      </c>
      <c r="G17" s="626" t="n">
        <v>59.71007617254889</v>
      </c>
      <c r="H17" s="626" t="n">
        <v>51.55593163823804</v>
      </c>
    </row>
    <row r="18">
      <c r="B18" s="575" t="inlineStr">
        <is>
          <t>Net income</t>
        </is>
      </c>
      <c r="D18" s="626" t="n">
        <v>-18.00319999999986</v>
      </c>
      <c r="E18" s="626" t="n">
        <v>-10.00282955479446</v>
      </c>
      <c r="F18" s="626" t="n">
        <v>-0.8636965603764821</v>
      </c>
      <c r="G18" s="626" t="n">
        <v>7.530637763311473</v>
      </c>
      <c r="H18" s="626" t="n">
        <v>16.70749184239834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-13.87579452054798</v>
      </c>
      <c r="E20" s="626" t="n">
        <v>-14.56958424657538</v>
      </c>
      <c r="F20" s="626" t="n">
        <v>-15.29806345890414</v>
      </c>
      <c r="G20" s="626" t="n">
        <v>-16.06296663184931</v>
      </c>
      <c r="H20" s="626" t="n">
        <v>-16.86611496344182</v>
      </c>
    </row>
    <row r="21">
      <c r="B21" s="575" t="inlineStr">
        <is>
          <t>FCF after interest</t>
        </is>
      </c>
      <c r="D21" s="626" t="n">
        <v>60.35729452054811</v>
      </c>
      <c r="E21" s="626" t="n">
        <v>72.27568969178093</v>
      </c>
      <c r="F21" s="626" t="n">
        <v>85.52874864852767</v>
      </c>
      <c r="G21" s="626" t="n">
        <v>98.2427052326608</v>
      </c>
      <c r="H21" s="626" t="n">
        <v>111.9551626852152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60.35729452054811</v>
      </c>
      <c r="E23" s="626" t="n">
        <v>72.27568969178093</v>
      </c>
      <c r="F23" s="626" t="n">
        <v>85.52874864852767</v>
      </c>
      <c r="G23" s="626" t="n">
        <v>98.2427052326608</v>
      </c>
      <c r="H23" s="626" t="n">
        <v>111.9551626852152</v>
      </c>
    </row>
    <row r="24">
      <c r="B24" s="575" t="inlineStr">
        <is>
          <t>Debt end</t>
        </is>
      </c>
      <c r="C24" s="582" t="n">
        <v>1329.9</v>
      </c>
      <c r="D24" s="626" t="n">
        <v>855.1427054794518</v>
      </c>
      <c r="E24" s="626" t="n">
        <v>782.867015787671</v>
      </c>
      <c r="F24" s="626" t="n">
        <v>697.3382671391433</v>
      </c>
      <c r="G24" s="626" t="n">
        <v>599.0955619064824</v>
      </c>
      <c r="H24" s="626"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67.60465037131506</v>
      </c>
      <c r="F17" s="626" t="n">
        <v>55.20810137709298</v>
      </c>
      <c r="G17" s="626" t="n">
        <v>40.39560666096232</v>
      </c>
      <c r="H17" s="626" t="n">
        <v>20.87770873044934</v>
      </c>
    </row>
    <row r="18">
      <c r="B18" s="575" t="inlineStr">
        <is>
          <t>Net income</t>
        </is>
      </c>
      <c r="D18" s="626" t="n">
        <v>41.66444200000014</v>
      </c>
      <c r="E18" s="626" t="n">
        <v>63.90497595666129</v>
      </c>
      <c r="F18" s="626" t="n">
        <v>88.74020393759669</v>
      </c>
      <c r="G18" s="626" t="n">
        <v>116.4002981883749</v>
      </c>
      <c r="H18" s="626" t="n">
        <v>148.7430270142421</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-14.85721506849319</v>
      </c>
      <c r="E20" s="626" t="n">
        <v>-15.60007582191784</v>
      </c>
      <c r="F20" s="626" t="n">
        <v>-16.38007961301373</v>
      </c>
      <c r="G20" s="626" t="n">
        <v>-17.19908359366438</v>
      </c>
      <c r="H20" s="626" t="n">
        <v>-18.05903777334764</v>
      </c>
    </row>
    <row r="21">
      <c r="B21" s="575" t="inlineStr">
        <is>
          <t>FCF after interest</t>
        </is>
      </c>
      <c r="D21" s="626" t="n">
        <v>123.0463810684933</v>
      </c>
      <c r="E21" s="626" t="n">
        <v>149.3560119785791</v>
      </c>
      <c r="F21" s="626" t="n">
        <v>178.4637917606104</v>
      </c>
      <c r="G21" s="626" t="n">
        <v>210.6100654025392</v>
      </c>
      <c r="H21" s="626" t="n">
        <v>247.6632825891148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123.0463810684933</v>
      </c>
      <c r="E23" s="626" t="n">
        <v>149.3560119785791</v>
      </c>
      <c r="F23" s="626" t="n">
        <v>178.4637917606104</v>
      </c>
      <c r="G23" s="626" t="n">
        <v>210.6100654025392</v>
      </c>
      <c r="H23" s="626" t="n">
        <v>247.6632825891148</v>
      </c>
    </row>
    <row r="24">
      <c r="B24" s="575" t="inlineStr">
        <is>
          <t>Debt end</t>
        </is>
      </c>
      <c r="C24" s="582" t="n">
        <v>1329.9</v>
      </c>
      <c r="D24" s="626" t="n">
        <v>792.4536189315066</v>
      </c>
      <c r="E24" s="626" t="n">
        <v>643.0976069529275</v>
      </c>
      <c r="F24" s="626" t="n">
        <v>464.6338151923171</v>
      </c>
      <c r="G24" s="626" t="n">
        <v>254.0237497897778</v>
      </c>
      <c r="H24" s="626"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2026-08-15T17:05:33Z</dcterms:modified>
  <cp:lastModifiedBy>scottmccarthy</cp:lastModifiedBy>
  <cp:lastPrinted>2014-05-30T16:55:05Z</cp:lastPrinted>
</cp:coreProperties>
</file>