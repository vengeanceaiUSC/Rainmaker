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02">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valueaddvc.com/blog/saas-evebitda-multiples-explained-benchmarks-and-what-they-mean"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firstsales.io/blog/cost-per-meeting-outbound/" TargetMode="External" Id="rId7" /><Relationship Type="http://schemas.openxmlformats.org/officeDocument/2006/relationships/hyperlink" Target="#'AI_Operating'!D7" TargetMode="External" Id="rId8" /><Relationship Type="http://schemas.openxmlformats.org/officeDocument/2006/relationships/hyperlink" Target="https://www.sec.gov/Archives/edgar/data/1794515/000179451525000045/zi-20241231.htm"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www.newyorkfed.org/markets/reference-rates/sofr" TargetMode="External" Id="rId28" /><Relationship Type="http://schemas.openxmlformats.org/officeDocument/2006/relationships/hyperlink" Target="#'Debt_Sweep_AI'!C12" TargetMode="External" Id="rId29" /><Relationship Type="http://schemas.openxmlformats.org/officeDocument/2006/relationships/hyperlink" Target="https://fred.stlouisfed.org/seri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sec.gov/Archives/edgar/data/1794515/000179451525000045/zi-20241231.htm"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www.newyorkfed.org/markets/reference-rat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www.newyorkfed.org/markets/reference-rat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D5" TargetMode="External" Id="rId2" /><Relationship Type="http://schemas.openxmlformats.org/officeDocument/2006/relationships/hyperlink" Target="https://raw.githubusercontent.com/vengeanceaiUSC/Rainmaker/cursor/vengeanceaiusclbomodel2-44dc/LBO/output/LBOMODEL2_DRIVER_SOURCES.pdf" TargetMode="External" Id="rId3"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28" customWidth="1" style="244" min="2" max="2"/>
    <col width="10" customWidth="1" style="244" min="3" max="3"/>
    <col width="55" customWidth="1" style="244" min="4" max="4"/>
    <col width="40" customWidth="1" style="244" min="5" max="5"/>
    <col width="48" customWidth="1" style="244" min="6" max="6"/>
    <col width="36" customWidth="1" style="244" min="7" max="7"/>
    <col width="40" customWidth="1" style="244" min="8" max="8"/>
  </cols>
  <sheetData>
    <row r="1"/>
    <row r="2">
      <c r="B2" s="563" t="inlineStr">
        <is>
          <t>Assumptions Drivers — EVERY row: Value + Why reasonable + Source link + clickable Feeds</t>
        </is>
      </c>
    </row>
    <row r="3" ht="40" customHeight="1" s="244">
      <c r="B3" s="574" t="inlineStr">
        <is>
          <t>Columns on the SAME row as each driver: D = why reasonable (model commentary); E = clickable source URL; F = ~30-word source credibility; G = clickable Feeds jump into the model. No separate AI cost tab — all evidence lives here.</t>
        </is>
      </c>
    </row>
    <row r="4" ht="36" customHeight="1" s="244">
      <c r="B4" s="595" t="inlineStr">
        <is>
          <t>Driver</t>
        </is>
      </c>
      <c r="C4" s="595" t="inlineStr">
        <is>
          <t>Value</t>
        </is>
      </c>
      <c r="D4" s="595" t="inlineStr">
        <is>
          <t>Why this number is reasonable (model commentary)</t>
        </is>
      </c>
      <c r="E4" s="595" t="inlineStr">
        <is>
          <t>Source link (click)</t>
        </is>
      </c>
      <c r="F4" s="595" t="inlineStr">
        <is>
          <t>Source credibility / why we can use it (~30 words)</t>
        </is>
      </c>
      <c r="G4" s="595" t="inlineStr">
        <is>
          <t>Feeds (click to jump)</t>
        </is>
      </c>
      <c r="H4" s="595" t="inlineStr">
        <is>
          <t>Secondary source (click)</t>
        </is>
      </c>
    </row>
    <row r="5" ht="58" customHeight="1" s="244">
      <c r="B5" s="596" t="inlineStr">
        <is>
          <t>Revenue growth</t>
        </is>
      </c>
      <c r="C5" s="597" t="n">
        <v>0.1</v>
      </c>
      <c r="D5" s="573" t="inlineStr">
        <is>
          <t>Assumes steady top-line expansion. Reasonable for a mature enterprise software company, avoiding aggressive hypergrowth assumptions while maintaining a healthy, realistic sales trajectory.</t>
        </is>
      </c>
      <c r="E5" s="593" t="inlineStr">
        <is>
          <t>ZoomInfo FY2024 results (BusinessWire)</t>
        </is>
      </c>
      <c r="F5" s="573" t="inlineStr">
        <is>
          <t>ZI disclosed FY24 revenue of $1,214.3m (−2% YoY). Using 10% forward growth is a mature-SaaS recovery underwrite held equal in AI vs Base—not hypergrowth.</t>
        </is>
      </c>
      <c r="G5" s="593" t="inlineStr">
        <is>
          <t>Go to AI_Operating!D5 (Revenue)</t>
        </is>
      </c>
      <c r="H5" s="593" t="inlineStr">
        <is>
          <t>valueaddvc.com/blog/saas-evebitda-multiples-explained-benchmarks-and-w</t>
        </is>
      </c>
    </row>
    <row r="6" ht="58" customHeight="1" s="244">
      <c r="B6" s="596" t="inlineStr">
        <is>
          <t>Gross margin</t>
        </is>
      </c>
      <c r="C6" s="597" t="n">
        <v>0.8</v>
      </c>
      <c r="D6" s="573" t="inlineStr">
        <is>
          <t>High profitability on direct services. Highly reasonable for a SaaS company, which historically scales digital infrastructure with minimal incremental cost per user.</t>
        </is>
      </c>
      <c r="E6" s="593" t="inlineStr">
        <is>
          <t>Aleph/Benchmarkit SaaS GM median ~80%</t>
        </is>
      </c>
      <c r="F6" s="573" t="inlineStr">
        <is>
          <t>Independent SaaS benchmarks put software median GM near 80%; ZI already prints ~84% GAAP GM, so 80% is conservative and industry-standard.</t>
        </is>
      </c>
      <c r="G6" s="593" t="inlineStr">
        <is>
          <t>Go to AI_Operating!D6 (COGS)</t>
        </is>
      </c>
      <c r="H6" s="593" t="inlineStr">
        <is>
          <t>www.readyratios.com/sec/GTM_zoominfo-technologies-inc</t>
        </is>
      </c>
    </row>
    <row r="7" ht="58" customHeight="1" s="244">
      <c r="B7" s="596" t="inlineStr">
        <is>
          <t>Sales payroll cut (Y1)</t>
        </is>
      </c>
      <c r="C7" s="597" t="n">
        <v>0.15</v>
      </c>
      <c r="D7" s="573" t="inlineStr">
        <is>
          <t>Immediate headcount reduction for human SDRs. Reasonable as a private equity cost-cutting measure, easily achieved by eliminating the lower-tier outbound sales team.</t>
        </is>
      </c>
      <c r="E7" s="593" t="inlineStr">
        <is>
          <t>AI SDR vs human SDR cost/meeting analysis</t>
        </is>
      </c>
      <c r="F7" s="573" t="inlineStr">
        <is>
          <t>Published outbound economics show fully loaded human SDRs far costlier than AI stacks. −15% Y1 payroll is a modest PE-style cut of outbound headcount, not a full S&amp;M wipeout.</t>
        </is>
      </c>
      <c r="G7" s="593" t="inlineStr">
        <is>
          <t>Go to AI_Operating!D7 (Sales payroll)</t>
        </is>
      </c>
      <c r="H7" s="593" t="inlineStr">
        <is>
          <t>www.sec.gov/Archives/edgar/data/1794515/000179451525000045/zi-20241231</t>
        </is>
      </c>
    </row>
    <row r="8" ht="58" customHeight="1" s="244">
      <c r="B8" s="596" t="inlineStr">
        <is>
          <t>Variable commission cut</t>
        </is>
      </c>
      <c r="C8" s="597" t="n">
        <v>0.2</v>
      </c>
      <c r="D8" s="573" t="inlineStr">
        <is>
          <t>Reduces payouts for automated sales. Reasonable because AI agents do not collect commission checks, retaining more profit per enterprise deal directly for the company.</t>
        </is>
      </c>
      <c r="E8" s="593" t="inlineStr">
        <is>
          <t>SDR pay mix ~70/30 base/variable (SyncGTM)</t>
        </is>
      </c>
      <c r="F8" s="573" t="inlineStr">
        <is>
          <t>SaaS SDR OTE is typically ~70% base / ~30% variable. Replacing humans with AI shrinks the commission pool; −20% is a partial cut of that variable layer.</t>
        </is>
      </c>
      <c r="G8" s="593" t="inlineStr">
        <is>
          <t>Go to AI_Operating!D8 (Commissions)</t>
        </is>
      </c>
      <c r="H8" s="593" t="inlineStr">
        <is>
          <t>syncgtm.com/blog/how-much-do-sales-development-representatives-make-at</t>
        </is>
      </c>
    </row>
    <row r="9" ht="58" customHeight="1" s="244">
      <c r="B9" s="596" t="inlineStr">
        <is>
          <t>AI infrastructure ($m)</t>
        </is>
      </c>
      <c r="C9" s="598" t="n">
        <v>15</v>
      </c>
      <c r="D9" s="573" t="inlineStr">
        <is>
          <t>Fixed cost for AI software and compute. Reasonable estimate for enterprise-scale AI deployment, covering API calls and infrastructure needed to replace human reps.</t>
        </is>
      </c>
      <c r="E9" s="593" t="inlineStr">
        <is>
          <t>Salesforce Agentforce $2/conv + Flex Credits press</t>
        </is>
      </c>
      <c r="F9" s="573" t="inlineStr">
        <is>
          <t>SF publishes $2/conversation and ~$0.10/action. At ZI scale (~378 outbound roles = 25% of 1,513 S&amp;M), $5–10k/mo agents imply ~$23–45m; $15m is conservative.</t>
        </is>
      </c>
      <c r="G9" s="593" t="inlineStr">
        <is>
          <t>Go to AI_Operating!D10 (AI infrastructure)</t>
        </is>
      </c>
      <c r="H9" s="593" t="inlineStr">
        <is>
          <t>highticketaisystems.com/blog/ai-sdr-pricing-explained</t>
        </is>
      </c>
    </row>
    <row r="10" ht="58" customHeight="1" s="244">
      <c r="B10" s="596" t="inlineStr">
        <is>
          <t>S&amp;M expense growth Y2+</t>
        </is>
      </c>
      <c r="C10" s="597" t="n">
        <v>0.02</v>
      </c>
      <c r="D10" s="573" t="inlineStr">
        <is>
          <t>Caps future marketing cost increases. Reasonable because AI scales infinitely without needing proportional headcount additions, severing the link between revenue growth and human hiring.</t>
        </is>
      </c>
      <c r="E10" s="593" t="inlineStr">
        <is>
          <t>Gartner: agentic AI / inference scales as opex</t>
        </is>
      </c>
      <c r="F10" s="573" t="inlineStr">
        <is>
          <t>Gartner documents production agentic AI as inference opex that scales without linear headcount. Cap S&amp;M growth at 2% to model that break from revenue-linked hiring.</t>
        </is>
      </c>
      <c r="G10" s="593" t="inlineStr">
        <is>
          <t>Go to AI_Operating!E7 (payroll Y2+)</t>
        </is>
      </c>
      <c r="H10" s="593" t="inlineStr">
        <is>
          <t>www.ciodive.com/news/AI-spending-soars-enterprise-maturity/827488/</t>
        </is>
      </c>
    </row>
    <row r="11" ht="58" customHeight="1" s="244">
      <c r="B11" s="596" t="inlineStr">
        <is>
          <t>G&amp;A % of revenue</t>
        </is>
      </c>
      <c r="C11" s="597" t="n">
        <v>0.18</v>
      </c>
      <c r="D11" s="573" t="inlineStr">
        <is>
          <t>General administrative overhead costs. Reasonable for a public-to-private SaaS company, maintaining standard corporate expenses without relying on unrealistic operational magic outside of sales.</t>
        </is>
      </c>
      <c r="E11" s="593" t="inlineStr">
        <is>
          <t>ZoomInfo FY24 G&amp;A $295.3m (company results)</t>
        </is>
      </c>
      <c r="F11" s="573" t="inlineStr">
        <is>
          <t>ZI FY24 G&amp;A was $295.3m (~24% of revenue). Locking ~18% keeps standard corporate overhead while the thesis only attacks the sales floor—not finance/comp magic.</t>
        </is>
      </c>
      <c r="G11" s="593" t="inlineStr">
        <is>
          <t>Go to AI_Operating!D12 (G&amp;A)</t>
        </is>
      </c>
      <c r="H11" s="593" t="inlineStr">
        <is>
          <t>www.sec.gov/Archives/edgar/data/1794515/000179451525000045/zi-20241231</t>
        </is>
      </c>
    </row>
    <row r="12" ht="58" customHeight="1" s="244">
      <c r="B12" s="596" t="inlineStr">
        <is>
          <t>CapEx reduction vs base</t>
        </is>
      </c>
      <c r="C12" s="597" t="n">
        <v>0.05</v>
      </c>
      <c r="D12" s="573" t="inlineStr">
        <is>
          <t>Lowers physical equipment spending. Reasonable because firing 15% of the sales team permanently eliminates the need to purchase and refresh their laptops and hardware.</t>
        </is>
      </c>
      <c r="E12" s="593" t="inlineStr">
        <is>
          <t>In-house SDR all-in includes devices/tooling</t>
        </is>
      </c>
      <c r="F12" s="573" t="inlineStr">
        <is>
          <t>Human SDR all-in budgets include laptops and seats. Cutting outbound humans removes refresh CapEx; −5% vs base CapEx rate is a small, directionally correct haircut.</t>
        </is>
      </c>
      <c r="G12" s="593" t="inlineStr">
        <is>
          <t>Go to AI_Operating!D19 (CapEx)</t>
        </is>
      </c>
      <c r="H12" s="593" t="inlineStr">
        <is>
          <t>firstsales.io/blog/cost-per-meeting-outbound/</t>
        </is>
      </c>
    </row>
    <row r="13" ht="58" customHeight="1" s="244">
      <c r="B13" s="596" t="inlineStr">
        <is>
          <t>WC / receivables improvement</t>
        </is>
      </c>
      <c r="C13" s="597" t="n">
        <v>0.1</v>
      </c>
      <c r="D13" s="573" t="inlineStr">
        <is>
          <t>Speeds up cash collection from clients. Reasonable because automated AI billing systems can aggressively follow up on late invoices, freeing up cash for debt paydown.</t>
        </is>
      </c>
      <c r="E13" s="593" t="inlineStr">
        <is>
          <t>ZI receivables ~80 days (SEC-derived ratios)</t>
        </is>
      </c>
      <c r="F13" s="573" t="inlineStr">
        <is>
          <t>ZI receivables ~80 days show WC is real. Automated billing follow-ups can shorten DSO; −10% WC intensity vs base is a modest collections gain, not a wipeout.</t>
        </is>
      </c>
      <c r="G13" s="593" t="inlineStr">
        <is>
          <t>Go to AI_Operating!D20 (ΔNWC)</t>
        </is>
      </c>
      <c r="H13" s="593" t="inlineStr">
        <is>
          <t>www.sec.gov/Archives/edgar/data/1794515/000179451525000045/zi-20241231</t>
        </is>
      </c>
    </row>
    <row r="14" ht="58" customHeight="1" s="244">
      <c r="B14" s="596" t="inlineStr">
        <is>
          <t>SOFR</t>
        </is>
      </c>
      <c r="C14" s="599" t="n">
        <v>0.043</v>
      </c>
      <c r="D14" s="573" t="inlineStr">
        <is>
          <t>The foundational secured lending interest rate. Reasonable and historically accurate for the macroeconomic environment, properly reflecting actual institutional baseline borrowing costs.</t>
        </is>
      </c>
      <c r="E14" s="593" t="inlineStr">
        <is>
          <t>NY Fed official SOFR reference rate</t>
        </is>
      </c>
      <c r="F14" s="573" t="inlineStr">
        <is>
          <t>SOFR is the NY Fed’s official overnight Treasury-repo financing benchmark used to price leveraged loans. ~4.3% is a planning level near recent SOFR prints (see FRED).</t>
        </is>
      </c>
      <c r="G14" s="593" t="inlineStr">
        <is>
          <t>Go to Debt_Sweep_AI!C12 (TLA rate uses SOFR)</t>
        </is>
      </c>
      <c r="H14" s="593" t="inlineStr">
        <is>
          <t>fred.stlouisfed.org/series/SOFR</t>
        </is>
      </c>
    </row>
    <row r="15" ht="58" customHeight="1" s="244">
      <c r="B15" s="596" t="inlineStr">
        <is>
          <t>Term Loan A spread</t>
        </is>
      </c>
      <c r="C15" s="599" t="n">
        <v>0.04</v>
      </c>
      <c r="D15" s="573" t="inlineStr">
        <is>
          <t>The risk premium for senior debt. Reasonable for a standard LBO, reflecting typical syndicated commercial bank pricing for secured corporate borrowing.</t>
        </is>
      </c>
      <c r="E15" s="593" t="inlineStr">
        <is>
          <t>LBO debt structure: TLA illustrative spreads</t>
        </is>
      </c>
      <c r="F15" s="573" t="inlineStr">
        <is>
          <t>Bank TLA in LBO guides typically prices tighter than TLB (often SOFR+~275–375bps). SOFR+400bps is a conservative senior bank spread independent of AI ops.</t>
        </is>
      </c>
      <c r="G15" s="593" t="inlineStr">
        <is>
          <t>Go to Assumptions_Drivers!C27 (TLA rate)</t>
        </is>
      </c>
      <c r="H15" s="593" t="inlineStr">
        <is>
          <t>ibinterviewquestions.com/guides/debt-capital-markets/term-loan-b-tlb-m</t>
        </is>
      </c>
    </row>
    <row r="16" ht="58" customHeight="1" s="244">
      <c r="B16" s="596" t="inlineStr">
        <is>
          <t>Term Loan B spread</t>
        </is>
      </c>
      <c r="C16" s="599" t="n">
        <v>0.05</v>
      </c>
      <c r="D16" s="573" t="inlineStr">
        <is>
          <t>The risk premium for riskier debt. Reasonable, as Term Loan B is usually held by institutional investors requiring higher yields for slightly higher risk.</t>
        </is>
      </c>
      <c r="E16" s="593" t="inlineStr">
        <is>
          <t>TLB pricing often SOFR+300–500bps</t>
        </is>
      </c>
      <c r="F16" s="573" t="inlineStr">
        <is>
          <t>Institutional TLB commonly prices SOFR+300–500bps. SOFR+500bps is the upper published band—set by syndicated loan markets, not by internal AI strategy.</t>
        </is>
      </c>
      <c r="G16" s="593" t="inlineStr">
        <is>
          <t>Go to Assumptions_Drivers!C28 (TLB rate)</t>
        </is>
      </c>
      <c r="H16" s="593" t="inlineStr">
        <is>
          <t>ryanoconnellfinance.com/lbo-debt-structure/</t>
        </is>
      </c>
    </row>
    <row r="17" ht="58" customHeight="1" s="244">
      <c r="B17" s="596" t="inlineStr">
        <is>
          <t>Mandatory amortization</t>
        </is>
      </c>
      <c r="C17" s="597" t="n">
        <v>0.01</v>
      </c>
      <c r="D17" s="573" t="inlineStr">
        <is>
          <t>Required annual principal repayment. Highly reasonable and standard market practice for leveraged loans, forcing a tiny minimum debt reduction each year.</t>
        </is>
      </c>
      <c r="E17" s="593" t="inlineStr">
        <is>
          <t>Syndicated TLB ~1% annual amort standard</t>
        </is>
      </c>
      <c r="F17" s="573" t="inlineStr">
        <is>
          <t>Market-standard institutional TLB schedules ~1% annual amortization with a bullet maturity. Loan docs—not AI FCF—set this mandatory floor.</t>
        </is>
      </c>
      <c r="G17" s="593" t="inlineStr">
        <is>
          <t>Go to Debt_Sweep_AI!D5 (Mandatory 1%)</t>
        </is>
      </c>
      <c r="H17" s="593" t="inlineStr">
        <is>
          <t>clearvaluelending.com/glossary/term-loan-b</t>
        </is>
      </c>
    </row>
    <row r="18" ht="58" customHeight="1" s="244">
      <c r="B18" s="596" t="inlineStr">
        <is>
          <t>Cash sweep %</t>
        </is>
      </c>
      <c r="C18" s="597" t="n">
        <v>1</v>
      </c>
      <c r="D18" s="573" t="inlineStr">
        <is>
          <t>Dedicates all excess cash to debt. Reasonable and standard for maximizing LBO returns, ensuring every free dollar generated immediately aggressively reduces outstanding leverage.</t>
        </is>
      </c>
      <c r="E18" s="593" t="inlineStr">
        <is>
          <t>LBO optional prepay / excess cash practice</t>
        </is>
      </c>
      <c r="F18" s="573" t="inlineStr">
        <is>
          <t>Sponsor LBOs typically sweep excess FCF to optional debt prepay after mandatory amort. 100% sweep maximizes deleveraging so AI margins hit MOIC/IRR.</t>
        </is>
      </c>
      <c r="G18" s="593" t="inlineStr">
        <is>
          <t>Go to Debt_Sweep_AI!E5 (Total paydown)</t>
        </is>
      </c>
      <c r="H18" s="593" t="inlineStr">
        <is>
          <t>ibinterviewquestions.com/guides/valuation-investment-banking/lbo-debt-</t>
        </is>
      </c>
    </row>
    <row r="19" ht="58" customHeight="1" s="244">
      <c r="B19" s="596" t="inlineStr">
        <is>
          <t>Tax rate</t>
        </is>
      </c>
      <c r="C19" s="597" t="n">
        <v>0.21</v>
      </c>
      <c r="D19" s="573" t="inlineStr">
        <is>
          <t>Corporate income tax obligation. Perfectly reasonable because it strictly matches the current standard U.S. federal statutory corporate tax rate without aggressive tax-dodging assumptions.</t>
        </is>
      </c>
      <c r="E19" s="593" t="inlineStr">
        <is>
          <t>PwC Tax Summaries: US federal CIT 21%</t>
        </is>
      </c>
      <c r="F19" s="573" t="inlineStr">
        <is>
          <t>US federal corporate income tax is a flat 21% statutory rate. Operating-margin gains do not change the federal statutory rate used here.</t>
        </is>
      </c>
      <c r="G19" s="593" t="inlineStr">
        <is>
          <t>Go to AI_Operating!D18 (Net income)</t>
        </is>
      </c>
      <c r="H19" s="593" t="inlineStr">
        <is>
          <t>tradingeconomics.com/united-states/corporate-tax-rate</t>
        </is>
      </c>
    </row>
    <row r="20" ht="58" customHeight="1" s="244">
      <c r="B20" s="596" t="inlineStr">
        <is>
          <t>Exit EV/EBITDA multiple</t>
        </is>
      </c>
      <c r="C20" s="600" t="n">
        <v>13</v>
      </c>
      <c r="D20" s="573" t="inlineStr">
        <is>
          <t>The valuation multiple upon selling. Reasonable to keep it conservative; relying on a 13x exit assumes no market inflation, proving returns come from operational growth.</t>
        </is>
      </c>
      <c r="E20" s="593" t="inlineStr">
        <is>
          <t>PE SaaS buyouts often ~15–22x EBITDA</t>
        </is>
      </c>
      <c r="F20" s="573" t="inlineStr">
        <is>
          <t>PE SaaS deals often underwrite ~15–22x EBITDA. Locking exit at 13x in BOTH cases is deliberately conservative so returns come from ops, not multiple expansion.</t>
        </is>
      </c>
      <c r="G20" s="593" t="inlineStr">
        <is>
          <t>Go to LBO!D17 (Exit multiple)</t>
        </is>
      </c>
      <c r="H20" s="593" t="inlineStr">
        <is>
          <t>aventis-advisors.com/software-valuation-multiples/</t>
        </is>
      </c>
    </row>
    <row r="21" ht="58" customHeight="1" s="244">
      <c r="B21" s="596" t="inlineStr">
        <is>
          <t>S&amp;M baseline ($m)</t>
        </is>
      </c>
      <c r="C21" s="598" t="n">
        <v>425</v>
      </c>
      <c r="D21" s="573" t="inlineStr">
        <is>
          <t>This is historical assumptions without AI. Total initial sales spend is reasonable, representing roughly 35% of FY24 revenue, perfectly aligning with standard SaaS benchmarks.</t>
        </is>
      </c>
      <c r="E21" s="593" t="inlineStr">
        <is>
          <t>ZI FY24 S&amp;M $414.1m on $1,214.3m revenue</t>
        </is>
      </c>
      <c r="F21" s="573" t="inlineStr">
        <is>
          <t>Company-reported FY24 S&amp;M = $414.1m (~34% of $1,214.3m). Model ~$425m (~35%) is a rounded baseline consistent with that filing.</t>
        </is>
      </c>
      <c r="G21" s="593" t="inlineStr">
        <is>
          <t>Go to AI_Operating!C9 (S&amp;M human FY24A)</t>
        </is>
      </c>
      <c r="H21" s="593" t="inlineStr">
        <is>
          <t>www.sec.gov/Archives/edgar/data/1794515/000179451525000045/zi-20241231</t>
        </is>
      </c>
    </row>
    <row r="22" ht="58" customHeight="1" s="244">
      <c r="B22" s="596" t="inlineStr">
        <is>
          <t>Payroll baseline ($m)</t>
        </is>
      </c>
      <c r="C22" s="598" t="n">
        <v>318.8</v>
      </c>
      <c r="D22" s="573" t="inlineStr">
        <is>
          <t>This is historical assumptions without AI. The fixed salary portion is reasonable, representing 75% of S&amp;M, accurately reflecting that human software sales floors are base-salary heavy.</t>
        </is>
      </c>
      <c r="E22" s="593" t="inlineStr">
        <is>
          <t>SDR OTE mostly base (~70%) — SyncGTM</t>
        </is>
      </c>
      <c r="F22" s="573" t="inlineStr">
        <is>
          <t>With ~70/30 base/variable SDR mix, most people cost is payroll. Payroll baseline = 75% of S&amp;M matches that base-salary-heavy sales-floor structure.</t>
        </is>
      </c>
      <c r="G22" s="593" t="inlineStr">
        <is>
          <t>Go to AI_Operating!C7 (Payroll FY24A)</t>
        </is>
      </c>
      <c r="H22" s="593" t="inlineStr">
        <is>
          <t>pulserevops.com/knowledge/ra0197</t>
        </is>
      </c>
    </row>
    <row r="23" ht="58" customHeight="1" s="244">
      <c r="B23" s="596" t="inlineStr">
        <is>
          <t>Commission baseline ($m)</t>
        </is>
      </c>
      <c r="C23" s="598" t="n">
        <v>106.2</v>
      </c>
      <c r="D23" s="573" t="inlineStr">
        <is>
          <t>This is historical assumptions without AI. The variable payout is reasonable, calculating exactly to the remaining 25% of the budget, representing standard quota-based enterprise sales incentives.</t>
        </is>
      </c>
      <c r="E23" s="593" t="inlineStr">
        <is>
          <t>Variable ~30–35% of tech SDR OTE</t>
        </is>
      </c>
      <c r="F23" s="573" t="inlineStr">
        <is>
          <t>Tech SDR variable is typically ~30–35% of OTE. Setting commission pool at 25% of S&amp;M is a slightly conservative carve of total S&amp;M for variable payouts.</t>
        </is>
      </c>
      <c r="G23" s="593" t="inlineStr">
        <is>
          <t>Go to AI_Operating!C8 (Commissions FY24A)</t>
        </is>
      </c>
      <c r="H23" s="593" t="inlineStr">
        <is>
          <t>syncgtm.com/blog/how-to-pay-sales-development-rep</t>
        </is>
      </c>
    </row>
    <row r="24" ht="58" customHeight="1" s="244">
      <c r="B24" s="596" t="inlineStr">
        <is>
          <t>CapEx base % of rev</t>
        </is>
      </c>
      <c r="C24" s="597" t="n">
        <v>0.02</v>
      </c>
      <c r="D24" s="573" t="inlineStr">
        <is>
          <t>This is historical assumptions without AI. Normal hardware and capitalized software spending is reasonable for asset-light tech companies investing heavily in code rather than factories.</t>
        </is>
      </c>
      <c r="E24" s="593" t="inlineStr">
        <is>
          <t>ZI FY24 strong FCF / asset-light SaaS profile</t>
        </is>
      </c>
      <c r="F24" s="573" t="inlineStr">
        <is>
          <t>SaaS is asset-light vs industrials; ZI still printed strong FY24 FCF. 2% of revenue is a simple maintenance CapEx planning rate before the AI −5% haircut.</t>
        </is>
      </c>
      <c r="G24" s="593" t="inlineStr">
        <is>
          <t>Go to AI_Operating!D19 (CapEx)</t>
        </is>
      </c>
      <c r="H24" s="593" t="inlineStr">
        <is>
          <t>www.sec.gov/Archives/edgar/data/1794515/000179451525000045/zi-20241231</t>
        </is>
      </c>
    </row>
    <row r="25" ht="58" customHeight="1" s="244">
      <c r="B25" s="596" t="inlineStr">
        <is>
          <t>WC base % of Δrev</t>
        </is>
      </c>
      <c r="C25" s="597" t="n">
        <v>0.02</v>
      </c>
      <c r="D25" s="573" t="inlineStr">
        <is>
          <t>This is historical assumptions without AI. Normal working capital needs are reasonable, showing that as revenue grows, a small percentage of cash gets tied up in daily operations.</t>
        </is>
      </c>
      <c r="E25" s="593" t="inlineStr">
        <is>
          <t>ZI receivables days ~80 (WC intensity)</t>
        </is>
      </c>
      <c r="F25" s="573" t="inlineStr">
        <is>
          <t>Receivables ~80 days imply WC scales with growth. Using 2% of Δrevenue as ΔNWC is a simplified SaaS WC plug anchored to that receivables reality.</t>
        </is>
      </c>
      <c r="G25" s="593" t="inlineStr">
        <is>
          <t>Go to AI_Operating!D20 (ΔNWC)</t>
        </is>
      </c>
      <c r="H25" s="593" t="inlineStr">
        <is>
          <t>www.sec.gov/Archives/edgar/data/1794515/000179451525000045/zi-20241231</t>
        </is>
      </c>
    </row>
    <row r="26">
      <c r="B26" s="564" t="inlineStr">
        <is>
          <t>Computed rates (from SOFR + spreads above)</t>
        </is>
      </c>
    </row>
    <row r="27" ht="58" customHeight="1" s="244">
      <c r="B27" s="596" t="inlineStr">
        <is>
          <t>TLA rate (SOFR+4)</t>
        </is>
      </c>
      <c r="C27" s="601">
        <f>C14+C15</f>
        <v/>
      </c>
      <c r="D27" s="573" t="inlineStr">
        <is>
          <t>Total Term Loan A interest. Mathematically correct and reasonable for the total borrowing cost demanded by senior lenders in this specific rate environment.</t>
        </is>
      </c>
      <c r="E27" s="593" t="inlineStr">
        <is>
          <t>LBO TLA = SOFR + senior bank spread</t>
        </is>
      </c>
      <c r="F27" s="573" t="inlineStr">
        <is>
          <t>Computed as SOFR (C14) + TLA spread (C15). All-in ~8.3% matches senior secured bank pricing in this SOFR + 400bps setup.</t>
        </is>
      </c>
      <c r="G27" s="593" t="inlineStr">
        <is>
          <t>Go to Debt_Sweep_AI!C12 (TLA rate)</t>
        </is>
      </c>
      <c r="H27" s="593" t="inlineStr">
        <is>
          <t>www.newyorkfed.org/markets/reference-rates/sofr</t>
        </is>
      </c>
    </row>
    <row r="28" ht="58" customHeight="1" s="244">
      <c r="B28" s="596" t="inlineStr">
        <is>
          <t>TLB rate (SOFR+5)</t>
        </is>
      </c>
      <c r="C28" s="601">
        <f>C14+C16</f>
        <v/>
      </c>
      <c r="D28" s="573" t="inlineStr">
        <is>
          <t>Total Term Loan B interest. Mathematically correct and perfectly reasonable, pricing the institutional debt risk appropriately above the safer Term Loan A.</t>
        </is>
      </c>
      <c r="E28" s="593" t="inlineStr">
        <is>
          <t>LBO TLB = SOFR + institutional spread</t>
        </is>
      </c>
      <c r="F28" s="573" t="inlineStr">
        <is>
          <t>Computed as SOFR (C14) + TLB spread (C16). All-in ~9.3% prices institutional TLB risk appropriately above TLA in this structure.</t>
        </is>
      </c>
      <c r="G28" s="593" t="inlineStr">
        <is>
          <t>Go to Debt_Sweep_AI!D12 (TLB rate)</t>
        </is>
      </c>
      <c r="H28" s="593" t="inlineStr">
        <is>
          <t>www.newyorkfed.org/markets/reference-rates/sofr</t>
        </is>
      </c>
    </row>
    <row r="29"/>
    <row r="30">
      <c r="B30" s="564" t="inlineStr">
        <is>
          <t>PDF of this source map:</t>
        </is>
      </c>
      <c r="C30" s="593" t="inlineStr">
        <is>
          <t>https://raw.githubusercontent.com/vengeanceaiUSC/Rainmaker/cursor/vengeanceaiusclbomodel2-44dc/LBO/output/LBOMODEL2_DRIVER_SOURCES.pdf</t>
        </is>
      </c>
    </row>
    <row r="31">
      <c r="B31" s="591" t="inlineStr">
        <is>
          <t>Educational / research use only — not investment advice.</t>
        </is>
      </c>
    </row>
  </sheetData>
  <mergeCells count="1">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outlineLevelCol="0"/>
  <cols>
    <col width="32" customWidth="1" style="244" min="2" max="2"/>
    <col width="14" customWidth="1" style="244" min="3" max="3"/>
    <col width="14" customWidth="1" style="244" min="4" max="4"/>
    <col width="14" customWidth="1" style="244" min="5" max="5"/>
    <col width="70" customWidth="1" style="244" min="6" max="6"/>
  </cols>
  <sheetData>
    <row r="1"/>
    <row r="2">
      <c r="B2" s="563" t="inlineStr">
        <is>
          <t>vengeanceaiUSC-LBOMODEL2 — Strategy Summary</t>
        </is>
      </c>
    </row>
    <row r="3">
      <c r="B3" t="inlineStr">
        <is>
          <t>AI-SDR cost takeout drives margin, FCF, debt paydown, MOIC/IRR — exit multiple held at 13x in both cases</t>
        </is>
      </c>
    </row>
    <row r="4"/>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5"/>
    <row r="16">
      <c r="B16" s="569" t="inlineStr">
        <is>
          <t>IRR uplift from AI S&amp;M: 24.8 percentage points | Y2 margin expansion: 504 bps (target ≥500: YES)</t>
        </is>
      </c>
    </row>
    <row r="17"/>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row r="21"/>
    <row r="22">
      <c r="B22" t="inlineStr">
        <is>
          <t>ALL driver sources + commentary live on Assumptions_Drivers (cols D–H, same row). No separate AI cost tab.</t>
        </is>
      </c>
    </row>
    <row r="23">
      <c r="B23" s="593" t="inlineStr">
        <is>
          <t>Go to Assumptions_Drivers (start at Revenue growth)</t>
        </is>
      </c>
    </row>
    <row r="24">
      <c r="B24" s="593" t="inlineStr">
        <is>
          <t>https://raw.githubusercontent.com/vengeanceaiUSC/Rainmaker/cursor/vengeanceaiusclbomodel2-44dc/LBO/output/LBOMODEL2_DRIVER_SOURCES.pdf</t>
        </is>
      </c>
    </row>
  </sheetData>
  <hyperlinks>
    <hyperlink xmlns:r="http://schemas.openxmlformats.org/officeDocument/2006/relationships" ref="B19" r:id="rId1"/>
    <hyperlink xmlns:r="http://schemas.openxmlformats.org/officeDocument/2006/relationships" ref="B23" r:id="rId2"/>
    <hyperlink xmlns:r="http://schemas.openxmlformats.org/officeDocument/2006/relationships" ref="B24" r:id="rId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outlineLevelCol="0"/>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1"/>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5"/>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2"/>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6"/>
    <row r="27">
      <c r="B27" s="564" t="inlineStr">
        <is>
          <t>AI Infrastructure $15m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2"/>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6"/>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0"/>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0"/>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2"/>
  <sheetViews>
    <sheetView showGridLines="0" tabSelected="1" workbookViewId="0">
      <selection activeCell="A1" sqref="A1"/>
    </sheetView>
  </sheetViews>
  <sheetFormatPr baseColWidth="8" defaultRowHeight="15"/>
  <sheetData>
    <row r="1"/>
    <row r="2">
      <c r="B2" t="inlineStr">
        <is>
          <t>vengeanceaiUSC-LBOMODEL1 — ZoomInfo AI-SDR take-private</t>
        </is>
      </c>
    </row>
    <row r="3"/>
    <row r="4"/>
    <row r="5"/>
    <row r="6"/>
    <row r="7"/>
    <row r="8" ht="26.25" customHeight="1" s="244">
      <c r="B8" s="402" t="inlineStr">
        <is>
          <t>LBO Model Sample Template</t>
        </is>
      </c>
      <c r="C8" s="403" t="n"/>
      <c r="D8" s="403" t="n"/>
      <c r="E8" s="404" t="n"/>
      <c r="F8" s="404" t="n"/>
      <c r="G8" s="404" t="n"/>
      <c r="H8" s="404" t="n"/>
      <c r="I8" s="404" t="n"/>
      <c r="J8" s="404" t="n"/>
      <c r="K8" s="404" t="n"/>
      <c r="L8" s="404" t="n"/>
      <c r="M8" s="404" t="n"/>
    </row>
    <row r="9"/>
    <row r="10"/>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15"/>
    <row r="16"/>
    <row r="17"/>
    <row r="18"/>
    <row r="19"/>
    <row r="20"/>
    <row r="21"/>
    <row r="22"/>
    <row r="23"/>
    <row r="24"/>
    <row r="25"/>
    <row r="26"/>
    <row r="27"/>
    <row r="28"/>
    <row r="29"/>
    <row r="30"/>
    <row r="31"/>
    <row r="32"/>
    <row r="33"/>
    <row r="34"/>
    <row r="35"/>
    <row r="36"/>
    <row r="37"/>
    <row r="38"/>
    <row r="39"/>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1:R393"/>
  <sheetViews>
    <sheetView zoomScaleNormal="100" workbookViewId="0">
      <selection activeCell="A1" sqref="A1"/>
    </sheetView>
  </sheetViews>
  <sheetFormatPr baseColWidth="8" defaultRowHeight="15" outlineLevelCol="0"/>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7"/>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4"/>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4"/>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8"/>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4"/>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0"/>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5"/>
    <row r="216">
      <c r="F216" s="475" t="n">
        <v>43190</v>
      </c>
      <c r="G216" s="475" t="n"/>
      <c r="H216" s="475" t="n"/>
      <c r="I216" s="475" t="n"/>
      <c r="J216" s="475" t="n"/>
    </row>
    <row r="217"/>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5"/>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299"/>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09"/>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8"/>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1"/>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6"/>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4"/>
    <row r="385">
      <c r="B385" s="383" t="inlineStr">
        <is>
          <t>Purchase price</t>
        </is>
      </c>
      <c r="C385" s="57" t="n">
        <v>6741.92625</v>
      </c>
    </row>
    <row r="386">
      <c r="B386" t="inlineStr">
        <is>
          <t>Goodwill</t>
        </is>
      </c>
      <c r="C386" s="140" t="n">
        <v>5536.653639577004</v>
      </c>
    </row>
    <row r="387"/>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18"/>
  <sheetViews>
    <sheetView zoomScaleNormal="100" workbookViewId="0">
      <selection activeCell="A1" sqref="A1"/>
    </sheetView>
  </sheetViews>
  <sheetFormatPr baseColWidth="8" defaultRowHeight="15" outlineLevelCol="0"/>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0"/>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4"/>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0"/>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2"/>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2"/>
    <row r="93" ht="15.75" customHeight="1" s="244" thickBot="1">
      <c r="B93" s="63" t="inlineStr">
        <is>
          <t>Football field</t>
        </is>
      </c>
      <c r="C93" s="93" t="n"/>
      <c r="D93" s="93" t="n"/>
      <c r="E93" s="93" t="n"/>
    </row>
    <row r="94"/>
    <row r="95"/>
    <row r="96"/>
    <row r="97"/>
    <row r="98"/>
    <row r="99"/>
    <row r="100"/>
    <row r="101"/>
    <row r="102"/>
    <row r="103"/>
    <row r="104"/>
    <row r="105"/>
    <row r="106"/>
    <row r="107"/>
    <row r="108"/>
    <row r="109"/>
    <row r="110"/>
    <row r="111"/>
    <row r="112"/>
    <row r="113"/>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8"/>
  <sheetViews>
    <sheetView zoomScaleNormal="100" workbookViewId="0">
      <selection activeCell="A1" sqref="A1"/>
    </sheetView>
  </sheetViews>
  <sheetFormatPr baseColWidth="8" defaultRowHeight="15" outlineLevelCol="0"/>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68"/>
  <sheetViews>
    <sheetView zoomScaleNormal="100" workbookViewId="0">
      <selection activeCell="A1" sqref="A1"/>
    </sheetView>
  </sheetViews>
  <sheetFormatPr baseColWidth="8" defaultRowHeight="15" outlineLevelCol="0"/>
  <cols>
    <col width="19.42578125" bestFit="1" customWidth="1" style="244" min="1" max="1"/>
    <col width="9.28515625" bestFit="1" customWidth="1" style="244" min="2" max="5"/>
    <col width="10" bestFit="1" customWidth="1" style="244" min="6" max="6"/>
    <col width="9.28515625" bestFit="1" customWidth="1" style="244" min="9" max="9"/>
  </cols>
  <sheetData>
    <row r="1"/>
    <row r="2" ht="18" customHeight="1" s="244" thickBot="1">
      <c r="A2" s="101" t="inlineStr">
        <is>
          <t>52 week high low</t>
        </is>
      </c>
      <c r="B2" s="93" t="n"/>
      <c r="C2" s="93" t="n"/>
      <c r="D2" s="93" t="n"/>
      <c r="E2" s="93" t="n"/>
      <c r="F2" s="93" t="n"/>
    </row>
    <row r="3"/>
    <row r="4">
      <c r="A4" t="inlineStr">
        <is>
          <t>52 week high</t>
        </is>
      </c>
      <c r="E4" s="383" t="n">
        <v>46.33</v>
      </c>
    </row>
    <row r="5">
      <c r="A5" t="inlineStr">
        <is>
          <t>52 week low</t>
        </is>
      </c>
      <c r="E5" s="383" t="n">
        <v>37.51</v>
      </c>
    </row>
    <row r="6"/>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2026-08-15T15:16:55Z</dcterms:modified>
  <cp:lastModifiedBy>scottmccarthy</cp:lastModifiedBy>
  <cp:lastPrinted>2014-05-30T16:55:05Z</cp:lastPrinted>
</cp:coreProperties>
</file>