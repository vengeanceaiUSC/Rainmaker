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01_10K_Source" sheetId="2" state="visible" r:id="rId2"/>
    <sheet name="02_SM_Isolation" sheetId="3" state="visible" r:id="rId3"/>
    <sheet name="03_Headcount_AI" sheetId="4" state="visible" r:id="rId4"/>
    <sheet name="04_EBITDA_Bridge" sheetId="5" state="visible" r:id="rId5"/>
    <sheet name="05_Sensitiv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color rgb="000563C1"/>
      <u val="single"/>
    </font>
    <font>
      <name val="Calibri"/>
      <b val="1"/>
      <color rgb="00FFFFFF"/>
    </font>
    <font>
      <name val="Calibri"/>
      <color rgb="00000000"/>
    </font>
    <font>
      <name val="Calibri"/>
      <color rgb="000000FF"/>
    </font>
    <font>
      <name val="Calibri"/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6DCE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4" fontId="5" fillId="3" borderId="1" pivotButton="0" quotePrefix="0" xfId="0"/>
    <xf numFmtId="0" fontId="6" fillId="0" borderId="0" pivotButton="0" quotePrefix="0" xfId="0"/>
    <xf numFmtId="164" fontId="4" fillId="4" borderId="1" pivotButton="0" quotePrefix="0" xfId="0"/>
    <xf numFmtId="165" fontId="4" fillId="4" borderId="1" pivotButton="0" quotePrefix="0" xfId="0"/>
    <xf numFmtId="0" fontId="6" fillId="5" borderId="0" pivotButton="0" quotePrefix="0" xfId="0"/>
    <xf numFmtId="3" fontId="5" fillId="3" borderId="1" pivotButton="0" quotePrefix="0" xfId="0"/>
    <xf numFmtId="3" fontId="4" fillId="4" borderId="1" pivotButton="0" quotePrefix="0" xfId="0"/>
    <xf numFmtId="0" fontId="0" fillId="0" borderId="0" applyAlignment="1" pivotButton="0" quotePrefix="0" xfId="0">
      <alignment wrapText="1"/>
    </xf>
    <xf numFmtId="165" fontId="5" fillId="3" borderId="1" pivotButton="0" quotePrefix="0" xfId="0"/>
    <xf numFmtId="166" fontId="5" fillId="3" borderId="1" pivotButton="0" quotePrefix="0" xfId="0"/>
    <xf numFmtId="9" fontId="5" fillId="3" borderId="1" pivotButton="0" quotePrefix="0" xfId="0"/>
    <xf numFmtId="0" fontId="4" fillId="4" borderId="1" pivotButton="0" quotePrefix="0" xfId="0"/>
    <xf numFmtId="166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c.gov/Archives/edgar/data/1794515/000179451526000012/zi-20251231.htm" TargetMode="External" Id="rId1" /><Relationship Type="http://schemas.openxmlformats.org/officeDocument/2006/relationships/hyperlink" Target="https://data.sec.gov/api/xbrl/companyfacts/CIK0001794515.json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9"/>
  <sheetViews>
    <sheetView workbookViewId="0">
      <selection activeCell="A1" sqref="A1"/>
    </sheetView>
  </sheetViews>
  <sheetFormatPr baseColWidth="8" defaultRowHeight="15"/>
  <cols>
    <col width="22" customWidth="1" min="2" max="2"/>
    <col width="100" customWidth="1" min="3" max="3"/>
  </cols>
  <sheetData>
    <row r="2">
      <c r="B2" s="1" t="inlineStr">
        <is>
          <t>ZoomInfo (GTM/ZI) — S&amp;M → AI SDR Margin Expansion</t>
        </is>
      </c>
    </row>
    <row r="3">
      <c r="B3" t="inlineStr">
        <is>
          <t>Educational ops / LBO model from FY2025 Form 10-K. Open in Excel to recalculate.</t>
        </is>
      </c>
    </row>
    <row r="5">
      <c r="B5" t="inlineStr">
        <is>
          <t>Thesis</t>
        </is>
      </c>
      <c r="C5" t="inlineStr">
        <is>
          <t>Replace outbound SDRs with AI agents; expand EBITDA margin ≥500 bps</t>
        </is>
      </c>
    </row>
    <row r="6">
      <c r="B6" t="inlineStr">
        <is>
          <t>Issuer</t>
        </is>
      </c>
      <c r="C6" t="inlineStr">
        <is>
          <t>ZoomInfo Technologies Inc. (ticker GTM / legacy ZI)</t>
        </is>
      </c>
    </row>
    <row r="7">
      <c r="B7" t="inlineStr">
        <is>
          <t>CIK</t>
        </is>
      </c>
      <c r="C7" t="inlineStr">
        <is>
          <t>0001794515</t>
        </is>
      </c>
    </row>
    <row r="8">
      <c r="B8" t="inlineStr">
        <is>
          <t>Source 10-K</t>
        </is>
      </c>
      <c r="C8" s="2" t="inlineStr">
        <is>
          <t>https://www.sec.gov/Archives/edgar/data/1794515/000179451526000012/zi-20251231.htm</t>
        </is>
      </c>
    </row>
    <row r="9">
      <c r="B9" t="inlineStr">
        <is>
          <t>Filed</t>
        </is>
      </c>
      <c r="C9" t="inlineStr">
        <is>
          <t>2026-02-12 (FY ended 2025-12-31)</t>
        </is>
      </c>
    </row>
    <row r="10">
      <c r="B10" t="inlineStr">
        <is>
          <t>Companyfacts</t>
        </is>
      </c>
      <c r="C10" s="2" t="inlineStr">
        <is>
          <t>https://data.sec.gov/api/xbrl/companyfacts/CIK0001794515.json</t>
        </is>
      </c>
    </row>
    <row r="12">
      <c r="B12" t="inlineStr">
        <is>
          <t>Sheets</t>
        </is>
      </c>
    </row>
    <row r="13">
      <c r="B13" t="inlineStr">
        <is>
          <t>01_10K_Source — SEC XBRL + human capital extract</t>
        </is>
      </c>
    </row>
    <row r="14">
      <c r="B14" t="inlineStr">
        <is>
          <t>02_SM_Isolation — S&amp;M bloat vs target % of revenue</t>
        </is>
      </c>
    </row>
    <row r="15">
      <c r="B15" t="inlineStr">
        <is>
          <t>03_Headcount_AI — SDR reduction schedule + AI agent ramp</t>
        </is>
      </c>
    </row>
    <row r="16">
      <c r="B16" t="inlineStr">
        <is>
          <t>04_EBITDA_Bridge — margin expansion to 500+ bps</t>
        </is>
      </c>
    </row>
    <row r="17">
      <c r="B17" t="inlineStr">
        <is>
          <t>05_Sensitivity — SDR cut % × AI cost → bps grid</t>
        </is>
      </c>
    </row>
    <row r="19">
      <c r="B19" t="inlineStr">
        <is>
          <t>Disclaimer</t>
        </is>
      </c>
      <c r="C19" t="inlineStr">
        <is>
          <t>SDR % of S&amp;M and AI unit costs are yellow assumptions. Illustrative — not investment advice.</t>
        </is>
      </c>
    </row>
  </sheetData>
  <hyperlinks>
    <hyperlink xmlns:r="http://schemas.openxmlformats.org/officeDocument/2006/relationships" ref="C8" r:id="rId1"/>
    <hyperlink xmlns:r="http://schemas.openxmlformats.org/officeDocument/2006/relationships" ref="C10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38"/>
  <sheetViews>
    <sheetView workbookViewId="0">
      <selection activeCell="A1" sqref="A1"/>
    </sheetView>
  </sheetViews>
  <sheetFormatPr baseColWidth="8" defaultRowHeight="15"/>
  <cols>
    <col width="42" customWidth="1" min="2" max="2"/>
    <col width="12" customWidth="1" min="3" max="3"/>
    <col width="12" customWidth="1" min="4" max="4"/>
    <col width="14" customWidth="1" min="5" max="5"/>
    <col width="70" customWidth="1" min="6" max="6"/>
  </cols>
  <sheetData>
    <row r="2">
      <c r="B2" s="1" t="inlineStr">
        <is>
          <t>FY2025 10-K source financials ($ millions unless noted)</t>
        </is>
      </c>
    </row>
    <row r="4">
      <c r="B4" s="3" t="inlineStr">
        <is>
          <t>Line item</t>
        </is>
      </c>
      <c r="C4" s="3" t="inlineStr">
        <is>
          <t>FY2023</t>
        </is>
      </c>
      <c r="D4" s="3" t="inlineStr">
        <is>
          <t>FY2024</t>
        </is>
      </c>
      <c r="E4" s="3" t="inlineStr">
        <is>
          <t>FY2025</t>
        </is>
      </c>
      <c r="F4" s="3" t="inlineStr">
        <is>
          <t>XBRL / note</t>
        </is>
      </c>
    </row>
    <row r="5">
      <c r="B5" s="4" t="inlineStr">
        <is>
          <t>Revenue</t>
        </is>
      </c>
      <c r="C5" s="5" t="n">
        <v>1239.5</v>
      </c>
      <c r="D5" s="5" t="n">
        <v>1214.3</v>
      </c>
      <c r="E5" s="5" t="n">
        <v>1249.5</v>
      </c>
      <c r="F5" s="4" t="inlineStr">
        <is>
          <t>RevenueFromContractWithCustomerExcludingAssessedTax</t>
        </is>
      </c>
    </row>
    <row r="6">
      <c r="B6" s="4" t="inlineStr">
        <is>
          <t>Selling &amp; Marketing</t>
        </is>
      </c>
      <c r="C6" s="5" t="n">
        <v>408.5</v>
      </c>
      <c r="D6" s="5" t="n">
        <v>414.1</v>
      </c>
      <c r="E6" s="5" t="n">
        <v>414.6</v>
      </c>
      <c r="F6" s="4" t="inlineStr">
        <is>
          <t>SellingAndMarketingExpense</t>
        </is>
      </c>
    </row>
    <row r="7">
      <c r="B7" s="4" t="inlineStr">
        <is>
          <t>Research &amp; Development</t>
        </is>
      </c>
      <c r="C7" s="5" t="n">
        <v>191.5</v>
      </c>
      <c r="D7" s="5" t="n">
        <v>196.1</v>
      </c>
      <c r="E7" s="5" t="n">
        <v>182</v>
      </c>
      <c r="F7" s="4" t="inlineStr">
        <is>
          <t>ResearchAndDevelopmentExpense</t>
        </is>
      </c>
    </row>
    <row r="8">
      <c r="B8" s="4" t="inlineStr">
        <is>
          <t>General &amp; Administrative</t>
        </is>
      </c>
      <c r="C8" s="5" t="n">
        <v>179.6</v>
      </c>
      <c r="D8" s="5" t="n">
        <v>295.3</v>
      </c>
      <c r="E8" s="5" t="n">
        <v>206.7</v>
      </c>
      <c r="F8" s="4" t="inlineStr">
        <is>
          <t>GeneralAndAdministrativeExpense</t>
        </is>
      </c>
    </row>
    <row r="9">
      <c r="B9" s="4" t="inlineStr">
        <is>
          <t>Operating expenses (ex-COGS)</t>
        </is>
      </c>
      <c r="E9" s="5" t="n">
        <v>824.2</v>
      </c>
      <c r="F9" s="4" t="inlineStr">
        <is>
          <t>OperatingExpenses</t>
        </is>
      </c>
    </row>
    <row r="10">
      <c r="B10" s="4" t="inlineStr">
        <is>
          <t>Operating income</t>
        </is>
      </c>
      <c r="C10" s="5" t="n">
        <v>259.5</v>
      </c>
      <c r="D10" s="5" t="n">
        <v>97.40000000000001</v>
      </c>
      <c r="E10" s="5" t="n">
        <v>225.7</v>
      </c>
      <c r="F10" s="4" t="inlineStr">
        <is>
          <t>OperatingIncomeLoss</t>
        </is>
      </c>
    </row>
    <row r="11">
      <c r="B11" s="4" t="inlineStr">
        <is>
          <t>Depreciation</t>
        </is>
      </c>
      <c r="C11" s="5" t="n">
        <v>19.6</v>
      </c>
      <c r="D11" s="5" t="n">
        <v>25.9</v>
      </c>
      <c r="E11" s="5" t="n">
        <v>30.3</v>
      </c>
      <c r="F11" s="4" t="inlineStr">
        <is>
          <t>Depreciation</t>
        </is>
      </c>
    </row>
    <row r="12">
      <c r="B12" s="4" t="inlineStr">
        <is>
          <t>Amort. of intangibles</t>
        </is>
      </c>
      <c r="C12" s="5" t="n">
        <v>61</v>
      </c>
      <c r="D12" s="5" t="n">
        <v>59.8</v>
      </c>
      <c r="E12" s="5" t="n">
        <v>58.5</v>
      </c>
      <c r="F12" s="4" t="inlineStr">
        <is>
          <t>AmortizationOfIntangibleAssets</t>
        </is>
      </c>
    </row>
    <row r="13">
      <c r="B13" s="4" t="inlineStr">
        <is>
          <t>Total D&amp;A (dep+intang)</t>
        </is>
      </c>
      <c r="C13" s="5" t="n">
        <v>80.59999999999999</v>
      </c>
      <c r="D13" s="5" t="n">
        <v>85.7</v>
      </c>
      <c r="E13" s="5" t="n">
        <v>88.8</v>
      </c>
      <c r="F13" s="4" t="inlineStr">
        <is>
          <t>OtherDepreciationAndAmortization</t>
        </is>
      </c>
    </row>
    <row r="14">
      <c r="B14" s="4" t="inlineStr">
        <is>
          <t>Share-based compensation</t>
        </is>
      </c>
      <c r="C14" s="5" t="n">
        <v>167.6</v>
      </c>
      <c r="D14" s="5" t="n">
        <v>138</v>
      </c>
      <c r="E14" s="5" t="n">
        <v>116.2</v>
      </c>
      <c r="F14" s="4" t="inlineStr">
        <is>
          <t>ShareBasedCompensation</t>
        </is>
      </c>
    </row>
    <row r="15">
      <c r="B15" s="4" t="inlineStr">
        <is>
          <t>Advertising expense</t>
        </is>
      </c>
      <c r="E15" s="5" t="n">
        <v>37.3</v>
      </c>
      <c r="F15" s="4" t="inlineStr">
        <is>
          <t>AdvertisingExpense</t>
        </is>
      </c>
    </row>
    <row r="16">
      <c r="B16" s="4" t="inlineStr">
        <is>
          <t>Amort. deferred commissions</t>
        </is>
      </c>
      <c r="C16" s="5" t="n">
        <v>75.3</v>
      </c>
      <c r="D16" s="5" t="n">
        <v>67.59999999999999</v>
      </c>
      <c r="E16" s="5" t="n">
        <v>90.2</v>
      </c>
      <c r="F16" s="4" t="inlineStr">
        <is>
          <t>AmortizationOfDeferredSalesCommissions</t>
        </is>
      </c>
    </row>
    <row r="17">
      <c r="B17" s="4" t="inlineStr">
        <is>
          <t>Net income</t>
        </is>
      </c>
      <c r="C17" s="5" t="n">
        <v>107.3</v>
      </c>
      <c r="D17" s="5" t="n">
        <v>29.1</v>
      </c>
      <c r="E17" s="5" t="n">
        <v>124.2</v>
      </c>
      <c r="F17" s="4" t="inlineStr">
        <is>
          <t>NetIncomeLoss</t>
        </is>
      </c>
    </row>
    <row r="19">
      <c r="B19" s="6" t="inlineStr">
        <is>
          <t>Implied COGS (Rev − OpEx − OpInc)</t>
        </is>
      </c>
      <c r="E19" s="7">
        <f>E5-E9-E10</f>
        <v/>
      </c>
    </row>
    <row r="20">
      <c r="B20" s="6" t="inlineStr">
        <is>
          <t>GAAP EBITDA proxy (OpInc + D&amp;A)</t>
        </is>
      </c>
      <c r="E20" s="7">
        <f>E10+E13</f>
        <v/>
      </c>
    </row>
    <row r="21">
      <c r="B21" s="4" t="inlineStr">
        <is>
          <t>GAAP EBITDA margin</t>
        </is>
      </c>
      <c r="E21" s="8">
        <f>E20/E5</f>
        <v/>
      </c>
    </row>
    <row r="22">
      <c r="B22" s="6" t="inlineStr">
        <is>
          <t>Adj. EBITDA proxy (+SBC)</t>
        </is>
      </c>
      <c r="E22" s="7">
        <f>E20+E14</f>
        <v/>
      </c>
    </row>
    <row r="23">
      <c r="B23" s="4" t="inlineStr">
        <is>
          <t>Adj. EBITDA margin</t>
        </is>
      </c>
      <c r="E23" s="8">
        <f>E22/E5</f>
        <v/>
      </c>
    </row>
    <row r="25">
      <c r="B25" s="9" t="inlineStr">
        <is>
          <t>HUMAN CAPITAL (10-K Item 1)</t>
        </is>
      </c>
    </row>
    <row r="26">
      <c r="B26" s="4" t="inlineStr">
        <is>
          <t>Total employees (12/31/2025)</t>
        </is>
      </c>
      <c r="E26" s="10" t="n">
        <v>3180</v>
      </c>
    </row>
    <row r="27">
      <c r="B27" s="4" t="inlineStr">
        <is>
          <t>Cost of service employees</t>
        </is>
      </c>
      <c r="E27" s="10" t="n">
        <v>662</v>
      </c>
    </row>
    <row r="28">
      <c r="B28" s="4" t="inlineStr">
        <is>
          <t>Sales &amp; Marketing employees</t>
        </is>
      </c>
      <c r="E28" s="10" t="n">
        <v>1370</v>
      </c>
    </row>
    <row r="29">
      <c r="B29" s="4" t="inlineStr">
        <is>
          <t>R&amp;D employees</t>
        </is>
      </c>
      <c r="E29" s="10" t="n">
        <v>763</v>
      </c>
    </row>
    <row r="30">
      <c r="B30" s="4" t="inlineStr">
        <is>
          <t>G&amp;A employees</t>
        </is>
      </c>
      <c r="E30" s="10" t="n">
        <v>385</v>
      </c>
    </row>
    <row r="31">
      <c r="B31" s="4" t="inlineStr">
        <is>
          <t>Headcount check (sum)</t>
        </is>
      </c>
      <c r="E31" s="11">
        <f>E27+E28+E29+E30</f>
        <v/>
      </c>
    </row>
    <row r="32">
      <c r="B32" s="4" t="inlineStr">
        <is>
          <t>S&amp;M $ / S&amp;M employee ($000s)</t>
        </is>
      </c>
      <c r="E32" s="7">
        <f>E6*1000/E28</f>
        <v/>
      </c>
    </row>
    <row r="33">
      <c r="B33" s="4" t="inlineStr">
        <is>
          <t>S&amp;M % of revenue</t>
        </is>
      </c>
      <c r="E33" s="8">
        <f>E6/E5</f>
        <v/>
      </c>
    </row>
    <row r="35">
      <c r="B35" s="4" t="inlineStr">
        <is>
          <t>Quote — Human Capital</t>
        </is>
      </c>
    </row>
    <row r="36">
      <c r="B36" s="12" t="inlineStr">
        <is>
          <t>As of December 31, 2025, we had 3,180 employees, consisting of 662 in cost of service, 1,370 in sales and marketing, 763 in research and development, and 385 in general and administrative.</t>
        </is>
      </c>
    </row>
    <row r="37"/>
    <row r="38"/>
  </sheetData>
  <mergeCells count="1">
    <mergeCell ref="B36:F3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21"/>
  <sheetViews>
    <sheetView workbookViewId="0">
      <selection activeCell="A1" sqref="A1"/>
    </sheetView>
  </sheetViews>
  <sheetFormatPr baseColWidth="8" defaultRowHeight="15"/>
  <cols>
    <col width="48" customWidth="1" min="2" max="2"/>
    <col width="14" customWidth="1" min="3" max="3"/>
  </cols>
  <sheetData>
    <row r="2">
      <c r="B2" s="1" t="inlineStr">
        <is>
          <t>Isolate bloated Sales &amp; Marketing</t>
        </is>
      </c>
    </row>
    <row r="4">
      <c r="B4" s="4" t="inlineStr">
        <is>
          <t>FY2025 Revenue ($m)</t>
        </is>
      </c>
      <c r="C4" s="7">
        <f>'01_10K_Source'!E5</f>
        <v/>
      </c>
    </row>
    <row r="5">
      <c r="B5" s="4" t="inlineStr">
        <is>
          <t>FY2025 S&amp;M ($m)</t>
        </is>
      </c>
      <c r="C5" s="7">
        <f>'01_10K_Source'!E6</f>
        <v/>
      </c>
    </row>
    <row r="6">
      <c r="B6" s="4" t="inlineStr">
        <is>
          <t>S&amp;M % revenue</t>
        </is>
      </c>
      <c r="C6" s="8">
        <f>C5/C4</f>
        <v/>
      </c>
    </row>
    <row r="8">
      <c r="B8" s="9" t="inlineStr">
        <is>
          <t>S&amp;M STACK (FY2025)</t>
        </is>
      </c>
    </row>
    <row r="9">
      <c r="B9" s="4" t="inlineStr">
        <is>
          <t>Advertising</t>
        </is>
      </c>
      <c r="C9" s="7">
        <f>'01_10K_Source'!E15</f>
        <v/>
      </c>
    </row>
    <row r="10">
      <c r="B10" s="4" t="inlineStr">
        <is>
          <t>Deferred commission amortization</t>
        </is>
      </c>
      <c r="C10" s="7">
        <f>'01_10K_Source'!E16</f>
        <v/>
      </c>
    </row>
    <row r="11">
      <c r="B11" s="4" t="inlineStr">
        <is>
          <t>Residual S&amp;M (people + other)</t>
        </is>
      </c>
      <c r="C11" s="7">
        <f>C5-C9-C10</f>
        <v/>
      </c>
    </row>
    <row r="12">
      <c r="B12" s="4" t="inlineStr">
        <is>
          <t>Residual as % of S&amp;M</t>
        </is>
      </c>
      <c r="C12" s="8">
        <f>C11/C5</f>
        <v/>
      </c>
    </row>
    <row r="13">
      <c r="B13" s="4" t="inlineStr">
        <is>
          <t>Residual $ / S&amp;M employee ($000s)</t>
        </is>
      </c>
      <c r="C13" s="7">
        <f>C11*1000/'01_10K_Source'!E28</f>
        <v/>
      </c>
    </row>
    <row r="15">
      <c r="B15" s="9" t="inlineStr">
        <is>
          <t>BENCHMARK / THESIS INPUTS (edit yellow)</t>
        </is>
      </c>
    </row>
    <row r="16">
      <c r="B16" s="4" t="inlineStr">
        <is>
          <t>Target mature SaaS S&amp;M % rev</t>
        </is>
      </c>
      <c r="C16" s="13" t="n">
        <v>0.22</v>
      </c>
    </row>
    <row r="17">
      <c r="B17" s="4" t="inlineStr">
        <is>
          <t>S&amp;M bloat vs target ($m)</t>
        </is>
      </c>
      <c r="C17" s="7">
        <f>MAX(0,C5-C4*C16)</f>
        <v/>
      </c>
    </row>
    <row r="18">
      <c r="B18" s="4" t="inlineStr">
        <is>
          <t>Bloat as % of revenue</t>
        </is>
      </c>
      <c r="C18" s="8">
        <f>C17/C4</f>
        <v/>
      </c>
    </row>
    <row r="19">
      <c r="B19" s="4" t="inlineStr">
        <is>
          <t>Bloat in basis points</t>
        </is>
      </c>
      <c r="C19" s="11">
        <f>C18*10000</f>
        <v/>
      </c>
    </row>
    <row r="21">
      <c r="B21" t="inlineStr">
        <is>
          <t>10-K: 1,370 S&amp;M employees; S&amp;M is ~33% of revenue. Model treats outbound SDR/BDR capacity as the AI-replaceable slice (yellow % on next sheet).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40"/>
  <sheetViews>
    <sheetView workbookViewId="0">
      <selection activeCell="A1" sqref="A1"/>
    </sheetView>
  </sheetViews>
  <sheetFormatPr baseColWidth="8" defaultRowHeight="15"/>
  <cols>
    <col width="48" customWidth="1" min="2" max="2"/>
    <col width="12" customWidth="1" min="3" max="3"/>
    <col width="12" customWidth="1" min="4" max="4"/>
    <col width="12" customWidth="1" min="5" max="5"/>
  </cols>
  <sheetData>
    <row r="2">
      <c r="B2" s="1" t="inlineStr">
        <is>
          <t>Headcount reduction: outbound SDRs → AI agents</t>
        </is>
      </c>
    </row>
    <row r="4">
      <c r="B4" s="9" t="inlineStr">
        <is>
          <t>BASELINE</t>
        </is>
      </c>
    </row>
    <row r="5">
      <c r="B5" s="4" t="inlineStr">
        <is>
          <t>S&amp;M employees (10-K)</t>
        </is>
      </c>
      <c r="C5" s="11">
        <f>'01_10K_Source'!E28</f>
        <v/>
      </c>
    </row>
    <row r="6">
      <c r="B6" s="4" t="inlineStr">
        <is>
          <t>% of S&amp;M that are outbound SDR/BDR</t>
        </is>
      </c>
      <c r="C6" s="13" t="n">
        <v>0.4</v>
      </c>
    </row>
    <row r="7">
      <c r="B7" s="4" t="inlineStr">
        <is>
          <t>Outbound SDR headcount (Y0)</t>
        </is>
      </c>
      <c r="C7" s="11">
        <f>ROUND(C5*C6,0)</f>
        <v/>
      </c>
    </row>
    <row r="8">
      <c r="B8" s="4" t="inlineStr">
        <is>
          <t>Fully loaded cost / SDR / yr ($000s)</t>
        </is>
      </c>
      <c r="C8" s="5" t="n">
        <v>155</v>
      </c>
    </row>
    <row r="9">
      <c r="B9" s="4" t="inlineStr">
        <is>
          <t>Addressable SDR cost pool ($m)</t>
        </is>
      </c>
      <c r="C9" s="7">
        <f>C7*C8/1000</f>
        <v/>
      </c>
    </row>
    <row r="11">
      <c r="B11" s="9" t="inlineStr">
        <is>
          <t>AI AGENT UNIT ECONOMICS</t>
        </is>
      </c>
    </row>
    <row r="12">
      <c r="B12" s="4" t="inlineStr">
        <is>
          <t>AI agent seats per SDR replaced</t>
        </is>
      </c>
      <c r="C12" s="14" t="n">
        <v>1</v>
      </c>
    </row>
    <row r="13">
      <c r="B13" s="4" t="inlineStr">
        <is>
          <t>AI platform + compute / seat / yr ($000s)</t>
        </is>
      </c>
      <c r="C13" s="5" t="n">
        <v>15</v>
      </c>
    </row>
    <row r="14">
      <c r="B14" s="4" t="inlineStr">
        <is>
          <t>Human oversight FTE per 20 AI seats</t>
        </is>
      </c>
      <c r="C14" s="14" t="n">
        <v>1</v>
      </c>
    </row>
    <row r="15">
      <c r="B15" s="4" t="inlineStr">
        <is>
          <t>Oversight fully loaded / FTE / yr ($000s)</t>
        </is>
      </c>
      <c r="C15" s="5" t="n">
        <v>150</v>
      </c>
    </row>
    <row r="16">
      <c r="B16" s="4" t="inlineStr">
        <is>
          <t>One-time severance / SDR ($000s)</t>
        </is>
      </c>
      <c r="C16" s="5" t="n">
        <v>25</v>
      </c>
    </row>
    <row r="17">
      <c r="B17" s="4" t="inlineStr">
        <is>
          <t>One-time AI build / integration ($m) in Y1</t>
        </is>
      </c>
      <c r="C17" s="5" t="n">
        <v>8</v>
      </c>
    </row>
    <row r="19">
      <c r="B19" s="9" t="inlineStr">
        <is>
          <t>REDUCTION SCHEDULE (% of Y0 SDRs exited by year-end)</t>
        </is>
      </c>
    </row>
    <row r="20">
      <c r="B20" s="4" t="inlineStr">
        <is>
          <t>Year</t>
        </is>
      </c>
      <c r="C20" s="3" t="n">
        <v>2026</v>
      </c>
      <c r="D20" s="3" t="n">
        <v>2027</v>
      </c>
      <c r="E20" s="3" t="n">
        <v>2028</v>
      </c>
    </row>
    <row r="21">
      <c r="B21" s="4" t="inlineStr">
        <is>
          <t>Cumulative % SDRs replaced</t>
        </is>
      </c>
      <c r="C21" s="15" t="n">
        <v>0.45</v>
      </c>
      <c r="D21" s="15" t="n">
        <v>0.8</v>
      </c>
      <c r="E21" s="15" t="n">
        <v>0.95</v>
      </c>
    </row>
    <row r="22">
      <c r="B22" s="4" t="inlineStr">
        <is>
          <t>SDRs remaining</t>
        </is>
      </c>
      <c r="C22" s="11">
        <f>ROUND($C$7*(1-C21),0)</f>
        <v/>
      </c>
      <c r="D22" s="11">
        <f>ROUND($C$7*(1-D21),0)</f>
        <v/>
      </c>
      <c r="E22" s="11">
        <f>ROUND($C$7*(1-E21),0)</f>
        <v/>
      </c>
    </row>
    <row r="23">
      <c r="B23" s="4" t="inlineStr">
        <is>
          <t>SDRs exited (cumulative)</t>
        </is>
      </c>
      <c r="C23" s="11">
        <f>$C$7-C22</f>
        <v/>
      </c>
      <c r="D23" s="11">
        <f>$C$7-D22</f>
        <v/>
      </c>
      <c r="E23" s="11">
        <f>$C$7-E22</f>
        <v/>
      </c>
    </row>
    <row r="24">
      <c r="B24" s="4" t="inlineStr">
        <is>
          <t>SDRs exited this year</t>
        </is>
      </c>
      <c r="C24" s="11">
        <f>C23</f>
        <v/>
      </c>
      <c r="D24" s="11">
        <f>D23-C23</f>
        <v/>
      </c>
      <c r="E24" s="11">
        <f>E23-D23</f>
        <v/>
      </c>
    </row>
    <row r="25">
      <c r="B25" s="4" t="inlineStr">
        <is>
          <t>Avg SDRs during year</t>
        </is>
      </c>
      <c r="C25" s="7">
        <f>($C$7+C22)/2</f>
        <v/>
      </c>
      <c r="D25" s="7">
        <f>(C22+D22)/2</f>
        <v/>
      </c>
      <c r="E25" s="7">
        <f>(D22+E22)/2</f>
        <v/>
      </c>
    </row>
    <row r="27">
      <c r="B27" s="9" t="inlineStr">
        <is>
          <t>AI SEATS &amp; OVERSIGHT</t>
        </is>
      </c>
    </row>
    <row r="28">
      <c r="B28" s="4" t="inlineStr">
        <is>
          <t>AI seats (cum.)</t>
        </is>
      </c>
      <c r="C28" s="7">
        <f>C23*$C$12</f>
        <v/>
      </c>
      <c r="D28" s="7">
        <f>D23*$C$12</f>
        <v/>
      </c>
      <c r="E28" s="7">
        <f>E23*$C$12</f>
        <v/>
      </c>
    </row>
    <row r="29">
      <c r="B29" s="4" t="inlineStr">
        <is>
          <t>Oversight FTEs</t>
        </is>
      </c>
      <c r="C29" s="11">
        <f>ROUNDUP(C28/(20/$C$14),0)</f>
        <v/>
      </c>
      <c r="D29" s="11">
        <f>ROUNDUP(D28/(20/$C$14),0)</f>
        <v/>
      </c>
      <c r="E29" s="11">
        <f>ROUNDUP(E28/(20/$C$14),0)</f>
        <v/>
      </c>
    </row>
    <row r="31">
      <c r="B31" s="9" t="inlineStr">
        <is>
          <t>P&amp;L IMPACT ($m)</t>
        </is>
      </c>
    </row>
    <row r="32">
      <c r="B32" s="4" t="inlineStr">
        <is>
          <t>SDR cash cost (avg HC × cost)</t>
        </is>
      </c>
      <c r="C32" s="7">
        <f>C25*$C$8/1000</f>
        <v/>
      </c>
      <c r="D32" s="7">
        <f>D25*$C$8/1000</f>
        <v/>
      </c>
      <c r="E32" s="7">
        <f>E25*$C$8/1000</f>
        <v/>
      </c>
    </row>
    <row r="33">
      <c r="B33" s="4" t="inlineStr">
        <is>
          <t>Baseline SDR cost if no program</t>
        </is>
      </c>
      <c r="C33" s="7">
        <f>$C$9</f>
        <v/>
      </c>
      <c r="D33" s="7">
        <f>$C$9</f>
        <v/>
      </c>
      <c r="E33" s="7">
        <f>$C$9</f>
        <v/>
      </c>
    </row>
    <row r="34">
      <c r="B34" s="4" t="inlineStr">
        <is>
          <t>Gross SDR savings vs baseline</t>
        </is>
      </c>
      <c r="C34" s="7">
        <f>C33-C32</f>
        <v/>
      </c>
      <c r="D34" s="7">
        <f>D33-D32</f>
        <v/>
      </c>
      <c r="E34" s="7">
        <f>E33-E32</f>
        <v/>
      </c>
    </row>
    <row r="35">
      <c r="B35" s="4" t="inlineStr">
        <is>
          <t>AI seat opex</t>
        </is>
      </c>
      <c r="C35" s="7">
        <f>C28*$C$13/1000</f>
        <v/>
      </c>
      <c r="D35" s="7">
        <f>D28*$C$13/1000</f>
        <v/>
      </c>
      <c r="E35" s="7">
        <f>E28*$C$13/1000</f>
        <v/>
      </c>
    </row>
    <row r="36">
      <c r="B36" s="4" t="inlineStr">
        <is>
          <t>Oversight opex</t>
        </is>
      </c>
      <c r="C36" s="7">
        <f>C29*$C$15/1000</f>
        <v/>
      </c>
      <c r="D36" s="7">
        <f>D29*$C$15/1000</f>
        <v/>
      </c>
      <c r="E36" s="7">
        <f>E29*$C$15/1000</f>
        <v/>
      </c>
    </row>
    <row r="37">
      <c r="B37" s="4" t="inlineStr">
        <is>
          <t>Severance (this year's exits)</t>
        </is>
      </c>
      <c r="C37" s="7">
        <f>C24*$C$16/1000</f>
        <v/>
      </c>
      <c r="D37" s="7">
        <f>D24*$C$16/1000</f>
        <v/>
      </c>
      <c r="E37" s="7">
        <f>E24*$C$16/1000</f>
        <v/>
      </c>
    </row>
    <row r="38">
      <c r="B38" s="4" t="inlineStr">
        <is>
          <t>AI build (Y1 only)</t>
        </is>
      </c>
      <c r="C38" s="7">
        <f>$C$17</f>
        <v/>
      </c>
      <c r="D38" s="5" t="n">
        <v>0</v>
      </c>
      <c r="E38" s="5" t="n">
        <v>0</v>
      </c>
    </row>
    <row r="39">
      <c r="B39" s="6" t="inlineStr">
        <is>
          <t>Net EBITDA benefit (in-year, after one-time)</t>
        </is>
      </c>
      <c r="C39" s="7">
        <f>C34-C35-C36-C37-C38</f>
        <v/>
      </c>
      <c r="D39" s="7">
        <f>D34-D35-D36-D37-D38</f>
        <v/>
      </c>
      <c r="E39" s="7">
        <f>E34-E35-E36-E37-E38</f>
        <v/>
      </c>
    </row>
    <row r="40">
      <c r="B40" s="6" t="inlineStr">
        <is>
          <t>Year-end run-rate benefit (ex one-time)</t>
        </is>
      </c>
      <c r="C40" s="7">
        <f>(C23*$C$8/1000)-(C28*$C$13/1000)-(C29*$C$15/1000)</f>
        <v/>
      </c>
      <c r="D40" s="7">
        <f>(D23*$C$8/1000)-(D28*$C$13/1000)-(D29*$C$15/1000)</f>
        <v/>
      </c>
      <c r="E40" s="7">
        <f>(E23*$C$8/1000)-(E28*$C$13/1000)-(E29*$C$15/1000)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25"/>
  <sheetViews>
    <sheetView workbookViewId="0">
      <selection activeCell="A1" sqref="A1"/>
    </sheetView>
  </sheetViews>
  <sheetFormatPr baseColWidth="8" defaultRowHeight="15"/>
  <cols>
    <col width="55" customWidth="1" min="2" max="2"/>
    <col width="12" customWidth="1" min="3" max="3"/>
    <col width="12" customWidth="1" min="4" max="4"/>
    <col width="12" customWidth="1" min="5" max="5"/>
  </cols>
  <sheetData>
    <row r="2">
      <c r="B2" s="1" t="inlineStr">
        <is>
          <t>EBITDA margin expansion bridge (target ≥500 bps)</t>
        </is>
      </c>
    </row>
    <row r="4">
      <c r="B4" s="4" t="inlineStr">
        <is>
          <t>FY2025 baseline Revenue ($m)</t>
        </is>
      </c>
      <c r="C4" s="7">
        <f>'01_10K_Source'!E5</f>
        <v/>
      </c>
    </row>
    <row r="5">
      <c r="B5" s="4" t="inlineStr">
        <is>
          <t>FY2025 GAAP EBITDA proxy ($m)</t>
        </is>
      </c>
      <c r="C5" s="7">
        <f>'01_10K_Source'!E20</f>
        <v/>
      </c>
    </row>
    <row r="6">
      <c r="B6" s="4" t="inlineStr">
        <is>
          <t>Baseline EBITDA margin</t>
        </is>
      </c>
      <c r="C6" s="8">
        <f>C5/C4</f>
        <v/>
      </c>
    </row>
    <row r="7">
      <c r="B7" s="4" t="inlineStr">
        <is>
          <t>Target margin expansion (bps)</t>
        </is>
      </c>
      <c r="C7" s="10" t="n">
        <v>500</v>
      </c>
    </row>
    <row r="8">
      <c r="B8" s="4" t="inlineStr">
        <is>
          <t>Required incremental EBITDA ($m)</t>
        </is>
      </c>
      <c r="C8" s="7">
        <f>C4*C7/10000</f>
        <v/>
      </c>
    </row>
    <row r="10">
      <c r="B10" s="4" t="inlineStr">
        <is>
          <t>Year</t>
        </is>
      </c>
      <c r="C10" s="3" t="n">
        <v>2026</v>
      </c>
      <c r="D10" s="3" t="n">
        <v>2027</v>
      </c>
      <c r="E10" s="3" t="n">
        <v>2028</v>
      </c>
    </row>
    <row r="11">
      <c r="B11" s="4" t="inlineStr">
        <is>
          <t>Revenue (flat case for margin math)</t>
        </is>
      </c>
      <c r="C11" s="7">
        <f>$C$4</f>
        <v/>
      </c>
      <c r="D11" s="7">
        <f>$C$4</f>
        <v/>
      </c>
      <c r="E11" s="7">
        <f>$C$4</f>
        <v/>
      </c>
    </row>
    <row r="12">
      <c r="B12" s="4" t="inlineStr">
        <is>
          <t>Net EBITDA benefit from program</t>
        </is>
      </c>
      <c r="C12" s="7">
        <f>'03_Headcount_AI'!C39</f>
        <v/>
      </c>
      <c r="D12" s="7">
        <f>'03_Headcount_AI'!D39</f>
        <v/>
      </c>
      <c r="E12" s="7">
        <f>'03_Headcount_AI'!E39</f>
        <v/>
      </c>
    </row>
    <row r="13">
      <c r="B13" s="4" t="inlineStr">
        <is>
          <t>Run-rate benefit (ex one-time)</t>
        </is>
      </c>
      <c r="C13" s="7">
        <f>'03_Headcount_AI'!C40</f>
        <v/>
      </c>
      <c r="D13" s="7">
        <f>'03_Headcount_AI'!D40</f>
        <v/>
      </c>
      <c r="E13" s="7">
        <f>'03_Headcount_AI'!E40</f>
        <v/>
      </c>
    </row>
    <row r="14">
      <c r="B14" s="4" t="inlineStr">
        <is>
          <t>Pro forma EBITDA</t>
        </is>
      </c>
      <c r="C14" s="7">
        <f>$C$5+C12</f>
        <v/>
      </c>
      <c r="D14" s="7">
        <f>$C$5+D12</f>
        <v/>
      </c>
      <c r="E14" s="7">
        <f>$C$5+E12</f>
        <v/>
      </c>
    </row>
    <row r="15">
      <c r="B15" s="4" t="inlineStr">
        <is>
          <t>Pro forma EBITDA margin</t>
        </is>
      </c>
      <c r="C15" s="8">
        <f>C14/C11</f>
        <v/>
      </c>
      <c r="D15" s="8">
        <f>D14/D11</f>
        <v/>
      </c>
      <c r="E15" s="8">
        <f>E14/E11</f>
        <v/>
      </c>
    </row>
    <row r="16">
      <c r="B16" s="6" t="inlineStr">
        <is>
          <t>Margin expansion (bps)</t>
        </is>
      </c>
      <c r="C16" s="7">
        <f>(C15-$C$6)*10000</f>
        <v/>
      </c>
      <c r="D16" s="7">
        <f>(D15-$C$6)*10000</f>
        <v/>
      </c>
      <c r="E16" s="7">
        <f>(E15-$C$6)*10000</f>
        <v/>
      </c>
    </row>
    <row r="17">
      <c r="B17" s="6" t="inlineStr">
        <is>
          <t>Run-rate expansion (bps)</t>
        </is>
      </c>
      <c r="C17" s="7">
        <f>(C13/$C$4)*10000</f>
        <v/>
      </c>
      <c r="D17" s="7">
        <f>(D13/$C$4)*10000</f>
        <v/>
      </c>
      <c r="E17" s="7">
        <f>(E13/$C$4)*10000</f>
        <v/>
      </c>
    </row>
    <row r="18">
      <c r="B18" s="4" t="inlineStr">
        <is>
          <t>Hits ≥500 bps run-rate?</t>
        </is>
      </c>
      <c r="C18" s="16">
        <f>IF(C17&gt;=$C$7,"YES","NO")</f>
        <v/>
      </c>
      <c r="D18" s="16">
        <f>IF(D17&gt;=$C$7,"YES","NO")</f>
        <v/>
      </c>
      <c r="E18" s="16">
        <f>IF(E17&gt;=$C$7,"YES","NO")</f>
        <v/>
      </c>
    </row>
    <row r="20">
      <c r="B20" s="4" t="inlineStr">
        <is>
          <t>S&amp;M % revenue bridge</t>
        </is>
      </c>
    </row>
    <row r="21">
      <c r="B21" s="4" t="inlineStr">
        <is>
          <t>Baseline S&amp;M %</t>
        </is>
      </c>
      <c r="C21" s="8">
        <f>'02_SM_Isolation'!C6</f>
        <v/>
      </c>
    </row>
    <row r="22">
      <c r="B22" s="4" t="inlineStr">
        <is>
          <t>PF S&amp;M $ (baseline − SDR save + AI/oversight)</t>
        </is>
      </c>
      <c r="C22" s="7">
        <f>'01_10K_Source'!E6-'03_Headcount_AI'!C34+'03_Headcount_AI'!C35+'03_Headcount_AI'!C36</f>
        <v/>
      </c>
      <c r="D22" s="7">
        <f>'01_10K_Source'!E6-'03_Headcount_AI'!D34+'03_Headcount_AI'!D35+'03_Headcount_AI'!D36</f>
        <v/>
      </c>
      <c r="E22" s="7">
        <f>'01_10K_Source'!E6-'03_Headcount_AI'!E34+'03_Headcount_AI'!E35+'03_Headcount_AI'!E36</f>
        <v/>
      </c>
    </row>
    <row r="23">
      <c r="B23" s="4" t="inlineStr">
        <is>
          <t>PF S&amp;M % revenue</t>
        </is>
      </c>
      <c r="C23" s="8">
        <f>C22/$C$4</f>
        <v/>
      </c>
      <c r="D23" s="8">
        <f>D22/$C$4</f>
        <v/>
      </c>
      <c r="E23" s="8">
        <f>E22/$C$4</f>
        <v/>
      </c>
    </row>
    <row r="25">
      <c r="B25" t="inlineStr">
        <is>
          <t>Yellow cells on 03_Headcount_AI drive the bridge. Base case sized to clear 500 bps by Y3 run-rate: 40% of S&amp;M = outbound SDRs; 95% replaced; $155k/SDR vs $15k AI seat + oversight. 500 bps on $1,249.5m revenue needs ~$62.5m run-rate EBITDA.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20"/>
  <sheetViews>
    <sheetView workbookViewId="0">
      <selection activeCell="A1" sqref="A1"/>
    </sheetView>
  </sheetViews>
  <sheetFormatPr baseColWidth="8" defaultRowHeight="15"/>
  <cols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2">
      <c r="B2" s="1" t="inlineStr">
        <is>
          <t>Sensitivity — Y3 run-rate margin expansion (bps)</t>
        </is>
      </c>
    </row>
    <row r="3">
      <c r="B3" t="inlineStr">
        <is>
          <t>Rows = cumulative % SDRs replaced; Cols = AI $/seat-yr ($000s). Other inputs from 03_Headcount_AI.</t>
        </is>
      </c>
    </row>
    <row r="5">
      <c r="B5" s="4" t="inlineStr">
        <is>
          <t>SDR0</t>
        </is>
      </c>
      <c r="C5" s="11">
        <f>'03_Headcount_AI'!C7</f>
        <v/>
      </c>
    </row>
    <row r="6">
      <c r="B6" s="4" t="inlineStr">
        <is>
          <t>SDR cost $k</t>
        </is>
      </c>
      <c r="C6" s="7">
        <f>'03_Headcount_AI'!C8</f>
        <v/>
      </c>
    </row>
    <row r="7">
      <c r="B7" s="4" t="inlineStr">
        <is>
          <t>Seats/SDR</t>
        </is>
      </c>
      <c r="C7" s="17">
        <f>'03_Headcount_AI'!C12</f>
        <v/>
      </c>
    </row>
    <row r="8">
      <c r="B8" s="4" t="inlineStr">
        <is>
          <t>Oversight $k</t>
        </is>
      </c>
      <c r="C8" s="7">
        <f>'03_Headcount_AI'!C15</f>
        <v/>
      </c>
    </row>
    <row r="9">
      <c r="B9" s="4" t="inlineStr">
        <is>
          <t>Revenue $m</t>
        </is>
      </c>
      <c r="C9" s="7">
        <f>'01_10K_Source'!E5</f>
        <v/>
      </c>
    </row>
    <row r="11">
      <c r="B11" t="inlineStr">
        <is>
          <t>bps \ AI $k</t>
        </is>
      </c>
      <c r="C11" s="10" t="n">
        <v>8</v>
      </c>
      <c r="D11" s="10" t="n">
        <v>12</v>
      </c>
      <c r="E11" s="10" t="n">
        <v>18</v>
      </c>
      <c r="F11" s="10" t="n">
        <v>24</v>
      </c>
      <c r="G11" s="10" t="n">
        <v>30</v>
      </c>
      <c r="H11" s="10" t="n">
        <v>40</v>
      </c>
    </row>
    <row r="12">
      <c r="B12" s="15" t="n">
        <v>0.5</v>
      </c>
      <c r="C12" s="11">
        <f>(($C$5*0.5)*$C$6/1000-($C$5*0.5)*$C$7*8/1000-ROUNDUP(($C$5*0.5)*$C$7/20,0)*$C$8/1000)/$C$9*10000</f>
        <v/>
      </c>
      <c r="D12" s="11">
        <f>(($C$5*0.5)*$C$6/1000-($C$5*0.5)*$C$7*12/1000-ROUNDUP(($C$5*0.5)*$C$7/20,0)*$C$8/1000)/$C$9*10000</f>
        <v/>
      </c>
      <c r="E12" s="11">
        <f>(($C$5*0.5)*$C$6/1000-($C$5*0.5)*$C$7*18/1000-ROUNDUP(($C$5*0.5)*$C$7/20,0)*$C$8/1000)/$C$9*10000</f>
        <v/>
      </c>
      <c r="F12" s="11">
        <f>(($C$5*0.5)*$C$6/1000-($C$5*0.5)*$C$7*24/1000-ROUNDUP(($C$5*0.5)*$C$7/20,0)*$C$8/1000)/$C$9*10000</f>
        <v/>
      </c>
      <c r="G12" s="11">
        <f>(($C$5*0.5)*$C$6/1000-($C$5*0.5)*$C$7*30/1000-ROUNDUP(($C$5*0.5)*$C$7/20,0)*$C$8/1000)/$C$9*10000</f>
        <v/>
      </c>
      <c r="H12" s="11">
        <f>(($C$5*0.5)*$C$6/1000-($C$5*0.5)*$C$7*40/1000-ROUNDUP(($C$5*0.5)*$C$7/20,0)*$C$8/1000)/$C$9*10000</f>
        <v/>
      </c>
    </row>
    <row r="13">
      <c r="B13" s="15" t="n">
        <v>0.6</v>
      </c>
      <c r="C13" s="11">
        <f>(($C$5*0.6)*$C$6/1000-($C$5*0.6)*$C$7*8/1000-ROUNDUP(($C$5*0.6)*$C$7/20,0)*$C$8/1000)/$C$9*10000</f>
        <v/>
      </c>
      <c r="D13" s="11">
        <f>(($C$5*0.6)*$C$6/1000-($C$5*0.6)*$C$7*12/1000-ROUNDUP(($C$5*0.6)*$C$7/20,0)*$C$8/1000)/$C$9*10000</f>
        <v/>
      </c>
      <c r="E13" s="11">
        <f>(($C$5*0.6)*$C$6/1000-($C$5*0.6)*$C$7*18/1000-ROUNDUP(($C$5*0.6)*$C$7/20,0)*$C$8/1000)/$C$9*10000</f>
        <v/>
      </c>
      <c r="F13" s="11">
        <f>(($C$5*0.6)*$C$6/1000-($C$5*0.6)*$C$7*24/1000-ROUNDUP(($C$5*0.6)*$C$7/20,0)*$C$8/1000)/$C$9*10000</f>
        <v/>
      </c>
      <c r="G13" s="11">
        <f>(($C$5*0.6)*$C$6/1000-($C$5*0.6)*$C$7*30/1000-ROUNDUP(($C$5*0.6)*$C$7/20,0)*$C$8/1000)/$C$9*10000</f>
        <v/>
      </c>
      <c r="H13" s="11">
        <f>(($C$5*0.6)*$C$6/1000-($C$5*0.6)*$C$7*40/1000-ROUNDUP(($C$5*0.6)*$C$7/20,0)*$C$8/1000)/$C$9*10000</f>
        <v/>
      </c>
    </row>
    <row r="14">
      <c r="B14" s="15" t="n">
        <v>0.7</v>
      </c>
      <c r="C14" s="11">
        <f>(($C$5*0.7)*$C$6/1000-($C$5*0.7)*$C$7*8/1000-ROUNDUP(($C$5*0.7)*$C$7/20,0)*$C$8/1000)/$C$9*10000</f>
        <v/>
      </c>
      <c r="D14" s="11">
        <f>(($C$5*0.7)*$C$6/1000-($C$5*0.7)*$C$7*12/1000-ROUNDUP(($C$5*0.7)*$C$7/20,0)*$C$8/1000)/$C$9*10000</f>
        <v/>
      </c>
      <c r="E14" s="11">
        <f>(($C$5*0.7)*$C$6/1000-($C$5*0.7)*$C$7*18/1000-ROUNDUP(($C$5*0.7)*$C$7/20,0)*$C$8/1000)/$C$9*10000</f>
        <v/>
      </c>
      <c r="F14" s="11">
        <f>(($C$5*0.7)*$C$6/1000-($C$5*0.7)*$C$7*24/1000-ROUNDUP(($C$5*0.7)*$C$7/20,0)*$C$8/1000)/$C$9*10000</f>
        <v/>
      </c>
      <c r="G14" s="11">
        <f>(($C$5*0.7)*$C$6/1000-($C$5*0.7)*$C$7*30/1000-ROUNDUP(($C$5*0.7)*$C$7/20,0)*$C$8/1000)/$C$9*10000</f>
        <v/>
      </c>
      <c r="H14" s="11">
        <f>(($C$5*0.7)*$C$6/1000-($C$5*0.7)*$C$7*40/1000-ROUNDUP(($C$5*0.7)*$C$7/20,0)*$C$8/1000)/$C$9*10000</f>
        <v/>
      </c>
    </row>
    <row r="15">
      <c r="B15" s="15" t="n">
        <v>0.8</v>
      </c>
      <c r="C15" s="11">
        <f>(($C$5*0.8)*$C$6/1000-($C$5*0.8)*$C$7*8/1000-ROUNDUP(($C$5*0.8)*$C$7/20,0)*$C$8/1000)/$C$9*10000</f>
        <v/>
      </c>
      <c r="D15" s="11">
        <f>(($C$5*0.8)*$C$6/1000-($C$5*0.8)*$C$7*12/1000-ROUNDUP(($C$5*0.8)*$C$7/20,0)*$C$8/1000)/$C$9*10000</f>
        <v/>
      </c>
      <c r="E15" s="11">
        <f>(($C$5*0.8)*$C$6/1000-($C$5*0.8)*$C$7*18/1000-ROUNDUP(($C$5*0.8)*$C$7/20,0)*$C$8/1000)/$C$9*10000</f>
        <v/>
      </c>
      <c r="F15" s="11">
        <f>(($C$5*0.8)*$C$6/1000-($C$5*0.8)*$C$7*24/1000-ROUNDUP(($C$5*0.8)*$C$7/20,0)*$C$8/1000)/$C$9*10000</f>
        <v/>
      </c>
      <c r="G15" s="11">
        <f>(($C$5*0.8)*$C$6/1000-($C$5*0.8)*$C$7*30/1000-ROUNDUP(($C$5*0.8)*$C$7/20,0)*$C$8/1000)/$C$9*10000</f>
        <v/>
      </c>
      <c r="H15" s="11">
        <f>(($C$5*0.8)*$C$6/1000-($C$5*0.8)*$C$7*40/1000-ROUNDUP(($C$5*0.8)*$C$7/20,0)*$C$8/1000)/$C$9*10000</f>
        <v/>
      </c>
    </row>
    <row r="16">
      <c r="B16" s="15" t="n">
        <v>0.9</v>
      </c>
      <c r="C16" s="11">
        <f>(($C$5*0.9)*$C$6/1000-($C$5*0.9)*$C$7*8/1000-ROUNDUP(($C$5*0.9)*$C$7/20,0)*$C$8/1000)/$C$9*10000</f>
        <v/>
      </c>
      <c r="D16" s="11">
        <f>(($C$5*0.9)*$C$6/1000-($C$5*0.9)*$C$7*12/1000-ROUNDUP(($C$5*0.9)*$C$7/20,0)*$C$8/1000)/$C$9*10000</f>
        <v/>
      </c>
      <c r="E16" s="11">
        <f>(($C$5*0.9)*$C$6/1000-($C$5*0.9)*$C$7*18/1000-ROUNDUP(($C$5*0.9)*$C$7/20,0)*$C$8/1000)/$C$9*10000</f>
        <v/>
      </c>
      <c r="F16" s="11">
        <f>(($C$5*0.9)*$C$6/1000-($C$5*0.9)*$C$7*24/1000-ROUNDUP(($C$5*0.9)*$C$7/20,0)*$C$8/1000)/$C$9*10000</f>
        <v/>
      </c>
      <c r="G16" s="11">
        <f>(($C$5*0.9)*$C$6/1000-($C$5*0.9)*$C$7*30/1000-ROUNDUP(($C$5*0.9)*$C$7/20,0)*$C$8/1000)/$C$9*10000</f>
        <v/>
      </c>
      <c r="H16" s="11">
        <f>(($C$5*0.9)*$C$6/1000-($C$5*0.9)*$C$7*40/1000-ROUNDUP(($C$5*0.9)*$C$7/20,0)*$C$8/1000)/$C$9*10000</f>
        <v/>
      </c>
    </row>
    <row r="17">
      <c r="B17" s="15" t="n">
        <v>1</v>
      </c>
      <c r="C17" s="11">
        <f>(($C$5*1.0)*$C$6/1000-($C$5*1.0)*$C$7*8/1000-ROUNDUP(($C$5*1.0)*$C$7/20,0)*$C$8/1000)/$C$9*10000</f>
        <v/>
      </c>
      <c r="D17" s="11">
        <f>(($C$5*1.0)*$C$6/1000-($C$5*1.0)*$C$7*12/1000-ROUNDUP(($C$5*1.0)*$C$7/20,0)*$C$8/1000)/$C$9*10000</f>
        <v/>
      </c>
      <c r="E17" s="11">
        <f>(($C$5*1.0)*$C$6/1000-($C$5*1.0)*$C$7*18/1000-ROUNDUP(($C$5*1.0)*$C$7/20,0)*$C$8/1000)/$C$9*10000</f>
        <v/>
      </c>
      <c r="F17" s="11">
        <f>(($C$5*1.0)*$C$6/1000-($C$5*1.0)*$C$7*24/1000-ROUNDUP(($C$5*1.0)*$C$7/20,0)*$C$8/1000)/$C$9*10000</f>
        <v/>
      </c>
      <c r="G17" s="11">
        <f>(($C$5*1.0)*$C$6/1000-($C$5*1.0)*$C$7*30/1000-ROUNDUP(($C$5*1.0)*$C$7/20,0)*$C$8/1000)/$C$9*10000</f>
        <v/>
      </c>
      <c r="H17" s="11">
        <f>(($C$5*1.0)*$C$6/1000-($C$5*1.0)*$C$7*40/1000-ROUNDUP(($C$5*1.0)*$C$7/20,0)*$C$8/1000)/$C$9*10000</f>
        <v/>
      </c>
    </row>
    <row r="20">
      <c r="B20" s="4" t="inlineStr">
        <is>
          <t>Base case Y3 run-rate bps (from bridge)</t>
        </is>
      </c>
      <c r="C20" s="7">
        <f>'04_EBITDA_Bridge'!E17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2026-08-13T20:06:10Z</dcterms:created>
  <dcterms:modified xsi:type="dcterms:W3CDTF">2026-08-13T20:06:10Z</dcterms:modified>
</cp:coreProperties>
</file>