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G:\Shared drives\Website Content\Marketplace\Finance\"/>
    </mc:Choice>
  </mc:AlternateContent>
  <xr:revisionPtr revIDLastSave="0" documentId="13_ncr:1_{3CA6155B-11AD-470E-BD8E-40A78DFE416F}" xr6:coauthVersionLast="45" xr6:coauthVersionMax="45" xr10:uidLastSave="{00000000-0000-0000-0000-000000000000}"/>
  <bookViews>
    <workbookView xWindow="-110" yWindow="-110" windowWidth="38620" windowHeight="21220" xr2:uid="{00000000-000D-0000-FFFF-FFFF00000000}"/>
  </bookViews>
  <sheets>
    <sheet name="Cover Page" sheetId="2" r:id="rId1"/>
    <sheet name="Debt Capacity Model" sheetId="1" r:id="rId2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'Cover Page'!$A$1:$P$27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7" i="1" l="1"/>
  <c r="E16" i="1"/>
  <c r="E18" i="1" s="1"/>
  <c r="C12" i="2" l="1"/>
  <c r="F26" i="1"/>
  <c r="F25" i="1"/>
  <c r="F24" i="1"/>
  <c r="F23" i="1"/>
  <c r="F22" i="1"/>
  <c r="F21" i="1"/>
  <c r="F28" i="1" l="1"/>
  <c r="F27" i="1"/>
  <c r="E8" i="1" l="1"/>
</calcChain>
</file>

<file path=xl/sharedStrings.xml><?xml version="1.0" encoding="utf-8"?>
<sst xmlns="http://schemas.openxmlformats.org/spreadsheetml/2006/main" count="43" uniqueCount="40">
  <si>
    <t>© Corporate Finance Institute®. All rights reserved.</t>
  </si>
  <si>
    <t>Debt Capacity Model</t>
  </si>
  <si>
    <t>Current Debt</t>
  </si>
  <si>
    <t>Current Cash</t>
  </si>
  <si>
    <t>Debt Capacity</t>
  </si>
  <si>
    <t>Covenants</t>
  </si>
  <si>
    <t>Maximum</t>
  </si>
  <si>
    <t>Total Debt/EBITDA</t>
  </si>
  <si>
    <t>Net Debt/EBITDA</t>
  </si>
  <si>
    <t>Interest Coverage (EBIT / Interest)</t>
  </si>
  <si>
    <t>Total Debt</t>
  </si>
  <si>
    <t>EBIT</t>
  </si>
  <si>
    <t>EBITDA</t>
  </si>
  <si>
    <t>EBITDA - Capex</t>
  </si>
  <si>
    <t>EBITDA - Capex - Cash Taxes</t>
  </si>
  <si>
    <t>Interest Rate (% of Total Debt)</t>
  </si>
  <si>
    <t>Min</t>
  </si>
  <si>
    <t>Average</t>
  </si>
  <si>
    <t>This file is for educational purposes only. E&amp;OE</t>
  </si>
  <si>
    <t xml:space="preserve">Corporate Finance Institute® </t>
  </si>
  <si>
    <t>https://corporatefinanceinstitute.com/</t>
  </si>
  <si>
    <t>Strictly Confidential</t>
  </si>
  <si>
    <t>Table of Contents</t>
  </si>
  <si>
    <t>Notes</t>
  </si>
  <si>
    <t>This Excel model is for educational purposes only and should not be used for any other reason.</t>
  </si>
  <si>
    <t>All content is Copyright material of CFI Education Inc.</t>
  </si>
  <si>
    <t>Revenue</t>
  </si>
  <si>
    <t>Gross Margin</t>
  </si>
  <si>
    <t>Capex</t>
  </si>
  <si>
    <t>Taxes (% of EBIT)</t>
  </si>
  <si>
    <t>Depreciation (% of EBITDA)</t>
  </si>
  <si>
    <t xml:space="preserve"> </t>
  </si>
  <si>
    <t>© 2019 CFI Education Inc.</t>
  </si>
  <si>
    <t xml:space="preserve">All rights reserved.  The contents of this publication, including but not limited to all written material, content layout, images, formulas, and code, are protected under international copyright and trademark laws.  </t>
  </si>
  <si>
    <t xml:space="preserve">No part of this publication may be modified, manipulated, reproduced, distributed, or transmitted in any form by any means, including photocopying, recording, or other electronic or mechanical methods, </t>
  </si>
  <si>
    <t>without prior written permission of the publisher, except in the case of certain noncommercial uses permitted by copyright law.</t>
  </si>
  <si>
    <t>Principal Repayments (% of Total Debt)</t>
  </si>
  <si>
    <t>Debt Service Coverage (EBITDA) / (Interest + Principal)</t>
  </si>
  <si>
    <t>Debt Service Coverage (EBITDA - Capex) / (Interest + Principal)</t>
  </si>
  <si>
    <t>Fixed Charge Coverage (EBITDA - Capex - Taxes ) / (Interest + Principal)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</si>
</sst>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_-;\(#,##0\)_-;_-* &quot;-&quot;_-;_-@_-"/>
    <numFmt numFmtId="166" formatCode="0.0\x"/>
    <numFmt numFmtId="167" formatCode="_(* #,##0_);_(* \(#,##0\);_(* &quot;-&quot;??_);_(@_)"/>
    <numFmt numFmtId="168" formatCode="_(* #,##0_);_(* \(#,##0\);_(* &quot;-&quot;?_);_(@_)"/>
    <numFmt numFmtId="169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0"/>
      <name val="Arial Narrow"/>
      <family val="2"/>
    </font>
    <font>
      <b/>
      <sz val="14"/>
      <color theme="0"/>
      <name val="Arial Narrow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0000FF"/>
      <name val="Arial Narrow"/>
      <family val="2"/>
    </font>
    <font>
      <b/>
      <sz val="11"/>
      <color theme="0"/>
      <name val="Arial Narrow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Arial Narrow"/>
      <family val="2"/>
    </font>
    <font>
      <u/>
      <sz val="11"/>
      <color rgb="FF0070C0"/>
      <name val="Arial Narrow"/>
      <family val="2"/>
    </font>
    <font>
      <b/>
      <sz val="22"/>
      <color theme="1"/>
      <name val="Arial Narrow"/>
      <family val="2"/>
    </font>
    <font>
      <u/>
      <sz val="11"/>
      <color rgb="FF0000FF"/>
      <name val="Arial Narrow"/>
      <family val="2"/>
    </font>
    <font>
      <u/>
      <sz val="10"/>
      <color theme="10"/>
      <name val="Arial"/>
      <family val="2"/>
    </font>
    <font>
      <u/>
      <sz val="10"/>
      <color rgb="FF132E57"/>
      <name val="Arial"/>
      <family val="2"/>
    </font>
    <font>
      <u/>
      <sz val="10"/>
      <color theme="1"/>
      <name val="Arial"/>
      <family val="2"/>
    </font>
    <font>
      <sz val="11"/>
      <name val="Arial Narrow"/>
      <family val="2"/>
    </font>
    <font>
      <sz val="11"/>
      <color theme="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</cellStyleXfs>
  <cellXfs count="52">
    <xf numFmtId="0" fontId="0" fillId="0" borderId="0" xfId="0"/>
    <xf numFmtId="165" fontId="2" fillId="2" borderId="0" xfId="1" applyNumberFormat="1" applyFont="1" applyFill="1"/>
    <xf numFmtId="165" fontId="3" fillId="2" borderId="0" xfId="1" applyNumberFormat="1" applyFont="1" applyFill="1"/>
    <xf numFmtId="0" fontId="3" fillId="2" borderId="0" xfId="0" applyFont="1" applyFill="1" applyAlignment="1">
      <alignment vertical="center"/>
    </xf>
    <xf numFmtId="0" fontId="3" fillId="2" borderId="0" xfId="0" applyFont="1" applyFill="1"/>
    <xf numFmtId="165" fontId="4" fillId="2" borderId="0" xfId="1" applyNumberFormat="1" applyFont="1" applyFill="1"/>
    <xf numFmtId="0" fontId="5" fillId="0" borderId="0" xfId="0" applyFont="1"/>
    <xf numFmtId="0" fontId="6" fillId="0" borderId="0" xfId="0" applyFont="1" applyAlignment="1">
      <alignment horizontal="right"/>
    </xf>
    <xf numFmtId="166" fontId="7" fillId="0" borderId="0" xfId="0" applyNumberFormat="1" applyFont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167" fontId="5" fillId="0" borderId="0" xfId="1" applyNumberFormat="1" applyFont="1"/>
    <xf numFmtId="167" fontId="8" fillId="3" borderId="0" xfId="1" applyNumberFormat="1" applyFont="1" applyFill="1"/>
    <xf numFmtId="167" fontId="8" fillId="0" borderId="0" xfId="1" applyNumberFormat="1" applyFont="1" applyFill="1"/>
    <xf numFmtId="0" fontId="5" fillId="0" borderId="0" xfId="0" applyFont="1" applyFill="1"/>
    <xf numFmtId="167" fontId="7" fillId="0" borderId="0" xfId="1" applyNumberFormat="1" applyFont="1"/>
    <xf numFmtId="167" fontId="7" fillId="0" borderId="0" xfId="1" applyNumberFormat="1" applyFont="1" applyFill="1"/>
    <xf numFmtId="168" fontId="5" fillId="0" borderId="0" xfId="0" applyNumberFormat="1" applyFont="1"/>
    <xf numFmtId="169" fontId="7" fillId="0" borderId="0" xfId="0" applyNumberFormat="1" applyFont="1" applyFill="1"/>
    <xf numFmtId="169" fontId="7" fillId="0" borderId="0" xfId="2" applyNumberFormat="1" applyFont="1"/>
    <xf numFmtId="0" fontId="5" fillId="0" borderId="1" xfId="0" applyFont="1" applyBorder="1"/>
    <xf numFmtId="166" fontId="7" fillId="0" borderId="1" xfId="0" applyNumberFormat="1" applyFont="1" applyBorder="1"/>
    <xf numFmtId="168" fontId="5" fillId="0" borderId="1" xfId="0" applyNumberFormat="1" applyFont="1" applyBorder="1"/>
    <xf numFmtId="168" fontId="6" fillId="0" borderId="0" xfId="0" applyNumberFormat="1" applyFont="1"/>
    <xf numFmtId="0" fontId="5" fillId="0" borderId="0" xfId="0" applyFont="1" applyAlignment="1">
      <alignment horizontal="left"/>
    </xf>
    <xf numFmtId="0" fontId="5" fillId="0" borderId="2" xfId="0" applyFont="1" applyBorder="1"/>
    <xf numFmtId="0" fontId="6" fillId="0" borderId="3" xfId="0" applyFont="1" applyBorder="1"/>
    <xf numFmtId="0" fontId="10" fillId="0" borderId="0" xfId="0" applyFont="1"/>
    <xf numFmtId="0" fontId="4" fillId="0" borderId="0" xfId="0" applyFont="1"/>
    <xf numFmtId="0" fontId="11" fillId="0" borderId="0" xfId="0" applyFont="1" applyAlignment="1">
      <alignment horizontal="left"/>
    </xf>
    <xf numFmtId="165" fontId="5" fillId="0" borderId="0" xfId="1" applyNumberFormat="1" applyFont="1"/>
    <xf numFmtId="0" fontId="12" fillId="0" borderId="0" xfId="4" applyFont="1" applyAlignment="1">
      <alignment horizontal="left"/>
    </xf>
    <xf numFmtId="0" fontId="5" fillId="5" borderId="0" xfId="5" applyFont="1" applyFill="1"/>
    <xf numFmtId="0" fontId="5" fillId="0" borderId="0" xfId="5" applyFont="1" applyFill="1" applyBorder="1"/>
    <xf numFmtId="0" fontId="13" fillId="0" borderId="0" xfId="5" applyFont="1" applyFill="1" applyBorder="1" applyProtection="1">
      <protection locked="0"/>
    </xf>
    <xf numFmtId="0" fontId="6" fillId="0" borderId="0" xfId="5" applyFont="1" applyFill="1" applyBorder="1" applyAlignment="1">
      <alignment horizontal="right"/>
    </xf>
    <xf numFmtId="0" fontId="5" fillId="0" borderId="0" xfId="5" applyFont="1" applyFill="1" applyBorder="1" applyProtection="1">
      <protection locked="0"/>
    </xf>
    <xf numFmtId="0" fontId="6" fillId="0" borderId="0" xfId="5" applyFont="1" applyFill="1" applyBorder="1" applyProtection="1">
      <protection locked="0"/>
    </xf>
    <xf numFmtId="0" fontId="14" fillId="0" borderId="5" xfId="3" applyFont="1" applyFill="1" applyBorder="1" applyProtection="1">
      <protection locked="0"/>
    </xf>
    <xf numFmtId="0" fontId="16" fillId="0" borderId="0" xfId="6" applyFont="1" applyFill="1" applyBorder="1" applyProtection="1">
      <protection locked="0"/>
    </xf>
    <xf numFmtId="0" fontId="8" fillId="4" borderId="4" xfId="0" applyFont="1" applyFill="1" applyBorder="1" applyAlignment="1">
      <alignment horizontal="center"/>
    </xf>
    <xf numFmtId="169" fontId="7" fillId="0" borderId="0" xfId="2" applyNumberFormat="1" applyFont="1" applyFill="1"/>
    <xf numFmtId="167" fontId="7" fillId="0" borderId="0" xfId="0" applyNumberFormat="1" applyFont="1"/>
    <xf numFmtId="167" fontId="18" fillId="0" borderId="0" xfId="1" applyNumberFormat="1" applyFont="1" applyFill="1"/>
    <xf numFmtId="0" fontId="5" fillId="5" borderId="0" xfId="7" applyFont="1" applyFill="1"/>
    <xf numFmtId="0" fontId="5" fillId="0" borderId="0" xfId="7" applyFont="1" applyFill="1" applyBorder="1"/>
    <xf numFmtId="0" fontId="5" fillId="0" borderId="5" xfId="7" applyFont="1" applyFill="1" applyBorder="1"/>
    <xf numFmtId="0" fontId="17" fillId="0" borderId="0" xfId="8" applyFont="1" applyFill="1" applyBorder="1"/>
    <xf numFmtId="0" fontId="19" fillId="2" borderId="0" xfId="7" applyFont="1" applyFill="1" applyBorder="1"/>
    <xf numFmtId="0" fontId="5" fillId="2" borderId="0" xfId="7" applyFont="1" applyFill="1" applyBorder="1"/>
    <xf numFmtId="0" fontId="5" fillId="6" borderId="0" xfId="7" applyFont="1" applyFill="1"/>
    <xf numFmtId="0" fontId="19" fillId="2" borderId="0" xfId="7" applyFont="1" applyFill="1"/>
  </cellXfs>
  <cellStyles count="9">
    <cellStyle name="Comma" xfId="1" builtinId="3"/>
    <cellStyle name="Hyperlink" xfId="3" builtinId="8"/>
    <cellStyle name="Hyperlink 2" xfId="6" xr:uid="{00000000-0005-0000-0000-000002000000}"/>
    <cellStyle name="Hyperlink 2 2" xfId="8" xr:uid="{C52C4F9E-B1DA-4B57-BC62-D6B374BF57A6}"/>
    <cellStyle name="Hyperlink 3" xfId="4" xr:uid="{00000000-0005-0000-0000-000003000000}"/>
    <cellStyle name="Normal" xfId="0" builtinId="0"/>
    <cellStyle name="Normal 2" xfId="5" xr:uid="{00000000-0005-0000-0000-000005000000}"/>
    <cellStyle name="Normal 2 2 2" xfId="7" xr:uid="{D00361D6-BD25-438C-9827-9DE9F2A541DC}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https://corporatefinanceinstitute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714374</xdr:colOff>
      <xdr:row>3</xdr:row>
      <xdr:rowOff>19050</xdr:rowOff>
    </xdr:from>
    <xdr:to>
      <xdr:col>4</xdr:col>
      <xdr:colOff>181132</xdr:colOff>
      <xdr:row>9</xdr:row>
      <xdr:rowOff>114300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9A0EF2-674E-45FD-BB80-26617C5DF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799" y="762000"/>
          <a:ext cx="3359943" cy="1581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107951</xdr:colOff>
      <xdr:row>5</xdr:row>
      <xdr:rowOff>129313</xdr:rowOff>
    </xdr:from>
    <xdr:to>
      <xdr:col>11</xdr:col>
      <xdr:colOff>260349</xdr:colOff>
      <xdr:row>9</xdr:row>
      <xdr:rowOff>112030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B9E774-326A-4B44-B1A6-3609442C5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52526" y="1500913"/>
          <a:ext cx="761998" cy="820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corporatefinanceinstitu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6"/>
  <sheetViews>
    <sheetView showGridLines="0" tabSelected="1" zoomScaleNormal="100" workbookViewId="0"/>
  </sheetViews>
  <sheetFormatPr defaultColWidth="10.453125" defaultRowHeight="14" x14ac:dyDescent="0.3"/>
  <cols>
    <col min="1" max="1" width="11" style="32" customWidth="1"/>
    <col min="2" max="2" width="12.54296875" style="32" customWidth="1"/>
    <col min="3" max="3" width="33.36328125" style="32" customWidth="1"/>
    <col min="4" max="16" width="12.54296875" style="32" customWidth="1"/>
    <col min="17" max="22" width="11" style="32" customWidth="1"/>
    <col min="23" max="25" width="10.453125" style="32"/>
    <col min="26" max="26" width="9.08984375" style="32" customWidth="1"/>
    <col min="27" max="16384" width="10.453125" style="32"/>
  </cols>
  <sheetData>
    <row r="1" spans="2:15" ht="19.5" customHeight="1" x14ac:dyDescent="0.3"/>
    <row r="2" spans="2:15" ht="19.5" customHeight="1" x14ac:dyDescent="0.3"/>
    <row r="3" spans="2:15" ht="19.5" customHeight="1" x14ac:dyDescent="0.3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2:15" ht="19.5" customHeight="1" x14ac:dyDescent="0.3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spans="2:15" ht="19.5" customHeight="1" x14ac:dyDescent="0.3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2:15" ht="19.5" customHeight="1" x14ac:dyDescent="0.3"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2:15" ht="19.5" customHeight="1" x14ac:dyDescent="0.3"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2:15" ht="19.5" customHeight="1" x14ac:dyDescent="0.3"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spans="2:15" ht="19.5" customHeight="1" x14ac:dyDescent="0.3"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</row>
    <row r="10" spans="2:15" ht="19.5" customHeight="1" x14ac:dyDescent="0.3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</row>
    <row r="11" spans="2:15" ht="19.5" customHeight="1" x14ac:dyDescent="0.3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spans="2:15" ht="27" x14ac:dyDescent="0.5">
      <c r="B12" s="33"/>
      <c r="C12" s="34" t="str">
        <f>'Debt Capacity Model'!B2</f>
        <v>Debt Capacity Model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5" t="s">
        <v>21</v>
      </c>
      <c r="O12" s="33"/>
    </row>
    <row r="13" spans="2:15" ht="19.5" customHeight="1" x14ac:dyDescent="0.3">
      <c r="B13" s="33"/>
      <c r="C13" s="36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</row>
    <row r="14" spans="2:15" ht="19.5" customHeight="1" x14ac:dyDescent="0.3">
      <c r="B14" s="33"/>
      <c r="C14" s="37" t="s">
        <v>22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</row>
    <row r="15" spans="2:15" ht="19.5" customHeight="1" x14ac:dyDescent="0.3">
      <c r="B15" s="33"/>
      <c r="C15" s="38" t="s">
        <v>1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</row>
    <row r="16" spans="2:15" ht="19.5" customHeight="1" x14ac:dyDescent="0.3">
      <c r="B16" s="33"/>
      <c r="C16" s="39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</row>
    <row r="17" spans="2:15" ht="19.5" customHeight="1" x14ac:dyDescent="0.3">
      <c r="B17" s="33"/>
      <c r="C17" s="39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</row>
    <row r="18" spans="2:15" ht="19.5" customHeight="1" x14ac:dyDescent="0.3">
      <c r="B18" s="33"/>
      <c r="C18" s="39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</row>
    <row r="19" spans="2:15" s="44" customFormat="1" ht="19.5" customHeight="1" x14ac:dyDescent="0.3">
      <c r="B19" s="45"/>
      <c r="C19" s="45" t="s">
        <v>23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</row>
    <row r="20" spans="2:15" s="44" customFormat="1" ht="19.5" customHeight="1" x14ac:dyDescent="0.3">
      <c r="B20" s="45"/>
      <c r="C20" s="46" t="s">
        <v>24</v>
      </c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5"/>
    </row>
    <row r="21" spans="2:15" s="44" customFormat="1" ht="19.5" customHeight="1" x14ac:dyDescent="0.3">
      <c r="B21" s="45"/>
      <c r="C21" s="45" t="s">
        <v>25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</row>
    <row r="22" spans="2:15" s="44" customFormat="1" ht="19.5" customHeight="1" x14ac:dyDescent="0.3">
      <c r="B22" s="45"/>
      <c r="C22" s="47" t="s">
        <v>20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</row>
    <row r="23" spans="2:15" s="44" customFormat="1" ht="19.5" customHeight="1" x14ac:dyDescent="0.3">
      <c r="B23" s="45"/>
      <c r="C23" s="47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</row>
    <row r="24" spans="2:15" s="44" customFormat="1" ht="19.5" customHeight="1" x14ac:dyDescent="0.3">
      <c r="B24" s="45"/>
      <c r="C24" s="48" t="s">
        <v>32</v>
      </c>
      <c r="D24" s="48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5"/>
    </row>
    <row r="25" spans="2:15" s="44" customFormat="1" ht="19.5" customHeight="1" x14ac:dyDescent="0.3">
      <c r="B25" s="50"/>
      <c r="C25" s="51" t="s">
        <v>33</v>
      </c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0"/>
    </row>
    <row r="26" spans="2:15" s="44" customFormat="1" ht="19.5" customHeight="1" x14ac:dyDescent="0.3">
      <c r="B26" s="50"/>
      <c r="C26" s="51" t="s">
        <v>34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0"/>
    </row>
    <row r="27" spans="2:15" s="44" customFormat="1" ht="19.5" customHeight="1" x14ac:dyDescent="0.3">
      <c r="B27" s="50"/>
      <c r="C27" s="51" t="s">
        <v>35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0"/>
    </row>
    <row r="28" spans="2:15" s="44" customFormat="1" ht="19.5" customHeight="1" x14ac:dyDescent="0.3">
      <c r="B28" s="50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0"/>
    </row>
    <row r="29" spans="2:15" s="44" customFormat="1" ht="19.5" customHeight="1" x14ac:dyDescent="0.3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</row>
    <row r="30" spans="2:15" ht="19.5" customHeight="1" x14ac:dyDescent="0.3"/>
    <row r="31" spans="2:15" ht="19.5" customHeight="1" x14ac:dyDescent="0.3"/>
    <row r="32" spans="2:15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</sheetData>
  <hyperlinks>
    <hyperlink ref="C15" location="'Debt Capacity Model'!A1" display="Debt Capacity Model" xr:uid="{00000000-0004-0000-0000-000001000000}"/>
    <hyperlink ref="C22" r:id="rId1" xr:uid="{FE0B20FE-8AB9-47F7-B930-8D74BB550604}"/>
  </hyperlinks>
  <pageMargins left="0.7" right="0.7" top="0.75" bottom="0.75" header="0.3" footer="0.3"/>
  <pageSetup scale="6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2"/>
  <sheetViews>
    <sheetView showGridLines="0" workbookViewId="0"/>
  </sheetViews>
  <sheetFormatPr defaultColWidth="9.08984375" defaultRowHeight="14" x14ac:dyDescent="0.3"/>
  <cols>
    <col min="1" max="1" width="4.453125" style="6" customWidth="1"/>
    <col min="2" max="2" width="32.36328125" style="6" customWidth="1"/>
    <col min="3" max="3" width="12.90625" style="6" customWidth="1"/>
    <col min="4" max="4" width="15.6328125" style="6" customWidth="1"/>
    <col min="5" max="6" width="18.54296875" style="6" customWidth="1"/>
    <col min="7" max="16384" width="9.08984375" style="6"/>
  </cols>
  <sheetData>
    <row r="1" spans="1:14" ht="14.5" x14ac:dyDescent="0.35">
      <c r="A1" s="1" t="s">
        <v>0</v>
      </c>
      <c r="B1" s="1"/>
      <c r="C1" s="1"/>
      <c r="D1" s="5"/>
      <c r="E1" s="5"/>
      <c r="F1" s="5"/>
      <c r="G1"/>
      <c r="H1"/>
      <c r="I1"/>
    </row>
    <row r="2" spans="1:14" ht="18" x14ac:dyDescent="0.4">
      <c r="A2" s="1"/>
      <c r="B2" s="2" t="s">
        <v>1</v>
      </c>
      <c r="C2" s="2"/>
      <c r="D2" s="3"/>
      <c r="E2" s="4"/>
      <c r="F2" s="4"/>
      <c r="G2"/>
      <c r="H2"/>
      <c r="I2"/>
    </row>
    <row r="4" spans="1:14" x14ac:dyDescent="0.3">
      <c r="B4" s="6" t="s">
        <v>2</v>
      </c>
      <c r="E4" s="15">
        <v>30000</v>
      </c>
      <c r="K4" s="28"/>
      <c r="L4" s="28"/>
      <c r="M4" s="28"/>
    </row>
    <row r="5" spans="1:14" x14ac:dyDescent="0.3">
      <c r="B5" s="6" t="s">
        <v>36</v>
      </c>
      <c r="E5" s="19">
        <v>7.0000000000000007E-2</v>
      </c>
      <c r="K5" s="29" t="s">
        <v>18</v>
      </c>
      <c r="L5" s="30"/>
    </row>
    <row r="6" spans="1:14" x14ac:dyDescent="0.3">
      <c r="B6" s="6" t="s">
        <v>15</v>
      </c>
      <c r="E6" s="18">
        <v>0.05</v>
      </c>
      <c r="L6" s="30"/>
    </row>
    <row r="7" spans="1:14" x14ac:dyDescent="0.3">
      <c r="B7" s="6" t="s">
        <v>3</v>
      </c>
      <c r="C7" s="25"/>
      <c r="E7" s="15">
        <v>8000</v>
      </c>
      <c r="L7" s="30"/>
    </row>
    <row r="8" spans="1:14" x14ac:dyDescent="0.3">
      <c r="B8" s="26" t="s">
        <v>4</v>
      </c>
      <c r="C8" s="40" t="s">
        <v>16</v>
      </c>
      <c r="E8" s="12">
        <f>IF(C8=E27,F27-E4,IF(C8=E28,F28-E4,""))</f>
        <v>54635.416666666657</v>
      </c>
      <c r="L8" s="30"/>
    </row>
    <row r="9" spans="1:14" x14ac:dyDescent="0.3">
      <c r="E9" s="13"/>
      <c r="L9" s="30"/>
    </row>
    <row r="10" spans="1:14" x14ac:dyDescent="0.3">
      <c r="B10" s="6" t="s">
        <v>26</v>
      </c>
      <c r="E10" s="16">
        <v>83100</v>
      </c>
      <c r="L10" s="30"/>
    </row>
    <row r="11" spans="1:14" x14ac:dyDescent="0.3">
      <c r="B11" s="6" t="s">
        <v>27</v>
      </c>
      <c r="E11" s="16">
        <v>49860</v>
      </c>
      <c r="K11" s="24" t="s">
        <v>19</v>
      </c>
      <c r="L11" s="30"/>
    </row>
    <row r="12" spans="1:14" x14ac:dyDescent="0.3">
      <c r="B12" s="6" t="s">
        <v>12</v>
      </c>
      <c r="E12" s="16">
        <v>32500</v>
      </c>
      <c r="K12" s="31" t="s">
        <v>20</v>
      </c>
      <c r="L12" s="30"/>
    </row>
    <row r="13" spans="1:14" x14ac:dyDescent="0.3">
      <c r="B13" s="6" t="s">
        <v>30</v>
      </c>
      <c r="E13" s="41">
        <v>0.2</v>
      </c>
      <c r="L13" s="30"/>
    </row>
    <row r="14" spans="1:14" x14ac:dyDescent="0.3">
      <c r="B14" s="6" t="s">
        <v>29</v>
      </c>
      <c r="E14" s="41">
        <v>0.25</v>
      </c>
      <c r="K14" s="24"/>
      <c r="L14" s="30"/>
    </row>
    <row r="15" spans="1:14" x14ac:dyDescent="0.3">
      <c r="B15" s="6" t="s">
        <v>28</v>
      </c>
      <c r="E15" s="42">
        <v>7530</v>
      </c>
      <c r="K15" s="24"/>
      <c r="L15" s="30"/>
      <c r="N15" s="6" t="s">
        <v>31</v>
      </c>
    </row>
    <row r="16" spans="1:14" x14ac:dyDescent="0.3">
      <c r="B16" s="6" t="s">
        <v>11</v>
      </c>
      <c r="E16" s="43">
        <f>E12*(1-E13)</f>
        <v>26000</v>
      </c>
      <c r="K16" s="24"/>
      <c r="L16" s="30"/>
    </row>
    <row r="17" spans="2:13" x14ac:dyDescent="0.3">
      <c r="B17" s="6" t="s">
        <v>13</v>
      </c>
      <c r="E17" s="43">
        <f>E12-E15</f>
        <v>24970</v>
      </c>
      <c r="K17" s="24"/>
      <c r="L17" s="30"/>
    </row>
    <row r="18" spans="2:13" x14ac:dyDescent="0.3">
      <c r="B18" s="6" t="s">
        <v>14</v>
      </c>
      <c r="E18" s="43">
        <f>E12*(1-E13)-E16*E14</f>
        <v>19500</v>
      </c>
      <c r="L18" s="30"/>
    </row>
    <row r="19" spans="2:13" x14ac:dyDescent="0.3">
      <c r="D19" s="14"/>
      <c r="K19" s="28"/>
      <c r="L19" s="28"/>
      <c r="M19" s="28"/>
    </row>
    <row r="20" spans="2:13" x14ac:dyDescent="0.3">
      <c r="B20" s="9" t="s">
        <v>5</v>
      </c>
      <c r="C20" s="9"/>
      <c r="D20" s="9"/>
      <c r="E20" s="10" t="s">
        <v>6</v>
      </c>
      <c r="F20" s="10" t="s">
        <v>10</v>
      </c>
      <c r="K20" s="27"/>
      <c r="L20" s="27"/>
      <c r="M20" s="27"/>
    </row>
    <row r="21" spans="2:13" ht="14.5" x14ac:dyDescent="0.35">
      <c r="B21" s="6" t="s">
        <v>7</v>
      </c>
      <c r="E21" s="8">
        <v>3</v>
      </c>
      <c r="F21" s="17">
        <f>E21*E12</f>
        <v>97500</v>
      </c>
      <c r="G21"/>
      <c r="H21"/>
      <c r="I21"/>
    </row>
    <row r="22" spans="2:13" x14ac:dyDescent="0.3">
      <c r="B22" s="6" t="s">
        <v>8</v>
      </c>
      <c r="E22" s="8">
        <v>2.6</v>
      </c>
      <c r="F22" s="17">
        <f>E22*E12+E7</f>
        <v>92500</v>
      </c>
    </row>
    <row r="23" spans="2:13" x14ac:dyDescent="0.3">
      <c r="B23" s="6" t="s">
        <v>9</v>
      </c>
      <c r="E23" s="8">
        <v>4</v>
      </c>
      <c r="F23" s="11">
        <f>E16/E23/E6</f>
        <v>130000</v>
      </c>
    </row>
    <row r="24" spans="2:13" x14ac:dyDescent="0.3">
      <c r="B24" s="6" t="s">
        <v>37</v>
      </c>
      <c r="E24" s="8">
        <v>3.2</v>
      </c>
      <c r="F24" s="17">
        <f>E12/E24/(E5+E6)</f>
        <v>84635.416666666657</v>
      </c>
    </row>
    <row r="25" spans="2:13" x14ac:dyDescent="0.3">
      <c r="B25" s="6" t="s">
        <v>38</v>
      </c>
      <c r="E25" s="8">
        <v>2</v>
      </c>
      <c r="F25" s="17">
        <f>E17/E25/(E5+E6)</f>
        <v>104041.66666666666</v>
      </c>
    </row>
    <row r="26" spans="2:13" x14ac:dyDescent="0.3">
      <c r="B26" s="20" t="s">
        <v>39</v>
      </c>
      <c r="C26" s="20"/>
      <c r="D26" s="20"/>
      <c r="E26" s="21">
        <v>1.5</v>
      </c>
      <c r="F26" s="22">
        <f>E18/E26/(E5+E6)</f>
        <v>108333.33333333333</v>
      </c>
    </row>
    <row r="27" spans="2:13" x14ac:dyDescent="0.3">
      <c r="E27" s="7" t="s">
        <v>16</v>
      </c>
      <c r="F27" s="23">
        <f>MIN(F21:F26)</f>
        <v>84635.416666666657</v>
      </c>
    </row>
    <row r="28" spans="2:13" x14ac:dyDescent="0.3">
      <c r="E28" s="7" t="s">
        <v>17</v>
      </c>
      <c r="F28" s="23">
        <f>AVERAGE(F21:F26)</f>
        <v>102835.06944444444</v>
      </c>
    </row>
    <row r="31" spans="2:13" x14ac:dyDescent="0.3">
      <c r="B31" s="27"/>
      <c r="C31" s="27"/>
      <c r="D31" s="27"/>
      <c r="E31" s="27"/>
      <c r="F31" s="27"/>
    </row>
    <row r="32" spans="2:13" x14ac:dyDescent="0.3">
      <c r="E32" s="27"/>
      <c r="F32" s="27"/>
    </row>
    <row r="33" spans="5:6" x14ac:dyDescent="0.3">
      <c r="E33" s="27"/>
      <c r="F33" s="27"/>
    </row>
    <row r="34" spans="5:6" x14ac:dyDescent="0.3">
      <c r="E34" s="27"/>
      <c r="F34" s="27"/>
    </row>
    <row r="35" spans="5:6" x14ac:dyDescent="0.3">
      <c r="E35" s="27"/>
      <c r="F35" s="27"/>
    </row>
    <row r="36" spans="5:6" x14ac:dyDescent="0.3">
      <c r="E36" s="27"/>
      <c r="F36" s="27"/>
    </row>
    <row r="37" spans="5:6" x14ac:dyDescent="0.3">
      <c r="E37" s="27"/>
      <c r="F37" s="27"/>
    </row>
    <row r="38" spans="5:6" x14ac:dyDescent="0.3">
      <c r="E38" s="27"/>
      <c r="F38" s="27"/>
    </row>
    <row r="39" spans="5:6" x14ac:dyDescent="0.3">
      <c r="E39" s="27"/>
      <c r="F39" s="27"/>
    </row>
    <row r="40" spans="5:6" x14ac:dyDescent="0.3">
      <c r="E40" s="27"/>
      <c r="F40" s="27"/>
    </row>
    <row r="41" spans="5:6" x14ac:dyDescent="0.3">
      <c r="E41" s="27"/>
      <c r="F41" s="27"/>
    </row>
    <row r="42" spans="5:6" x14ac:dyDescent="0.3">
      <c r="E42" s="27"/>
      <c r="F42" s="27"/>
    </row>
  </sheetData>
  <dataValidations count="1">
    <dataValidation type="list" allowBlank="1" showInputMessage="1" showErrorMessage="1" sqref="C8" xr:uid="{00000000-0002-0000-0100-000000000000}">
      <formula1>$E$27:$E$28</formula1>
    </dataValidation>
  </dataValidations>
  <hyperlinks>
    <hyperlink ref="K12" r:id="rId1" xr:uid="{00000000-0004-0000-01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Page</vt:lpstr>
      <vt:lpstr>Debt Capacity Model</vt:lpstr>
      <vt:lpstr>'Cover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Debt Capacity Model</dc:title>
  <dc:creator>CFI</dc:creator>
  <cp:lastModifiedBy>Katie Au Yeung</cp:lastModifiedBy>
  <dcterms:created xsi:type="dcterms:W3CDTF">2018-06-22T17:10:13Z</dcterms:created>
  <dcterms:modified xsi:type="dcterms:W3CDTF">2020-01-22T22:40:45Z</dcterms:modified>
</cp:coreProperties>
</file>