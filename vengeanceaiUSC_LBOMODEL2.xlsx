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1">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3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resources.rework.com/pt/news/sales-tech/ai-sdr-worth-it-2026-hybrid-model-sales-leader" TargetMode="External" Id="rId7" /><Relationship Type="http://schemas.openxmlformats.org/officeDocument/2006/relationships/hyperlink" Target="#'AI_Operating'!D7" TargetMode="External" Id="rId8" /><Relationship Type="http://schemas.openxmlformats.org/officeDocument/2006/relationships/hyperlink" Target="https://firstsales.io/blog/cost-per-meeting-outbound/"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alesforce.com/news/press-releases/2025/05/15/agentforce-flexible-pricing-news/" TargetMode="External" Id="rId13" /><Relationship Type="http://schemas.openxmlformats.org/officeDocument/2006/relationships/hyperlink" Target="#'AI_Operating'!D10" TargetMode="External" Id="rId14" /><Relationship Type="http://schemas.openxmlformats.org/officeDocument/2006/relationships/hyperlink" Target="https://highticketaisystems.com/blog/ai-sdr-pricing-explained"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fred.stlouisfed.org/series/SOFR" TargetMode="External" Id="rId28" /><Relationship Type="http://schemas.openxmlformats.org/officeDocument/2006/relationships/hyperlink" Target="#'Debt_Sweep_AI'!C12" TargetMode="External" Id="rId29" /><Relationship Type="http://schemas.openxmlformats.org/officeDocument/2006/relationships/hyperlink" Target="https://www.newyorkfed.org/markets/reference-rat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key.com/content/dam/kco/documents/businesses___institutions/2024_kbcm_sapphire_saas_survey.pdf"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ryanoconnellfinance.com/lbo-debt-structure/" TargetMode="External" Id="rId64" /><Relationship Type="http://schemas.openxmlformats.org/officeDocument/2006/relationships/hyperlink" Target="#'Debt_Sweep_AI'!C12" TargetMode="External" Id="rId65" /><Relationship Type="http://schemas.openxmlformats.org/officeDocument/2006/relationships/hyperlink" Target="https://fred.stlouisfed.org/series/SOFR" TargetMode="External" Id="rId66" /><Relationship Type="http://schemas.openxmlformats.org/officeDocument/2006/relationships/hyperlink" Target="https://ibinterviewquestions.com/guides/valuation-investment-banking/lbo-debt-structures-senior-subordinated-mezzanine" TargetMode="External" Id="rId67" /><Relationship Type="http://schemas.openxmlformats.org/officeDocument/2006/relationships/hyperlink" Target="#'Debt_Sweep_AI'!D12" TargetMode="External" Id="rId68" /><Relationship Type="http://schemas.openxmlformats.org/officeDocument/2006/relationships/hyperlink" Target="https://fred.stlouisfed.org/series/SOFR"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H31"/>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46" customWidth="1" style="244" min="5" max="5"/>
    <col width="78" customWidth="1" style="244" min="6" max="6"/>
    <col width="34" customWidth="1" style="244" min="7" max="7"/>
    <col width="38" customWidth="1" style="244" min="8" max="8"/>
  </cols>
  <sheetData>
    <row r="2">
      <c r="B2" s="629" t="inlineStr">
        <is>
          <t>Assumptions Drivers — col F CLOSED MATH to a $ (or exact %) total for every yellow input</t>
        </is>
      </c>
    </row>
    <row r="3" ht="42" customHeight="1" s="244">
      <c r="B3" s="605" t="inlineStr">
        <is>
          <t>Unit prices alone are not totals. Col F always finishes the arithmetic: rate × base $, or roles × $/mo × 12, or balance × interest rate — so you can see how the source produces the yellow cell’s dollar (or exact %) impact.</t>
        </is>
      </c>
    </row>
    <row r="4" ht="38" customHeight="1" s="244">
      <c r="B4" s="606" t="inlineStr">
        <is>
          <t>Driver</t>
        </is>
      </c>
      <c r="C4" s="606" t="inlineStr">
        <is>
          <t>Value</t>
        </is>
      </c>
      <c r="D4" s="606" t="inlineStr">
        <is>
          <t>Why reasonable (model justification)</t>
        </is>
      </c>
      <c r="E4" s="606" t="inlineStr">
        <is>
          <t>Source link — FIND statistic here (click)</t>
        </is>
      </c>
      <c r="F4" s="606" t="inlineStr">
        <is>
          <t>CLOSED MATH → TOTAL $ / exact driver value (not unit price alone)</t>
        </is>
      </c>
      <c r="G4" s="606" t="inlineStr">
        <is>
          <t>Feeds (click to jump)</t>
        </is>
      </c>
      <c r="H4" s="606" t="inlineStr">
        <is>
          <t>Secondary source (click)</t>
        </is>
      </c>
    </row>
    <row r="5" ht="88"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30" t="inlineStr">
        <is>
          <t>FIND: FY24 Rev $1,214.3m / FY23 $1,239.5m</t>
        </is>
      </c>
      <c r="F5" s="631" t="inlineStr">
        <is>
          <t>CLOSED MATH: Source growth = 1214.3/1239.5 − 1 = −2.03%. Driver C5 is NOT that print — C5=10% is a thesis forward rate. Total $ path from C5: Y1 Rev = 1214.3×1.10 = $1,335.73m; Y5 Rev = 1214.3×1.10^5 = $1,955.0m. Source supplies the $1,214.3m base only.</t>
        </is>
      </c>
      <c r="G5" s="612" t="inlineStr">
        <is>
          <t>Go to AI_Operating!D5 (Revenue)</t>
        </is>
      </c>
      <c r="H5" s="612" t="inlineStr">
        <is>
          <t>www.sec.gov/Archives/edgar/data/1794515/000179451525000045/zi-20241231</t>
        </is>
      </c>
    </row>
    <row r="6" ht="88"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30" t="inlineStr">
        <is>
          <t>FIND: software median GM = 80%</t>
        </is>
      </c>
      <c r="F6" s="632" t="inlineStr">
        <is>
          <t>CLOSED MATH: Source median GM = 80% ⇒ C6=0.80. Total $: COGS_t = Rev_t × (1−0.80) = Rev_t × 0.20. At Y1 Rev $1,335.73m → COGS = $267.15m; Gross profit = $1,068.58m. Direct 1:1 copy of the published 80% median into C6.</t>
        </is>
      </c>
      <c r="G6" s="612" t="inlineStr">
        <is>
          <t>Go to AI_Operating!D6 (COGS)</t>
        </is>
      </c>
      <c r="H6" s="612" t="inlineStr">
        <is>
          <t>www.readyratios.com/sec/GTM_zoominfo-technologies-inc</t>
        </is>
      </c>
    </row>
    <row r="7" ht="88"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30" t="inlineStr">
        <is>
          <t>FIND: US B2B SaaS SDR HC −~18% YoY</t>
        </is>
      </c>
      <c r="F7" s="632" t="inlineStr">
        <is>
          <t>CLOSED MATH: Source cut ≈ 18%. Set C7=15% (near 18%). Total $: Payroll_Y1 = 318.8 × (1−0.15) = 318.8 × 0.85 = $270.98m. Savings vs baseline = 318.8 − 270.98 = $47.82m. Source gives the ~15–18% cut rate; multiply by our $318.8m payroll pool to get the dollar total.</t>
        </is>
      </c>
      <c r="G7" s="612" t="inlineStr">
        <is>
          <t>Go to AI_Operating!D7 (Sales payroll)</t>
        </is>
      </c>
      <c r="H7" s="612" t="inlineStr">
        <is>
          <t>firstsales.io/blog/cost-per-meeting-outbound/</t>
        </is>
      </c>
    </row>
    <row r="8" ht="88"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30" t="inlineStr">
        <is>
          <t>FIND: SDR OTE ~70% base / ~30% variable</t>
        </is>
      </c>
      <c r="F8" s="632" t="inlineStr">
        <is>
          <t>CLOSED MATH: Source variable share ≈ 30%. Set C8=20% cut of commission pool. Total $: Commission_AI = 106.2 × (1−0.20) = $84.96m. Savings = 106.2 − 84.96 = $21.24m. Unit fact (30% variable) → pool size $106.2m → ×20% cut → dollar savings (not just a %).</t>
        </is>
      </c>
      <c r="G8" s="612" t="inlineStr">
        <is>
          <t>Go to AI_Operating!D8 (Commissions)</t>
        </is>
      </c>
      <c r="H8" s="612" t="inlineStr">
        <is>
          <t>syncgtm.com/blog/how-much-do-sales-development-representatives-make-at</t>
        </is>
      </c>
    </row>
    <row r="9" ht="88" customHeight="1" s="244">
      <c r="B9" s="607" t="inlineStr">
        <is>
          <t>AI infrastructure ($m)</t>
        </is>
      </c>
      <c r="C9" s="614" t="n">
        <v>34</v>
      </c>
      <c r="D9" s="609" t="inlineStr">
        <is>
          <t>Fixed cost for AI software and compute set to $34m — midpoint of the $23–45m enterprise AI-agent triangulation. Covers API calls and infra to replace human reps.</t>
        </is>
      </c>
      <c r="E9" s="630" t="inlineStr">
        <is>
          <t>FIND: SF $2/conv &amp; ~$0.10/action; ZI S&amp;M HC 1,513; AI agents ~$5–10k/mo</t>
        </is>
      </c>
      <c r="F9" s="634" t="inlineStr">
        <is>
          <t>CLOSED MATH (TOTAL $): Roles = 0.25 × 1,513 = 378. Low = 378 × $5,000/mo × 12 = $22.7m. High = 378 × $10,000/mo × 12 = $45.4m. C9 = ($22.7+$45.4)/2 = $34.0m. SF unit prices alone are NOT the total — they are a cross-check: $34m/$2 = 17.0m conversations/yr, or $34m/$0.10 = 340m actions/yr. Primary total comes from roles × $/mo × 12.</t>
        </is>
      </c>
      <c r="G9" s="612" t="inlineStr">
        <is>
          <t>Go to AI_Operating!D10 (AI infrastructure)</t>
        </is>
      </c>
      <c r="H9" s="612" t="inlineStr">
        <is>
          <t>highticketaisystems.com/blog/ai-sdr-pricing-explained</t>
        </is>
      </c>
    </row>
    <row r="10" ht="88"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30" t="inlineStr">
        <is>
          <t>FIND: agentic AI scales via inference opex (not 1:1 headcount)</t>
        </is>
      </c>
      <c r="F10" s="631" t="inlineStr">
        <is>
          <t>CLOSED MATH: Thesis growth C10=2%. Total $ path: Payroll_Y2 = 270.98 × 1.02 = $276.40m; Payroll_Y5 = 270.98 × 1.02^4 = $293.45m. Commission same factor. Source justifies WHY growth can be low (compute scales); 2% × prior-year $ balance is what produces the dollar totals.</t>
        </is>
      </c>
      <c r="G10" s="612" t="inlineStr">
        <is>
          <t>Go to AI_Operating!E7 (payroll Y2+)</t>
        </is>
      </c>
      <c r="H10" s="612" t="inlineStr">
        <is>
          <t>www.ciodive.com/news/AI-spending-soars-enterprise-maturity/827488/</t>
        </is>
      </c>
    </row>
    <row r="11" ht="88"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30" t="inlineStr">
        <is>
          <t>FIND: G&amp;A $295.3m / Rev $1,214.3m = 24.3%</t>
        </is>
      </c>
      <c r="F11" s="631" t="inlineStr">
        <is>
          <t>CLOSED MATH: Source rate = 295.3/1214.3 = 24.32%. Driver C11=18% (thesis below filing). Total $: G&amp;A_t = Rev_t × 0.18. Y1: 1335.73 × 0.18 = $240.43m (vs filing-like 1335.73 × 0.2432 ≈ $324.9m). Source gives the $295.3m and % anchor; × Rev produces the model dollar total at 18%.</t>
        </is>
      </c>
      <c r="G11" s="612" t="inlineStr">
        <is>
          <t>Go to AI_Operating!D12 (G&amp;A)</t>
        </is>
      </c>
      <c r="H11" s="612" t="inlineStr">
        <is>
          <t>www.sec.gov/Archives/edgar/data/1794515/000179451525000045/zi-20241231</t>
        </is>
      </c>
    </row>
    <row r="12" ht="88"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30" t="inlineStr">
        <is>
          <t>FIND: SDR all-in includes devices/tooling dollars</t>
        </is>
      </c>
      <c r="F12" s="632" t="inlineStr">
        <is>
          <t>CLOSED MATH: CapEx_AI = Rev × 0.02 × (1−0.05) = Rev × 0.019. Y1: 1335.73 × 0.019 = $25.38m vs base 1335.73 × 0.02 = $26.71m → saves $1.34m. Source shows device $ inside SDR cost; C7’s labor cut × C12’s 5% rate turns that into a CapEx $ total.</t>
        </is>
      </c>
      <c r="G12" s="612" t="inlineStr">
        <is>
          <t>Go to AI_Operating!D19 (CapEx)</t>
        </is>
      </c>
      <c r="H12" s="612" t="inlineStr">
        <is>
          <t>firstsales.io/blog/cost-per-meeting-outbound/</t>
        </is>
      </c>
    </row>
    <row r="13" ht="88"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30" t="inlineStr">
        <is>
          <t>FIND: receivables ~80 days</t>
        </is>
      </c>
      <c r="F13" s="632" t="inlineStr">
        <is>
          <t>CLOSED MATH: ΔNWC_AI = ΔRev × 0.02 × (1−0.10) = ΔRev × 0.018. Y1 ΔRev = 1335.73−1214.3 = 121.43 → ΔNWC = 121.43 × 0.018 = $2.19m (vs base 121.43 × 0.02 = $2.43m). Source’s ~80 DSO motivates a WC $ plug; rate × ΔRev is the total.</t>
        </is>
      </c>
      <c r="G13" s="612" t="inlineStr">
        <is>
          <t>Go to AI_Operating!D20 (ΔNWC)</t>
        </is>
      </c>
      <c r="H13" s="612" t="inlineStr">
        <is>
          <t>www.sec.gov/Archives/edgar/data/1794515/000179451525000045/zi-20241231</t>
        </is>
      </c>
    </row>
    <row r="14" ht="88"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30" t="inlineStr">
        <is>
          <t>FIND: official daily SOFR (recent ~3.62%)</t>
        </is>
      </c>
      <c r="F14" s="631" t="inlineStr">
        <is>
          <t>CLOSED MATH: C14=4.30% (planning). Dollar interest uses balances × rate — e.g. TLA interest ≈ TLA_beg × (C14+C15). If TLA_beg ≈ $457.8m and all-in 8.30%, Interest_TLA ≈ 457.8 × 0.083 = $38.0m. Source is the rate series; $ total = rate × debt principal.</t>
        </is>
      </c>
      <c r="G14" s="612" t="inlineStr">
        <is>
          <t>Go to Debt_Sweep_AI!C12 (TLA rate uses SOFR)</t>
        </is>
      </c>
      <c r="H14" s="612" t="inlineStr">
        <is>
          <t>www.newyorkfed.org/markets/reference-rates/sofr</t>
        </is>
      </c>
    </row>
    <row r="15" ht="88"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30" t="inlineStr">
        <is>
          <t>FIND: TLA ~SOFR+275–375bps band</t>
        </is>
      </c>
      <c r="F15" s="632" t="inlineStr">
        <is>
          <t>CLOSED MATH: C15=+400bps. All-in TLA = 4.30%+4.00% = 8.30%. $ total: Interest_TLA = TLA_beg × 0.0830 (e.g. ~$457.8m × 0.083 ≈ $38.0m). Source gives the spread band; spread + SOFR + beginning balance = dollar interest.</t>
        </is>
      </c>
      <c r="G15" s="612" t="inlineStr">
        <is>
          <t>Go to Assumptions_Drivers!C27 (TLA rate)</t>
        </is>
      </c>
      <c r="H15" s="612" t="inlineStr">
        <is>
          <t>ibinterviewquestions.com/guides/debt-capital-markets/term-loan-b-tlb-m</t>
        </is>
      </c>
    </row>
    <row r="16" ht="88"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30" t="inlineStr">
        <is>
          <t>FIND: TLB SOFR+300–500bps</t>
        </is>
      </c>
      <c r="F16" s="632" t="inlineStr">
        <is>
          <t>CLOSED MATH: C16=+500bps (= top of band). All-in TLB = 4.30%+5.00% = 9.30%. $ total: Interest_TLB = TLB_beg × 0.0930 (e.g. ~$274.7m × 0.093 ≈ $25.5m). Source spread × SOFR × principal → dollars.</t>
        </is>
      </c>
      <c r="G16" s="612" t="inlineStr">
        <is>
          <t>Go to Assumptions_Drivers!C28 (TLB rate)</t>
        </is>
      </c>
      <c r="H16" s="612" t="inlineStr">
        <is>
          <t>ryanoconnellfinance.com/lbo-debt-structure/</t>
        </is>
      </c>
    </row>
    <row r="17" ht="88"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30" t="inlineStr">
        <is>
          <t>FIND: ~1%/yr scheduled amort</t>
        </is>
      </c>
      <c r="F17" s="632" t="inlineStr">
        <is>
          <t>CLOSED MATH: C17=1%. Initial new debt ≈ 183.1×5.0 = $915.5m. Mandatory = 915.5 × 0.01 = $9.155m per year. Source % × initial principal = dollar mandatory paydown.</t>
        </is>
      </c>
      <c r="G17" s="612" t="inlineStr">
        <is>
          <t>Go to Debt_Sweep_AI!D5 (Mandatory 1%)</t>
        </is>
      </c>
      <c r="H17" s="612" t="inlineStr">
        <is>
          <t>clearvaluelending.com/glossary/term-loan-b</t>
        </is>
      </c>
    </row>
    <row r="18" ht="88"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30" t="inlineStr">
        <is>
          <t>FIND: excess cash / optional prepay to delever</t>
        </is>
      </c>
      <c r="F18" s="632" t="inlineStr">
        <is>
          <t>CLOSED MATH: C18=100%. Optional_sweep_$ = 1.00 × max(0, FCF_$ − Mandatory_$). Example if FCF=$80m and Mandatory=$9.2m → sweep = $70.8m of debt paydown. Source is the mechanism; FCF $ × 100% is the dollar total applied to debt.</t>
        </is>
      </c>
      <c r="G18" s="612" t="inlineStr">
        <is>
          <t>Go to Debt_Sweep_AI!E5 (Total paydown)</t>
        </is>
      </c>
      <c r="H18" s="612" t="inlineStr">
        <is>
          <t>ibinterviewquestions.com/guides/valuation-investment-banking/lbo-debt-</t>
        </is>
      </c>
    </row>
    <row r="19" ht="88"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30" t="inlineStr">
        <is>
          <t>FIND: federal CIT = 21%</t>
        </is>
      </c>
      <c r="F19" s="632" t="inlineStr">
        <is>
          <t>CLOSED MATH: C19=21%. Tax_$ = max(0, EBT_$) × 0.21. If EBT=$100m → Tax=$21m; NI=$79m. Source rate × taxable $ = tax dollars (1:1 statutory match).</t>
        </is>
      </c>
      <c r="G19" s="612" t="inlineStr">
        <is>
          <t>Go to AI_Operating!D18 (Net income)</t>
        </is>
      </c>
      <c r="H19" s="612" t="inlineStr">
        <is>
          <t>tradingeconomics.com/united-states/corporate-tax-rate</t>
        </is>
      </c>
    </row>
    <row r="20" ht="88"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30" t="inlineStr">
        <is>
          <t>FIND: PE SaaS often ~15–22x EBITDA</t>
        </is>
      </c>
      <c r="F20" s="631" t="inlineStr">
        <is>
          <t>CLOSED MATH: C20=13.0x (below band). Exit_EV_$ = Y5_EBITDA_$ × 13. If Y5 EBITDA ≈ $470m → Exit EV ≈ $6,110m. Source gives the multiple neighborhood; EBITDA $ × 13 is the enterprise-value total.</t>
        </is>
      </c>
      <c r="G20" s="612" t="inlineStr">
        <is>
          <t>Go to LBO!D17 (Exit multiple)</t>
        </is>
      </c>
      <c r="H20" s="612" t="inlineStr">
        <is>
          <t>aventis-advisors.com/software-valuation-multiples/</t>
        </is>
      </c>
    </row>
    <row r="21" ht="88"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30" t="inlineStr">
        <is>
          <t>FIND: S&amp;M $414.1m; Rev $1,214.3m</t>
        </is>
      </c>
      <c r="F21" s="632" t="inlineStr">
        <is>
          <t>CLOSED MATH: Source total = $414.1m (34.1% of rev). Driver C21=$425.0m ≈ 414.1 × (0.35/0.341) ≈ rounded to 35%×1214.3 = 0.35×1214.3 = $425.0m. Filing dollars → % → rounded model $ total.</t>
        </is>
      </c>
      <c r="G21" s="612" t="inlineStr">
        <is>
          <t>Go to AI_Operating!C9 (S&amp;M human FY24A)</t>
        </is>
      </c>
      <c r="H21" s="612" t="inlineStr">
        <is>
          <t>www.key.com/content/dam/kco/documents/businesses___institutions/2024_k</t>
        </is>
      </c>
    </row>
    <row r="22" ht="88"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30" t="inlineStr">
        <is>
          <t>FIND: ~70% of SDR OTE is base</t>
        </is>
      </c>
      <c r="F22" s="632" t="inlineStr">
        <is>
          <t>CLOSED MATH: C22 = 0.75 × 425 = $318.8m. Check: 318.8/425 = 75% (near source ~70% base). Dollar total is the allocation of the $425m S&amp;M pool — not a % left hanging.</t>
        </is>
      </c>
      <c r="G22" s="612" t="inlineStr">
        <is>
          <t>Go to AI_Operating!C7 (Payroll FY24A)</t>
        </is>
      </c>
      <c r="H22" s="612" t="inlineStr">
        <is>
          <t>pulserevops.com/knowledge/ra0197</t>
        </is>
      </c>
    </row>
    <row r="23" ht="88"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30" t="inlineStr">
        <is>
          <t>FIND: variable ~30–35% of OTE</t>
        </is>
      </c>
      <c r="F23" s="632" t="inlineStr">
        <is>
          <t>CLOSED MATH: C23 = 0.25 × 425 = $106.2m. Check: 318.8 + 106.2 = 425.0 exactly. Source variable ~30% informs the 25% carve; dollars = % × $425m S&amp;M pool.</t>
        </is>
      </c>
      <c r="G23" s="612" t="inlineStr">
        <is>
          <t>Go to AI_Operating!C8 (Commissions FY24A)</t>
        </is>
      </c>
      <c r="H23" s="612" t="inlineStr">
        <is>
          <t>syncgtm.com/blog/how-to-pay-sales-development-rep</t>
        </is>
      </c>
    </row>
    <row r="24" ht="88"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30" t="inlineStr">
        <is>
          <t>FIND: uFCF $446.9m on $1,214.3m rev</t>
        </is>
      </c>
      <c r="F24" s="632" t="inlineStr">
        <is>
          <t>CLOSED MATH: Source implies low CapEx intensity (large FCF). C24=2% → CapEx_$ = Rev × 0.02. Y1 base CapEx = 1335.73 × 0.02 = $26.71m. Rate × revenue $ = CapEx dollars.</t>
        </is>
      </c>
      <c r="G24" s="612" t="inlineStr">
        <is>
          <t>Go to AI_Operating!D19 (CapEx)</t>
        </is>
      </c>
      <c r="H24" s="612" t="inlineStr">
        <is>
          <t>www.sec.gov/Archives/edgar/data/1794515/000179451525000045/zi-20241231</t>
        </is>
      </c>
    </row>
    <row r="25" ht="88"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30" t="inlineStr">
        <is>
          <t>FIND: ~80 receivable days</t>
        </is>
      </c>
      <c r="F25" s="632" t="inlineStr">
        <is>
          <t>CLOSED MATH: C25=2% → ΔNWC_$ = ΔRev_$ × 0.02. Y1: ΔRev $121.43m × 0.02 = $2.43m WC use. Source DSO motivates a WC need; ΔRev × rate is the dollar total.</t>
        </is>
      </c>
      <c r="G25" s="612" t="inlineStr">
        <is>
          <t>Go to AI_Operating!D20 (ΔNWC)</t>
        </is>
      </c>
      <c r="H25" s="612" t="inlineStr">
        <is>
          <t>www.sec.gov/Archives/edgar/data/1794515/000179451525000045/zi-20241231</t>
        </is>
      </c>
    </row>
    <row r="26">
      <c r="B26" s="618" t="inlineStr">
        <is>
          <t>Computed rates (SOFR + spreads) — still sourced on the same row</t>
        </is>
      </c>
    </row>
    <row r="27" ht="88"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30" t="inlineStr">
        <is>
          <t>FIND: TLA = SOFR + spread</t>
        </is>
      </c>
      <c r="F27" s="632" t="inlineStr">
        <is>
          <t>CLOSED MATH: C27 = C14+C15 = 4.30%+4.00% = 8.30%. $ total = TLA_beg × 8.30% (e.g. $457.8m × 0.083 ≈ $38.0m interest). Formula rate × principal balance.</t>
        </is>
      </c>
      <c r="G27" s="612" t="inlineStr">
        <is>
          <t>Go to Debt_Sweep_AI!C12 (TLA rate)</t>
        </is>
      </c>
      <c r="H27" s="612" t="inlineStr">
        <is>
          <t>fred.stlouisfed.org/series/SOFR</t>
        </is>
      </c>
    </row>
    <row r="28" ht="88"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30" t="inlineStr">
        <is>
          <t>FIND: TLB = SOFR + spread</t>
        </is>
      </c>
      <c r="F28" s="632" t="inlineStr">
        <is>
          <t>CLOSED MATH: C28 = C14+C16 = 4.30%+5.00% = 9.30%. $ total = TLB_beg × 9.30% (e.g. $274.7m × 0.093 ≈ $25.5m interest). Formula rate × principal balance.</t>
        </is>
      </c>
      <c r="G28" s="612" t="inlineStr">
        <is>
          <t>Go to Debt_Sweep_AI!D12 (TLB rate)</t>
        </is>
      </c>
      <c r="H28" s="612" t="inlineStr">
        <is>
          <t>fred.stlouisfed.org/series/SOFR</t>
        </is>
      </c>
    </row>
    <row r="29" ht="70" customHeight="1" s="244">
      <c r="B29" s="618" t="inlineStr">
        <is>
          <t>AI $34m CLOSED MATH (roles × $/mo × 12 — SF $/conv is only a cross-check):</t>
        </is>
      </c>
      <c r="C29" s="620" t="inlineStr">
        <is>
          <t>CLOSED MATH (TOTAL $): Roles = 0.25 × 1,513 = 378. Low = 378 × $5,000/mo × 12 = $22.7m. High = 378 × $10,000/mo × 12 = $45.4m. C9 = ($22.7+$45.4)/2 = $34.0m. SF unit prices alone are NOT the total — they are a cross-check: $34m/$2 = 17.0m conversations/yr, or $34m/$0.10 = 340m actions/yr. Primary total comes from roles × $/mo × 12.</t>
        </is>
      </c>
      <c r="D29" s="621" t="n"/>
      <c r="E29" s="621" t="n"/>
      <c r="F29" s="622" t="n"/>
    </row>
    <row r="30">
      <c r="B30" s="618" t="inlineStr">
        <is>
          <t>PDF:</t>
        </is>
      </c>
      <c r="C30" s="593" t="inlineStr">
        <is>
          <t>https://raw.githubusercontent.com/vengeanceaiUSC/Rainmaker/cursor/vengeanceaiusclbomodel2-44dc/LBO/output/LBOMODEL2_DRIVER_SOURCES.pdf</t>
        </is>
      </c>
    </row>
    <row r="31">
      <c r="B31" s="623" t="inlineStr">
        <is>
          <t>Educational / research use only — not investment advice. Vendor list prices change; treat triangulation as order-of-magnitude support.</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13x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2201.623513516699</v>
      </c>
      <c r="D36" s="626" t="n">
        <v>6206.151999184804</v>
      </c>
      <c r="E36" s="626" t="n">
        <v>4004.528485668105</v>
      </c>
      <c r="F36" s="625" t="inlineStr">
        <is>
          <t>Total equity payout; AI strategy increased final payout by $4,004.5m to $6,206.2m.</t>
        </is>
      </c>
    </row>
    <row r="37" ht="42" customHeight="1" s="244">
      <c r="B37" s="575" t="inlineStr">
        <is>
          <t>MOIC</t>
        </is>
      </c>
      <c r="C37" s="627" t="n">
        <v>1.17652754423803</v>
      </c>
      <c r="D37" s="627" t="n">
        <v>3.316511077366568</v>
      </c>
      <c r="E37" s="627" t="n">
        <v>2.139983533128538</v>
      </c>
      <c r="F37" s="625" t="inlineStr">
        <is>
          <t>Multiple on Invested Capital; AI improved gross cash return from 1.18x to 3.32x.</t>
        </is>
      </c>
    </row>
    <row r="38" ht="42" customHeight="1" s="244">
      <c r="B38" s="575" t="inlineStr">
        <is>
          <t>IRR</t>
        </is>
      </c>
      <c r="C38" s="624" t="n">
        <v>0.03304780632992022</v>
      </c>
      <c r="D38" s="624" t="n">
        <v>0.2709728997774654</v>
      </c>
      <c r="E38" s="624" t="n">
        <v>0.2379250934475452</v>
      </c>
      <c r="F38" s="625" t="inlineStr">
        <is>
          <t>5-year IRR; AI boosted return by 23.8 percentage points to 27.1% (AI infra now $34m midpoint).</t>
        </is>
      </c>
    </row>
    <row r="39">
      <c r="B39" t="inlineStr">
        <is>
          <t>The IRR is calculated over a 5-year period.</t>
        </is>
      </c>
    </row>
    <row r="40">
      <c r="B40" s="564" t="inlineStr">
        <is>
          <t>IRR POINTS FROM AI-DRIVEN S&amp;M REDUCTION</t>
        </is>
      </c>
    </row>
    <row r="41">
      <c r="B41" s="569" t="inlineStr">
        <is>
          <t>AI case IRR 27.1% − Base IRR 3.3% = 23.8 percentage points of IRR</t>
        </is>
      </c>
    </row>
    <row r="42">
      <c r="B42" s="569" t="inlineStr">
        <is>
          <t>Y2 AI EBITDA margin 18.8% vs baseline 15.1% = 375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270.98</v>
      </c>
      <c r="E7" s="626" t="n">
        <v>276.3996</v>
      </c>
      <c r="F7" s="626" t="n">
        <v>281.927592</v>
      </c>
      <c r="G7" s="626" t="n">
        <v>287.56614384</v>
      </c>
      <c r="H7" s="626" t="n">
        <v>293.3174667168</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355.9400000000001</v>
      </c>
      <c r="E9" s="626" t="n">
        <v>363.0588</v>
      </c>
      <c r="F9" s="626" t="n">
        <v>370.319976</v>
      </c>
      <c r="G9" s="626" t="n">
        <v>377.72637552</v>
      </c>
      <c r="H9" s="626" t="n">
        <v>385.2809030304001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222.5026</v>
      </c>
      <c r="E13" s="626" t="n">
        <v>276.6280600000002</v>
      </c>
      <c r="F13" s="626" t="n">
        <v>336.7355700000003</v>
      </c>
      <c r="G13" s="626" t="n">
        <v>403.4347250800001</v>
      </c>
      <c r="H13" s="626" t="n">
        <v>477.3963076296004</v>
      </c>
    </row>
    <row r="14">
      <c r="B14" s="575" t="inlineStr">
        <is>
          <t>EBITDA margin</t>
        </is>
      </c>
      <c r="C14" s="583" t="n">
        <v>0.150786461335749</v>
      </c>
      <c r="D14" s="624" t="n">
        <v>0.1665775268954055</v>
      </c>
      <c r="E14" s="624" t="n">
        <v>0.1882716226673465</v>
      </c>
      <c r="F14" s="624" t="n">
        <v>0.2083458928856374</v>
      </c>
      <c r="G14" s="624" t="n">
        <v>0.2269219678754411</v>
      </c>
      <c r="H14" s="624" t="n">
        <v>0.2441122844082408</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128.2326</v>
      </c>
      <c r="E16" s="626" t="n">
        <v>172.9310600000002</v>
      </c>
      <c r="F16" s="626" t="n">
        <v>222.6688700000003</v>
      </c>
      <c r="G16" s="626" t="n">
        <v>277.9613550800001</v>
      </c>
      <c r="H16" s="626" t="n">
        <v>339.3756006296003</v>
      </c>
    </row>
    <row r="17">
      <c r="B17" s="575" t="inlineStr">
        <is>
          <t>Interest</t>
        </is>
      </c>
      <c r="D17" s="626" t="n">
        <v>77.8175</v>
      </c>
      <c r="E17" s="626" t="n">
        <v>68.975234523</v>
      </c>
      <c r="F17" s="626" t="n">
        <v>56.06864893947309</v>
      </c>
      <c r="G17" s="626" t="n">
        <v>38.27932966018786</v>
      </c>
      <c r="H17" s="626" t="n">
        <v>12.71433377476873</v>
      </c>
    </row>
    <row r="18">
      <c r="B18" s="575" t="inlineStr">
        <is>
          <t>Net income</t>
        </is>
      </c>
      <c r="D18" s="626" t="n">
        <v>39.82792900000004</v>
      </c>
      <c r="E18" s="626" t="n">
        <v>82.12510212683014</v>
      </c>
      <c r="F18" s="626" t="n">
        <v>131.6141746378165</v>
      </c>
      <c r="G18" s="626" t="n">
        <v>189.3488000816517</v>
      </c>
      <c r="H18" s="626" t="n">
        <v>258.0624008153169</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106.533319</v>
      </c>
      <c r="E21" s="626" t="n">
        <v>155.5010311268301</v>
      </c>
      <c r="F21" s="626" t="n">
        <v>212.3276965378165</v>
      </c>
      <c r="G21" s="626" t="n">
        <v>278.1336741716516</v>
      </c>
      <c r="H21" s="626" t="n">
        <v>355.725762314317</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106.533319</v>
      </c>
      <c r="E23" s="626" t="n">
        <v>155.5010311268301</v>
      </c>
      <c r="F23" s="626" t="n">
        <v>212.3276965378165</v>
      </c>
      <c r="G23" s="626" t="n">
        <v>278.1336741716516</v>
      </c>
      <c r="H23" s="626" t="n">
        <v>163.0042791637017</v>
      </c>
    </row>
    <row r="24">
      <c r="B24" s="575" t="inlineStr">
        <is>
          <t>Debt end</t>
        </is>
      </c>
      <c r="C24" s="582" t="n">
        <v>1329.9</v>
      </c>
      <c r="D24" s="626" t="n">
        <v>808.966681</v>
      </c>
      <c r="E24" s="626" t="n">
        <v>653.4656498731698</v>
      </c>
      <c r="F24" s="626" t="n">
        <v>441.1379533353534</v>
      </c>
      <c r="G24" s="626" t="n">
        <v>163.0042791637017</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2026-08-15T15:47:02Z</dcterms:modified>
  <cp:lastModifiedBy>scottmccarthy</cp:lastModifiedBy>
  <cp:lastPrinted>2014-05-30T16:55:05Z</cp:lastPrinted>
</cp:coreProperties>
</file>