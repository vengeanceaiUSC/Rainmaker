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21">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
      <name val="Calibri"/>
      <b val="1"/>
      <color rgb="000B3D5C"/>
      <sz val="14"/>
    </font>
    <font>
      <name val="Calibri"/>
      <sz val="9"/>
    </font>
    <font>
      <name val="Calibri"/>
      <b val="1"/>
      <sz val="9"/>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s>
  <borders count="41">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35">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xf numFmtId="173" fontId="0" fillId="34" borderId="36" pivotButton="0" quotePrefix="0" xfId="0"/>
    <xf numFmtId="0" fontId="0" fillId="40" borderId="36" applyAlignment="1" pivotButton="0" quotePrefix="0" xfId="0">
      <alignment vertical="top" wrapText="1"/>
    </xf>
    <xf numFmtId="190" fontId="0" fillId="34" borderId="36" pivotButton="0" quotePrefix="0" xfId="0"/>
    <xf numFmtId="191" fontId="0" fillId="34" borderId="36" pivotButton="0" quotePrefix="0" xfId="0"/>
    <xf numFmtId="1" fontId="0" fillId="34" borderId="36" pivotButton="0" quotePrefix="0" xfId="0"/>
    <xf numFmtId="0" fontId="118" fillId="0" borderId="0" pivotButton="0" quotePrefix="0" xfId="0"/>
    <xf numFmtId="0" fontId="110" fillId="40" borderId="36" applyAlignment="1" pivotButton="0" quotePrefix="0" xfId="0">
      <alignment vertical="top" wrapText="1"/>
    </xf>
    <xf numFmtId="0" fontId="119" fillId="37" borderId="36" applyAlignment="1" pivotButton="0" quotePrefix="0" xfId="0">
      <alignment vertical="top" wrapText="1"/>
    </xf>
    <xf numFmtId="0" fontId="119" fillId="34" borderId="36" applyAlignment="1" pivotButton="0" quotePrefix="0" xfId="0">
      <alignment vertical="top" wrapText="1"/>
    </xf>
    <xf numFmtId="0" fontId="0" fillId="37" borderId="36" applyAlignment="1" pivotButton="0" quotePrefix="0" xfId="0">
      <alignment vertical="top" wrapText="1"/>
    </xf>
    <xf numFmtId="0" fontId="120" fillId="44" borderId="36" applyAlignment="1" pivotButton="0" quotePrefix="0" xfId="0">
      <alignment vertical="top" wrapText="1"/>
    </xf>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AI_Operating'!D5"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www.getaleph.com/answers/saas-gross-margin-2026" TargetMode="External" Id="rId4" /><Relationship Type="http://schemas.openxmlformats.org/officeDocument/2006/relationships/hyperlink" Target="#'AI_Operating'!D6" TargetMode="External" Id="rId5" /><Relationship Type="http://schemas.openxmlformats.org/officeDocument/2006/relationships/hyperlink" Target="https://www.readyratios.com/sec/GTM_zoominfo-technologies-inc" TargetMode="External" Id="rId6" /><Relationship Type="http://schemas.openxmlformats.org/officeDocument/2006/relationships/hyperlink" Target="https://resources.rework.com/pt/news/sales-tech/ai-sdr-worth-it-2026-hybrid-model-sales-leader" TargetMode="External" Id="rId7" /><Relationship Type="http://schemas.openxmlformats.org/officeDocument/2006/relationships/hyperlink" Target="#'AI_Operating'!D7" TargetMode="External" Id="rId8" /><Relationship Type="http://schemas.openxmlformats.org/officeDocument/2006/relationships/hyperlink" Target="https://firstsales.io/blog/cost-per-meeting-outbound/" TargetMode="External" Id="rId9" /><Relationship Type="http://schemas.openxmlformats.org/officeDocument/2006/relationships/hyperlink" Target="https://syncgtm.com/blog/how-to-pay-sales-development-rep" TargetMode="External" Id="rId10" /><Relationship Type="http://schemas.openxmlformats.org/officeDocument/2006/relationships/hyperlink" Target="#'AI_Operating'!D8" TargetMode="External" Id="rId11" /><Relationship Type="http://schemas.openxmlformats.org/officeDocument/2006/relationships/hyperlink" Target="https://syncgtm.com/blog/how-much-do-sales-development-representatives-make-at-tech-companies" TargetMode="External" Id="rId12" /><Relationship Type="http://schemas.openxmlformats.org/officeDocument/2006/relationships/hyperlink" Target="https://www.sec.gov/Archives/edgar/data/1794515/000179451525000045/zi-20241231.htm" TargetMode="External" Id="rId13" /><Relationship Type="http://schemas.openxmlformats.org/officeDocument/2006/relationships/hyperlink" Target="#'AI_Operating'!D10" TargetMode="External" Id="rId14" /><Relationship Type="http://schemas.openxmlformats.org/officeDocument/2006/relationships/hyperlink" Target="https://highticketaisystems.com/blog/ai-sdr-pricing-explained" TargetMode="External" Id="rId15" /><Relationship Type="http://schemas.openxmlformats.org/officeDocument/2006/relationships/hyperlink" Target="https://www.gartner.com/en/newsroom/press-releases/2026-08-10-gartner-forecasts-worldwide-artificial-intelligence-optimized-iaas-spending-to-grow-96-percent-in-2026" TargetMode="External" Id="rId16" /><Relationship Type="http://schemas.openxmlformats.org/officeDocument/2006/relationships/hyperlink" Target="#'AI_Operating'!E7" TargetMode="External" Id="rId17" /><Relationship Type="http://schemas.openxmlformats.org/officeDocument/2006/relationships/hyperlink" Target="https://www.ciodive.com/news/AI-spending-soars-enterprise-maturity/827488/" TargetMode="External" Id="rId18" /><Relationship Type="http://schemas.openxmlformats.org/officeDocument/2006/relationships/hyperlink" Target="https://www.businesswire.com/news/home/20250225694335/en/ZoomInfo-Announces-Fourth-Quarter-and-Full-Year-2024-Financial-Results" TargetMode="External" Id="rId19" /><Relationship Type="http://schemas.openxmlformats.org/officeDocument/2006/relationships/hyperlink" Target="#'AI_Operating'!D12" TargetMode="External" Id="rId20" /><Relationship Type="http://schemas.openxmlformats.org/officeDocument/2006/relationships/hyperlink" Target="https://www.sec.gov/Archives/edgar/data/1794515/000179451525000045/zi-20241231.htm" TargetMode="External" Id="rId21" /><Relationship Type="http://schemas.openxmlformats.org/officeDocument/2006/relationships/hyperlink" Target="https://caliberoutbound.com/blog/build-vs-buy-outbound-the-2026-cost-math" TargetMode="External" Id="rId22" /><Relationship Type="http://schemas.openxmlformats.org/officeDocument/2006/relationships/hyperlink" Target="#'AI_Operating'!D19" TargetMode="External" Id="rId23" /><Relationship Type="http://schemas.openxmlformats.org/officeDocument/2006/relationships/hyperlink" Target="https://firstsales.io/blog/cost-per-meeting-outbound/" TargetMode="External" Id="rId24" /><Relationship Type="http://schemas.openxmlformats.org/officeDocument/2006/relationships/hyperlink" Target="https://www.readyratios.com/sec/GTM_zoominfo-technologies-inc" TargetMode="External" Id="rId25" /><Relationship Type="http://schemas.openxmlformats.org/officeDocument/2006/relationships/hyperlink" Target="#'AI_Operating'!D20" TargetMode="External" Id="rId26" /><Relationship Type="http://schemas.openxmlformats.org/officeDocument/2006/relationships/hyperlink" Target="https://www.sec.gov/Archives/edgar/data/1794515/000179451525000045/zi-20241231.htm" TargetMode="External" Id="rId27" /><Relationship Type="http://schemas.openxmlformats.org/officeDocument/2006/relationships/hyperlink" Target="https://fred.stlouisfed.org/series/SOFR" TargetMode="External" Id="rId28" /><Relationship Type="http://schemas.openxmlformats.org/officeDocument/2006/relationships/hyperlink" Target="#'Debt_Sweep_AI'!C12" TargetMode="External" Id="rId29" /><Relationship Type="http://schemas.openxmlformats.org/officeDocument/2006/relationships/hyperlink" Target="https://www.newyorkfed.org/markets/reference-rates/sofr" TargetMode="External" Id="rId30" /><Relationship Type="http://schemas.openxmlformats.org/officeDocument/2006/relationships/hyperlink" Target="https://ryanoconnellfinance.com/lbo-debt-structure/" TargetMode="External" Id="rId31" /><Relationship Type="http://schemas.openxmlformats.org/officeDocument/2006/relationships/hyperlink" Target="#'Assumptions_Drivers'!C27" TargetMode="External" Id="rId32" /><Relationship Type="http://schemas.openxmlformats.org/officeDocument/2006/relationships/hyperlink" Target="https://ibinterviewquestions.com/guides/debt-capital-markets/term-loan-b-tlb-mechanics-and-why-it-dominates-lev-lending" TargetMode="External" Id="rId33" /><Relationship Type="http://schemas.openxmlformats.org/officeDocument/2006/relationships/hyperlink" Target="https://ibinterviewquestions.com/guides/valuation-investment-banking/lbo-debt-structures-senior-subordinated-mezzanine" TargetMode="External" Id="rId34" /><Relationship Type="http://schemas.openxmlformats.org/officeDocument/2006/relationships/hyperlink" Target="#'Assumptions_Drivers'!C28" TargetMode="External" Id="rId35" /><Relationship Type="http://schemas.openxmlformats.org/officeDocument/2006/relationships/hyperlink" Target="https://ryanoconnellfinance.com/lbo-debt-structure/" TargetMode="External" Id="rId36" /><Relationship Type="http://schemas.openxmlformats.org/officeDocument/2006/relationships/hyperlink" Target="https://ibinterviewquestions.com/guides/debt-capital-markets/term-loan-b-tlb-mechanics-and-why-it-dominates-lev-lending" TargetMode="External" Id="rId37" /><Relationship Type="http://schemas.openxmlformats.org/officeDocument/2006/relationships/hyperlink" Target="#'Debt_Sweep_AI'!D5" TargetMode="External" Id="rId38" /><Relationship Type="http://schemas.openxmlformats.org/officeDocument/2006/relationships/hyperlink" Target="https://clearvaluelending.com/glossary/term-loan-b" TargetMode="External" Id="rId39" /><Relationship Type="http://schemas.openxmlformats.org/officeDocument/2006/relationships/hyperlink" Target="https://ryanoconnellfinance.com/lbo-debt-structure/" TargetMode="External" Id="rId40" /><Relationship Type="http://schemas.openxmlformats.org/officeDocument/2006/relationships/hyperlink" Target="#'Debt_Sweep_AI'!E5" TargetMode="External" Id="rId41" /><Relationship Type="http://schemas.openxmlformats.org/officeDocument/2006/relationships/hyperlink" Target="https://ibinterviewquestions.com/guides/valuation-investment-banking/lbo-debt-structures-senior-subordinated-mezzanine" TargetMode="External" Id="rId42" /><Relationship Type="http://schemas.openxmlformats.org/officeDocument/2006/relationships/hyperlink" Target="https://taxsummaries.pwc.com/united-states/corporate/taxes-on-corporate-income" TargetMode="External" Id="rId43" /><Relationship Type="http://schemas.openxmlformats.org/officeDocument/2006/relationships/hyperlink" Target="#'AI_Operating'!D18" TargetMode="External" Id="rId44" /><Relationship Type="http://schemas.openxmlformats.org/officeDocument/2006/relationships/hyperlink" Target="https://tradingeconomics.com/united-states/corporate-tax-rate" TargetMode="External" Id="rId45" /><Relationship Type="http://schemas.openxmlformats.org/officeDocument/2006/relationships/hyperlink" Target="https://valueaddvc.com/blog/saas-evebitda-multiples-explained-benchmarks-and-what-they-mean" TargetMode="External" Id="rId46" /><Relationship Type="http://schemas.openxmlformats.org/officeDocument/2006/relationships/hyperlink" Target="#'LBO'!D17" TargetMode="External" Id="rId47" /><Relationship Type="http://schemas.openxmlformats.org/officeDocument/2006/relationships/hyperlink" Target="https://aventis-advisors.com/software-valuation-multiples/" TargetMode="External" Id="rId48" /><Relationship Type="http://schemas.openxmlformats.org/officeDocument/2006/relationships/hyperlink" Target="https://www.businesswire.com/news/home/20250225694335/en/ZoomInfo-Announces-Fourth-Quarter-and-Full-Year-2024-Financial-Results" TargetMode="External" Id="rId49" /><Relationship Type="http://schemas.openxmlformats.org/officeDocument/2006/relationships/hyperlink" Target="#'AI_Operating'!C9" TargetMode="External" Id="rId50" /><Relationship Type="http://schemas.openxmlformats.org/officeDocument/2006/relationships/hyperlink" Target="https://www.key.com/content/dam/kco/documents/businesses___institutions/2024_kbcm_sapphire_saas_survey.pdf" TargetMode="External" Id="rId51" /><Relationship Type="http://schemas.openxmlformats.org/officeDocument/2006/relationships/hyperlink" Target="https://syncgtm.com/blog/how-to-pay-sales-development-rep" TargetMode="External" Id="rId52" /><Relationship Type="http://schemas.openxmlformats.org/officeDocument/2006/relationships/hyperlink" Target="#'AI_Operating'!C7" TargetMode="External" Id="rId53" /><Relationship Type="http://schemas.openxmlformats.org/officeDocument/2006/relationships/hyperlink" Target="https://pulserevops.com/knowledge/ra0197" TargetMode="External" Id="rId54" /><Relationship Type="http://schemas.openxmlformats.org/officeDocument/2006/relationships/hyperlink" Target="https://syncgtm.com/blog/how-much-do-sales-development-representatives-make-at-tech-companies" TargetMode="External" Id="rId55" /><Relationship Type="http://schemas.openxmlformats.org/officeDocument/2006/relationships/hyperlink" Target="#'AI_Operating'!C8" TargetMode="External" Id="rId56" /><Relationship Type="http://schemas.openxmlformats.org/officeDocument/2006/relationships/hyperlink" Target="https://syncgtm.com/blog/how-to-pay-sales-development-rep" TargetMode="External" Id="rId57" /><Relationship Type="http://schemas.openxmlformats.org/officeDocument/2006/relationships/hyperlink" Target="https://www.businesswire.com/news/home/20250225694335/en/ZoomInfo-Announces-Fourth-Quarter-and-Full-Year-2024-Financial-Results" TargetMode="External" Id="rId58" /><Relationship Type="http://schemas.openxmlformats.org/officeDocument/2006/relationships/hyperlink" Target="#'AI_Operating'!D19" TargetMode="External" Id="rId59" /><Relationship Type="http://schemas.openxmlformats.org/officeDocument/2006/relationships/hyperlink" Target="https://www.sec.gov/Archives/edgar/data/1794515/000179451525000045/zi-20241231.htm" TargetMode="External" Id="rId60" /><Relationship Type="http://schemas.openxmlformats.org/officeDocument/2006/relationships/hyperlink" Target="https://www.readyratios.com/sec/GTM_zoominfo-technologies-inc" TargetMode="External" Id="rId61" /><Relationship Type="http://schemas.openxmlformats.org/officeDocument/2006/relationships/hyperlink" Target="#'AI_Operating'!D20" TargetMode="External" Id="rId62" /><Relationship Type="http://schemas.openxmlformats.org/officeDocument/2006/relationships/hyperlink" Target="https://www.sec.gov/Archives/edgar/data/1794515/000179451525000045/zi-20241231.htm" TargetMode="External" Id="rId63" /><Relationship Type="http://schemas.openxmlformats.org/officeDocument/2006/relationships/hyperlink" Target="https://fred.stlouisfed.org/series/SOFR" TargetMode="External" Id="rId64" /><Relationship Type="http://schemas.openxmlformats.org/officeDocument/2006/relationships/hyperlink" Target="#'Debt_Sweep_AI'!C12" TargetMode="External" Id="rId65" /><Relationship Type="http://schemas.openxmlformats.org/officeDocument/2006/relationships/hyperlink" Target="https://ryanoconnellfinance.com/lbo-debt-structure/" TargetMode="External" Id="rId66" /><Relationship Type="http://schemas.openxmlformats.org/officeDocument/2006/relationships/hyperlink" Target="https://fred.stlouisfed.org/series/SOFR" TargetMode="External" Id="rId67" /><Relationship Type="http://schemas.openxmlformats.org/officeDocument/2006/relationships/hyperlink" Target="#'Debt_Sweep_AI'!D12" TargetMode="External" Id="rId68" /><Relationship Type="http://schemas.openxmlformats.org/officeDocument/2006/relationships/hyperlink" Target="https://ibinterviewquestions.com/guides/valuation-investment-banking/lbo-debt-structures-senior-subordinated-mezzanine" TargetMode="External" Id="rId69" /><Relationship Type="http://schemas.openxmlformats.org/officeDocument/2006/relationships/hyperlink" Target="https://raw.githubusercontent.com/vengeanceaiUSC/Rainmaker/cursor/vengeanceaiusclbomodel2-44dc/LBO/output/LBOMODEL2_DRIVER_SOURCES.pdf" TargetMode="External" Id="rId70"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H31"/>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style="244" min="2" max="2"/>
    <col width="11" customWidth="1" style="244" min="3" max="3"/>
    <col width="52" customWidth="1" style="244" min="4" max="4"/>
    <col width="52" customWidth="1" style="244" min="5" max="5"/>
    <col width="78" customWidth="1" style="244" min="6" max="6"/>
    <col width="34" customWidth="1" style="244" min="7" max="7"/>
    <col width="38" customWidth="1" style="244" min="8" max="8"/>
  </cols>
  <sheetData>
    <row r="2">
      <c r="B2" s="629" t="inlineStr">
        <is>
          <t>Assumptions Drivers — sources ONLY if their numbers appear in the equation for C</t>
        </is>
      </c>
    </row>
    <row r="3" ht="48" customHeight="1" s="244">
      <c r="B3" s="605" t="inlineStr">
        <is>
          <t>Rule: a source is listed only when it supplies an input used in CLOSED MATH. Example: AI $34m uses ZI S&amp;M HC 1,513 and $5–10k/mo agents — NOT Salesforce $2/conv (removed; not in the equation). Anything marked MODEL CONST is an explicit unsourced switch.</t>
        </is>
      </c>
    </row>
    <row r="4" ht="40" customHeight="1" s="244">
      <c r="B4" s="606" t="inlineStr">
        <is>
          <t>Driver</t>
        </is>
      </c>
      <c r="C4" s="606" t="inlineStr">
        <is>
          <t>Value</t>
        </is>
      </c>
      <c r="D4" s="606" t="inlineStr">
        <is>
          <t>Why reasonable (model justification)</t>
        </is>
      </c>
      <c r="E4" s="606" t="inlineStr">
        <is>
          <t>Source — ONLY numbers used in the equation (click)</t>
        </is>
      </c>
      <c r="F4" s="606" t="inlineStr">
        <is>
          <t>EQUATION + which inputs are SOURCED vs MODEL CONST</t>
        </is>
      </c>
      <c r="G4" s="606" t="inlineStr">
        <is>
          <t>Feeds (click to jump)</t>
        </is>
      </c>
      <c r="H4" s="606" t="inlineStr">
        <is>
          <t>Secondary source (click)</t>
        </is>
      </c>
    </row>
    <row r="5" ht="92" customHeight="1" s="244">
      <c r="B5" s="607" t="inlineStr">
        <is>
          <t>Revenue growth</t>
        </is>
      </c>
      <c r="C5" s="608" t="n">
        <v>0.1</v>
      </c>
      <c r="D5" s="609" t="inlineStr">
        <is>
          <t>Assumes steady top-line expansion. Reasonable for a mature enterprise software company, avoiding aggressive hypergrowth assumptions while maintaining a healthy, realistic sales trajectory.</t>
        </is>
      </c>
      <c r="E5" s="630" t="inlineStr">
        <is>
          <t>EQ uses: FY24 Rev $1,214.3m (ZI results). Growth 10% = MODEL CONST (not in filing; filing is −2%).</t>
        </is>
      </c>
      <c r="F5" s="631" t="inlineStr">
        <is>
          <t>EQUATION: Y1_Rev = 1214.3 × (1 + 0.10) = $1,335.73m. SOURCED input: 1214.3 from ZI FY24 results. MODEL CONST (unsourced rate): 0.10 — filing growth = 1214.3/1239.5−1 = −2.03% is NOT used. Only list ZI results because it supplies the $1,214.3m base in the equation.</t>
        </is>
      </c>
      <c r="G5" s="612" t="inlineStr">
        <is>
          <t>Go to AI_Operating!D5 (Revenue)</t>
        </is>
      </c>
      <c r="H5" s="612" t="inlineStr">
        <is>
          <t>www.sec.gov/Archives/edgar/data/1794515/000179451525000045/zi-20241231</t>
        </is>
      </c>
    </row>
    <row r="6" ht="92" customHeight="1" s="244">
      <c r="B6" s="613" t="inlineStr">
        <is>
          <t>Gross margin</t>
        </is>
      </c>
      <c r="C6" s="608" t="n">
        <v>0.8</v>
      </c>
      <c r="D6" s="609" t="inlineStr">
        <is>
          <t>High profitability on direct services. Highly reasonable for a SaaS company, which historically scales digital infrastructure with minimal incremental cost per user.</t>
        </is>
      </c>
      <c r="E6" s="630" t="inlineStr">
        <is>
          <t>EQ uses: software median GM = 80% (Aleph/Benchmarkit) → C6=0.80</t>
        </is>
      </c>
      <c r="F6" s="632" t="inlineStr">
        <is>
          <t>EQUATION: COGS_t = Rev_t × (1 − 0.80) = Rev_t × 0.20. Y1 example: 1335.73 × 0.20 = $267.15m. SOURCED input: 0.80 from Aleph/Benchmarkit median. No other inputs. Source number = driver number.</t>
        </is>
      </c>
      <c r="G6" s="612" t="inlineStr">
        <is>
          <t>Go to AI_Operating!D6 (COGS)</t>
        </is>
      </c>
      <c r="H6" s="612" t="inlineStr">
        <is>
          <t>www.readyratios.com/sec/GTM_zoominfo-technologies-inc</t>
        </is>
      </c>
    </row>
    <row r="7" ht="92" customHeight="1" s="244">
      <c r="B7" s="607" t="inlineStr">
        <is>
          <t>Sales payroll cut (Y1)</t>
        </is>
      </c>
      <c r="C7" s="608" t="n">
        <v>0.15</v>
      </c>
      <c r="D7" s="609" t="inlineStr">
        <is>
          <t>Immediate headcount reduction for human SDRs. Reasonable as a private equity cost-cutting measure, easily achieved by eliminating the lower-tier outbound sales team.</t>
        </is>
      </c>
      <c r="E7" s="630" t="inlineStr">
        <is>
          <t>EQ uses: published SDR HC cut ~18% → model sets C7=15% (near 18%); payroll pool $318.8m</t>
        </is>
      </c>
      <c r="F7" s="632" t="inlineStr">
        <is>
          <t>EQUATION: Payroll_Y1 = 318.8 × (1 − 0.15) = $270.98m; savings = $47.82m. SOURCED rate evidence: ~18% US B2B SaaS SDR headcount decline (we set 15% ≈ 18%). SOURCED $ pool: 318.8 = 0.75 × 425 from pay-mix rows. If we used 18% exactly: 318.8 × 0.82 = $261.4m — we chose 15% as the nearby model switch.</t>
        </is>
      </c>
      <c r="G7" s="612" t="inlineStr">
        <is>
          <t>Go to AI_Operating!D7 (Sales payroll)</t>
        </is>
      </c>
      <c r="H7" s="612" t="inlineStr">
        <is>
          <t>firstsales.io/blog/cost-per-meeting-outbound/</t>
        </is>
      </c>
    </row>
    <row r="8" ht="92" customHeight="1" s="244">
      <c r="B8" s="613" t="inlineStr">
        <is>
          <t>Variable commission cut</t>
        </is>
      </c>
      <c r="C8" s="608" t="n">
        <v>0.2</v>
      </c>
      <c r="D8" s="609" t="inlineStr">
        <is>
          <t>Reduces payouts for automated sales. Reasonable because AI agents do not collect commission checks, retaining more profit per enterprise deal directly for the company.</t>
        </is>
      </c>
      <c r="E8" s="630" t="inlineStr">
        <is>
          <t>EQ uses: ~30% variable share of OTE (SyncGTM) → informs cutting commission pool; pool $106.2m; C8=20%</t>
        </is>
      </c>
      <c r="F8" s="631" t="inlineStr">
        <is>
          <t>EQUATION: Commission_AI = 106.2 × (1 − 0.20) = $84.96m; savings = $21.24m. SOURCED: ~30% variable (SyncGTM) explains why a commission pool exists to cut. MODEL CONST: 20% cut rate (partial take of the ~30% variable layer). SOURCED $ pool: 106.2 = 0.25 × 425. Equation dollars come from pool × cut — not from an unstated unit price.</t>
        </is>
      </c>
      <c r="G8" s="612" t="inlineStr">
        <is>
          <t>Go to AI_Operating!D8 (Commissions)</t>
        </is>
      </c>
      <c r="H8" s="612" t="inlineStr">
        <is>
          <t>syncgtm.com/blog/how-much-do-sales-development-representatives-make-at</t>
        </is>
      </c>
    </row>
    <row r="9" ht="92" customHeight="1" s="244">
      <c r="B9" s="607" t="inlineStr">
        <is>
          <t>AI infrastructure ($m)</t>
        </is>
      </c>
      <c r="C9" s="614" t="n">
        <v>34</v>
      </c>
      <c r="D9" s="609" t="inlineStr">
        <is>
          <t>Fixed AI software/compute cost = $34m from roles×$/mo×12 (1,513 S&amp;M × 25% × $5–10k/mo), not from Salesforce $/conversation pricing.</t>
        </is>
      </c>
      <c r="E9" s="630" t="inlineStr">
        <is>
          <t>EQ: ZI S&amp;M HC 1,513 (10-K) × 25% × $5–10k/mo agents × 12 → avg $34m</t>
        </is>
      </c>
      <c r="F9" s="634" t="inlineStr">
        <is>
          <t>EQUATION (only these inputs): Roles = 0.25 × 1,513 = 378. Low = 378 × $5,000 × 12 = $22.7m. High = 378 × $10,000 × 12 = $45.4m. C9 = ($22.7+$45.4)/2 = $34.0m. SOURCED: 1,513 from ZI 10-K Human Capital. SOURCED: $5k–$10k/mo enterprise AI SDR agent range (secondary link). MODEL CONST: 0.25 outbound share of S&amp;M. REMOVED: Salesforce per-conversation / per-action list prices — they do not appear in this equation, so they are not sources for C9.</t>
        </is>
      </c>
      <c r="G9" s="612" t="inlineStr">
        <is>
          <t>Go to AI_Operating!D10 (AI infrastructure)</t>
        </is>
      </c>
      <c r="H9" s="612" t="inlineStr">
        <is>
          <t>highticketaisystems.com/blog/ai-sdr-pricing-explained ($5–10k/mo)</t>
        </is>
      </c>
    </row>
    <row r="10" ht="92" customHeight="1" s="244">
      <c r="B10" s="613" t="inlineStr">
        <is>
          <t>S&amp;M expense growth Y2+</t>
        </is>
      </c>
      <c r="C10" s="608" t="n">
        <v>0.02</v>
      </c>
      <c r="D10" s="609" t="inlineStr">
        <is>
          <t>Caps future marketing cost increases. Reasonable because AI scales infinitely without needing proportional headcount additions, severing the link between revenue growth and human hiring.</t>
        </is>
      </c>
      <c r="E10" s="630" t="inlineStr">
        <is>
          <t>EQ uses: prior-year S&amp;M $ × (1+C10); C10=2% = MODEL CONST. Gartner supports non-linear headcount scaling (qualitative).</t>
        </is>
      </c>
      <c r="F10" s="631" t="inlineStr">
        <is>
          <t>EQUATION: Payroll_t = Payroll_{t−1} × (1.02). Y2 = 270.98 × 1.02 = $276.40m. SOURCED $ start: 270.98 from row-7 equation. MODEL CONST: 0.02 growth. Gartner is listed only as qualitative support that agent opex need not track headcount 1:1 — it does NOT supply the 2%. If you require every rate to be numeric-from-source, treat 2% as pure model const (Gartner optional).</t>
        </is>
      </c>
      <c r="G10" s="612" t="inlineStr">
        <is>
          <t>Go to AI_Operating!E7 (payroll Y2+)</t>
        </is>
      </c>
      <c r="H10" s="612" t="inlineStr">
        <is>
          <t>www.ciodive.com/news/AI-spending-soars-enterprise-maturity/827488/</t>
        </is>
      </c>
    </row>
    <row r="11" ht="92" customHeight="1" s="244">
      <c r="B11" s="607" t="inlineStr">
        <is>
          <t>G&amp;A % of revenue</t>
        </is>
      </c>
      <c r="C11" s="608" t="n">
        <v>0.18</v>
      </c>
      <c r="D11" s="609" t="inlineStr">
        <is>
          <t>General administrative overhead costs. Reasonable for a public-to-private SaaS company, maintaining standard corporate expenses without relying on unrealistic operational magic outside of sales.</t>
        </is>
      </c>
      <c r="E11" s="630" t="inlineStr">
        <is>
          <t>EQ uses: Rev_t × C11; C11=18% = MODEL CONST. Filing G&amp;A $295.3m/1214.3=24.3% is the sourced alternative rate (not used).</t>
        </is>
      </c>
      <c r="F11" s="631" t="inlineStr">
        <is>
          <t>EQUATION USED: G&amp;A_t = Rev_t × 0.18 → Y1 1335.73 × 0.18 = $240.43m. SOURCED Rev: from growth path / ZI base. MODEL CONST: 0.18. SOURCED BUT NOT USED IN EQ: filing G&amp;A rate 295.3/1214.3 = 24.32% (would give Y1 G&amp;A $324.9m). Honesty: 18% is not taken from the filing number.</t>
        </is>
      </c>
      <c r="G11" s="612" t="inlineStr">
        <is>
          <t>Go to AI_Operating!D12 (G&amp;A)</t>
        </is>
      </c>
      <c r="H11" s="612" t="inlineStr">
        <is>
          <t>www.sec.gov/Archives/edgar/data/1794515/000179451525000045/zi-20241231</t>
        </is>
      </c>
    </row>
    <row r="12" ht="92" customHeight="1" s="244">
      <c r="B12" s="613" t="inlineStr">
        <is>
          <t>CapEx reduction vs base</t>
        </is>
      </c>
      <c r="C12" s="608" t="n">
        <v>0.05</v>
      </c>
      <c r="D12" s="609" t="inlineStr">
        <is>
          <t>Lowers physical equipment spending. Reasonable because firing 15% of the sales team permanently eliminates the need to purchase and refresh their laptops and hardware.</t>
        </is>
      </c>
      <c r="E12" s="630" t="inlineStr">
        <is>
          <t>EQ uses: Rev × 2% CapEx_base × (1−0.05). 5% = MODEL CONST; CapEx base 2% = MODEL CONST. Source shows device $ exist in SDR all-in (qualitative).</t>
        </is>
      </c>
      <c r="F12" s="631" t="inlineStr">
        <is>
          <t>EQUATION: CapEx_AI = Rev × 0.02 × 0.95 = Rev × 0.019 → Y1 1335.73 × 0.019 = $25.38m. MODEL CONSTS in EQ: 0.02 and 0.05. Source is qualitative (SDR stacks include hardware $) — it does not print 5% or 2%. Labeled honestly: device-cost existence from source; rates are model consts.</t>
        </is>
      </c>
      <c r="G12" s="612" t="inlineStr">
        <is>
          <t>Go to AI_Operating!D19 (CapEx)</t>
        </is>
      </c>
      <c r="H12" s="612" t="inlineStr">
        <is>
          <t>firstsales.io/blog/cost-per-meeting-outbound/</t>
        </is>
      </c>
    </row>
    <row r="13" ht="92" customHeight="1" s="244">
      <c r="B13" s="607" t="inlineStr">
        <is>
          <t>WC / receivables improvement</t>
        </is>
      </c>
      <c r="C13" s="608" t="n">
        <v>0.1</v>
      </c>
      <c r="D13" s="609" t="inlineStr">
        <is>
          <t>Speeds up cash collection from clients. Reasonable because automated AI billing systems can aggressively follow up on late invoices, freeing up cash for debt paydown.</t>
        </is>
      </c>
      <c r="E13" s="630" t="inlineStr">
        <is>
          <t>EQ uses: ΔRev × 2% × (1−0.10). 10% &amp; 2% = MODEL CONST. Source supplies ~80 DSO (motivates WC, not the 10%).</t>
        </is>
      </c>
      <c r="F13" s="631" t="inlineStr">
        <is>
          <t>EQUATION: ΔNWC_AI = ΔRev × 0.02 × 0.90 = ΔRev × 0.018 → Y1 121.43 × 0.018 = $2.19m. SOURCED: ~80 receivable days (WC is real). MODEL CONSTS: 0.02 WC rate, 0.10 improvement. 80 DSO is not algebraically equal to 10% — improvement rate is model const.</t>
        </is>
      </c>
      <c r="G13" s="612" t="inlineStr">
        <is>
          <t>Go to AI_Operating!D20 (ΔNWC)</t>
        </is>
      </c>
      <c r="H13" s="612" t="inlineStr">
        <is>
          <t>www.sec.gov/Archives/edgar/data/1794515/000179451525000045/zi-20241231</t>
        </is>
      </c>
    </row>
    <row r="14" ht="92" customHeight="1" s="244">
      <c r="B14" s="613" t="inlineStr">
        <is>
          <t>SOFR</t>
        </is>
      </c>
      <c r="C14" s="616" t="n">
        <v>0.043</v>
      </c>
      <c r="D14" s="609" t="inlineStr">
        <is>
          <t>The foundational secured lending interest rate. Reasonable and historically accurate for the macroeconomic environment, properly reflecting actual institutional baseline borrowing costs.</t>
        </is>
      </c>
      <c r="E14" s="630" t="inlineStr">
        <is>
          <t>EQ uses: C14 as SOFR in TLA/TLB rates. C14=4.30% = MODEL PLANNING (FRED recent ~3.62% — not equal).</t>
        </is>
      </c>
      <c r="F14" s="631" t="inlineStr">
        <is>
          <t>EQUATION: TLA_rate = C14 + C15; Interest_TLA ≈ TLA_beg × (C14+C15). SOURCED series: FRED/NY Fed SOFR. MODEL CONST: 4.30% cushion (≠ latest ~3.62% print). To be strictly equal to source, set C14 to the FRED print; currently a planning cushion above it.</t>
        </is>
      </c>
      <c r="G14" s="612" t="inlineStr">
        <is>
          <t>Go to Debt_Sweep_AI!C12 (TLA rate uses SOFR)</t>
        </is>
      </c>
      <c r="H14" s="612" t="inlineStr">
        <is>
          <t>www.newyorkfed.org/markets/reference-rates/sofr</t>
        </is>
      </c>
    </row>
    <row r="15" ht="92" customHeight="1" s="244">
      <c r="B15" s="607" t="inlineStr">
        <is>
          <t>Term Loan A spread</t>
        </is>
      </c>
      <c r="C15" s="616" t="n">
        <v>0.04</v>
      </c>
      <c r="D15" s="609" t="inlineStr">
        <is>
          <t>The risk premium for senior debt. Reasonable for a standard LBO, reflecting typical syndicated commercial bank pricing for secured corporate borrowing.</t>
        </is>
      </c>
      <c r="E15" s="630" t="inlineStr">
        <is>
          <t>EQ uses: C15=+400bps. Source band SOFR+275–375bps — 400 is ABOVE band (conservative MODEL choice).</t>
        </is>
      </c>
      <c r="F15" s="631" t="inlineStr">
        <is>
          <t>EQUATION: TLA_rate = 4.30% + 4.00% = 8.30%; Interest_TLA = TLA_beg × 0.083. SOURCED band: ~275–375bps. MODEL CONST used: 400bps (not inside the cited midpoint). Honesty: we are outside the guide’s upper 375bps by 25bps.</t>
        </is>
      </c>
      <c r="G15" s="612" t="inlineStr">
        <is>
          <t>Go to Assumptions_Drivers!C27 (TLA rate)</t>
        </is>
      </c>
      <c r="H15" s="612" t="inlineStr">
        <is>
          <t>ibinterviewquestions.com/guides/debt-capital-markets/term-loan-b-tlb-m</t>
        </is>
      </c>
    </row>
    <row r="16" ht="92" customHeight="1" s="244">
      <c r="B16" s="613" t="inlineStr">
        <is>
          <t>Term Loan B spread</t>
        </is>
      </c>
      <c r="C16" s="616" t="n">
        <v>0.05</v>
      </c>
      <c r="D16" s="609" t="inlineStr">
        <is>
          <t>The risk premium for riskier debt. Reasonable, as Term Loan B is usually held by institutional investors requiring higher yields for slightly higher risk.</t>
        </is>
      </c>
      <c r="E16" s="630" t="inlineStr">
        <is>
          <t>EQ uses: C16=+500bps = TOP of sourced TLB band SOFR+300–500bps</t>
        </is>
      </c>
      <c r="F16" s="632" t="inlineStr">
        <is>
          <t>EQUATION: TLB_rate = 4.30% + 5.00% = 9.30%; Interest_TLB = TLB_beg × 0.093. SOURCED: 500bps is the published upper bound of SOFR+300–500. Source number (upper bound) = driver number.</t>
        </is>
      </c>
      <c r="G16" s="612" t="inlineStr">
        <is>
          <t>Go to Assumptions_Drivers!C28 (TLB rate)</t>
        </is>
      </c>
      <c r="H16" s="612" t="inlineStr">
        <is>
          <t>ryanoconnellfinance.com/lbo-debt-structure/</t>
        </is>
      </c>
    </row>
    <row r="17" ht="92" customHeight="1" s="244">
      <c r="B17" s="607" t="inlineStr">
        <is>
          <t>Mandatory amortization</t>
        </is>
      </c>
      <c r="C17" s="608" t="n">
        <v>0.01</v>
      </c>
      <c r="D17" s="609" t="inlineStr">
        <is>
          <t>Required annual principal repayment. Highly reasonable and standard market practice for leveraged loans, forcing a tiny minimum debt reduction each year.</t>
        </is>
      </c>
      <c r="E17" s="630" t="inlineStr">
        <is>
          <t>EQ uses: C17=1% = sourced TLB amort standard; principal ≈ $915.5m</t>
        </is>
      </c>
      <c r="F17" s="632" t="inlineStr">
        <is>
          <t>EQUATION: Mandatory = 915.5 × 0.01 = $9.155m/yr. SOURCED: 1% amort from TLB market standard. SOURCED structure: 915.5 = 183.1 EBITDA × 5.0x leverage (model leverage turns). 1% from source × principal = dollar mandatory.</t>
        </is>
      </c>
      <c r="G17" s="612" t="inlineStr">
        <is>
          <t>Go to Debt_Sweep_AI!D5 (Mandatory 1%)</t>
        </is>
      </c>
      <c r="H17" s="612" t="inlineStr">
        <is>
          <t>clearvaluelending.com/glossary/term-loan-b</t>
        </is>
      </c>
    </row>
    <row r="18" ht="92" customHeight="1" s="244">
      <c r="B18" s="613" t="inlineStr">
        <is>
          <t>Cash sweep %</t>
        </is>
      </c>
      <c r="C18" s="608" t="n">
        <v>1</v>
      </c>
      <c r="D18" s="609" t="inlineStr">
        <is>
          <t>Dedicates all excess cash to debt. Reasonable and standard for maximizing LBO returns, ensuring every free dollar generated immediately aggressively reduces outstanding leverage.</t>
        </is>
      </c>
      <c r="E18" s="630" t="inlineStr">
        <is>
          <t>EQ uses: C18=100% × max(0, FCF − Mandatory). 100% = MODEL CONST (mechanism sourced, not the 100%).</t>
        </is>
      </c>
      <c r="F18" s="631" t="inlineStr">
        <is>
          <t>EQUATION: Sweep_$ = 1.00 × max(0, FCF_$ − Mandatory_$). SOURCED: optional prepay / excess-cash delever mechanism. MODEL CONST: 100% sweep fraction. Dollar total = FCF path × 100% — rate is model switch.</t>
        </is>
      </c>
      <c r="G18" s="612" t="inlineStr">
        <is>
          <t>Go to Debt_Sweep_AI!E5 (Total paydown)</t>
        </is>
      </c>
      <c r="H18" s="612" t="inlineStr">
        <is>
          <t>ibinterviewquestions.com/guides/valuation-investment-banking/lbo-debt-</t>
        </is>
      </c>
    </row>
    <row r="19" ht="92" customHeight="1" s="244">
      <c r="B19" s="607" t="inlineStr">
        <is>
          <t>Tax rate</t>
        </is>
      </c>
      <c r="C19" s="608" t="n">
        <v>0.21</v>
      </c>
      <c r="D19" s="609" t="inlineStr">
        <is>
          <t>Corporate income tax obligation. Perfectly reasonable because it strictly matches the current standard U.S. federal statutory corporate tax rate without aggressive tax-dodging assumptions.</t>
        </is>
      </c>
      <c r="E19" s="630" t="inlineStr">
        <is>
          <t>EQ uses: C19=21% = sourced US federal CIT</t>
        </is>
      </c>
      <c r="F19" s="632" t="inlineStr">
        <is>
          <t>EQUATION: Tax_$ = max(0, EBT_$) × 0.21. SOURCED: 21% statutory rate (PwC). Source number = driver number. If EBT=$100m → Tax=$21m.</t>
        </is>
      </c>
      <c r="G19" s="612" t="inlineStr">
        <is>
          <t>Go to AI_Operating!D18 (Net income)</t>
        </is>
      </c>
      <c r="H19" s="612" t="inlineStr">
        <is>
          <t>tradingeconomics.com/united-states/corporate-tax-rate</t>
        </is>
      </c>
    </row>
    <row r="20" ht="92" customHeight="1" s="244">
      <c r="B20" s="613" t="inlineStr">
        <is>
          <t>Exit EV/EBITDA multiple</t>
        </is>
      </c>
      <c r="C20" s="617" t="n">
        <v>13</v>
      </c>
      <c r="D20" s="609" t="inlineStr">
        <is>
          <t>The valuation multiple upon selling. Reasonable to keep it conservative; relying on a 13x exit assumes no market inflation, proving returns come from operational growth.</t>
        </is>
      </c>
      <c r="E20" s="630" t="inlineStr">
        <is>
          <t>EQ uses: C20=13x. Source band 15–22x — 13 is BELOW band (MODEL CONST conservative).</t>
        </is>
      </c>
      <c r="F20" s="631" t="inlineStr">
        <is>
          <t>EQUATION: Exit_EV = Y5_EBITDA × 13. SOURCED band: ~15–22x (not used as 13). MODEL CONST: 13.0x. Honesty: 13 does not equal a number printed in the source; source only bounds a higher range we under-cut.</t>
        </is>
      </c>
      <c r="G20" s="612" t="inlineStr">
        <is>
          <t>Go to LBO!D17 (Exit multiple)</t>
        </is>
      </c>
      <c r="H20" s="612" t="inlineStr">
        <is>
          <t>aventis-advisors.com/software-valuation-multiples/</t>
        </is>
      </c>
    </row>
    <row r="21" ht="92" customHeight="1" s="244">
      <c r="B21" s="607" t="inlineStr">
        <is>
          <t>S&amp;M baseline ($m)</t>
        </is>
      </c>
      <c r="C21" s="614" t="n">
        <v>425</v>
      </c>
      <c r="D21" s="609" t="inlineStr">
        <is>
          <t>This is historical assumptions without AI. Total initial sales spend is reasonable, representing roughly 35% of FY24 revenue, perfectly aligning with standard SaaS benchmarks.</t>
        </is>
      </c>
      <c r="E21" s="630" t="inlineStr">
        <is>
          <t>EQ uses: target ≈35%×$1,214.3m. Filing S&amp;M $414.1m (34.1%) → round to C21=$425m</t>
        </is>
      </c>
      <c r="F21" s="632" t="inlineStr">
        <is>
          <t>EQUATION: 0.35 × 1214.3 = $425.005 ≈ C21=$425.0m. SOURCED: Rev 1214.3 and S&amp;M 414.1 (34.1%) from ZI FY24 results. MODEL ROUND: choose 35% near 34.1% → $425m. Filing dollars drive the equation; 35% is the rounding choice.</t>
        </is>
      </c>
      <c r="G21" s="612" t="inlineStr">
        <is>
          <t>Go to AI_Operating!C9 (S&amp;M human FY24A)</t>
        </is>
      </c>
      <c r="H21" s="612" t="inlineStr">
        <is>
          <t>www.key.com/content/dam/kco/documents/businesses___institutions/2024_k</t>
        </is>
      </c>
    </row>
    <row r="22" ht="92" customHeight="1" s="244">
      <c r="B22" s="613" t="inlineStr">
        <is>
          <t>Payroll baseline ($m)</t>
        </is>
      </c>
      <c r="C22" s="614" t="n">
        <v>318.8</v>
      </c>
      <c r="D22" s="609" t="inlineStr">
        <is>
          <t>This is historical assumptions without AI. The fixed salary portion is reasonable, representing 75% of S&amp;M, accurately reflecting that human software sales floors are base-salary heavy.</t>
        </is>
      </c>
      <c r="E22" s="630" t="inlineStr">
        <is>
          <t>EQ uses: ~70% base share (SyncGTM) → set 75% × $425m = $318.8m</t>
        </is>
      </c>
      <c r="F22" s="632" t="inlineStr">
        <is>
          <t>EQUATION: C22 = 0.75 × 425 = $318.8m. SOURCED: ~70% base of OTE (SyncGTM) → we use 75% of S&amp;M pool. SOURCED $: 425 from row 21. 75% is a model allocation near the sourced ~70%.</t>
        </is>
      </c>
      <c r="G22" s="612" t="inlineStr">
        <is>
          <t>Go to AI_Operating!C7 (Payroll FY24A)</t>
        </is>
      </c>
      <c r="H22" s="612" t="inlineStr">
        <is>
          <t>pulserevops.com/knowledge/ra0197</t>
        </is>
      </c>
    </row>
    <row r="23" ht="92" customHeight="1" s="244">
      <c r="B23" s="607" t="inlineStr">
        <is>
          <t>Commission baseline ($m)</t>
        </is>
      </c>
      <c r="C23" s="614" t="n">
        <v>106.2</v>
      </c>
      <c r="D23" s="609" t="inlineStr">
        <is>
          <t>This is historical assumptions without AI. The variable payout is reasonable, calculating exactly to the remaining 25% of the budget, representing standard quota-based enterprise sales incentives.</t>
        </is>
      </c>
      <c r="E23" s="630" t="inlineStr">
        <is>
          <t>EQ uses: residual 25% × $425m = $106.2m (near sourced ~30–35% variable)</t>
        </is>
      </c>
      <c r="F23" s="632" t="inlineStr">
        <is>
          <t>EQUATION: C23 = 0.25 × 425 = $106.2m; check 318.8+106.2=425. SOURCED: variable ~30–35% of OTE. MODEL: 25% of S&amp;M as commission pool (residual after 75% payroll). Dollars from 425 × 0.25 — residual identity, informed by sourced variable share.</t>
        </is>
      </c>
      <c r="G23" s="612" t="inlineStr">
        <is>
          <t>Go to AI_Operating!C8 (Commissions FY24A)</t>
        </is>
      </c>
      <c r="H23" s="612" t="inlineStr">
        <is>
          <t>syncgtm.com/blog/how-to-pay-sales-development-rep</t>
        </is>
      </c>
    </row>
    <row r="24" ht="92" customHeight="1" s="244">
      <c r="B24" s="613" t="inlineStr">
        <is>
          <t>CapEx base % of rev</t>
        </is>
      </c>
      <c r="C24" s="608" t="n">
        <v>0.02</v>
      </c>
      <c r="D24" s="609" t="inlineStr">
        <is>
          <t>This is historical assumptions without AI. Normal hardware and capitalized software spending is reasonable for asset-light tech companies investing heavily in code rather than factories.</t>
        </is>
      </c>
      <c r="E24" s="630" t="inlineStr">
        <is>
          <t>EQ uses: CapEx = Rev × 0.02. 2% = MODEL CONST. Source uFCF $446.9m shows low CapEx intensity (qualitative).</t>
        </is>
      </c>
      <c r="F24" s="631" t="inlineStr">
        <is>
          <t>EQUATION: CapEx_base_$ = Rev × 0.02 → Y1 1335.73 × 0.02 = $26.71m. MODEL CONST: 0.02. SOURCED qualitative: uFCF 446.9 on 1214.3 rev supports asset-light profile — does not equal 2%.</t>
        </is>
      </c>
      <c r="G24" s="612" t="inlineStr">
        <is>
          <t>Go to AI_Operating!D19 (CapEx)</t>
        </is>
      </c>
      <c r="H24" s="612" t="inlineStr">
        <is>
          <t>www.sec.gov/Archives/edgar/data/1794515/000179451525000045/zi-20241231</t>
        </is>
      </c>
    </row>
    <row r="25" ht="92" customHeight="1" s="244">
      <c r="B25" s="607" t="inlineStr">
        <is>
          <t>WC base % of Δrev</t>
        </is>
      </c>
      <c r="C25" s="608" t="n">
        <v>0.02</v>
      </c>
      <c r="D25" s="609" t="inlineStr">
        <is>
          <t>This is historical assumptions without AI. Normal working capital needs are reasonable, showing that as revenue grows, a small percentage of cash gets tied up in daily operations.</t>
        </is>
      </c>
      <c r="E25" s="630" t="inlineStr">
        <is>
          <t>EQ uses: ΔNWC = ΔRev × 0.02. 2% = MODEL CONST. Source ~80 DSO motivates WC (not equal to 2%).</t>
        </is>
      </c>
      <c r="F25" s="631" t="inlineStr">
        <is>
          <t>EQUATION: ΔNWC_$ = ΔRev × 0.02 → Y1 121.43 × 0.02 = $2.43m. MODEL CONST: 0.02. SOURCED: ~80 DSO. Not algebraically 2% — WC plug is model const.</t>
        </is>
      </c>
      <c r="G25" s="612" t="inlineStr">
        <is>
          <t>Go to AI_Operating!D20 (ΔNWC)</t>
        </is>
      </c>
      <c r="H25" s="612" t="inlineStr">
        <is>
          <t>www.sec.gov/Archives/edgar/data/1794515/000179451525000045/zi-20241231</t>
        </is>
      </c>
    </row>
    <row r="26">
      <c r="B26" s="618" t="inlineStr">
        <is>
          <t>Computed rates (SOFR + spreads) — still sourced on the same row</t>
        </is>
      </c>
    </row>
    <row r="27" ht="92" customHeight="1" s="244">
      <c r="B27" s="613" t="inlineStr">
        <is>
          <t>TLA rate (SOFR+4)</t>
        </is>
      </c>
      <c r="C27" s="619">
        <f>C14+C15</f>
        <v/>
      </c>
      <c r="D27" s="609" t="inlineStr">
        <is>
          <t>Total Term Loan A interest. Mathematically correct and reasonable for the total borrowing cost demanded by senior lenders in this specific rate environment.</t>
        </is>
      </c>
      <c r="E27" s="630" t="inlineStr">
        <is>
          <t>EQ uses: C27 = C14 + C15 only (SOFR + TLA spread). No other sources.</t>
        </is>
      </c>
      <c r="F27" s="632" t="inlineStr">
        <is>
          <t>EQUATION: C27 = 4.30% + 4.00% = 8.30%. Interest_TLA = TLA_beg × 0.083. Inputs solely from C14 and C15 (their sources/notes on those rows). No SF or unrelated links.</t>
        </is>
      </c>
      <c r="G27" s="612" t="inlineStr">
        <is>
          <t>Go to Debt_Sweep_AI!C12 (TLA rate)</t>
        </is>
      </c>
      <c r="H27" s="612" t="inlineStr">
        <is>
          <t>ryanoconnellfinance.com/lbo-debt-structure/</t>
        </is>
      </c>
    </row>
    <row r="28" ht="92" customHeight="1" s="244">
      <c r="B28" s="607" t="inlineStr">
        <is>
          <t>TLB rate (SOFR+5)</t>
        </is>
      </c>
      <c r="C28" s="619">
        <f>C14+C16</f>
        <v/>
      </c>
      <c r="D28" s="609" t="inlineStr">
        <is>
          <t>Total Term Loan B interest. Mathematically correct and perfectly reasonable, pricing the institutional debt risk appropriately above the safer Term Loan A.</t>
        </is>
      </c>
      <c r="E28" s="630" t="inlineStr">
        <is>
          <t>EQ uses: C28 = C14 + C16 only (SOFR + TLB spread).</t>
        </is>
      </c>
      <c r="F28" s="632" t="inlineStr">
        <is>
          <t>EQUATION: C28 = 4.30% + 5.00% = 9.30%. Interest_TLB = TLB_beg × 0.093. Inputs solely from C14 and C16. TLB +500bps sourced on row 16 as top of SOFR+300–500 band.</t>
        </is>
      </c>
      <c r="G28" s="612" t="inlineStr">
        <is>
          <t>Go to Debt_Sweep_AI!D12 (TLB rate)</t>
        </is>
      </c>
      <c r="H28" s="612" t="inlineStr">
        <is>
          <t>ibinterviewquestions.com/guides/valuation-investment-banking/lbo-debt-</t>
        </is>
      </c>
    </row>
    <row r="29" ht="72" customHeight="1" s="244">
      <c r="B29" s="618" t="inlineStr">
        <is>
          <t>AI $34m equation (Salesforce per-conversation pricing REMOVED — not in math):</t>
        </is>
      </c>
      <c r="C29" s="620" t="inlineStr">
        <is>
          <t>EQUATION (only these inputs): Roles = 0.25 × 1,513 = 378. Low = 378 × $5,000 × 12 = $22.7m. High = 378 × $10,000 × 12 = $45.4m. C9 = ($22.7+$45.4)/2 = $34.0m. SOURCED: 1,513 from ZI 10-K Human Capital. SOURCED: $5k–$10k/mo enterprise AI SDR agent range (secondary link). MODEL CONST: 0.25 outbound share of S&amp;M. REMOVED: Salesforce per-conversation / per-action list prices — they do not appear in this equation, so they are not sources for C9.</t>
        </is>
      </c>
      <c r="D29" s="621" t="n"/>
      <c r="E29" s="621" t="n"/>
      <c r="F29" s="622" t="n"/>
    </row>
    <row r="30">
      <c r="B30" s="618" t="inlineStr">
        <is>
          <t>PDF:</t>
        </is>
      </c>
      <c r="C30" s="593" t="inlineStr">
        <is>
          <t>https://raw.githubusercontent.com/vengeanceaiUSC/Rainmaker/cursor/vengeanceaiusclbomodel2-44dc/LBO/output/LBOMODEL2_DRIVER_SOURCES.pdf</t>
        </is>
      </c>
    </row>
    <row r="31">
      <c r="B31" s="623" t="inlineStr">
        <is>
          <t>Educational / research use only — not investment advice. Vendor list prices change; treat triangulation as order-of-magnitude support.</t>
        </is>
      </c>
    </row>
  </sheetData>
  <mergeCells count="2">
    <mergeCell ref="C29:F29"/>
    <mergeCell ref="B3:H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H5" r:id="rId3"/>
    <hyperlink xmlns:r="http://schemas.openxmlformats.org/officeDocument/2006/relationships" ref="E6" r:id="rId4"/>
    <hyperlink xmlns:r="http://schemas.openxmlformats.org/officeDocument/2006/relationships" ref="G6" r:id="rId5"/>
    <hyperlink xmlns:r="http://schemas.openxmlformats.org/officeDocument/2006/relationships" ref="H6" r:id="rId6"/>
    <hyperlink xmlns:r="http://schemas.openxmlformats.org/officeDocument/2006/relationships" ref="E7" r:id="rId7"/>
    <hyperlink xmlns:r="http://schemas.openxmlformats.org/officeDocument/2006/relationships" ref="G7" r:id="rId8"/>
    <hyperlink xmlns:r="http://schemas.openxmlformats.org/officeDocument/2006/relationships" ref="H7" r:id="rId9"/>
    <hyperlink xmlns:r="http://schemas.openxmlformats.org/officeDocument/2006/relationships" ref="E8" r:id="rId10"/>
    <hyperlink xmlns:r="http://schemas.openxmlformats.org/officeDocument/2006/relationships" ref="G8" r:id="rId11"/>
    <hyperlink xmlns:r="http://schemas.openxmlformats.org/officeDocument/2006/relationships" ref="H8" r:id="rId12"/>
    <hyperlink xmlns:r="http://schemas.openxmlformats.org/officeDocument/2006/relationships" ref="E9" r:id="rId13"/>
    <hyperlink xmlns:r="http://schemas.openxmlformats.org/officeDocument/2006/relationships" ref="G9" r:id="rId14"/>
    <hyperlink xmlns:r="http://schemas.openxmlformats.org/officeDocument/2006/relationships" ref="H9" r:id="rId15"/>
    <hyperlink xmlns:r="http://schemas.openxmlformats.org/officeDocument/2006/relationships" ref="E10" r:id="rId16"/>
    <hyperlink xmlns:r="http://schemas.openxmlformats.org/officeDocument/2006/relationships" ref="G10" r:id="rId17"/>
    <hyperlink xmlns:r="http://schemas.openxmlformats.org/officeDocument/2006/relationships" ref="H10" r:id="rId18"/>
    <hyperlink xmlns:r="http://schemas.openxmlformats.org/officeDocument/2006/relationships" ref="E11" r:id="rId19"/>
    <hyperlink xmlns:r="http://schemas.openxmlformats.org/officeDocument/2006/relationships" ref="G11" r:id="rId20"/>
    <hyperlink xmlns:r="http://schemas.openxmlformats.org/officeDocument/2006/relationships" ref="H11" r:id="rId21"/>
    <hyperlink xmlns:r="http://schemas.openxmlformats.org/officeDocument/2006/relationships" ref="E12" r:id="rId22"/>
    <hyperlink xmlns:r="http://schemas.openxmlformats.org/officeDocument/2006/relationships" ref="G12" r:id="rId23"/>
    <hyperlink xmlns:r="http://schemas.openxmlformats.org/officeDocument/2006/relationships" ref="H12" r:id="rId24"/>
    <hyperlink xmlns:r="http://schemas.openxmlformats.org/officeDocument/2006/relationships" ref="E13" r:id="rId25"/>
    <hyperlink xmlns:r="http://schemas.openxmlformats.org/officeDocument/2006/relationships" ref="G13" r:id="rId26"/>
    <hyperlink xmlns:r="http://schemas.openxmlformats.org/officeDocument/2006/relationships" ref="H13" r:id="rId27"/>
    <hyperlink xmlns:r="http://schemas.openxmlformats.org/officeDocument/2006/relationships" ref="E14" r:id="rId28"/>
    <hyperlink xmlns:r="http://schemas.openxmlformats.org/officeDocument/2006/relationships" ref="G14" r:id="rId29"/>
    <hyperlink xmlns:r="http://schemas.openxmlformats.org/officeDocument/2006/relationships" ref="H14" r:id="rId30"/>
    <hyperlink xmlns:r="http://schemas.openxmlformats.org/officeDocument/2006/relationships" ref="E15" r:id="rId31"/>
    <hyperlink xmlns:r="http://schemas.openxmlformats.org/officeDocument/2006/relationships" ref="G15" r:id="rId32"/>
    <hyperlink xmlns:r="http://schemas.openxmlformats.org/officeDocument/2006/relationships" ref="H15" r:id="rId33"/>
    <hyperlink xmlns:r="http://schemas.openxmlformats.org/officeDocument/2006/relationships" ref="E16" r:id="rId34"/>
    <hyperlink xmlns:r="http://schemas.openxmlformats.org/officeDocument/2006/relationships" ref="G16" r:id="rId35"/>
    <hyperlink xmlns:r="http://schemas.openxmlformats.org/officeDocument/2006/relationships" ref="H16" r:id="rId36"/>
    <hyperlink xmlns:r="http://schemas.openxmlformats.org/officeDocument/2006/relationships" ref="E17" r:id="rId37"/>
    <hyperlink xmlns:r="http://schemas.openxmlformats.org/officeDocument/2006/relationships" ref="G17" r:id="rId38"/>
    <hyperlink xmlns:r="http://schemas.openxmlformats.org/officeDocument/2006/relationships" ref="H17" r:id="rId39"/>
    <hyperlink xmlns:r="http://schemas.openxmlformats.org/officeDocument/2006/relationships" ref="E18" r:id="rId40"/>
    <hyperlink xmlns:r="http://schemas.openxmlformats.org/officeDocument/2006/relationships" ref="G18" r:id="rId41"/>
    <hyperlink xmlns:r="http://schemas.openxmlformats.org/officeDocument/2006/relationships" ref="H18" r:id="rId42"/>
    <hyperlink xmlns:r="http://schemas.openxmlformats.org/officeDocument/2006/relationships" ref="E19" r:id="rId43"/>
    <hyperlink xmlns:r="http://schemas.openxmlformats.org/officeDocument/2006/relationships" ref="G19" r:id="rId44"/>
    <hyperlink xmlns:r="http://schemas.openxmlformats.org/officeDocument/2006/relationships" ref="H19" r:id="rId45"/>
    <hyperlink xmlns:r="http://schemas.openxmlformats.org/officeDocument/2006/relationships" ref="E20" r:id="rId46"/>
    <hyperlink xmlns:r="http://schemas.openxmlformats.org/officeDocument/2006/relationships" ref="G20" r:id="rId47"/>
    <hyperlink xmlns:r="http://schemas.openxmlformats.org/officeDocument/2006/relationships" ref="H20" r:id="rId48"/>
    <hyperlink xmlns:r="http://schemas.openxmlformats.org/officeDocument/2006/relationships" ref="E21" r:id="rId49"/>
    <hyperlink xmlns:r="http://schemas.openxmlformats.org/officeDocument/2006/relationships" ref="G21" r:id="rId50"/>
    <hyperlink xmlns:r="http://schemas.openxmlformats.org/officeDocument/2006/relationships" ref="H21" r:id="rId51"/>
    <hyperlink xmlns:r="http://schemas.openxmlformats.org/officeDocument/2006/relationships" ref="E22" r:id="rId52"/>
    <hyperlink xmlns:r="http://schemas.openxmlformats.org/officeDocument/2006/relationships" ref="G22" r:id="rId53"/>
    <hyperlink xmlns:r="http://schemas.openxmlformats.org/officeDocument/2006/relationships" ref="H22" r:id="rId54"/>
    <hyperlink xmlns:r="http://schemas.openxmlformats.org/officeDocument/2006/relationships" ref="E23" r:id="rId55"/>
    <hyperlink xmlns:r="http://schemas.openxmlformats.org/officeDocument/2006/relationships" ref="G23" r:id="rId56"/>
    <hyperlink xmlns:r="http://schemas.openxmlformats.org/officeDocument/2006/relationships" ref="H23" r:id="rId57"/>
    <hyperlink xmlns:r="http://schemas.openxmlformats.org/officeDocument/2006/relationships" ref="E24" r:id="rId58"/>
    <hyperlink xmlns:r="http://schemas.openxmlformats.org/officeDocument/2006/relationships" ref="G24" r:id="rId59"/>
    <hyperlink xmlns:r="http://schemas.openxmlformats.org/officeDocument/2006/relationships" ref="H24" r:id="rId60"/>
    <hyperlink xmlns:r="http://schemas.openxmlformats.org/officeDocument/2006/relationships" ref="E25" r:id="rId61"/>
    <hyperlink xmlns:r="http://schemas.openxmlformats.org/officeDocument/2006/relationships" ref="G25" r:id="rId62"/>
    <hyperlink xmlns:r="http://schemas.openxmlformats.org/officeDocument/2006/relationships" ref="H25" r:id="rId63"/>
    <hyperlink xmlns:r="http://schemas.openxmlformats.org/officeDocument/2006/relationships" ref="E27" r:id="rId64"/>
    <hyperlink xmlns:r="http://schemas.openxmlformats.org/officeDocument/2006/relationships" ref="G27" r:id="rId65"/>
    <hyperlink xmlns:r="http://schemas.openxmlformats.org/officeDocument/2006/relationships" ref="H27" r:id="rId66"/>
    <hyperlink xmlns:r="http://schemas.openxmlformats.org/officeDocument/2006/relationships" ref="E28" r:id="rId67"/>
    <hyperlink xmlns:r="http://schemas.openxmlformats.org/officeDocument/2006/relationships" ref="G28" r:id="rId68"/>
    <hyperlink xmlns:r="http://schemas.openxmlformats.org/officeDocument/2006/relationships" ref="H28" r:id="rId69"/>
    <hyperlink xmlns:r="http://schemas.openxmlformats.org/officeDocument/2006/relationships" ref="C30" r:id="rId7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4">
      <c r="B24" s="564" t="inlineStr">
        <is>
          <t>AI STRATEGY RULES (as specified)</t>
        </is>
      </c>
    </row>
    <row r="25">
      <c r="B25" t="inlineStr">
        <is>
          <t>Y1: cut S&amp;M 15% vs baseline $425m; add $34m AI software/compute cost</t>
        </is>
      </c>
    </row>
    <row r="26">
      <c r="B26" t="inlineStr">
        <is>
          <t>Y2–Y5: S&amp;M grows only 2%/yr (AI scales without headcount)</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624" t="n">
        <v>0.1085118998600017</v>
      </c>
      <c r="D31" s="624" t="n">
        <v>0.1882716226673465</v>
      </c>
      <c r="E31" s="624" t="n">
        <v>0.07975972280734472</v>
      </c>
      <c r="F31" s="625" t="inlineStr">
        <is>
          <t>Year 2 operating profitability; the AI strategy drove this from 10.9% to 18.8%, expanding the margin by 8.0%.</t>
        </is>
      </c>
    </row>
    <row r="32" ht="42" customHeight="1" s="244">
      <c r="B32" s="575" t="inlineStr">
        <is>
          <t>Y2 margin vs baseline (bps)</t>
        </is>
      </c>
      <c r="C32" s="626" t="n">
        <v>-422.7456147574727</v>
      </c>
      <c r="D32" s="626" t="n">
        <v>374.8516133159746</v>
      </c>
      <c r="E32" s="626" t="n">
        <v>797.5972280734472</v>
      </c>
      <c r="F32" s="625" t="inlineStr">
        <is>
          <t>The difference from baseline margin; AI implementation increased this metric by 797.6 basis points to reach 374.9.</t>
        </is>
      </c>
    </row>
    <row r="33" ht="42" customHeight="1" s="244">
      <c r="B33" s="575" t="inlineStr">
        <is>
          <t>Y5 EBITDA ($m)</t>
        </is>
      </c>
      <c r="C33" s="626" t="n">
        <v>212.2104606600003</v>
      </c>
      <c r="D33" s="626" t="n">
        <v>477.3963076296004</v>
      </c>
      <c r="E33" s="626" t="n">
        <v>265.1858469696001</v>
      </c>
      <c r="F33" s="625" t="inlineStr">
        <is>
          <t>Year 5 EBITDA; AI-driven cost savings (with $34m AI infra) boosted this to $477.4m vs Base $212.2m.</t>
        </is>
      </c>
    </row>
    <row r="34" ht="42" customHeight="1" s="244">
      <c r="B34" s="575" t="inlineStr">
        <is>
          <t>Exit EV @ 13x ($m)</t>
        </is>
      </c>
      <c r="C34" s="626" t="n">
        <v>2758.735988580003</v>
      </c>
      <c r="D34" s="626" t="n">
        <v>6206.151999184804</v>
      </c>
      <c r="E34" s="626" t="n">
        <v>3447.416010604801</v>
      </c>
      <c r="F34" s="625" t="inlineStr">
        <is>
          <t>Projected exit EV; higher EBITDA from AI increased this valuation by $3,447.4m to $6,206.2m.</t>
        </is>
      </c>
    </row>
    <row r="35" ht="42" customHeight="1" s="244">
      <c r="B35" s="575" t="inlineStr">
        <is>
          <t>Exit net debt ($m)</t>
        </is>
      </c>
      <c r="C35" s="626" t="n">
        <v>557.1124750633038</v>
      </c>
      <c r="D35" s="626" t="n">
        <v>0</v>
      </c>
      <c r="E35" s="626" t="n">
        <v>-557.1124750633038</v>
      </c>
      <c r="F35" s="625" t="inlineStr">
        <is>
          <t>Remaining debt at exit; AI case $0.0m vs Base $557.1m.</t>
        </is>
      </c>
    </row>
    <row r="36" ht="42" customHeight="1" s="244">
      <c r="B36" s="575" t="inlineStr">
        <is>
          <t>Exit equity value ($m)</t>
        </is>
      </c>
      <c r="C36" s="626" t="n">
        <v>2201.623513516699</v>
      </c>
      <c r="D36" s="626" t="n">
        <v>6206.151999184804</v>
      </c>
      <c r="E36" s="626" t="n">
        <v>4004.528485668105</v>
      </c>
      <c r="F36" s="625" t="inlineStr">
        <is>
          <t>Total equity payout; AI strategy increased final payout by $4,004.5m to $6,206.2m.</t>
        </is>
      </c>
    </row>
    <row r="37" ht="42" customHeight="1" s="244">
      <c r="B37" s="575" t="inlineStr">
        <is>
          <t>MOIC</t>
        </is>
      </c>
      <c r="C37" s="627" t="n">
        <v>1.17652754423803</v>
      </c>
      <c r="D37" s="627" t="n">
        <v>3.316511077366568</v>
      </c>
      <c r="E37" s="627" t="n">
        <v>2.139983533128538</v>
      </c>
      <c r="F37" s="625" t="inlineStr">
        <is>
          <t>Multiple on Invested Capital; AI improved gross cash return from 1.18x to 3.32x.</t>
        </is>
      </c>
    </row>
    <row r="38" ht="42" customHeight="1" s="244">
      <c r="B38" s="575" t="inlineStr">
        <is>
          <t>IRR</t>
        </is>
      </c>
      <c r="C38" s="624" t="n">
        <v>0.03304780632992022</v>
      </c>
      <c r="D38" s="624" t="n">
        <v>0.2709728997774654</v>
      </c>
      <c r="E38" s="624" t="n">
        <v>0.2379250934475452</v>
      </c>
      <c r="F38" s="625" t="inlineStr">
        <is>
          <t>5-year IRR; AI boosted return by 23.8 percentage points to 27.1% (AI infra now $34m midpoint).</t>
        </is>
      </c>
    </row>
    <row r="39">
      <c r="B39" t="inlineStr">
        <is>
          <t>The IRR is calculated over a 5-year period.</t>
        </is>
      </c>
    </row>
    <row r="40">
      <c r="B40" s="564" t="inlineStr">
        <is>
          <t>IRR POINTS FROM AI-DRIVEN S&amp;M REDUCTION</t>
        </is>
      </c>
    </row>
    <row r="41">
      <c r="B41" s="569" t="inlineStr">
        <is>
          <t>AI case IRR 27.1% − Base IRR 3.3% = 23.8 percentage points of IRR</t>
        </is>
      </c>
    </row>
    <row r="42">
      <c r="B42" s="569" t="inlineStr">
        <is>
          <t>Y2 AI EBITDA margin 18.8% vs baseline 15.1% = 375 bps (target ≥500: NO)</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$34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7">
      <c r="B27" s="564" t="inlineStr">
        <is>
          <t>AI Infrastructure $34m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628" t="n">
        <v>2025</v>
      </c>
      <c r="C5" s="626" t="n">
        <v>106.533319</v>
      </c>
      <c r="D5" s="626" t="n">
        <v>9.154999999999999</v>
      </c>
      <c r="E5" s="626" t="n">
        <v>106.533319</v>
      </c>
      <c r="F5" s="626" t="n">
        <v>808.966681</v>
      </c>
      <c r="G5" s="626" t="n">
        <v>877.5180999999999</v>
      </c>
      <c r="H5" s="626" t="n">
        <v>68.5514189999999</v>
      </c>
    </row>
    <row r="6">
      <c r="B6" s="628" t="n">
        <v>2026</v>
      </c>
      <c r="C6" s="626" t="n">
        <v>155.5010311268301</v>
      </c>
      <c r="D6" s="626" t="n">
        <v>9.154999999999999</v>
      </c>
      <c r="E6" s="626" t="n">
        <v>155.5010311268301</v>
      </c>
      <c r="F6" s="626" t="n">
        <v>653.4656498731698</v>
      </c>
      <c r="G6" s="626" t="n">
        <v>824.8037622999997</v>
      </c>
      <c r="H6" s="626" t="n">
        <v>171.3381124268299</v>
      </c>
    </row>
    <row r="7">
      <c r="B7" s="628" t="n">
        <v>2027</v>
      </c>
      <c r="C7" s="626" t="n">
        <v>212.3276965378165</v>
      </c>
      <c r="D7" s="626" t="n">
        <v>9.154999999999999</v>
      </c>
      <c r="E7" s="626" t="n">
        <v>212.3276965378165</v>
      </c>
      <c r="F7" s="626" t="n">
        <v>441.1379533353534</v>
      </c>
      <c r="G7" s="626" t="n">
        <v>754.9762005708997</v>
      </c>
      <c r="H7" s="626" t="n">
        <v>313.8382472355463</v>
      </c>
    </row>
    <row r="8">
      <c r="B8" s="628" t="n">
        <v>2028</v>
      </c>
      <c r="C8" s="626" t="n">
        <v>278.1336741716516</v>
      </c>
      <c r="D8" s="626" t="n">
        <v>9.154999999999999</v>
      </c>
      <c r="E8" s="626" t="n">
        <v>278.1336741716516</v>
      </c>
      <c r="F8" s="626" t="n">
        <v>163.0042791637017</v>
      </c>
      <c r="G8" s="626" t="n">
        <v>665.9609770683334</v>
      </c>
      <c r="H8" s="626" t="n">
        <v>502.9566979046317</v>
      </c>
    </row>
    <row r="9">
      <c r="B9" s="628" t="n">
        <v>2029</v>
      </c>
      <c r="C9" s="626" t="n">
        <v>355.725762314317</v>
      </c>
      <c r="D9" s="626" t="n">
        <v>9.154999999999999</v>
      </c>
      <c r="E9" s="626" t="n">
        <v>163.0042791637017</v>
      </c>
      <c r="F9" s="626" t="n">
        <v>0</v>
      </c>
      <c r="G9" s="626" t="n">
        <v>557.1124750633038</v>
      </c>
      <c r="H9" s="626"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350.68</v>
      </c>
      <c r="E7" s="626" t="n">
        <v>385.748</v>
      </c>
      <c r="F7" s="626" t="n">
        <v>424.3228000000001</v>
      </c>
      <c r="G7" s="626" t="n">
        <v>466.7550800000001</v>
      </c>
      <c r="H7" s="626" t="n">
        <v>513.4305880000002</v>
      </c>
    </row>
    <row r="8">
      <c r="B8" s="575" t="inlineStr">
        <is>
          <t>Variable commissions</t>
        </is>
      </c>
      <c r="C8" s="582" t="n">
        <v>106.2</v>
      </c>
      <c r="D8" s="626" t="n">
        <v>116.82</v>
      </c>
      <c r="E8" s="626" t="n">
        <v>128.502</v>
      </c>
      <c r="F8" s="626" t="n">
        <v>141.3522</v>
      </c>
      <c r="G8" s="626" t="n">
        <v>155.48742</v>
      </c>
      <c r="H8" s="626" t="n">
        <v>171.0361620000001</v>
      </c>
    </row>
    <row r="9">
      <c r="B9" s="575" t="inlineStr">
        <is>
          <t>S&amp;M human total</t>
        </is>
      </c>
      <c r="C9" s="582" t="n">
        <v>425</v>
      </c>
      <c r="D9" s="626" t="n">
        <v>467.5</v>
      </c>
      <c r="E9" s="626" t="n">
        <v>514.25</v>
      </c>
      <c r="F9" s="626" t="n">
        <v>565.6750000000002</v>
      </c>
      <c r="G9" s="626" t="n">
        <v>622.2425000000002</v>
      </c>
      <c r="H9" s="626" t="n">
        <v>684.4667500000003</v>
      </c>
    </row>
    <row r="10">
      <c r="B10" s="575" t="inlineStr">
        <is>
          <t>AI infrastructure</t>
        </is>
      </c>
      <c r="C10" s="582" t="n">
        <v>0</v>
      </c>
      <c r="D10" s="626" t="n">
        <v>0</v>
      </c>
      <c r="E10" s="626" t="n">
        <v>0</v>
      </c>
      <c r="F10" s="626" t="n">
        <v>0</v>
      </c>
      <c r="G10" s="626" t="n">
        <v>0</v>
      </c>
      <c r="H10" s="626" t="n">
        <v>0</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144.9426000000001</v>
      </c>
      <c r="E13" s="626" t="n">
        <v>159.4368600000001</v>
      </c>
      <c r="F13" s="626" t="n">
        <v>175.380546</v>
      </c>
      <c r="G13" s="626" t="n">
        <v>192.9186006000002</v>
      </c>
      <c r="H13" s="626" t="n">
        <v>212.2104606600003</v>
      </c>
    </row>
    <row r="14">
      <c r="B14" s="575" t="inlineStr">
        <is>
          <t>EBITDA margin</t>
        </is>
      </c>
      <c r="C14" s="583" t="n">
        <v>0.150786461335749</v>
      </c>
      <c r="D14" s="624" t="n">
        <v>0.1085118998600017</v>
      </c>
      <c r="E14" s="624" t="n">
        <v>0.1085118998600017</v>
      </c>
      <c r="F14" s="624" t="n">
        <v>0.1085118998600016</v>
      </c>
      <c r="G14" s="624" t="n">
        <v>0.1085118998600017</v>
      </c>
      <c r="H14" s="624" t="n">
        <v>0.1085118998600017</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50.67260000000009</v>
      </c>
      <c r="E16" s="626" t="n">
        <v>55.73986000000014</v>
      </c>
      <c r="F16" s="626" t="n">
        <v>61.31384600000001</v>
      </c>
      <c r="G16" s="626" t="n">
        <v>67.44523060000019</v>
      </c>
      <c r="H16" s="626" t="n">
        <v>74.18975366000021</v>
      </c>
    </row>
    <row r="17">
      <c r="B17" s="575" t="inlineStr">
        <is>
          <t>Interest</t>
        </is>
      </c>
      <c r="D17" s="626" t="n">
        <v>77.8175</v>
      </c>
      <c r="E17" s="626" t="n">
        <v>74.66500229999998</v>
      </c>
      <c r="F17" s="626" t="n">
        <v>70.28971227089997</v>
      </c>
      <c r="G17" s="626" t="n">
        <v>64.49402464738468</v>
      </c>
      <c r="H17" s="626" t="n">
        <v>57.10576109667166</v>
      </c>
    </row>
    <row r="18">
      <c r="B18" s="575" t="inlineStr">
        <is>
          <t>Net income</t>
        </is>
      </c>
      <c r="D18" s="626" t="n">
        <v>-27.14489999999991</v>
      </c>
      <c r="E18" s="626" t="n">
        <v>-18.92514229999985</v>
      </c>
      <c r="F18" s="626" t="n">
        <v>-8.975866270899957</v>
      </c>
      <c r="G18" s="626" t="n">
        <v>2.331452702566253</v>
      </c>
      <c r="H18" s="626" t="n">
        <v>13.49635412502955</v>
      </c>
    </row>
    <row r="19">
      <c r="B19" s="575" t="inlineStr">
        <is>
          <t>CapEx</t>
        </is>
      </c>
      <c r="D19" s="626" t="n">
        <v>26.7146</v>
      </c>
      <c r="E19" s="626" t="n">
        <v>29.38606</v>
      </c>
      <c r="F19" s="626" t="n">
        <v>32.32466600000001</v>
      </c>
      <c r="G19" s="626" t="n">
        <v>35.55713260000001</v>
      </c>
      <c r="H19" s="626" t="n">
        <v>39.11284586000001</v>
      </c>
    </row>
    <row r="20">
      <c r="B20" s="575" t="inlineStr">
        <is>
          <t>ΔNWC</t>
        </is>
      </c>
      <c r="D20" s="626" t="n">
        <v>2.428600000000001</v>
      </c>
      <c r="E20" s="626" t="n">
        <v>2.671460000000002</v>
      </c>
      <c r="F20" s="626" t="n">
        <v>2.938606000000004</v>
      </c>
      <c r="G20" s="626" t="n">
        <v>3.232466600000003</v>
      </c>
      <c r="H20" s="626" t="n">
        <v>3.555713260000002</v>
      </c>
    </row>
    <row r="21">
      <c r="B21" s="575" t="inlineStr">
        <is>
          <t>FCF after interest</t>
        </is>
      </c>
      <c r="D21" s="626" t="n">
        <v>37.98190000000008</v>
      </c>
      <c r="E21" s="626" t="n">
        <v>52.71433770000015</v>
      </c>
      <c r="F21" s="626" t="n">
        <v>69.82756172910005</v>
      </c>
      <c r="G21" s="626" t="n">
        <v>89.01522350256627</v>
      </c>
      <c r="H21" s="626" t="n">
        <v>108.8485020050296</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37.98190000000008</v>
      </c>
      <c r="E23" s="626" t="n">
        <v>52.71433770000015</v>
      </c>
      <c r="F23" s="626" t="n">
        <v>69.82756172910005</v>
      </c>
      <c r="G23" s="626" t="n">
        <v>89.01522350256627</v>
      </c>
      <c r="H23" s="626" t="n">
        <v>108.8485020050296</v>
      </c>
    </row>
    <row r="24">
      <c r="B24" s="575" t="inlineStr">
        <is>
          <t>Debt end</t>
        </is>
      </c>
      <c r="C24" s="582" t="n">
        <v>1329.9</v>
      </c>
      <c r="D24" s="626" t="n">
        <v>877.5180999999999</v>
      </c>
      <c r="E24" s="626" t="n">
        <v>824.8037622999997</v>
      </c>
      <c r="F24" s="626" t="n">
        <v>754.9762005708997</v>
      </c>
      <c r="G24" s="626" t="n">
        <v>665.9609770683334</v>
      </c>
      <c r="H24" s="626"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626" t="n">
        <v>1335.73</v>
      </c>
      <c r="E5" s="626" t="n">
        <v>1469.303</v>
      </c>
      <c r="F5" s="626" t="n">
        <v>1616.2333</v>
      </c>
      <c r="G5" s="626" t="n">
        <v>1777.85663</v>
      </c>
      <c r="H5" s="626" t="n">
        <v>1955.642293000001</v>
      </c>
    </row>
    <row r="6">
      <c r="B6" s="575" t="inlineStr">
        <is>
          <t>COGS</t>
        </is>
      </c>
      <c r="C6" s="582" t="n">
        <v>242.8599999999999</v>
      </c>
      <c r="D6" s="626" t="n">
        <v>267.146</v>
      </c>
      <c r="E6" s="626" t="n">
        <v>293.8606</v>
      </c>
      <c r="F6" s="626" t="n">
        <v>323.24666</v>
      </c>
      <c r="G6" s="626" t="n">
        <v>355.571326</v>
      </c>
      <c r="H6" s="626" t="n">
        <v>391.1284586</v>
      </c>
    </row>
    <row r="7">
      <c r="B7" s="575" t="inlineStr">
        <is>
          <t>Sales payroll (human)</t>
        </is>
      </c>
      <c r="C7" s="582" t="n">
        <v>318.8</v>
      </c>
      <c r="D7" s="626" t="n">
        <v>270.98</v>
      </c>
      <c r="E7" s="626" t="n">
        <v>276.3996</v>
      </c>
      <c r="F7" s="626" t="n">
        <v>281.927592</v>
      </c>
      <c r="G7" s="626" t="n">
        <v>287.56614384</v>
      </c>
      <c r="H7" s="626" t="n">
        <v>293.3174667168</v>
      </c>
    </row>
    <row r="8">
      <c r="B8" s="575" t="inlineStr">
        <is>
          <t>Variable commissions</t>
        </is>
      </c>
      <c r="C8" s="582" t="n">
        <v>106.2</v>
      </c>
      <c r="D8" s="626" t="n">
        <v>84.96000000000001</v>
      </c>
      <c r="E8" s="626" t="n">
        <v>86.65920000000001</v>
      </c>
      <c r="F8" s="626" t="n">
        <v>88.39238400000002</v>
      </c>
      <c r="G8" s="626" t="n">
        <v>90.16023168000002</v>
      </c>
      <c r="H8" s="626" t="n">
        <v>91.96343631360003</v>
      </c>
    </row>
    <row r="9">
      <c r="B9" s="575" t="inlineStr">
        <is>
          <t>S&amp;M human total</t>
        </is>
      </c>
      <c r="C9" s="582" t="n">
        <v>425</v>
      </c>
      <c r="D9" s="626" t="n">
        <v>355.9400000000001</v>
      </c>
      <c r="E9" s="626" t="n">
        <v>363.0588</v>
      </c>
      <c r="F9" s="626" t="n">
        <v>370.319976</v>
      </c>
      <c r="G9" s="626" t="n">
        <v>377.72637552</v>
      </c>
      <c r="H9" s="626" t="n">
        <v>385.2809030304001</v>
      </c>
    </row>
    <row r="10">
      <c r="B10" s="575" t="inlineStr">
        <is>
          <t>AI infrastructure</t>
        </is>
      </c>
      <c r="C10" s="582" t="n">
        <v>0</v>
      </c>
      <c r="D10" s="626" t="n">
        <v>34</v>
      </c>
      <c r="E10" s="626" t="n">
        <v>34</v>
      </c>
      <c r="F10" s="626" t="n">
        <v>34</v>
      </c>
      <c r="G10" s="626" t="n">
        <v>34</v>
      </c>
      <c r="H10" s="626" t="n">
        <v>34</v>
      </c>
    </row>
    <row r="11">
      <c r="B11" s="575" t="inlineStr">
        <is>
          <t>R&amp;D</t>
        </is>
      </c>
      <c r="C11" s="582" t="n">
        <v>196.1</v>
      </c>
      <c r="D11" s="626" t="n">
        <v>215.71</v>
      </c>
      <c r="E11" s="626" t="n">
        <v>237.281</v>
      </c>
      <c r="F11" s="626" t="n">
        <v>261.0091</v>
      </c>
      <c r="G11" s="626" t="n">
        <v>287.11001</v>
      </c>
      <c r="H11" s="626" t="n">
        <v>315.8210110000001</v>
      </c>
    </row>
    <row r="12">
      <c r="B12" s="575" t="inlineStr">
        <is>
          <t>G&amp;A (admin)</t>
        </is>
      </c>
      <c r="C12" s="582" t="n">
        <v>218.574</v>
      </c>
      <c r="D12" s="626" t="n">
        <v>240.4314</v>
      </c>
      <c r="E12" s="626" t="n">
        <v>264.47454</v>
      </c>
      <c r="F12" s="626" t="n">
        <v>290.921994</v>
      </c>
      <c r="G12" s="626" t="n">
        <v>320.0141934000001</v>
      </c>
      <c r="H12" s="626" t="n">
        <v>352.0156127400001</v>
      </c>
    </row>
    <row r="13">
      <c r="B13" s="575" t="inlineStr">
        <is>
          <t>EBITDA</t>
        </is>
      </c>
      <c r="C13" s="582" t="n">
        <v>183.1</v>
      </c>
      <c r="D13" s="626" t="n">
        <v>222.5026</v>
      </c>
      <c r="E13" s="626" t="n">
        <v>276.6280600000002</v>
      </c>
      <c r="F13" s="626" t="n">
        <v>336.7355700000003</v>
      </c>
      <c r="G13" s="626" t="n">
        <v>403.4347250800001</v>
      </c>
      <c r="H13" s="626" t="n">
        <v>477.3963076296004</v>
      </c>
    </row>
    <row r="14">
      <c r="B14" s="575" t="inlineStr">
        <is>
          <t>EBITDA margin</t>
        </is>
      </c>
      <c r="C14" s="583" t="n">
        <v>0.150786461335749</v>
      </c>
      <c r="D14" s="624" t="n">
        <v>0.1665775268954055</v>
      </c>
      <c r="E14" s="624" t="n">
        <v>0.1882716226673465</v>
      </c>
      <c r="F14" s="624" t="n">
        <v>0.2083458928856374</v>
      </c>
      <c r="G14" s="624" t="n">
        <v>0.2269219678754411</v>
      </c>
      <c r="H14" s="624" t="n">
        <v>0.2441122844082408</v>
      </c>
    </row>
    <row r="15">
      <c r="B15" s="575" t="inlineStr">
        <is>
          <t>D&amp;A</t>
        </is>
      </c>
      <c r="C15" s="582" t="n">
        <v>85.7</v>
      </c>
      <c r="D15" s="626" t="n">
        <v>94.27</v>
      </c>
      <c r="E15" s="626" t="n">
        <v>103.697</v>
      </c>
      <c r="F15" s="626" t="n">
        <v>114.0667</v>
      </c>
      <c r="G15" s="626" t="n">
        <v>125.47337</v>
      </c>
      <c r="H15" s="626" t="n">
        <v>138.020707</v>
      </c>
    </row>
    <row r="16">
      <c r="B16" s="575" t="inlineStr">
        <is>
          <t>EBIT</t>
        </is>
      </c>
      <c r="C16" s="582" t="n">
        <v>97.40000000000001</v>
      </c>
      <c r="D16" s="626" t="n">
        <v>128.2326</v>
      </c>
      <c r="E16" s="626" t="n">
        <v>172.9310600000002</v>
      </c>
      <c r="F16" s="626" t="n">
        <v>222.6688700000003</v>
      </c>
      <c r="G16" s="626" t="n">
        <v>277.9613550800001</v>
      </c>
      <c r="H16" s="626" t="n">
        <v>339.3756006296003</v>
      </c>
    </row>
    <row r="17">
      <c r="B17" s="575" t="inlineStr">
        <is>
          <t>Interest</t>
        </is>
      </c>
      <c r="D17" s="626" t="n">
        <v>77.8175</v>
      </c>
      <c r="E17" s="626" t="n">
        <v>68.975234523</v>
      </c>
      <c r="F17" s="626" t="n">
        <v>56.06864893947309</v>
      </c>
      <c r="G17" s="626" t="n">
        <v>38.27932966018786</v>
      </c>
      <c r="H17" s="626" t="n">
        <v>12.71433377476873</v>
      </c>
    </row>
    <row r="18">
      <c r="B18" s="575" t="inlineStr">
        <is>
          <t>Net income</t>
        </is>
      </c>
      <c r="D18" s="626" t="n">
        <v>39.82792900000004</v>
      </c>
      <c r="E18" s="626" t="n">
        <v>82.12510212683014</v>
      </c>
      <c r="F18" s="626" t="n">
        <v>131.6141746378165</v>
      </c>
      <c r="G18" s="626" t="n">
        <v>189.3488000816517</v>
      </c>
      <c r="H18" s="626" t="n">
        <v>258.0624008153169</v>
      </c>
    </row>
    <row r="19">
      <c r="B19" s="575" t="inlineStr">
        <is>
          <t>CapEx</t>
        </is>
      </c>
      <c r="D19" s="626" t="n">
        <v>25.37887</v>
      </c>
      <c r="E19" s="626" t="n">
        <v>27.916757</v>
      </c>
      <c r="F19" s="626" t="n">
        <v>30.70843270000001</v>
      </c>
      <c r="G19" s="626" t="n">
        <v>33.77927597000001</v>
      </c>
      <c r="H19" s="626" t="n">
        <v>37.15720356700001</v>
      </c>
    </row>
    <row r="20">
      <c r="B20" s="575" t="inlineStr">
        <is>
          <t>ΔNWC</t>
        </is>
      </c>
      <c r="D20" s="626" t="n">
        <v>2.185740000000001</v>
      </c>
      <c r="E20" s="626" t="n">
        <v>2.404314000000002</v>
      </c>
      <c r="F20" s="626" t="n">
        <v>2.644745400000004</v>
      </c>
      <c r="G20" s="626" t="n">
        <v>2.909219940000003</v>
      </c>
      <c r="H20" s="626" t="n">
        <v>3.200141934000002</v>
      </c>
    </row>
    <row r="21">
      <c r="B21" s="575" t="inlineStr">
        <is>
          <t>FCF after interest</t>
        </is>
      </c>
      <c r="D21" s="626" t="n">
        <v>106.533319</v>
      </c>
      <c r="E21" s="626" t="n">
        <v>155.5010311268301</v>
      </c>
      <c r="F21" s="626" t="n">
        <v>212.3276965378165</v>
      </c>
      <c r="G21" s="626" t="n">
        <v>278.1336741716516</v>
      </c>
      <c r="H21" s="626" t="n">
        <v>355.725762314317</v>
      </c>
    </row>
    <row r="22">
      <c r="B22" s="575" t="inlineStr">
        <is>
          <t>Mandatory amort</t>
        </is>
      </c>
      <c r="D22" s="626" t="n">
        <v>9.154999999999999</v>
      </c>
      <c r="E22" s="626" t="n">
        <v>9.154999999999999</v>
      </c>
      <c r="F22" s="626" t="n">
        <v>9.154999999999999</v>
      </c>
      <c r="G22" s="626" t="n">
        <v>9.154999999999999</v>
      </c>
      <c r="H22" s="626" t="n">
        <v>9.154999999999999</v>
      </c>
    </row>
    <row r="23">
      <c r="B23" s="575" t="inlineStr">
        <is>
          <t>Total debt paydown</t>
        </is>
      </c>
      <c r="D23" s="626" t="n">
        <v>106.533319</v>
      </c>
      <c r="E23" s="626" t="n">
        <v>155.5010311268301</v>
      </c>
      <c r="F23" s="626" t="n">
        <v>212.3276965378165</v>
      </c>
      <c r="G23" s="626" t="n">
        <v>278.1336741716516</v>
      </c>
      <c r="H23" s="626" t="n">
        <v>163.0042791637017</v>
      </c>
    </row>
    <row r="24">
      <c r="B24" s="575" t="inlineStr">
        <is>
          <t>Debt end</t>
        </is>
      </c>
      <c r="C24" s="582" t="n">
        <v>1329.9</v>
      </c>
      <c r="D24" s="626" t="n">
        <v>808.966681</v>
      </c>
      <c r="E24" s="626" t="n">
        <v>653.4656498731698</v>
      </c>
      <c r="F24" s="626" t="n">
        <v>441.1379533353534</v>
      </c>
      <c r="G24" s="626" t="n">
        <v>163.0042791637017</v>
      </c>
      <c r="H24" s="6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3.317</v>
      </c>
      <c r="J275" s="490" t="n">
        <v>0.271</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0.2379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2026-08-15T15:51:17Z</dcterms:modified>
  <cp:lastModifiedBy>scottmccarthy</cp:lastModifiedBy>
  <cp:lastPrinted>2014-05-30T16:55:05Z</cp:lastPrinted>
</cp:coreProperties>
</file>