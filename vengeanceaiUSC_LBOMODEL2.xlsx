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s>
  <fills count="4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
      <patternFill patternType="solid">
        <fgColor rgb="00FCE4D6"/>
      </patternFill>
    </fill>
  </fills>
  <borders count="42">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
      <left style="thin">
        <color rgb="00D0D0D0"/>
      </left>
      <right style="thin">
        <color rgb="00D0D0D0"/>
      </right>
      <top style="thin">
        <color rgb="00D0D0D0"/>
      </top>
      <bottom style="thin">
        <color rgb="00D0D0D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77">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xf numFmtId="0" fontId="119" fillId="0" borderId="0" applyAlignment="1" pivotButton="0" quotePrefix="0" xfId="0">
      <alignment vertical="top" wrapText="1"/>
    </xf>
    <xf numFmtId="0" fontId="122" fillId="35" borderId="0" applyAlignment="1" pivotButton="0" quotePrefix="0" xfId="0">
      <alignment horizontal="center" vertical="center" wrapText="1"/>
    </xf>
    <xf numFmtId="0" fontId="115" fillId="46" borderId="35" applyAlignment="1" pivotButton="0" quotePrefix="0" xfId="0">
      <alignment horizontal="center" vertical="center" wrapText="1"/>
    </xf>
    <xf numFmtId="0" fontId="115" fillId="36" borderId="35" applyAlignment="1" pivotButton="0" quotePrefix="0" xfId="0">
      <alignment horizontal="center" vertical="center" wrapText="1"/>
    </xf>
    <xf numFmtId="0" fontId="122" fillId="35" borderId="0" pivotButton="0" quotePrefix="0" xfId="0"/>
    <xf numFmtId="0" fontId="115" fillId="36" borderId="35" pivotButton="0" quotePrefix="0" xfId="0"/>
    <xf numFmtId="0" fontId="115" fillId="46" borderId="35" pivotButton="0" quotePrefix="0" xfId="0"/>
    <xf numFmtId="0" fontId="115" fillId="0" borderId="0" applyAlignment="1" pivotButton="0" quotePrefix="0" xfId="0">
      <alignment vertical="top" wrapText="1"/>
    </xf>
    <xf numFmtId="0" fontId="100" fillId="0" borderId="0" applyAlignment="1" pivotButton="0" quotePrefix="0" xfId="0">
      <alignment vertical="top" wrapText="1"/>
    </xf>
    <xf numFmtId="0" fontId="122" fillId="35" borderId="36" applyAlignment="1" pivotButton="0" quotePrefix="0" xfId="0">
      <alignment vertical="top" wrapText="1"/>
    </xf>
    <xf numFmtId="0" fontId="120" fillId="35" borderId="36" applyAlignment="1" pivotButton="0" quotePrefix="0" xfId="0">
      <alignment vertical="top" wrapText="1"/>
    </xf>
    <xf numFmtId="0" fontId="119" fillId="0" borderId="41" applyAlignment="1" pivotButton="0" quotePrefix="0" xfId="0">
      <alignment vertical="top" wrapText="1"/>
    </xf>
    <xf numFmtId="0" fontId="119" fillId="46" borderId="41" applyAlignment="1" pivotButton="0" quotePrefix="0" xfId="0">
      <alignment vertical="top" wrapText="1"/>
    </xf>
    <xf numFmtId="173" fontId="116" fillId="36" borderId="41" applyAlignment="1" pivotButton="0" quotePrefix="0" xfId="0">
      <alignment vertical="top" wrapText="1"/>
    </xf>
    <xf numFmtId="0" fontId="119" fillId="40" borderId="41" applyAlignment="1" pivotButton="0" quotePrefix="0" xfId="0">
      <alignment vertical="top" wrapText="1"/>
    </xf>
    <xf numFmtId="0" fontId="110" fillId="36" borderId="41" applyAlignment="1" pivotButton="0" quotePrefix="0" xfId="0">
      <alignment vertical="top" wrapText="1"/>
    </xf>
    <xf numFmtId="0" fontId="119" fillId="37" borderId="41" applyAlignment="1" pivotButton="0" quotePrefix="0" xfId="0">
      <alignment vertical="top" wrapText="1"/>
    </xf>
    <xf numFmtId="0" fontId="119" fillId="43" borderId="41" applyAlignment="1" pivotButton="0" quotePrefix="0" xfId="0">
      <alignment vertical="top" wrapText="1"/>
    </xf>
    <xf numFmtId="0" fontId="119" fillId="36" borderId="41" applyAlignment="1" pivotButton="0" quotePrefix="0" xfId="0">
      <alignment vertical="top" wrapText="1"/>
    </xf>
    <xf numFmtId="0" fontId="119" fillId="45" borderId="41" applyAlignment="1" pivotButton="0" quotePrefix="0" xfId="0">
      <alignment vertical="top" wrapText="1"/>
    </xf>
    <xf numFmtId="182" fontId="116" fillId="36" borderId="41" applyAlignment="1" pivotButton="0" quotePrefix="0" xfId="0">
      <alignment vertical="top" wrapText="1"/>
    </xf>
    <xf numFmtId="190" fontId="116" fillId="36" borderId="41" applyAlignment="1" pivotButton="0" quotePrefix="0" xfId="0">
      <alignment vertical="top" wrapText="1"/>
    </xf>
    <xf numFmtId="0" fontId="110" fillId="0" borderId="41" applyAlignment="1" pivotButton="0" quotePrefix="0" xfId="0">
      <alignment vertical="top" wrapText="1"/>
    </xf>
    <xf numFmtId="0" fontId="110" fillId="37" borderId="41"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I_Operating'!D5" TargetMode="External" Id="rId1" /><Relationship Type="http://schemas.openxmlformats.org/officeDocument/2006/relationships/hyperlink" Target="#'AI_Operating'!D6" TargetMode="External" Id="rId2" /><Relationship Type="http://schemas.openxmlformats.org/officeDocument/2006/relationships/hyperlink" Target="#'AI_Operating'!D7" TargetMode="External" Id="rId3" /><Relationship Type="http://schemas.openxmlformats.org/officeDocument/2006/relationships/hyperlink" Target="#'AI_Operating'!D8" TargetMode="External" Id="rId4" /><Relationship Type="http://schemas.openxmlformats.org/officeDocument/2006/relationships/hyperlink" Target="#'AI_Operating'!D10" TargetMode="External" Id="rId5" /><Relationship Type="http://schemas.openxmlformats.org/officeDocument/2006/relationships/hyperlink" Target="#'AI_Operating'!E7" TargetMode="External" Id="rId6" /><Relationship Type="http://schemas.openxmlformats.org/officeDocument/2006/relationships/hyperlink" Target="https://www.federalreserve.gov/monetarypolicy/files/FOMC_LongerRunGoals.pdf" TargetMode="External" Id="rId7" /><Relationship Type="http://schemas.openxmlformats.org/officeDocument/2006/relationships/hyperlink" Target="#'AI_Operating'!D12" TargetMode="External" Id="rId8" /><Relationship Type="http://schemas.openxmlformats.org/officeDocument/2006/relationships/hyperlink" Target="#'AI_Operating'!D19" TargetMode="External" Id="rId9" /><Relationship Type="http://schemas.openxmlformats.org/officeDocument/2006/relationships/hyperlink" Target="#'AI_Operating'!D20" TargetMode="External" Id="rId10" /><Relationship Type="http://schemas.openxmlformats.org/officeDocument/2006/relationships/hyperlink" Target="#'Debt_Sweep_AI'!C12" TargetMode="External" Id="rId11" /><Relationship Type="http://schemas.openxmlformats.org/officeDocument/2006/relationships/hyperlink" Target="https://www.newyorkfed.org/markets/reference-rates/sofr" TargetMode="External" Id="rId12" /><Relationship Type="http://schemas.openxmlformats.org/officeDocument/2006/relationships/hyperlink" Target="#'Assumptions_Drivers'!C27" TargetMode="External" Id="rId13" /><Relationship Type="http://schemas.openxmlformats.org/officeDocument/2006/relationships/hyperlink" Target="https://ctacquisitions.com/debt-financing/" TargetMode="External" Id="rId14" /><Relationship Type="http://schemas.openxmlformats.org/officeDocument/2006/relationships/hyperlink" Target="#'Assumptions_Drivers'!C28" TargetMode="External" Id="rId15" /><Relationship Type="http://schemas.openxmlformats.org/officeDocument/2006/relationships/hyperlink" Target="https://ibinterviewquestions.com/guides/valuation-investment-banking/lbo-debt-structures-senior-subordinated-mezzanine" TargetMode="External" Id="rId16" /><Relationship Type="http://schemas.openxmlformats.org/officeDocument/2006/relationships/hyperlink" Target="#'Debt_Sweep_AI'!D5" TargetMode="External" Id="rId17" /><Relationship Type="http://schemas.openxmlformats.org/officeDocument/2006/relationships/hyperlink" Target="https://ibinterviewquestions.com/guides/debt-capital-markets/term-loan-b-tlb-mechanics-and-why-it-dominates-lev-lending" TargetMode="External" Id="rId18" /><Relationship Type="http://schemas.openxmlformats.org/officeDocument/2006/relationships/hyperlink" Target="#'Debt_Sweep_AI'!E5" TargetMode="External" Id="rId19" /><Relationship Type="http://schemas.openxmlformats.org/officeDocument/2006/relationships/hyperlink" Target="#'AI_Operating'!D18" TargetMode="External" Id="rId20" /><Relationship Type="http://schemas.openxmlformats.org/officeDocument/2006/relationships/hyperlink" Target="https://tradingeconomics.com/united-states/corporate-tax-rate" TargetMode="External" Id="rId21" /><Relationship Type="http://schemas.openxmlformats.org/officeDocument/2006/relationships/hyperlink" Target="#'LBO'!D17" TargetMode="External" Id="rId22" /><Relationship Type="http://schemas.openxmlformats.org/officeDocument/2006/relationships/hyperlink" Target="#'AI_Operating'!C9" TargetMode="External" Id="rId23" /><Relationship Type="http://schemas.openxmlformats.org/officeDocument/2006/relationships/hyperlink" Target="#'AI_Operating'!C7" TargetMode="External" Id="rId24" /><Relationship Type="http://schemas.openxmlformats.org/officeDocument/2006/relationships/hyperlink" Target="#'AI_Operating'!C8" TargetMode="External" Id="rId25" /><Relationship Type="http://schemas.openxmlformats.org/officeDocument/2006/relationships/hyperlink" Target="https://syncgtm.com/blog/how-to-pay-sales-development-rep" TargetMode="External" Id="rId26" /><Relationship Type="http://schemas.openxmlformats.org/officeDocument/2006/relationships/hyperlink" Target="#'AI_Operating'!D19" TargetMode="External" Id="rId27" /><Relationship Type="http://schemas.openxmlformats.org/officeDocument/2006/relationships/hyperlink" Target="#'AI_Operating'!D20" TargetMode="External" Id="rId28" /><Relationship Type="http://schemas.openxmlformats.org/officeDocument/2006/relationships/hyperlink" Target="#'Debt_Sweep_AI'!C12" TargetMode="External" Id="rId29" /><Relationship Type="http://schemas.openxmlformats.org/officeDocument/2006/relationships/hyperlink" Target="#'Debt_Sweep_AI'!D12" TargetMode="External" Id="rId30" /><Relationship Type="http://schemas.openxmlformats.org/officeDocument/2006/relationships/hyperlink" Target="https://www.sec.gov/Archives/edgar/data/1794515/000179451525000045/zi-20241231.htm" TargetMode="External" Id="rId31" /><Relationship Type="http://schemas.openxmlformats.org/officeDocument/2006/relationships/hyperlink" Target="https://www.11x.ai/products/alice/pricing" TargetMode="External" Id="rId32" /><Relationship Type="http://schemas.openxmlformats.org/officeDocument/2006/relationships/hyperlink" Target="https://raw.githubusercontent.com/vengeanceaiUSC/Rainmaker/cursor/vengeanceaiusclbomodel2-44dc/LBO/output/LBOMODEL2_DRIVER_SOURCES.pdf" TargetMode="External" Id="rId33"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style="244" min="1" max="1"/>
    <col width="26" customWidth="1" style="244" min="2" max="2"/>
    <col width="11" customWidth="1" style="244" min="3" max="3"/>
    <col width="52" customWidth="1" style="244" min="4" max="4"/>
    <col width="42" customWidth="1" style="244" min="5" max="5"/>
    <col width="44" customWidth="1" style="244" min="6" max="6"/>
    <col width="34" customWidth="1" style="244" min="7" max="7"/>
    <col width="38" customWidth="1" style="244" min="8" max="8"/>
    <col width="48" customWidth="1" style="244" min="9" max="9"/>
    <col width="48" customWidth="1" style="244" min="10" max="10"/>
    <col width="48" customWidth="1" style="244" min="11" max="11"/>
  </cols>
  <sheetData>
    <row r="2">
      <c r="B2" s="629" t="inlineStr">
        <is>
          <t>Assumptions Drivers — Col A Baseline Yes/No. Col E/H = source page link. Cols I/J/K = plain Verbatim Ctrl+F strings. Converse pass: driver must match sourced figure or a justified gap; else driver was reset to the source.</t>
        </is>
      </c>
    </row>
    <row r="3" ht="48" customHeight="1" s="244">
      <c r="B3" s="605" t="inlineStr">
        <is>
          <t>How to verify: click Source (E) → open page → copy Verbatim from I/J/K → Ctrl+F → paste. Overpessimism fix: rev +5% (mature CAGR; FY24 −2% outlier). S&amp;M +2% Fed restored. S&amp;M $414.1; 70/30; cuts 18%/18%; AI $24.5m; CapEx cut 8% (HC-linked); WC 0.</t>
        </is>
      </c>
    </row>
    <row r="4" ht="40" customHeight="1" s="244">
      <c r="A4" s="654" t="inlineStr">
        <is>
          <t>Baseline Yes/No</t>
        </is>
      </c>
      <c r="B4" s="606" t="inlineStr">
        <is>
          <t>Driver</t>
        </is>
      </c>
      <c r="C4" s="606" t="inlineStr">
        <is>
          <t>Value</t>
        </is>
      </c>
      <c r="D4" s="606" t="inlineStr">
        <is>
          <t>Why reasonable (model justification)</t>
        </is>
      </c>
      <c r="E4" s="606" t="inlineStr">
        <is>
          <t>Source — ONLY if number appears in EQ (click)</t>
        </is>
      </c>
      <c r="F4" s="663" t="inlineStr">
        <is>
          <t>Source justification (≤30 words): Source says X. Does X go into the math?</t>
        </is>
      </c>
      <c r="G4" s="606" t="inlineStr">
        <is>
          <t>Feeds (click to jump)</t>
        </is>
      </c>
      <c r="H4" s="606" t="inlineStr">
        <is>
          <t>Secondary source (click)</t>
        </is>
      </c>
      <c r="I4" s="641" t="inlineStr">
        <is>
          <t>Verbatim 1 — copy this into Ctrl+F on the source page</t>
        </is>
      </c>
      <c r="J4" s="641" t="inlineStr">
        <is>
          <t>Verbatim 2 — copy this into Ctrl+F on the source page</t>
        </is>
      </c>
      <c r="K4" s="641" t="inlineStr">
        <is>
          <t>Verbatim 3 — copy this into Ctrl+F on the source page</t>
        </is>
      </c>
    </row>
    <row r="5" ht="96" customHeight="1" s="244">
      <c r="A5" s="665" t="inlineStr">
        <is>
          <t>NO</t>
        </is>
      </c>
      <c r="B5" s="664" t="inlineStr">
        <is>
          <t>Revenue growth</t>
        </is>
      </c>
      <c r="C5" s="666" t="n">
        <v>0.05</v>
      </c>
      <c r="D5" s="667" t="inlineStr">
        <is>
          <t>FY24 −2% was the only revenue decline in CY2019–CY2025 (outlier). FY25 recovered +3% ($1,249.5m). Mature CAGR CY2022 $1,098m → CY2025 $1,249.5m ≈ 4.4%, rounded to 5% forward.</t>
        </is>
      </c>
      <c r="E5" s="668">
        <f>HYPERLINK("https://www.sec.gov/Archives/edgar/data/1794515/000179451526000012/zi-20251231.htm","IN EQ: C5=+5% ≈ mature CAGR CY2022→CY2025 (~4.4%). FY24 −2% = outlier; FY25 +3% recovery.")</f>
        <v/>
      </c>
      <c r="F5" s="664" t="inlineStr">
        <is>
          <t>FY24 −2% was an outlier (only decline). FY25 rose 3% to $1,249.5m. CAGR 2022–2025 ≈4.4%; we use 5% forward.</t>
        </is>
      </c>
      <c r="G5" s="664" t="inlineStr">
        <is>
          <t>Go to AI_Operating!D5 (Revenue)</t>
        </is>
      </c>
      <c r="H5" s="668">
        <f>HYPERLINK("https://markets.financialcontent.com/stocks/article/bizwire-2025-2-25-zoominfo-announces-fourth-quarter-and-full-year-2024-financial-results","FY24 −2% outlier: decrease of 2% YoY")</f>
        <v/>
      </c>
      <c r="I5" s="669" t="inlineStr">
        <is>
          <t>Ctrl+F: increase of $35.2 million, or 3%</t>
        </is>
      </c>
      <c r="J5" s="669" t="inlineStr">
        <is>
          <t>Ctrl+F: revenue of $1,249.5 million</t>
        </is>
      </c>
      <c r="K5" s="669" t="inlineStr">
        <is>
          <t>Ctrl+F: a decrease of 2% year-over-year (FY24 outlier)</t>
        </is>
      </c>
    </row>
    <row r="6" ht="96" customHeight="1" s="244">
      <c r="A6" s="665" t="inlineStr">
        <is>
          <t>NO</t>
        </is>
      </c>
      <c r="B6" s="670" t="inlineStr">
        <is>
          <t>Gross margin</t>
        </is>
      </c>
      <c r="C6" s="666" t="n">
        <v>0.8</v>
      </c>
      <c r="D6" s="667" t="inlineStr">
        <is>
          <t>Uses the 2025 software median gross margin of 80%. ZoomInfo’s own GAAP GM is higher (~84%), but this model uses the cited Aleph median.</t>
        </is>
      </c>
      <c r="E6" s="668">
        <f>HYPERLINK("https://www.getaleph.com/answers/saas-gross-margin-2026","IN EQ: software median GM=80% → C6=0.80 (Aleph × Benchmarkit)")</f>
        <v/>
      </c>
      <c r="F6" s="664" t="inlineStr">
        <is>
          <t>Aleph says the 2025 software median gross margin is 80%. We use that 80% in the COGS math.</t>
        </is>
      </c>
      <c r="G6" s="664" t="inlineStr">
        <is>
          <t>Go to AI_Operating!D6 (COGS)</t>
        </is>
      </c>
      <c r="H6" s="593" t="n"/>
      <c r="I6" s="671" t="inlineStr">
        <is>
          <t>Ctrl+F: The 2025 median software gross margin is 80%</t>
        </is>
      </c>
      <c r="J6" s="651" t="n"/>
      <c r="K6" s="672" t="inlineStr">
        <is>
          <t>ZI GAAP GM ~84% not used — Aleph median is the driver</t>
        </is>
      </c>
    </row>
    <row r="7" ht="96" customHeight="1" s="244">
      <c r="A7" s="665" t="inlineStr">
        <is>
          <t>NO</t>
        </is>
      </c>
      <c r="B7" s="664" t="inlineStr">
        <is>
          <t>Sales payroll cut (Y1)</t>
        </is>
      </c>
      <c r="C7" s="666" t="n">
        <v>0.18</v>
      </c>
      <c r="D7" s="667" t="inlineStr">
        <is>
          <t>Matches published US B2B SaaS net SDR headcount decline of 18% YoY.</t>
        </is>
      </c>
      <c r="E7" s="668">
        <f>HYPERLINK("https://www.digitalapplied.com/blog/ai-sdr-statistics-2026-outbound-sales-data-points","IN EQ: C7=18% = US B2B SaaS net SDR headcount down 18% YoY")</f>
        <v/>
      </c>
      <c r="F7" s="664" t="inlineStr">
        <is>
          <t>Digital Applied says U.S. B2B SaaS SDR headcount fell 18% YoY. We use that 18% as the Year 1 payroll cut.</t>
        </is>
      </c>
      <c r="G7" s="664" t="inlineStr">
        <is>
          <t>Go to AI_Operating!D7 (Sales payroll)</t>
        </is>
      </c>
      <c r="H7" s="593" t="n"/>
      <c r="I7" s="671" t="inlineStr">
        <is>
          <t>Ctrl+F: down 18% YoY</t>
        </is>
      </c>
      <c r="J7" s="651" t="n"/>
      <c r="K7" s="651" t="n"/>
    </row>
    <row r="8" ht="96" customHeight="1" s="244">
      <c r="A8" s="665" t="inlineStr">
        <is>
          <t>NO</t>
        </is>
      </c>
      <c r="B8" s="670" t="inlineStr">
        <is>
          <t>Variable commission cut</t>
        </is>
      </c>
      <c r="C8" s="666" t="n">
        <v>0.18</v>
      </c>
      <c r="D8" s="667" t="inlineStr">
        <is>
          <t>Was an unsourced 20% cut. Now 18% to match the same SDR headcount decline used for payroll.</t>
        </is>
      </c>
      <c r="E8" s="668">
        <f>HYPERLINK("https://www.digitalapplied.com/blog/ai-sdr-statistics-2026-outbound-sales-data-points","IN EQ: C8=18% cut = same SDR HC down 18% YoY (Digital Applied)")</f>
        <v/>
      </c>
      <c r="F8" s="664" t="inlineStr">
        <is>
          <t>Digital Applied says SDR headcount fell 18% YoY. We use that same 18% as the commission cut.</t>
        </is>
      </c>
      <c r="G8" s="664" t="inlineStr">
        <is>
          <t>Go to AI_Operating!D8 (Commissions)</t>
        </is>
      </c>
      <c r="H8" s="668">
        <f>HYPERLINK("https://syncgtm.com/blog/how-to-pay-sales-development-rep","Pay mix context only: 70/30 base/variable")</f>
        <v/>
      </c>
      <c r="I8" s="669" t="inlineStr">
        <is>
          <t>Ctrl+F: down 18% YoY</t>
        </is>
      </c>
      <c r="J8" s="669" t="inlineStr">
        <is>
          <t>Ctrl+F: 70/30 base/variable split</t>
        </is>
      </c>
      <c r="K8" s="669" t="inlineStr">
        <is>
          <t>Prior 20% cut removed — no source equaled 20%</t>
        </is>
      </c>
    </row>
    <row r="9" ht="96" customHeight="1" s="244">
      <c r="A9" s="665" t="inlineStr">
        <is>
          <t>NO</t>
        </is>
      </c>
      <c r="B9" s="664" t="inlineStr">
        <is>
          <t>AI infrastructure ($m)</t>
        </is>
      </c>
      <c r="C9" s="673" t="n">
        <v>24.5</v>
      </c>
      <c r="D9" s="667" t="inlineStr">
        <is>
          <t>AI $24.5m = 18%×1,513 roles × $5–10k/mo × 12, midpoint. Role share now uses the same sourced 18% SDR decline (was unsourced 25%).</t>
        </is>
      </c>
      <c r="E9" s="668">
        <f>HYPERLINK("https://www.whitespacesolutions.ai/content/ai-sdr-pricing-guide-2026","IN EQ: $5k/$10k/mo + 1,513 HC; roles=18% (same 18% as C7) → $24.5m")</f>
        <v/>
      </c>
      <c r="F9" s="664" t="inlineStr">
        <is>
          <t>White Space/Miniloop say ~$5k–$10k+/mo. ZoomInfo’s 10-K says 1,513 S&amp;M staff. Roles use the sourced 18% (not 25%). Those build the $24.5m cost.</t>
        </is>
      </c>
      <c r="G9" s="664" t="inlineStr">
        <is>
          <t>Go to AI_Operating!D10 (AI infrastructure)</t>
        </is>
      </c>
      <c r="H9" s="668">
        <f>HYPERLINK("https://www.miniloop.ai/blog/11x-pricing","Miniloop Enterprise $10,000+")</f>
        <v/>
      </c>
      <c r="I9" s="671" t="inlineStr">
        <is>
          <t>Ctrl+F: $5,000-10,000+</t>
        </is>
      </c>
      <c r="J9" s="671" t="inlineStr">
        <is>
          <t>Ctrl+F: $10,000-$15,000+</t>
        </is>
      </c>
      <c r="K9" s="671" t="inlineStr">
        <is>
          <t>Ctrl+F: 1,513 in sales and marketing</t>
        </is>
      </c>
    </row>
    <row r="10" ht="96" customHeight="1" s="244">
      <c r="A10" s="665" t="inlineStr">
        <is>
          <t>NO</t>
        </is>
      </c>
      <c r="B10" s="670" t="inlineStr">
        <is>
          <t>S&amp;M expense growth Y2+</t>
        </is>
      </c>
      <c r="C10" s="666" t="n">
        <v>0.02</v>
      </c>
      <c r="D10" s="667" t="inlineStr">
        <is>
          <t>After the Y1 headcount cut, AI keeps S&amp;M growing only at ~inflation (2%), not with revenue. Restored now that forward revenue is positive again.</t>
        </is>
      </c>
      <c r="E10" s="668">
        <f>HYPERLINK("https://www.federalreserve.gov/faqs/economy_14400.htm","IN EQ: C10=2% = Fed longer-run inflation goal of 2 percent")</f>
        <v/>
      </c>
      <c r="F10" s="664" t="inlineStr">
        <is>
          <t>The Fed says longer-run inflation is 2%. We use that 2% to grow S&amp;M costs after Year 1.</t>
        </is>
      </c>
      <c r="G10" s="664" t="inlineStr">
        <is>
          <t>Go to AI_Operating!E7 (payroll Y2+)</t>
        </is>
      </c>
      <c r="H10" s="664" t="inlineStr">
        <is>
          <t>FOMC Statement on Longer-Run Goals (PDF)</t>
        </is>
      </c>
      <c r="I10" s="671" t="inlineStr">
        <is>
          <t>Ctrl+F: inflation of 2 percent over the longer run</t>
        </is>
      </c>
      <c r="J10" s="651" t="n"/>
      <c r="K10" s="672" t="inlineStr">
        <is>
          <t>Valid with +5% revenue (row 5); not used when rev was −2%</t>
        </is>
      </c>
    </row>
    <row r="11" ht="96" customHeight="1" s="244">
      <c r="A11" s="665" t="inlineStr">
        <is>
          <t>NO</t>
        </is>
      </c>
      <c r="B11" s="664" t="inlineStr">
        <is>
          <t>G&amp;A % of revenue</t>
        </is>
      </c>
      <c r="C11" s="666" t="n">
        <v>0.18</v>
      </c>
      <c r="D11" s="667" t="inlineStr">
        <is>
          <t>Post-LBO target at the public SaaS median (18%). ZoomInfo’s own FY24 G&amp;A is higher (~24%) and is not used.</t>
        </is>
      </c>
      <c r="E11" s="668">
        <f>HYPERLINK("https://blossomstreetventures.medium.com/what-should-saas-spend-on-cogs-s-m-r-d-and-g-a-the-data-from-57-public-cos-8e88eabe99ca","IN EQ: C11=18% = Blossom Street 2025 public SaaS median G&amp;A")</f>
        <v/>
      </c>
      <c r="F11" s="664" t="inlineStr">
        <is>
          <t>Blossom Street says 2025 public SaaS median G&amp;A is 18% of sales. We use that 18% in the G&amp;A math.</t>
        </is>
      </c>
      <c r="G11" s="664" t="inlineStr">
        <is>
          <t>Go to AI_Operating!D12 (G&amp;A)</t>
        </is>
      </c>
      <c r="H11" s="668">
        <f>HYPERLINK("https://www.blossomstreetventures.com/saas-metric/2025-annual-percent-of-revenue","Table MEDIAN G&amp;A as % of Revenue = 18%")</f>
        <v/>
      </c>
      <c r="I11" s="671" t="inlineStr">
        <is>
          <t>Ctrl+F: G&amp;A was 18%</t>
        </is>
      </c>
      <c r="J11" s="671" t="inlineStr">
        <is>
          <t>Ctrl+F: MEDIAN</t>
        </is>
      </c>
      <c r="K11" s="672" t="inlineStr">
        <is>
          <t>ZI own ~24% G&amp;A not used — median is the driver</t>
        </is>
      </c>
    </row>
    <row r="12" ht="96" customHeight="1" s="244">
      <c r="A12" s="665" t="inlineStr">
        <is>
          <t>NO</t>
        </is>
      </c>
      <c r="B12" s="670" t="inlineStr">
        <is>
          <t>CapEx reduction vs base</t>
        </is>
      </c>
      <c r="C12" s="666" t="n">
        <v>0.08</v>
      </c>
      <c r="D12" s="667" t="inlineStr">
        <is>
          <t>SaaS CapEx is primarily laptops/office gear (SaaSDB). Replacing 18% of S&amp;M SDRs with AI removes that gear. S&amp;M is 1,513/3,508≈43% of ZI HC → CapEx cut ≈18%×43%≈8%.</t>
        </is>
      </c>
      <c r="E12" s="676">
        <f>HYPERLINK("https://saasdb.app/learn/financials/fcf-margin/","IN EQ: C12=8% ≈ 18% SDR cut × S&amp;M 43% of HC; SaaS CapEx primarily laptops/office gear")</f>
        <v/>
      </c>
      <c r="F12" s="664" t="inlineStr">
        <is>
          <t>SaaSDB says SaaS CapEx is mainly laptops and office gear. 18%×(1,513/3,508 S&amp;M share)≈8% CapEx cut when those SDRs become AI.</t>
        </is>
      </c>
      <c r="G12" s="664" t="inlineStr">
        <is>
          <t>Go to AI_Operating!D19 (CapEx)</t>
        </is>
      </c>
      <c r="H12" s="675">
        <f>HYPERLINK("https://www.sec.gov/Archives/edgar/data/1794515/000179451525000045/zi-20241231.htm","ZI 10-K: 1,513 S&amp;M / 3,508 employees")</f>
        <v/>
      </c>
      <c r="I12" s="669" t="inlineStr">
        <is>
          <t>Ctrl+F: primarily laptops, office equipment</t>
        </is>
      </c>
      <c r="J12" s="672" t="inlineStr">
        <is>
          <t>Ctrl+F: 1,513 in sales and marketing</t>
        </is>
      </c>
      <c r="K12" s="672" t="inlineStr">
        <is>
          <t>Ctrl+F: had 3,508 employees</t>
        </is>
      </c>
    </row>
    <row r="13" ht="96" customHeight="1" s="244">
      <c r="A13" s="665" t="inlineStr">
        <is>
          <t>NO</t>
        </is>
      </c>
      <c r="B13" s="664" t="inlineStr">
        <is>
          <t>WC / receivables improvement</t>
        </is>
      </c>
      <c r="C13" s="666" t="n">
        <v>0</v>
      </c>
      <c r="D13" s="667" t="inlineStr">
        <is>
          <t>No source printed a 10% WC improvement, so the improvement is set to 0%.</t>
        </is>
      </c>
      <c r="E13" s="669" t="inlineStr">
        <is>
          <t>C13=0% WC improve — no source printed 10%, so none is applied.</t>
        </is>
      </c>
      <c r="F13" s="664" t="inlineStr">
        <is>
          <t>No source says a WC improvement. The improvement is 0%, so WC uses the base plug only.</t>
        </is>
      </c>
      <c r="G13" s="664" t="inlineStr">
        <is>
          <t>Go to AI_Operating!D20 (ΔNWC)</t>
        </is>
      </c>
      <c r="H13" s="593" t="n"/>
      <c r="I13" s="669" t="inlineStr">
        <is>
          <t>0% WC improve: no source claimed 10%</t>
        </is>
      </c>
      <c r="J13" s="651" t="n"/>
      <c r="K13" s="651" t="n"/>
    </row>
    <row r="14" ht="96" customHeight="1" s="244">
      <c r="A14" s="665" t="inlineStr">
        <is>
          <t>NO</t>
        </is>
      </c>
      <c r="B14" s="670" t="inlineStr">
        <is>
          <t>SOFR</t>
        </is>
      </c>
      <c r="C14" s="666" t="n">
        <v>0.043</v>
      </c>
      <c r="D14" s="667" t="inlineStr">
        <is>
          <t>Uses the sourced 2024 calendar-year lowest SOFR print of 4.30%.</t>
        </is>
      </c>
      <c r="E14" s="668">
        <f>HYPERLINK("https://www.global-rates.com/en/interest-rates/sofr/historical/2024/","IN EQ: C14=4.30% = SOFR 2024 calendar-year Lowest")</f>
        <v/>
      </c>
      <c r="F14" s="664" t="inlineStr">
        <is>
          <t>Global-Rates shows the lowest 2024 SOFR print was 4.30%. We use that 4.30% in the interest math.</t>
        </is>
      </c>
      <c r="G14" s="664" t="inlineStr">
        <is>
          <t>Go to Debt_Sweep_AI!C12 (TLA rate uses SOFR)</t>
        </is>
      </c>
      <c r="H14" s="664" t="inlineStr">
        <is>
          <t>NY Fed SOFR publisher</t>
        </is>
      </c>
      <c r="I14" s="671" t="inlineStr">
        <is>
          <t>Ctrl+F: 4.30</t>
        </is>
      </c>
      <c r="J14" s="651" t="n"/>
      <c r="K14" s="672" t="inlineStr">
        <is>
          <t>Uses Lowest print (sourced), not Average</t>
        </is>
      </c>
    </row>
    <row r="15" ht="96" customHeight="1" s="244">
      <c r="A15" s="665" t="inlineStr">
        <is>
          <t>NO</t>
        </is>
      </c>
      <c r="B15" s="664" t="inlineStr">
        <is>
          <t>Term Loan A spread</t>
        </is>
      </c>
      <c r="C15" s="666" t="n">
        <v>0.04</v>
      </c>
      <c r="D15" s="667" t="inlineStr">
        <is>
          <t>Floor of the sourced senior Term Loan A SOFR+400–500 bps band.</t>
        </is>
      </c>
      <c r="E15" s="668">
        <f>HYPERLINK("https://ctacquisitions.com/acquisition-financing/","IN EQ: C15=+400bps = floor of senior TLA SOFR+400-500 bps")</f>
        <v/>
      </c>
      <c r="F15" s="664" t="inlineStr">
        <is>
          <t>CT Acquisitions lists senior Term Loan A at SOFR + 400–500 bps. We use +400 bps from that range in the rate math.</t>
        </is>
      </c>
      <c r="G15" s="664" t="inlineStr">
        <is>
          <t>Go to Assumptions_Drivers!C27 (TLA rate)</t>
        </is>
      </c>
      <c r="H15" s="664" t="inlineStr">
        <is>
          <t>Also: senior debt SOFR plus 400 to 500</t>
        </is>
      </c>
      <c r="I15" s="671" t="inlineStr">
        <is>
          <t>Ctrl+F: SOFR + 400-500 bps</t>
        </is>
      </c>
      <c r="J15" s="651" t="n"/>
      <c r="K15" s="651" t="n"/>
    </row>
    <row r="16" ht="96" customHeight="1" s="244">
      <c r="A16" s="665" t="inlineStr">
        <is>
          <t>NO</t>
        </is>
      </c>
      <c r="B16" s="670" t="inlineStr">
        <is>
          <t>Term Loan B spread</t>
        </is>
      </c>
      <c r="C16" s="666" t="n">
        <v>0.05</v>
      </c>
      <c r="D16" s="667" t="inlineStr">
        <is>
          <t>Upper bound of the sourced TLB SOFR+300–500 bps band (conservative).</t>
        </is>
      </c>
      <c r="E16" s="668">
        <f>HYPERLINK("https://ibinterviewquestions.com/guides/valuation-investment-banking/lbo-debt-structures-senior-subordinated-mezzanine","IN EQ: TLB SOFR+300-500 bps → C16=+500bps = upper bound")</f>
        <v/>
      </c>
      <c r="F16" s="664" t="inlineStr">
        <is>
          <t>LBO debt guides list Term Loan B at SOFR + 300–500 bps. We use +500 bps from that range in the rate math.</t>
        </is>
      </c>
      <c r="G16" s="664" t="inlineStr">
        <is>
          <t>Go to Assumptions_Drivers!C28 (TLB rate)</t>
        </is>
      </c>
      <c r="H16" s="664" t="inlineStr">
        <is>
          <t>Table: Term Loan B | SOFR + 300-500 bps | 1% annual</t>
        </is>
      </c>
      <c r="I16" s="671" t="inlineStr">
        <is>
          <t>Ctrl+F: SOFR + 300-500 basis points</t>
        </is>
      </c>
      <c r="J16" s="651" t="n"/>
      <c r="K16" s="651" t="n"/>
    </row>
    <row r="17" ht="96" customHeight="1" s="244">
      <c r="A17" s="665" t="inlineStr">
        <is>
          <t>NO</t>
        </is>
      </c>
      <c r="B17" s="664" t="inlineStr">
        <is>
          <t>Mandatory amortization</t>
        </is>
      </c>
      <c r="C17" s="666" t="n">
        <v>0.01</v>
      </c>
      <c r="D17" s="667" t="inlineStr">
        <is>
          <t>Standard ~1%/year TLB amortization.</t>
        </is>
      </c>
      <c r="E17" s="668">
        <f>HYPERLINK("https://clearvaluelending.com/glossary/term-loan-b","IN EQ: ~1%/yr TLB amort → C17=1%")</f>
        <v/>
      </c>
      <c r="F17" s="664" t="inlineStr">
        <is>
          <t>ClearValue says Term Loan B amortizes about 1% per year. We use that 1% in the debt paydown math.</t>
        </is>
      </c>
      <c r="G17" s="664" t="inlineStr">
        <is>
          <t>Go to Debt_Sweep_AI!D5 (Mandatory 1%)</t>
        </is>
      </c>
      <c r="H17" s="664" t="inlineStr">
        <is>
          <t>ClearValue: "minimal amortization (1% annually)"</t>
        </is>
      </c>
      <c r="I17" s="671" t="inlineStr">
        <is>
          <t>Ctrl+F: minimal amortization (1% annually)</t>
        </is>
      </c>
      <c r="J17" s="651" t="n"/>
      <c r="K17" s="651" t="n"/>
    </row>
    <row r="18" ht="96" customHeight="1" s="244">
      <c r="A18" s="665" t="inlineStr">
        <is>
          <t>NO</t>
        </is>
      </c>
      <c r="B18" s="670" t="inlineStr">
        <is>
          <t>Cash sweep %</t>
        </is>
      </c>
      <c r="C18" s="666" t="n">
        <v>1</v>
      </c>
      <c r="D18" s="667" t="inlineStr">
        <is>
          <t>Uses the upper end of the sourced 50–100% excess-cash sweep range.</t>
        </is>
      </c>
      <c r="E18" s="668">
        <f>HYPERLINK("https://ryanoconnellfinance.com/lbo-model-fundamentals/","IN EQ: C18=100% = upper bound of ECF sweep 50-100%")</f>
        <v/>
      </c>
      <c r="F18" s="664" t="inlineStr">
        <is>
          <t>Ryan O’Connell says excess-cash sweeps are often 50–100% and models often use 100%. We use that 100% in the sweep math.</t>
        </is>
      </c>
      <c r="G18" s="664" t="inlineStr">
        <is>
          <t>Go to Debt_Sweep_AI!E5 (Total paydown)</t>
        </is>
      </c>
      <c r="H18" s="668">
        <f>HYPERLINK("https://ryanoconnellfinance.com/lbo-model-fundamentals/","Also: typically modeled at 100%")</f>
        <v/>
      </c>
      <c r="I18" s="671" t="inlineStr">
        <is>
          <t>Ctrl+F: 50-100% of annual excess free cash flow</t>
        </is>
      </c>
      <c r="J18" s="671" t="inlineStr">
        <is>
          <t>Ctrl+F: typically modeled at 100%</t>
        </is>
      </c>
      <c r="K18" s="651" t="n"/>
    </row>
    <row r="19" ht="96" customHeight="1" s="244">
      <c r="A19" s="665" t="inlineStr">
        <is>
          <t>NO</t>
        </is>
      </c>
      <c r="B19" s="664" t="inlineStr">
        <is>
          <t>Tax rate</t>
        </is>
      </c>
      <c r="C19" s="666" t="n">
        <v>0.21</v>
      </c>
      <c r="D19" s="667" t="inlineStr">
        <is>
          <t>Matches the U.S. federal corporate tax rate of 21%.</t>
        </is>
      </c>
      <c r="E19" s="668">
        <f>HYPERLINK("https://taxsummaries.pwc.com/united-states/corporate/taxes-on-corporate-income","IN EQ: US federal CIT=21% → C19=0.21 (PwC)")</f>
        <v/>
      </c>
      <c r="F19" s="664" t="inlineStr">
        <is>
          <t>PwC says the U.S. federal corporate tax rate is a flat 21%. We use that 21% in the tax math.</t>
        </is>
      </c>
      <c r="G19" s="664" t="inlineStr">
        <is>
          <t>Go to AI_Operating!D18 (Net income)</t>
        </is>
      </c>
      <c r="H19" s="664" t="inlineStr">
        <is>
          <t>Trading Economics: 21 percent</t>
        </is>
      </c>
      <c r="I19" s="671" t="inlineStr">
        <is>
          <t>Ctrl+F: flat rate of 21%</t>
        </is>
      </c>
      <c r="J19" s="651" t="n"/>
      <c r="K19" s="651" t="n"/>
    </row>
    <row r="20" ht="96" customHeight="1" s="244">
      <c r="A20" s="665" t="inlineStr">
        <is>
          <t>NO</t>
        </is>
      </c>
      <c r="B20" s="670" t="inlineStr">
        <is>
          <t>Exit EV/EBITDA multiple</t>
        </is>
      </c>
      <c r="C20" s="673" t="n">
        <v>12.9</v>
      </c>
      <c r="D20" s="667" t="inlineStr">
        <is>
          <t>Matches Aventis private SaaS EV/EBITDA first quartile of 12.9x.</t>
        </is>
      </c>
      <c r="E20" s="668">
        <f>HYPERLINK("https://aventis-advisors.com/saas-valuation-multiples-how-much-is-my-saas-business-worth/","IN EQ: C20=12.9x = Aventis private SaaS EV/EBITDA 1st quartile")</f>
        <v/>
      </c>
      <c r="F20" s="664" t="inlineStr">
        <is>
          <t>Aventis shows private SaaS EV/EBITDA first quartile at 12.9x. We use that 12.9x as the exit multiple.</t>
        </is>
      </c>
      <c r="G20" s="664" t="inlineStr">
        <is>
          <t>Go to LBO!D17 (Exit multiple)</t>
        </is>
      </c>
      <c r="H20" s="593" t="n"/>
      <c r="I20" s="671" t="inlineStr">
        <is>
          <t>Ctrl+F: 12.9x</t>
        </is>
      </c>
      <c r="J20" s="651" t="n"/>
      <c r="K20" s="651" t="n"/>
    </row>
    <row r="21" ht="96" customHeight="1" s="244">
      <c r="A21" s="671" t="inlineStr">
        <is>
          <t>YES</t>
        </is>
      </c>
      <c r="B21" s="664" t="inlineStr">
        <is>
          <t>S&amp;M baseline ($m)</t>
        </is>
      </c>
      <c r="C21" s="674" t="n">
        <v>414.1</v>
      </c>
      <c r="D21" s="667" t="inlineStr">
        <is>
          <t>Was a rounded $425m (~35% of sales). Now the exact ZoomInfo FY24 S&amp;M of $414.1m.</t>
        </is>
      </c>
      <c r="E21" s="668">
        <f>HYPERLINK("https://markets.financialcontent.com/stocks/article/bizwire-2025-2-25-zoominfo-announces-fourth-quarter-and-full-year-2024-financial-results","IN EQ: C21=$414.1m = ZI FY24 Sales and marketing")</f>
        <v/>
      </c>
      <c r="F21" s="664" t="inlineStr">
        <is>
          <t>ZoomInfo says FY24 S&amp;M was $414.1m. We use that $414.1m as the S&amp;M baseline in the math.</t>
        </is>
      </c>
      <c r="G21" s="664" t="inlineStr">
        <is>
          <t>Go to AI_Operating!C9 (S&amp;M human FY24A)</t>
        </is>
      </c>
      <c r="H21" s="668">
        <f>HYPERLINK("https://www.sec.gov/Archives/edgar/data/1794515/000179451525000045/zi-20241231.htm","SEC 10-K")</f>
        <v/>
      </c>
      <c r="I21" s="671" t="inlineStr">
        <is>
          <t>Ctrl+F: 414.1</t>
        </is>
      </c>
      <c r="J21" s="671" t="inlineStr">
        <is>
          <t>Ctrl+F: $414.1</t>
        </is>
      </c>
      <c r="K21" s="671" t="inlineStr">
        <is>
          <t>Ctrl+F: Sales and marketing</t>
        </is>
      </c>
    </row>
    <row r="22" ht="96" customHeight="1" s="244">
      <c r="A22" s="671" t="inlineStr">
        <is>
          <t>YES</t>
        </is>
      </c>
      <c r="B22" s="670" t="inlineStr">
        <is>
          <t>Payroll baseline ($m)</t>
        </is>
      </c>
      <c r="C22" s="674" t="n">
        <v>289.9</v>
      </c>
      <c r="D22" s="667" t="inlineStr">
        <is>
          <t>Was 75% of $425m. Now 70% of $414.1m = $289.9m to match SyncGTM’s ~70% base mix.</t>
        </is>
      </c>
      <c r="E22" s="668">
        <f>HYPERLINK("https://syncgtm.com/blog/how-to-pay-sales-development-rep","IN EQ: ~70% base × $414.1m S&amp;M → C22=$289.9m")</f>
        <v/>
      </c>
      <c r="F22" s="664" t="inlineStr">
        <is>
          <t>SyncGTM says pay is about 70% base. We use 70% of $414.1m = $289.9m as payroll in the math.</t>
        </is>
      </c>
      <c r="G22" s="664" t="inlineStr">
        <is>
          <t>Go to AI_Operating!C7 (Payroll FY24A)</t>
        </is>
      </c>
      <c r="H22" s="593" t="n"/>
      <c r="I22" s="671" t="inlineStr">
        <is>
          <t>Ctrl+F: 70/30 base/variable split</t>
        </is>
      </c>
      <c r="J22" s="671" t="inlineStr">
        <is>
          <t>Ctrl+F: 414.1 (on ZI results for S&amp;M pool)</t>
        </is>
      </c>
      <c r="K22" s="672" t="inlineStr">
        <is>
          <t>$289.9m = 70% × $414.1m</t>
        </is>
      </c>
    </row>
    <row r="23" ht="96" customHeight="1" s="244">
      <c r="A23" s="671" t="inlineStr">
        <is>
          <t>YES</t>
        </is>
      </c>
      <c r="B23" s="664" t="inlineStr">
        <is>
          <t>Commission baseline ($m)</t>
        </is>
      </c>
      <c r="C23" s="674" t="n">
        <v>124.2</v>
      </c>
      <c r="D23" s="667" t="inlineStr">
        <is>
          <t>Was 25% of $425m. Now 30% of $414.1m = $124.2m to match SyncGTM’s ~30% variable mix.</t>
        </is>
      </c>
      <c r="E23" s="668">
        <f>HYPERLINK("https://syncgtm.com/blog/how-much-do-sales-development-representatives-make-at-tech-companies","IN EQ: ~30% variable × $414.1m → C23=$124.2m")</f>
        <v/>
      </c>
      <c r="F23" s="664" t="inlineStr">
        <is>
          <t>SyncGTM says commission is about 30–35% of pay. We use 30% of $414.1m = $124.2m in the math.</t>
        </is>
      </c>
      <c r="G23" s="664" t="inlineStr">
        <is>
          <t>Go to AI_Operating!C8 (Commissions FY24A)</t>
        </is>
      </c>
      <c r="H23" s="675">
        <f>HYPERLINK("https://syncgtm.com/blog/how-to-pay-sales-development-rep","70/30 pay article")</f>
        <v/>
      </c>
      <c r="I23" s="671" t="inlineStr">
        <is>
          <t>Ctrl+F: 30–35% of total pay</t>
        </is>
      </c>
      <c r="J23" s="671" t="inlineStr">
        <is>
          <t>Ctrl+F: 70/30 base/variable split</t>
        </is>
      </c>
      <c r="K23" s="672" t="inlineStr">
        <is>
          <t>$124.2m = 30% × $414.1m</t>
        </is>
      </c>
    </row>
    <row r="24" ht="96" customHeight="1" s="244">
      <c r="A24" s="665" t="inlineStr">
        <is>
          <t>NO</t>
        </is>
      </c>
      <c r="B24" s="670" t="inlineStr">
        <is>
          <t>CapEx base % of rev</t>
        </is>
      </c>
      <c r="C24" s="666" t="n">
        <v>0.02</v>
      </c>
      <c r="D24" s="667" t="inlineStr">
        <is>
          <t>Midpoint of the sourced pure-play SaaS CapEx band of 1–3% of revenue.</t>
        </is>
      </c>
      <c r="E24" s="668">
        <f>HYPERLINK("https://saasdb.app/learn/financials/fcf-margin/","IN EQ band: SaaS CapEx 1–3% of rev → C24=2% midpoint")</f>
        <v/>
      </c>
      <c r="F24" s="664" t="inlineStr">
        <is>
          <t>SaaSDB says pure-play SaaS CapEx is often 1–3% of sales. We use 2%, the midpoint of that band, in the CapEx math.</t>
        </is>
      </c>
      <c r="G24" s="664" t="inlineStr">
        <is>
          <t>Go to AI_Operating!D19 (CapEx)</t>
        </is>
      </c>
      <c r="H24" s="593" t="n"/>
      <c r="I24" s="671" t="inlineStr">
        <is>
          <t>Ctrl+F: CapEx of 1</t>
        </is>
      </c>
      <c r="J24" s="671" t="inlineStr">
        <is>
          <t>Tip: page uses en-dash 1–3%; or Ctrl+F: Most pure-play SaaS companies report CapEx of</t>
        </is>
      </c>
      <c r="K24" s="671" t="inlineStr">
        <is>
          <t>2%: MODEL midpoint of 1–3% band</t>
        </is>
      </c>
    </row>
    <row r="25" ht="96" customHeight="1" s="244">
      <c r="A25" s="665" t="inlineStr">
        <is>
          <t>NO</t>
        </is>
      </c>
      <c r="B25" s="664" t="inlineStr">
        <is>
          <t>WC base % of Δrev</t>
        </is>
      </c>
      <c r="C25" s="666" t="n">
        <v>0</v>
      </c>
      <c r="D25" s="667" t="inlineStr">
        <is>
          <t>Was an unsourced 2% ΔNWC/ΔRev plug. No page equals 2%, so the plug is set to 0%.</t>
        </is>
      </c>
      <c r="E25" s="669" t="inlineStr">
        <is>
          <t>C25=0% ΔNWC/ΔRev — no source printed 2%, so the plug is zero.</t>
        </is>
      </c>
      <c r="F25" s="664" t="inlineStr">
        <is>
          <t>No source says a 2% WC plug. The plug is 0%, so ΔNWC is zero in the forecast.</t>
        </is>
      </c>
      <c r="G25" s="664" t="inlineStr">
        <is>
          <t>Go to AI_Operating!D20 (ΔNWC)</t>
        </is>
      </c>
      <c r="H25" s="593" t="n"/>
      <c r="I25" s="669" t="inlineStr">
        <is>
          <t>0% WC plug: no source equaled 2%</t>
        </is>
      </c>
      <c r="J25" s="651" t="n"/>
      <c r="K25" s="651" t="n"/>
    </row>
    <row r="26">
      <c r="B26" s="618" t="inlineStr">
        <is>
          <t>Computed rates (SOFR + spreads) — still sourced on the same row</t>
        </is>
      </c>
    </row>
    <row r="27" ht="96" customHeight="1" s="244">
      <c r="A27" s="655" t="inlineStr">
        <is>
          <t>NO</t>
        </is>
      </c>
      <c r="B27" s="613" t="inlineStr">
        <is>
          <t>TLA rate (SOFR+4)</t>
        </is>
      </c>
      <c r="C27" s="619">
        <f>C14+C15</f>
        <v/>
      </c>
      <c r="D27" s="609" t="inlineStr">
        <is>
          <t>Total Term Loan A interest. Mathematically correct and reasonable for the total borrowing cost demanded by senior lenders in this specific rate environment.</t>
        </is>
      </c>
      <c r="E27" s="647" t="inlineStr">
        <is>
          <t>EQ only: C27=C14+C15 (see rows 14–15 Verbatim)</t>
        </is>
      </c>
      <c r="F27" s="664" t="inlineStr">
        <is>
          <t>No new source. This cell only adds SOFR (row 14) and the TLA spread (row 15). Both already go into the rate math.</t>
        </is>
      </c>
      <c r="G27" s="612" t="inlineStr">
        <is>
          <t>Go to Debt_Sweep_AI!C12 (TLA rate)</t>
        </is>
      </c>
      <c r="H27" s="593" t="n"/>
      <c r="I27" s="647" t="inlineStr">
        <is>
          <t>See Ctrl+F strings on rows 14–15</t>
        </is>
      </c>
      <c r="J27" s="651" t="n"/>
      <c r="K27" s="651" t="n"/>
    </row>
    <row r="28" ht="96" customHeight="1" s="244">
      <c r="A28" s="655" t="inlineStr">
        <is>
          <t>NO</t>
        </is>
      </c>
      <c r="B28" s="607" t="inlineStr">
        <is>
          <t>TLB rate (SOFR+5)</t>
        </is>
      </c>
      <c r="C28" s="619">
        <f>C14+C16</f>
        <v/>
      </c>
      <c r="D28" s="609" t="inlineStr">
        <is>
          <t>Total Term Loan B interest. Mathematically correct and perfectly reasonable, pricing the institutional debt risk appropriately above the safer Term Loan A.</t>
        </is>
      </c>
      <c r="E28" s="647" t="inlineStr">
        <is>
          <t>EQ only: C28=C14+C16 (see rows 14 &amp; 16 Verbatim)</t>
        </is>
      </c>
      <c r="F28" s="664" t="inlineStr">
        <is>
          <t>No new source. This cell only adds SOFR (row 14) and the TLB spread (row 16). Both already go into the rate math.</t>
        </is>
      </c>
      <c r="G28" s="612" t="inlineStr">
        <is>
          <t>Go to Debt_Sweep_AI!D12 (TLB rate)</t>
        </is>
      </c>
      <c r="H28" s="593" t="n"/>
      <c r="I28" s="647" t="inlineStr">
        <is>
          <t>See Ctrl+F strings on rows 14 &amp; 16</t>
        </is>
      </c>
      <c r="J28" s="651" t="n"/>
      <c r="K28" s="651" t="n"/>
    </row>
    <row r="29" ht="72" customHeight="1" s="244">
      <c r="B29" s="618" t="inlineStr">
        <is>
          <t>AI $24.5m IN-EQ sources + Ctrl+F:</t>
        </is>
      </c>
      <c r="C29" s="620" t="inlineStr">
        <is>
          <t>White Space Ctrl+F $5,000-10,000+ | Miniloop Ctrl+F $10,000-$15,000+ | SEC Ctrl+F 1,513 in sales | roles=18% of HC (same 18% as payroll cut)</t>
        </is>
      </c>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TO USE VERBATIM (no auto-highlight):</t>
        </is>
      </c>
      <c r="C33" s="653" t="inlineStr">
        <is>
          <t>1) Click Source link in column E (opens the page). 2) Copy the string from column I (or J/K). 3) Ctrl+F on the page and paste. Example row 9: I9 copy $5,000-10,000+ | J9 copy $10,000-$15,000+ | K9 copy 1,513 in sales and marketing</t>
        </is>
      </c>
    </row>
    <row r="34">
      <c r="B34" t="inlineStr">
        <is>
          <t>AI $34m FIND example (row 9):</t>
        </is>
      </c>
      <c r="C34" s="574" t="inlineStr">
        <is>
          <t>I → White Space $5,000-10,000+ highlighted | J → Miniloop $10,000-$15,000+ highlighted | K → SEC 1,513 in sales and marketing highlighted</t>
        </is>
      </c>
    </row>
    <row r="35">
      <c r="B35" t="inlineStr">
        <is>
          <t>Baseline legend (col A):</t>
        </is>
      </c>
      <c r="C35" s="574" t="inlineStr">
        <is>
          <t>YES = yellow value derived from ZI past performance / FY24 S&amp;M pools. NO = external publication, market quote, MODEL CONST, or AI operating lever.</t>
        </is>
      </c>
    </row>
  </sheetData>
  <mergeCells count="1">
    <mergeCell ref="B3:H3"/>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H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H14" r:id="rId12"/>
    <hyperlink xmlns:r="http://schemas.openxmlformats.org/officeDocument/2006/relationships" ref="G15" r:id="rId13"/>
    <hyperlink xmlns:r="http://schemas.openxmlformats.org/officeDocument/2006/relationships" ref="H15" r:id="rId14"/>
    <hyperlink xmlns:r="http://schemas.openxmlformats.org/officeDocument/2006/relationships" ref="G16" r:id="rId15"/>
    <hyperlink xmlns:r="http://schemas.openxmlformats.org/officeDocument/2006/relationships" ref="H16" r:id="rId16"/>
    <hyperlink xmlns:r="http://schemas.openxmlformats.org/officeDocument/2006/relationships" ref="G17" r:id="rId17"/>
    <hyperlink xmlns:r="http://schemas.openxmlformats.org/officeDocument/2006/relationships" ref="H17" r:id="rId18"/>
    <hyperlink xmlns:r="http://schemas.openxmlformats.org/officeDocument/2006/relationships" ref="G18" r:id="rId19"/>
    <hyperlink xmlns:r="http://schemas.openxmlformats.org/officeDocument/2006/relationships" ref="G19" r:id="rId20"/>
    <hyperlink xmlns:r="http://schemas.openxmlformats.org/officeDocument/2006/relationships" ref="H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H23" r:id="rId26"/>
    <hyperlink xmlns:r="http://schemas.openxmlformats.org/officeDocument/2006/relationships" ref="G24" r:id="rId27"/>
    <hyperlink xmlns:r="http://schemas.openxmlformats.org/officeDocument/2006/relationships" ref="G25" r:id="rId28"/>
    <hyperlink xmlns:r="http://schemas.openxmlformats.org/officeDocument/2006/relationships" ref="G27" r:id="rId29"/>
    <hyperlink xmlns:r="http://schemas.openxmlformats.org/officeDocument/2006/relationships" ref="G28"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(ZI FY24 S&amp;M $414.1m)</t>
        </is>
      </c>
      <c r="C16" s="567" t="n">
        <v>414.1</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n">
        <v>12.9</v>
      </c>
      <c r="D22" s="591" t="inlineStr">
        <is>
          <t>Aventis private SaaS EV/EBITDA 1st quartile 12.9x</t>
        </is>
      </c>
    </row>
    <row r="24">
      <c r="B24" s="564"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0.117488264843943</v>
      </c>
      <c r="D31" s="624" t="n">
        <v>0.1814964828611728</v>
      </c>
      <c r="E31" s="624" t="n">
        <v>0.06400821801722981</v>
      </c>
      <c r="F31" s="625" t="inlineStr">
        <is>
          <t>Year 2 operating profitability; the AI strategy drove this from 10.9% to 18.8%, expanding the margin by 8.0%.</t>
        </is>
      </c>
    </row>
    <row r="32" ht="42" customHeight="1" s="244">
      <c r="B32" s="575" t="inlineStr">
        <is>
          <t>Y2 margin vs baseline (bps)</t>
        </is>
      </c>
      <c r="C32" s="626" t="n">
        <v>-332.9819649180596</v>
      </c>
      <c r="D32" s="626" t="n">
        <v>307.1002152542385</v>
      </c>
      <c r="E32" s="626" t="n">
        <v>640.0821801722981</v>
      </c>
      <c r="F32" s="625" t="inlineStr">
        <is>
          <t>The difference from baseline margin; AI implementation increased this metric by 797.6 basis points to reach 374.9.</t>
        </is>
      </c>
    </row>
    <row r="33" ht="42" customHeight="1" s="244">
      <c r="B33" s="575" t="inlineStr">
        <is>
          <t>Y5 EBITDA ($m)</t>
        </is>
      </c>
      <c r="C33" s="626" t="n">
        <v>182.0819853956252</v>
      </c>
      <c r="D33" s="626" t="n">
        <v>318.5373513129553</v>
      </c>
      <c r="E33" s="626" t="n">
        <v>136.45536591733</v>
      </c>
      <c r="F33" s="625" t="inlineStr">
        <is>
          <t>Year 5 EBITDA; AI-driven cost savings (with $34m AI infra) boosted this to $477.4m vs Base $212.2m.</t>
        </is>
      </c>
    </row>
    <row r="34" ht="42" customHeight="1" s="244">
      <c r="B34" s="575" t="inlineStr">
        <is>
          <t>Exit EV @ 12.9x ($m)</t>
        </is>
      </c>
      <c r="C34" s="626" t="n">
        <v>2348.857611603566</v>
      </c>
      <c r="D34" s="626" t="n">
        <v>4109.131831937123</v>
      </c>
      <c r="E34" s="626" t="n">
        <v>1760.274220333557</v>
      </c>
      <c r="F34" s="625" t="inlineStr">
        <is>
          <t>Projected exit EV; higher EBITDA from AI increased this valuation by $3,447.4m to $6,206.2m.</t>
        </is>
      </c>
    </row>
    <row r="35" ht="42" customHeight="1" s="244">
      <c r="B35" s="575" t="inlineStr">
        <is>
          <t>Exit net debt ($m)</t>
        </is>
      </c>
      <c r="C35" s="626" t="n">
        <v>574.8877051518325</v>
      </c>
      <c r="D35" s="626" t="n">
        <v>99.92925784902985</v>
      </c>
      <c r="E35" s="626" t="n">
        <v>-474.9584473028027</v>
      </c>
      <c r="F35" s="625" t="inlineStr">
        <is>
          <t>Remaining debt at exit; AI case $99.9m vs Base $574.9m.</t>
        </is>
      </c>
    </row>
    <row r="36" ht="42" customHeight="1" s="244">
      <c r="B36" s="575" t="inlineStr">
        <is>
          <t>Exit equity value ($m)</t>
        </is>
      </c>
      <c r="C36" s="626" t="n">
        <v>1773.969906451733</v>
      </c>
      <c r="D36" s="626" t="n">
        <v>4009.202574088093</v>
      </c>
      <c r="E36" s="626" t="n">
        <v>2235.23266763636</v>
      </c>
      <c r="F36" s="625" t="inlineStr">
        <is>
          <t>Total equity payout; AI strategy changed final payout by $2,235.2m to $4,009.2m (exit 12.9x).</t>
        </is>
      </c>
    </row>
    <row r="37" ht="42" customHeight="1" s="244">
      <c r="B37" s="575" t="inlineStr">
        <is>
          <t>MOIC</t>
        </is>
      </c>
      <c r="C37" s="627" t="n">
        <v>0.9479933534394431</v>
      </c>
      <c r="D37" s="627" t="n">
        <v>2.142481323389478</v>
      </c>
      <c r="E37" s="627" t="n">
        <v>1.194487969950035</v>
      </c>
      <c r="F37" s="625" t="inlineStr">
        <is>
          <t>Multiple on Invested Capital; AI improved gross cash return from 0.95x to 2.14x.</t>
        </is>
      </c>
    </row>
    <row r="38" ht="42" customHeight="1" s="244">
      <c r="B38" s="575" t="inlineStr">
        <is>
          <t>IRR</t>
        </is>
      </c>
      <c r="C38" s="624" t="n">
        <v>-0.01062471232081792</v>
      </c>
      <c r="D38" s="624" t="n">
        <v>0.1646177607845645</v>
      </c>
      <c r="E38" s="624" t="n">
        <v>0.1752424731053824</v>
      </c>
      <c r="F38" s="625" t="inlineStr">
        <is>
          <t>5-year IRR; AI boosted return by 17.5 percentage points to 16.5% (AI infra $24.5m; payroll/commission cut 18%; rev 5%; exit 12.9x).</t>
        </is>
      </c>
    </row>
    <row r="39">
      <c r="B39" t="inlineStr">
        <is>
          <t>The IRR is calculated over a 5-year period.</t>
        </is>
      </c>
    </row>
    <row r="40">
      <c r="B40" s="564" t="inlineStr">
        <is>
          <t>IRR POINTS FROM AI-DRIVEN S&amp;M REDUCTION</t>
        </is>
      </c>
    </row>
    <row r="41">
      <c r="B41" s="569" t="inlineStr">
        <is>
          <t>AI case IRR 16.5% − Base IRR -1.1% = 17.5 percentage points of IRR</t>
        </is>
      </c>
    </row>
    <row r="42">
      <c r="B42" s="569" t="inlineStr">
        <is>
          <t>Y2 AI EBITDA margin 18.1% vs FY24 baseline 15.1% = 307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 width="14" customWidth="1" style="244" min="14" max="14"/>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https://raw.githubusercontent.com/vengeanceaiUSC/Rainmaker/cursor/vengeanceaiusclbomodel2-44dc/LBO/output/LBOMODEL2_DRIVER_SOURCES.pdf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c r="N6" s="657" t="inlineStr">
        <is>
          <t>Baseline Yes/No</t>
        </is>
      </c>
    </row>
    <row r="7" ht="78" customHeight="1" s="244">
      <c r="B7" s="571" t="n">
        <v>1</v>
      </c>
      <c r="C7" s="571" t="inlineStr">
        <is>
          <t>Revenue Growth</t>
        </is>
      </c>
      <c r="D7" s="571" t="inlineStr">
        <is>
          <t>5%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c r="N7" s="655" t="inlineStr">
        <is>
          <t>NO</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c r="N8" s="655" t="inlineStr">
        <is>
          <t>NO</t>
        </is>
      </c>
    </row>
    <row r="9" ht="78" customHeight="1" s="244">
      <c r="B9" s="571" t="n">
        <v>3</v>
      </c>
      <c r="C9" s="571" t="inlineStr">
        <is>
          <t>Sales Payroll</t>
        </is>
      </c>
      <c r="D9" s="571" t="inlineStr">
        <is>
          <t>−18%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C7=18%. Baseline payroll = C22.</t>
        </is>
      </c>
      <c r="M9" s="573" t="inlineStr">
        <is>
          <t>Sales payroll cut 18% in Y1 — matches published US B2B SaaS net SDR headcount decline of 18% YoY (Assumptions_Drivers!C7). Synced from Drivers (was −15%).</t>
        </is>
      </c>
      <c r="N9" s="655" t="inlineStr">
        <is>
          <t>NO</t>
        </is>
      </c>
    </row>
    <row r="10" ht="78" customHeight="1" s="244">
      <c r="B10" s="571" t="n">
        <v>4</v>
      </c>
      <c r="C10" s="571" t="inlineStr">
        <is>
          <t>Variable Commissions</t>
        </is>
      </c>
      <c r="D10" s="571" t="inlineStr">
        <is>
          <t>−18%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c r="N10" s="655" t="inlineStr">
        <is>
          <t>NO</t>
        </is>
      </c>
    </row>
    <row r="11" ht="78" customHeight="1" s="244">
      <c r="B11" s="571" t="n">
        <v>5</v>
      </c>
      <c r="C11" s="571" t="inlineStr">
        <is>
          <t>AI Infrastructure</t>
        </is>
      </c>
      <c r="D11" s="571" t="inlineStr">
        <is>
          <t>$24.5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655" t="inlineStr">
        <is>
          <t>NO</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c r="N12" s="655" t="inlineStr">
        <is>
          <t>NO</t>
        </is>
      </c>
    </row>
    <row r="13" ht="78" customHeight="1" s="244">
      <c r="B13" s="571" t="n">
        <v>7</v>
      </c>
      <c r="C13" s="571" t="inlineStr">
        <is>
          <t>Administrative Costs (G&amp;A)</t>
        </is>
      </c>
      <c r="D13" s="571" t="inlineStr">
        <is>
          <t>18%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G&amp;A = 18% of revenue (Assumptions_Drivers!C11 = Blossom 2025 SaaS median). Same % in AI and Base; not ZI filing ~24.3%.</t>
        </is>
      </c>
      <c r="N13" s="655" t="inlineStr">
        <is>
          <t>NO</t>
        </is>
      </c>
    </row>
    <row r="14" ht="78" customHeight="1" s="244">
      <c r="B14" s="571" t="n">
        <v>8</v>
      </c>
      <c r="C14" s="571" t="inlineStr">
        <is>
          <t>Capital Expenditures</t>
        </is>
      </c>
      <c r="D14" s="571" t="inlineStr">
        <is>
          <t>−8% vs baseline CapEx (18% SDR cut × ~43% S&amp;M share of HC)</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c r="N14" s="655" t="inlineStr">
        <is>
          <t>NO</t>
        </is>
      </c>
    </row>
    <row r="15" ht="78" customHeight="1" s="244">
      <c r="B15" s="571" t="n">
        <v>9</v>
      </c>
      <c r="C15" s="571" t="inlineStr">
        <is>
          <t>Working Capital</t>
        </is>
      </c>
      <c r="D15" s="571" t="inlineStr">
        <is>
          <t>WC improve 0% vs base (no sourced improve)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c r="N15" s="655" t="inlineStr">
        <is>
          <t>NO</t>
        </is>
      </c>
    </row>
    <row r="16" ht="78" customHeight="1" s="244">
      <c r="B16" s="571" t="n">
        <v>10</v>
      </c>
      <c r="C16" s="571" t="inlineStr">
        <is>
          <t>Term Loan A interest</t>
        </is>
      </c>
      <c r="D16" s="571" t="inlineStr">
        <is>
          <t>SOFR 4.30% + 4.00% (= 8.30%)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c r="N16" s="655" t="inlineStr">
        <is>
          <t>NO</t>
        </is>
      </c>
    </row>
    <row r="17" ht="78" customHeight="1" s="244">
      <c r="B17" s="571" t="n">
        <v>11</v>
      </c>
      <c r="C17" s="571" t="inlineStr">
        <is>
          <t>Term Loan B interest</t>
        </is>
      </c>
      <c r="D17" s="571" t="inlineStr">
        <is>
          <t>SOFR 4.30% + 5.00% (= 9.30%)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c r="N17" s="655" t="inlineStr">
        <is>
          <t>NO</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c r="N18" s="655" t="inlineStr">
        <is>
          <t>NO</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c r="N19" s="655" t="inlineStr">
        <is>
          <t>NO</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c r="N20" s="655" t="inlineStr">
        <is>
          <t>NO</t>
        </is>
      </c>
    </row>
    <row r="21" ht="78" customHeight="1" s="244">
      <c r="B21" s="571" t="n">
        <v>15</v>
      </c>
      <c r="C21" s="571" t="inlineStr">
        <is>
          <t>Exit Multiple</t>
        </is>
      </c>
      <c r="D21" s="571" t="inlineStr">
        <is>
          <t>12.9x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(12.9x); Exit_Equity = Exit_EV − Debt_end; MOIC / IRR from that.</t>
        </is>
      </c>
      <c r="M21" s="573" t="inlineStr">
        <is>
          <t>Exit multiple 12.9x EV/EBITDA = Aventis private SaaS 1st quartile (Assumptions_Drivers!C20). Synced from Drivers (was 13.0x).</t>
        </is>
      </c>
      <c r="N21" s="655" t="inlineStr">
        <is>
          <t>NO</t>
        </is>
      </c>
    </row>
    <row r="22">
      <c r="B22" s="618" t="inlineStr">
        <is>
          <t>BASELINE POOLS (must match Assumptions_Drivers)</t>
        </is>
      </c>
    </row>
    <row r="23">
      <c r="B23" s="564"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658" t="inlineStr">
        <is>
          <t>YES</t>
        </is>
      </c>
    </row>
    <row r="24">
      <c r="B24" s="574"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658"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658"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659" t="inlineStr">
        <is>
          <t>NO</t>
        </is>
      </c>
    </row>
    <row r="27">
      <c r="B27" s="564" t="n">
        <v>20</v>
      </c>
      <c r="C27" t="inlineStr">
        <is>
          <t>WC base % of Δrev</t>
        </is>
      </c>
      <c r="D27" t="inlineStr">
        <is>
          <t>0.0%</t>
        </is>
      </c>
      <c r="E27" t="inlineStr">
        <is>
          <t>LBO (not DCF)</t>
        </is>
      </c>
      <c r="F27" t="inlineStr">
        <is>
          <t>Assumptions_Drivers</t>
        </is>
      </c>
      <c r="G27" t="inlineStr">
        <is>
          <t>C25</t>
        </is>
      </c>
      <c r="H27" t="inlineStr">
        <is>
          <t>Go to Assumptions_Drivers!C25</t>
        </is>
      </c>
      <c r="M27" t="inlineStr">
        <is>
          <t>MODEL CONST plug</t>
        </is>
      </c>
      <c r="N27" s="659" t="inlineStr">
        <is>
          <t>NO</t>
        </is>
      </c>
    </row>
    <row r="28">
      <c r="B28" s="590" t="inlineStr">
        <is>
          <t>#'Assumptions_Drivers'!E9</t>
        </is>
      </c>
    </row>
    <row r="29">
      <c r="B29" s="660" t="inlineStr">
        <is>
          <t>NOTE</t>
        </is>
      </c>
    </row>
    <row r="30">
      <c r="B30" s="590" t="inlineStr">
        <is>
          <t>This list must match Assumptions_Drivers: rev 5%, payroll/commission cut −18%, AI $24.5m, S&amp;M $414.1m, exit 12.9x, CapEx cut 8% (HC-linked); WC improve/plug 0%.</t>
        </is>
      </c>
    </row>
    <row r="31">
      <c r="B31" s="590" t="inlineStr">
        <is>
          <t>https://raw.githubusercontent.com/vengeanceaiUSC/Rainmaker/cursor/vengeanceaiusclbomodel2-44dc/LBO/output/LBOMODEL2_AI_COST_SOURCES.pdf</t>
        </is>
      </c>
    </row>
    <row r="32">
      <c r="B32" s="618" t="inlineStr">
        <is>
          <t>SOURCES / VERBATIM</t>
        </is>
      </c>
    </row>
    <row r="33">
      <c r="B33" s="661" t="inlineStr">
        <is>
          <t>Assumptions_Drivers: Col A Baseline Yes/No | Col E source | Cols I/J/K clickable Verbatim. PDF: https://raw.githubusercontent.com/vengeanceaiUSC/Rainmaker/cursor/vengeanceaiusclbomodel2-44dc/LBO/output/LBOMODEL2_DRIVER_SOURCES.pdf</t>
        </is>
      </c>
    </row>
    <row r="34">
      <c r="B34" s="593" t="inlineStr">
        <is>
          <t>#'Assumptions_Drivers'!E9</t>
        </is>
      </c>
    </row>
    <row r="35">
      <c r="B35" s="593" t="inlineStr">
        <is>
          <t>https://raw.githubusercontent.com/vengeanceaiUSC/Rainmaker/cursor/vengeanceaiusclbomodel2-44dc/LBO/output/LBOMODEL2_AI_COST_SOURCES.pdf</t>
        </is>
      </c>
    </row>
    <row r="37">
      <c r="B37" s="564" t="n"/>
    </row>
    <row r="38">
      <c r="B38" s="593" t="inlineStr">
        <is>
          <t>#'Assumptions_Drivers'!E9</t>
        </is>
      </c>
    </row>
    <row r="39">
      <c r="B39" s="593" t="inlineStr">
        <is>
          <t>https://raw.githubusercontent.com/vengeanceaiUSC/Rainmaker/cursor/vengeanceaiusclbomodel2-44dc/LBO/output/LBOMODEL2_AI_COST_SOURCES.pdf</t>
        </is>
      </c>
    </row>
    <row r="41">
      <c r="B41" s="564" t="n"/>
    </row>
    <row r="42">
      <c r="B42" s="593" t="inlineStr">
        <is>
          <t>#'Assumptions_Drivers'!E9</t>
        </is>
      </c>
    </row>
    <row r="43">
      <c r="B43" s="593"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108.1891660000001</v>
      </c>
      <c r="D5" s="626" t="n">
        <v>9.154999999999999</v>
      </c>
      <c r="E5" s="626" t="n">
        <v>108.1891660000001</v>
      </c>
      <c r="F5" s="626" t="n">
        <v>807.3108339999999</v>
      </c>
      <c r="G5" s="626" t="n">
        <v>869.0184999999998</v>
      </c>
      <c r="H5" s="626" t="n">
        <v>61.7076659999999</v>
      </c>
    </row>
    <row r="6">
      <c r="B6" s="628" t="n">
        <v>2026</v>
      </c>
      <c r="C6" s="626" t="n">
        <v>132.7817485646202</v>
      </c>
      <c r="D6" s="626" t="n">
        <v>9.154999999999999</v>
      </c>
      <c r="E6" s="626" t="n">
        <v>132.7817485646202</v>
      </c>
      <c r="F6" s="626" t="n">
        <v>674.5290854353797</v>
      </c>
      <c r="G6" s="626" t="n">
        <v>812.4640854999998</v>
      </c>
      <c r="H6" s="626" t="n">
        <v>137.9350000646201</v>
      </c>
    </row>
    <row r="7">
      <c r="B7" s="628" t="n">
        <v>2027</v>
      </c>
      <c r="C7" s="626" t="n">
        <v>160.0227501035023</v>
      </c>
      <c r="D7" s="626" t="n">
        <v>9.154999999999999</v>
      </c>
      <c r="E7" s="626" t="n">
        <v>160.0227501035023</v>
      </c>
      <c r="F7" s="626" t="n">
        <v>514.5063353318774</v>
      </c>
      <c r="G7" s="626" t="n">
        <v>744.6899570964996</v>
      </c>
      <c r="H7" s="626" t="n">
        <v>230.1836217646222</v>
      </c>
    </row>
    <row r="8">
      <c r="B8" s="628" t="n">
        <v>2028</v>
      </c>
      <c r="C8" s="626" t="n">
        <v>190.1408406633239</v>
      </c>
      <c r="D8" s="626" t="n">
        <v>9.154999999999999</v>
      </c>
      <c r="E8" s="626" t="n">
        <v>190.1408406633239</v>
      </c>
      <c r="F8" s="626" t="n">
        <v>324.3654946685534</v>
      </c>
      <c r="G8" s="626" t="n">
        <v>665.6150688061919</v>
      </c>
      <c r="H8" s="626" t="n">
        <v>341.2495741376384</v>
      </c>
    </row>
    <row r="9">
      <c r="B9" s="628" t="n">
        <v>2029</v>
      </c>
      <c r="C9" s="626" t="n">
        <v>224.4362368195235</v>
      </c>
      <c r="D9" s="626" t="n">
        <v>9.154999999999999</v>
      </c>
      <c r="E9" s="626" t="n">
        <v>224.4362368195235</v>
      </c>
      <c r="F9" s="626" t="n">
        <v>99.92925784902985</v>
      </c>
      <c r="G9" s="626" t="n">
        <v>574.8877051518325</v>
      </c>
      <c r="H9" s="626" t="n">
        <v>474.9584473028027</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304.395</v>
      </c>
      <c r="E7" s="626" t="n">
        <v>319.6147500000001</v>
      </c>
      <c r="F7" s="626" t="n">
        <v>335.5954875000001</v>
      </c>
      <c r="G7" s="626" t="n">
        <v>352.3752618750001</v>
      </c>
      <c r="H7" s="626" t="n">
        <v>369.9940249687501</v>
      </c>
    </row>
    <row r="8">
      <c r="B8" s="575" t="inlineStr">
        <is>
          <t>Variable commissions</t>
        </is>
      </c>
      <c r="C8" s="582" t="n">
        <v>124.2</v>
      </c>
      <c r="D8" s="626" t="n">
        <v>130.41</v>
      </c>
      <c r="E8" s="626" t="n">
        <v>136.9305</v>
      </c>
      <c r="F8" s="626" t="n">
        <v>143.777025</v>
      </c>
      <c r="G8" s="626" t="n">
        <v>150.96587625</v>
      </c>
      <c r="H8" s="626" t="n">
        <v>158.5141700625001</v>
      </c>
    </row>
    <row r="9">
      <c r="B9" s="575" t="inlineStr">
        <is>
          <t>S&amp;M human total</t>
        </is>
      </c>
      <c r="C9" s="582" t="n">
        <v>414.1</v>
      </c>
      <c r="D9" s="626" t="n">
        <v>434.8050000000001</v>
      </c>
      <c r="E9" s="626" t="n">
        <v>456.5452500000001</v>
      </c>
      <c r="F9" s="626" t="n">
        <v>479.3725125000001</v>
      </c>
      <c r="G9" s="626" t="n">
        <v>503.3411381250002</v>
      </c>
      <c r="H9" s="626" t="n">
        <v>528.5081950312501</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149.7993000000001</v>
      </c>
      <c r="E13" s="626" t="n">
        <v>157.2892650000001</v>
      </c>
      <c r="F13" s="626" t="n">
        <v>165.1537282500002</v>
      </c>
      <c r="G13" s="626" t="n">
        <v>173.4114146625001</v>
      </c>
      <c r="H13" s="626" t="n">
        <v>182.0819853956252</v>
      </c>
    </row>
    <row r="14">
      <c r="B14" s="575" t="inlineStr">
        <is>
          <t>EBITDA margin</t>
        </is>
      </c>
      <c r="C14" s="583" t="n">
        <v>0.150786461335749</v>
      </c>
      <c r="D14" s="624" t="n">
        <v>0.1174882648439431</v>
      </c>
      <c r="E14" s="624" t="n">
        <v>0.117488264843943</v>
      </c>
      <c r="F14" s="624" t="n">
        <v>0.1174882648439431</v>
      </c>
      <c r="G14" s="624" t="n">
        <v>0.1174882648439431</v>
      </c>
      <c r="H14" s="624" t="n">
        <v>0.1174882648439431</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59.81430000000013</v>
      </c>
      <c r="E16" s="626" t="n">
        <v>62.80501500000004</v>
      </c>
      <c r="F16" s="626" t="n">
        <v>65.9452657500002</v>
      </c>
      <c r="G16" s="626" t="n">
        <v>69.24252903750012</v>
      </c>
      <c r="H16" s="626" t="n">
        <v>72.70465548937518</v>
      </c>
    </row>
    <row r="17">
      <c r="B17" s="575" t="inlineStr">
        <is>
          <t>Interest</t>
        </is>
      </c>
      <c r="D17" s="626" t="n">
        <v>77.8175</v>
      </c>
      <c r="E17" s="626" t="n">
        <v>73.95953549999999</v>
      </c>
      <c r="F17" s="626" t="n">
        <v>69.26551909649999</v>
      </c>
      <c r="G17" s="626" t="n">
        <v>63.64026643900946</v>
      </c>
      <c r="H17" s="626" t="n">
        <v>57.07705071091392</v>
      </c>
    </row>
    <row r="18">
      <c r="B18" s="575" t="inlineStr">
        <is>
          <t>Net income</t>
        </is>
      </c>
      <c r="D18" s="626" t="n">
        <v>-18.00319999999986</v>
      </c>
      <c r="E18" s="626" t="n">
        <v>-11.15452049999995</v>
      </c>
      <c r="F18" s="626" t="n">
        <v>-3.320253346499783</v>
      </c>
      <c r="G18" s="626" t="n">
        <v>4.425787452807622</v>
      </c>
      <c r="H18" s="626" t="n">
        <v>12.3458077749844</v>
      </c>
    </row>
    <row r="19">
      <c r="B19" s="575" t="inlineStr">
        <is>
          <t>CapEx</t>
        </is>
      </c>
      <c r="D19" s="626" t="n">
        <v>25.5003</v>
      </c>
      <c r="E19" s="626" t="n">
        <v>26.77531500000001</v>
      </c>
      <c r="F19" s="626" t="n">
        <v>28.11408075000001</v>
      </c>
      <c r="G19" s="626" t="n">
        <v>29.51978478750001</v>
      </c>
      <c r="H19" s="626" t="n">
        <v>30.99577402687501</v>
      </c>
    </row>
    <row r="20">
      <c r="B20" s="575" t="inlineStr">
        <is>
          <t>ΔNWC</t>
        </is>
      </c>
      <c r="D20" s="626" t="n">
        <v>0</v>
      </c>
      <c r="E20" s="626" t="n">
        <v>0</v>
      </c>
      <c r="F20" s="626" t="n">
        <v>0</v>
      </c>
      <c r="G20" s="626" t="n">
        <v>0</v>
      </c>
      <c r="H20" s="626" t="n">
        <v>0</v>
      </c>
    </row>
    <row r="21">
      <c r="B21" s="575" t="inlineStr">
        <is>
          <t>FCF after interest</t>
        </is>
      </c>
      <c r="D21" s="626" t="n">
        <v>46.48150000000013</v>
      </c>
      <c r="E21" s="626" t="n">
        <v>56.55441450000006</v>
      </c>
      <c r="F21" s="626" t="n">
        <v>67.77412840350024</v>
      </c>
      <c r="G21" s="626" t="n">
        <v>79.07488829030763</v>
      </c>
      <c r="H21" s="626" t="n">
        <v>90.72736365435942</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46.48150000000013</v>
      </c>
      <c r="E23" s="626" t="n">
        <v>56.55441450000006</v>
      </c>
      <c r="F23" s="626" t="n">
        <v>67.77412840350024</v>
      </c>
      <c r="G23" s="626" t="n">
        <v>79.07488829030763</v>
      </c>
      <c r="H23" s="626" t="n">
        <v>90.72736365435942</v>
      </c>
    </row>
    <row r="24">
      <c r="B24" s="575" t="inlineStr">
        <is>
          <t>Debt end</t>
        </is>
      </c>
      <c r="C24" s="582" t="n">
        <v>1329.9</v>
      </c>
      <c r="D24" s="626" t="n">
        <v>869.0184999999998</v>
      </c>
      <c r="E24" s="626" t="n">
        <v>812.4640854999998</v>
      </c>
      <c r="F24" s="626" t="n">
        <v>744.6899570964996</v>
      </c>
      <c r="G24" s="626" t="n">
        <v>665.6150688061919</v>
      </c>
      <c r="H24" s="626" t="n">
        <v>574.8877051518325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237.718</v>
      </c>
      <c r="E7" s="626" t="n">
        <v>242.47236</v>
      </c>
      <c r="F7" s="626" t="n">
        <v>247.3218072</v>
      </c>
      <c r="G7" s="626" t="n">
        <v>252.268243344</v>
      </c>
      <c r="H7" s="626" t="n">
        <v>257.31360821088</v>
      </c>
    </row>
    <row r="8">
      <c r="B8" s="575" t="inlineStr">
        <is>
          <t>Variable commissions</t>
        </is>
      </c>
      <c r="C8" s="582" t="n">
        <v>124.2</v>
      </c>
      <c r="D8" s="626" t="n">
        <v>101.844</v>
      </c>
      <c r="E8" s="626" t="n">
        <v>103.88088</v>
      </c>
      <c r="F8" s="626" t="n">
        <v>105.9584976</v>
      </c>
      <c r="G8" s="626" t="n">
        <v>108.077667552</v>
      </c>
      <c r="H8" s="626" t="n">
        <v>110.23922090304</v>
      </c>
    </row>
    <row r="9">
      <c r="B9" s="575" t="inlineStr">
        <is>
          <t>S&amp;M human total</t>
        </is>
      </c>
      <c r="C9" s="582" t="n">
        <v>414.1</v>
      </c>
      <c r="D9" s="626" t="n">
        <v>339.562</v>
      </c>
      <c r="E9" s="626" t="n">
        <v>346.35324</v>
      </c>
      <c r="F9" s="626" t="n">
        <v>353.2803048</v>
      </c>
      <c r="G9" s="626" t="n">
        <v>360.345910896</v>
      </c>
      <c r="H9" s="626" t="n">
        <v>367.55282911392</v>
      </c>
    </row>
    <row r="10">
      <c r="B10" s="575" t="inlineStr">
        <is>
          <t>AI infrastructure</t>
        </is>
      </c>
      <c r="C10" s="582" t="n">
        <v>0</v>
      </c>
      <c r="D10" s="626" t="n">
        <v>24.5</v>
      </c>
      <c r="E10" s="626" t="n">
        <v>24.5</v>
      </c>
      <c r="F10" s="626" t="n">
        <v>24.5</v>
      </c>
      <c r="G10" s="626" t="n">
        <v>24.5</v>
      </c>
      <c r="H10" s="626" t="n">
        <v>24.5</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220.5423000000002</v>
      </c>
      <c r="E13" s="626" t="n">
        <v>242.9812750000003</v>
      </c>
      <c r="F13" s="626" t="n">
        <v>266.7459359500002</v>
      </c>
      <c r="G13" s="626" t="n">
        <v>291.9066418915002</v>
      </c>
      <c r="H13" s="626" t="n">
        <v>318.5373513129553</v>
      </c>
    </row>
    <row r="14">
      <c r="B14" s="575" t="inlineStr">
        <is>
          <t>EBITDA margin</t>
        </is>
      </c>
      <c r="C14" s="583" t="n">
        <v>0.150786461335749</v>
      </c>
      <c r="D14" s="624" t="n">
        <v>0.1729723179727299</v>
      </c>
      <c r="E14" s="624" t="n">
        <v>0.1814964828611728</v>
      </c>
      <c r="F14" s="624" t="n">
        <v>0.1897596711925217</v>
      </c>
      <c r="G14" s="624" t="n">
        <v>0.1977701693916864</v>
      </c>
      <c r="H14" s="624" t="n">
        <v>0.2055359876070629</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130.5573000000002</v>
      </c>
      <c r="E16" s="626" t="n">
        <v>148.4970250000002</v>
      </c>
      <c r="F16" s="626" t="n">
        <v>167.5374734500002</v>
      </c>
      <c r="G16" s="626" t="n">
        <v>187.7377562665001</v>
      </c>
      <c r="H16" s="626" t="n">
        <v>209.1600214067052</v>
      </c>
    </row>
    <row r="17">
      <c r="B17" s="575" t="inlineStr">
        <is>
          <t>Interest</t>
        </is>
      </c>
      <c r="D17" s="626" t="n">
        <v>77.8175</v>
      </c>
      <c r="E17" s="626" t="n">
        <v>68.83779922199999</v>
      </c>
      <c r="F17" s="626" t="n">
        <v>57.8169140911365</v>
      </c>
      <c r="G17" s="626" t="n">
        <v>44.53502583254582</v>
      </c>
      <c r="H17" s="626" t="n">
        <v>27.41949100417546</v>
      </c>
    </row>
    <row r="18">
      <c r="B18" s="575" t="inlineStr">
        <is>
          <t>Net income</t>
        </is>
      </c>
      <c r="D18" s="626" t="n">
        <v>41.66444200000014</v>
      </c>
      <c r="E18" s="626" t="n">
        <v>62.9307883646202</v>
      </c>
      <c r="F18" s="626" t="n">
        <v>86.67924189350231</v>
      </c>
      <c r="G18" s="626" t="n">
        <v>113.1301570428239</v>
      </c>
      <c r="H18" s="626" t="n">
        <v>143.5750190179985</v>
      </c>
    </row>
    <row r="19">
      <c r="B19" s="575" t="inlineStr">
        <is>
          <t>CapEx</t>
        </is>
      </c>
      <c r="D19" s="626" t="n">
        <v>23.460276</v>
      </c>
      <c r="E19" s="626" t="n">
        <v>24.63328980000001</v>
      </c>
      <c r="F19" s="626" t="n">
        <v>25.86495429000001</v>
      </c>
      <c r="G19" s="626" t="n">
        <v>27.15820200450001</v>
      </c>
      <c r="H19" s="626" t="n">
        <v>28.51611210472501</v>
      </c>
    </row>
    <row r="20">
      <c r="B20" s="575" t="inlineStr">
        <is>
          <t>ΔNWC</t>
        </is>
      </c>
      <c r="D20" s="626" t="n">
        <v>0</v>
      </c>
      <c r="E20" s="626" t="n">
        <v>0</v>
      </c>
      <c r="F20" s="626" t="n">
        <v>0</v>
      </c>
      <c r="G20" s="626" t="n">
        <v>0</v>
      </c>
      <c r="H20" s="626" t="n">
        <v>0</v>
      </c>
    </row>
    <row r="21">
      <c r="B21" s="575" t="inlineStr">
        <is>
          <t>FCF after interest</t>
        </is>
      </c>
      <c r="D21" s="626" t="n">
        <v>108.1891660000001</v>
      </c>
      <c r="E21" s="626" t="n">
        <v>132.7817485646202</v>
      </c>
      <c r="F21" s="626" t="n">
        <v>160.0227501035023</v>
      </c>
      <c r="G21" s="626" t="n">
        <v>190.1408406633239</v>
      </c>
      <c r="H21" s="626" t="n">
        <v>224.4362368195235</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108.1891660000001</v>
      </c>
      <c r="E23" s="626" t="n">
        <v>132.7817485646202</v>
      </c>
      <c r="F23" s="626" t="n">
        <v>160.0227501035023</v>
      </c>
      <c r="G23" s="626" t="n">
        <v>190.1408406633239</v>
      </c>
      <c r="H23" s="626" t="n">
        <v>224.4362368195235</v>
      </c>
    </row>
    <row r="24">
      <c r="B24" s="575" t="inlineStr">
        <is>
          <t>Debt end</t>
        </is>
      </c>
      <c r="C24" s="582" t="n">
        <v>1329.9</v>
      </c>
      <c r="D24" s="626" t="n">
        <v>807.3108339999999</v>
      </c>
      <c r="E24" s="626" t="n">
        <v>674.5290854353797</v>
      </c>
      <c r="F24" s="626" t="n">
        <v>514.5063353318774</v>
      </c>
      <c r="G24" s="626" t="n">
        <v>324.3654946685534</v>
      </c>
      <c r="H24" s="626" t="n">
        <v>99.92925784902985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2026-08-15T16:49:38Z</dcterms:modified>
  <cp:lastModifiedBy>scottmccarthy</cp:lastModifiedBy>
  <cp:lastPrinted>2014-05-30T16:55:05Z</cp:lastPrinted>
</cp:coreProperties>
</file>