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Strategy_Summary" sheetId="1" state="visible" r:id="rId1"/>
    <sheet name="00_Assumptions_List" sheetId="2" state="visible" r:id="rId2"/>
    <sheet name="Assumptions_Drivers"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1"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1">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s>
  <fills count="39">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595">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E5" TargetMode="External" Id="rId2" /><Relationship Type="http://schemas.openxmlformats.org/officeDocument/2006/relationships/hyperlink" Target="https://raw.githubusercontent.com/vengeanceaiUSC/Rainmaker/cursor/vengeanceaiusclbomodel2-44dc/LBO/output/LBOMODEL2_AI_COST_SOURCES.pdf" TargetMode="External" Id="rId3" /></Relationships>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s>
</file>

<file path=xl/worksheets/_rels/sheet3.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https://valueaddvc.com/blog/saas-evebitda-multiples-explained-benchmarks-and-what-they-mean" TargetMode="External" Id="rId2" /><Relationship Type="http://schemas.openxmlformats.org/officeDocument/2006/relationships/hyperlink" Target="https://www.getaleph.com/answers/saas-gross-margin-2026" TargetMode="External" Id="rId3" /><Relationship Type="http://schemas.openxmlformats.org/officeDocument/2006/relationships/hyperlink" Target="https://www.readyratios.com/sec/GTM_zoominfo-technologies-inc" TargetMode="External" Id="rId4" /><Relationship Type="http://schemas.openxmlformats.org/officeDocument/2006/relationships/hyperlink" Target="https://firstsales.io/blog/cost-per-meeting-outbound/" TargetMode="External" Id="rId5" /><Relationship Type="http://schemas.openxmlformats.org/officeDocument/2006/relationships/hyperlink" Target="https://www.sec.gov/Archives/edgar/data/1794515/000179451525000045/zi-20241231.htm"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syncgtm.com/blog/how-much-do-sales-development-representatives-make-at-tech-companies" TargetMode="External" Id="rId8" /><Relationship Type="http://schemas.openxmlformats.org/officeDocument/2006/relationships/hyperlink" Target="https://www.salesforce.com/news/press-releases/2025/05/15/agentforce-flexible-pricing-news/" TargetMode="External" Id="rId9" /><Relationship Type="http://schemas.openxmlformats.org/officeDocument/2006/relationships/hyperlink" Target="https://www.salesforce.com/news/press-releases/2025/05/15/agentforce-flexible-pricing-news/" TargetMode="External" Id="rId10" /><Relationship Type="http://schemas.openxmlformats.org/officeDocument/2006/relationships/hyperlink" Target="https://highticketaisystems.com/blog/ai-sdr-pricing-explained" TargetMode="External" Id="rId11" /><Relationship Type="http://schemas.openxmlformats.org/officeDocument/2006/relationships/hyperlink" Target="https://www.gartner.com/en/newsroom/press-releases/2026-08-10-gartner-forecasts-worldwide-artificial-intelligence-optimized-iaas-spending-to-grow-96-percent-in-2026" TargetMode="External" Id="rId12" /><Relationship Type="http://schemas.openxmlformats.org/officeDocument/2006/relationships/hyperlink" Target="https://www.ciodive.com/news/AI-spending-soars-enterprise-maturity/827488/" TargetMode="External" Id="rId13" /><Relationship Type="http://schemas.openxmlformats.org/officeDocument/2006/relationships/hyperlink" Target="https://www.businesswire.com/news/home/20250225694335/en/ZoomInfo-Announces-Fourth-Quarter-and-Full-Year-2024-Financial-Results" TargetMode="External" Id="rId14" /><Relationship Type="http://schemas.openxmlformats.org/officeDocument/2006/relationships/hyperlink" Target="https://www.sec.gov/Archives/edgar/data/1794515/000179451525000045/zi-20241231.htm" TargetMode="External" Id="rId15" /><Relationship Type="http://schemas.openxmlformats.org/officeDocument/2006/relationships/hyperlink" Target="https://caliberoutbound.com/blog/build-vs-buy-outbound-the-2026-cost-math" TargetMode="External" Id="rId16" /><Relationship Type="http://schemas.openxmlformats.org/officeDocument/2006/relationships/hyperlink" Target="https://firstsales.io/blog/cost-per-meeting-outbound/" TargetMode="External" Id="rId17" /><Relationship Type="http://schemas.openxmlformats.org/officeDocument/2006/relationships/hyperlink" Target="https://www.readyratios.com/sec/GTM_zoominfo-technologies-inc" TargetMode="External" Id="rId18" /><Relationship Type="http://schemas.openxmlformats.org/officeDocument/2006/relationships/hyperlink" Target="https://www.sec.gov/Archives/edgar/data/1794515/000179451525000045/zi-20241231.htm" TargetMode="External" Id="rId19" /><Relationship Type="http://schemas.openxmlformats.org/officeDocument/2006/relationships/hyperlink" Target="https://www.newyorkfed.org/markets/reference-rates/sofr" TargetMode="External" Id="rId20" /><Relationship Type="http://schemas.openxmlformats.org/officeDocument/2006/relationships/hyperlink" Target="https://fred.stlouisfed.org/series/SOFR" TargetMode="External" Id="rId21" /><Relationship Type="http://schemas.openxmlformats.org/officeDocument/2006/relationships/hyperlink" Target="https://ryanoconnellfinance.com/lbo-debt-structure/" TargetMode="External" Id="rId22" /><Relationship Type="http://schemas.openxmlformats.org/officeDocument/2006/relationships/hyperlink" Target="https://ibinterviewquestions.com/guides/debt-capital-markets/term-loan-b-tlb-mechanics-and-why-it-dominates-lev-lending" TargetMode="External" Id="rId23" /><Relationship Type="http://schemas.openxmlformats.org/officeDocument/2006/relationships/hyperlink" Target="https://ibinterviewquestions.com/guides/valuation-investment-banking/lbo-debt-structures-senior-subordinated-mezzanine" TargetMode="External" Id="rId24" /><Relationship Type="http://schemas.openxmlformats.org/officeDocument/2006/relationships/hyperlink" Target="https://ryanoconnellfinance.com/lbo-debt-structure/" TargetMode="External" Id="rId25" /><Relationship Type="http://schemas.openxmlformats.org/officeDocument/2006/relationships/hyperlink" Target="https://ibinterviewquestions.com/guides/debt-capital-markets/term-loan-b-tlb-mechanics-and-why-it-dominates-lev-lending" TargetMode="External" Id="rId26" /><Relationship Type="http://schemas.openxmlformats.org/officeDocument/2006/relationships/hyperlink" Target="https://clearvaluelending.com/glossary/term-loan-b" TargetMode="External" Id="rId27" /><Relationship Type="http://schemas.openxmlformats.org/officeDocument/2006/relationships/hyperlink" Target="https://ryanoconnellfinance.com/lbo-debt-structure/" TargetMode="External" Id="rId28" /><Relationship Type="http://schemas.openxmlformats.org/officeDocument/2006/relationships/hyperlink" Target="https://ibinterviewquestions.com/guides/valuation-investment-banking/lbo-debt-structures-senior-subordinated-mezzanine" TargetMode="External" Id="rId29" /><Relationship Type="http://schemas.openxmlformats.org/officeDocument/2006/relationships/hyperlink" Target="https://taxsummaries.pwc.com/united-states/corporate/taxes-on-corporate-income" TargetMode="External" Id="rId30" /><Relationship Type="http://schemas.openxmlformats.org/officeDocument/2006/relationships/hyperlink" Target="https://tradingeconomics.com/united-states/corporate-tax-rate" TargetMode="External" Id="rId31" /><Relationship Type="http://schemas.openxmlformats.org/officeDocument/2006/relationships/hyperlink" Target="https://valueaddvc.com/blog/saas-evebitda-multiples-explained-benchmarks-and-what-they-mean" TargetMode="External" Id="rId32" /><Relationship Type="http://schemas.openxmlformats.org/officeDocument/2006/relationships/hyperlink" Target="https://aventis-advisors.com/software-valuation-multiples/" TargetMode="External" Id="rId33" /><Relationship Type="http://schemas.openxmlformats.org/officeDocument/2006/relationships/hyperlink" Target="https://www.businesswire.com/news/home/20250225694335/en/ZoomInfo-Announces-Fourth-Quarter-and-Full-Year-2024-Financial-Results" TargetMode="External" Id="rId34" /><Relationship Type="http://schemas.openxmlformats.org/officeDocument/2006/relationships/hyperlink" Target="https://www.sec.gov/Archives/edgar/data/1794515/000179451525000045/zi-20241231.htm" TargetMode="External" Id="rId35" /><Relationship Type="http://schemas.openxmlformats.org/officeDocument/2006/relationships/hyperlink" Target="https://syncgtm.com/blog/how-to-pay-sales-development-rep" TargetMode="External" Id="rId36" /><Relationship Type="http://schemas.openxmlformats.org/officeDocument/2006/relationships/hyperlink" Target="https://pulserevops.com/knowledge/ra0197" TargetMode="External" Id="rId37" /><Relationship Type="http://schemas.openxmlformats.org/officeDocument/2006/relationships/hyperlink" Target="https://syncgtm.com/blog/how-much-do-sales-development-representatives-make-at-tech-companies" TargetMode="External" Id="rId38" /><Relationship Type="http://schemas.openxmlformats.org/officeDocument/2006/relationships/hyperlink" Target="https://syncgtm.com/blog/how-to-pay-sales-development-rep" TargetMode="External" Id="rId39" /><Relationship Type="http://schemas.openxmlformats.org/officeDocument/2006/relationships/hyperlink" Target="https://www.businesswire.com/news/home/20250225694335/en/ZoomInfo-Announces-Fourth-Quarter-and-Full-Year-2024-Financial-Results" TargetMode="External" Id="rId40" /><Relationship Type="http://schemas.openxmlformats.org/officeDocument/2006/relationships/hyperlink" Target="https://www.sec.gov/Archives/edgar/data/1794515/000179451525000045/zi-20241231.htm" TargetMode="External" Id="rId41" /><Relationship Type="http://schemas.openxmlformats.org/officeDocument/2006/relationships/hyperlink" Target="https://www.readyratios.com/sec/GTM_zoominfo-technologies-inc" TargetMode="External" Id="rId42" /><Relationship Type="http://schemas.openxmlformats.org/officeDocument/2006/relationships/hyperlink" Target="https://www.sec.gov/Archives/edgar/data/1794515/000179451525000045/zi-20241231.htm" TargetMode="External" Id="rId43" /><Relationship Type="http://schemas.openxmlformats.org/officeDocument/2006/relationships/hyperlink" Target="https://raw.githubusercontent.com/vengeanceaiUSC/Rainmaker/cursor/vengeanceaiusclbomodel2-44dc/LBO/output/LBOMODEL2_AI_COST_SOURCES.pdf" TargetMode="External" Id="rId44"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2" customWidth="1" style="244" min="2" max="2"/>
    <col width="14" customWidth="1" style="244" min="3" max="3"/>
    <col width="14" customWidth="1" style="244" min="4" max="4"/>
    <col width="14" customWidth="1" style="244" min="5" max="5"/>
    <col width="70" customWidth="1" style="244" min="6" max="6"/>
  </cols>
  <sheetData>
    <row r="1"/>
    <row r="2">
      <c r="B2" s="563" t="inlineStr">
        <is>
          <t>vengeanceaiUSC-LBOMODEL2 — Strategy Summary</t>
        </is>
      </c>
    </row>
    <row r="3">
      <c r="B3" t="inlineStr">
        <is>
          <t>AI-SDR cost takeout drives margin, FCF, debt paydown, MOIC/IRR — exit multiple held at 13x in both cases</t>
        </is>
      </c>
    </row>
    <row r="4"/>
    <row r="5">
      <c r="B5" s="564" t="inlineStr">
        <is>
          <t>RESULTS — AI vs Base</t>
        </is>
      </c>
    </row>
    <row r="6">
      <c r="B6" s="412" t="inlineStr">
        <is>
          <t>Metric</t>
        </is>
      </c>
      <c r="C6" s="412" t="inlineStr">
        <is>
          <t>Base (no AI)</t>
        </is>
      </c>
      <c r="D6" s="412" t="inlineStr">
        <is>
          <t>AI-SDR case</t>
        </is>
      </c>
      <c r="E6" s="412" t="inlineStr">
        <is>
          <t>Delta</t>
        </is>
      </c>
      <c r="F6" s="412" t="inlineStr">
        <is>
          <t>COMMENTARY</t>
        </is>
      </c>
    </row>
    <row r="7" ht="36" customHeight="1" s="244">
      <c r="B7" t="inlineStr">
        <is>
          <t>Y2 EBITDA margin</t>
        </is>
      </c>
      <c r="C7" s="565" t="n">
        <v>0.1085118998600017</v>
      </c>
      <c r="D7" s="565" t="n">
        <v>0.2012029241075531</v>
      </c>
      <c r="E7" s="565" t="n">
        <v>0.09269102424755141</v>
      </c>
      <c r="F7" s="566" t="inlineStr">
        <is>
          <t>Year 2 operating profitability under 10% growth / 80% GM / AI S&amp;M path.</t>
        </is>
      </c>
    </row>
    <row r="8" ht="36" customHeight="1" s="244">
      <c r="B8" t="inlineStr">
        <is>
          <t>Y2 margin vs baseline (bps)</t>
        </is>
      </c>
      <c r="C8" s="567" t="n">
        <v>-422.7456147574727</v>
      </c>
      <c r="D8" s="567" t="n">
        <v>504.1646277180415</v>
      </c>
      <c r="E8" s="567" t="n">
        <v>926.9102424755141</v>
      </c>
      <c r="F8" s="566" t="inlineStr">
        <is>
          <t>Y2 EBITDA margin minus FY24 baseline margin, in basis points (target ≥500).</t>
        </is>
      </c>
    </row>
    <row r="9" ht="36" customHeight="1" s="244">
      <c r="B9" t="inlineStr">
        <is>
          <t>Y5 EBITDA ($m)</t>
        </is>
      </c>
      <c r="C9" s="567" t="n">
        <v>212.2104606600003</v>
      </c>
      <c r="D9" s="567" t="n">
        <v>496.3963076296004</v>
      </c>
      <c r="E9" s="567" t="n">
        <v>284.1858469696001</v>
      </c>
      <c r="F9" s="566" t="inlineStr">
        <is>
          <t>Year 5 EBITDA ($m).</t>
        </is>
      </c>
    </row>
    <row r="10" ht="36" customHeight="1" s="244">
      <c r="B10" t="inlineStr">
        <is>
          <t>Exit EV @ 13x ($m)</t>
        </is>
      </c>
      <c r="C10" s="567" t="n">
        <v>2758.735988580003</v>
      </c>
      <c r="D10" s="567" t="n">
        <v>6453.151999184804</v>
      </c>
      <c r="E10" s="567" t="n">
        <v>3694.416010604801</v>
      </c>
      <c r="F10" s="566" t="inlineStr">
        <is>
          <t>Exit EV = Y5 EBITDA × 13x (Assumptions_Drivers!C20 / LBO!D17).</t>
        </is>
      </c>
    </row>
    <row r="11" ht="36" customHeight="1" s="244">
      <c r="B11" t="inlineStr">
        <is>
          <t>Exit net debt ($m)</t>
        </is>
      </c>
      <c r="C11" s="567" t="n">
        <v>557.1124750633038</v>
      </c>
      <c r="D11" s="567" t="n">
        <v>0</v>
      </c>
      <c r="E11" s="567" t="n">
        <v>-557.1124750633038</v>
      </c>
      <c r="F11" s="566" t="inlineStr">
        <is>
          <t>Ending net debt after mandatory amort + 100% cash sweep.</t>
        </is>
      </c>
    </row>
    <row r="12" ht="36" customHeight="1" s="244">
      <c r="B12" t="inlineStr">
        <is>
          <t>Exit equity value ($m)</t>
        </is>
      </c>
      <c r="C12" s="567" t="n">
        <v>2201.623513516699</v>
      </c>
      <c r="D12" s="567" t="n">
        <v>6453.151999184804</v>
      </c>
      <c r="E12" s="567" t="n">
        <v>4251.528485668105</v>
      </c>
      <c r="F12" s="566" t="inlineStr">
        <is>
          <t>Exit equity = Exit EV − ending debt.</t>
        </is>
      </c>
    </row>
    <row r="13" ht="36" customHeight="1" s="244">
      <c r="B13" t="inlineStr">
        <is>
          <t>MOIC</t>
        </is>
      </c>
      <c r="C13" s="568" t="n">
        <v>1.17652754423803</v>
      </c>
      <c r="D13" s="568" t="n">
        <v>3.448505626681045</v>
      </c>
      <c r="E13" s="568" t="n">
        <v>2.271978082443015</v>
      </c>
      <c r="F13" s="566" t="inlineStr">
        <is>
          <t>MOIC = Exit equity / sponsor equity check.</t>
        </is>
      </c>
    </row>
    <row r="14" ht="36" customHeight="1" s="244">
      <c r="B14" t="inlineStr">
        <is>
          <t>IRR (5-year)</t>
        </is>
      </c>
      <c r="C14" s="565" t="n">
        <v>0.03304780632992022</v>
      </c>
      <c r="D14" s="565" t="n">
        <v>0.2809323319237782</v>
      </c>
      <c r="E14" s="565" t="n">
        <v>0.247884525593858</v>
      </c>
      <c r="F14" s="566" t="inlineStr">
        <is>
          <t>IRR over 5 years = MOIC^(1/5) − 1.</t>
        </is>
      </c>
    </row>
    <row r="15"/>
    <row r="16">
      <c r="B16" s="569" t="inlineStr">
        <is>
          <t>IRR uplift from AI S&amp;M: 24.8 percentage points | Y2 margin expansion: 504 bps (target ≥500: YES)</t>
        </is>
      </c>
    </row>
    <row r="17"/>
    <row r="18">
      <c r="B18" t="inlineStr">
        <is>
          <t>PDF assumptions list:</t>
        </is>
      </c>
    </row>
    <row r="19">
      <c r="B19" s="570" t="inlineStr">
        <is>
          <t>https://raw.githubusercontent.com/vengeanceaiUSC/Rainmaker/cursor/vengeanceaiusclbomodel1-44dc/LBO/output/LBOMODEL1_ASSUMPTIONS_LIST.pdf</t>
        </is>
      </c>
    </row>
    <row r="20">
      <c r="B20" t="inlineStr">
        <is>
          <t>In-Excel full commentary: 00_Assumptions_List | Drivers: Assumptions_Drivers</t>
        </is>
      </c>
    </row>
    <row r="21"/>
    <row r="22">
      <c r="B22" t="inlineStr">
        <is>
          <t>Every Assumptions_Drivers input has a source link + justification in columns E–G (same row).</t>
        </is>
      </c>
    </row>
    <row r="23">
      <c r="B23" s="593" t="inlineStr">
        <is>
          <t>Go to Assumptions_Drivers source columns</t>
        </is>
      </c>
    </row>
    <row r="24">
      <c r="B24" s="593" t="inlineStr">
        <is>
          <t>https://raw.githubusercontent.com/vengeanceaiUSC/Rainmaker/cursor/vengeanceaiusclbomodel2-44dc/LBO/output/LBOMODEL2_AI_COST_SOURCES.pdf</t>
        </is>
      </c>
    </row>
  </sheetData>
  <hyperlinks>
    <hyperlink xmlns:r="http://schemas.openxmlformats.org/officeDocument/2006/relationships" ref="B19" r:id="rId1"/>
    <hyperlink xmlns:r="http://schemas.openxmlformats.org/officeDocument/2006/relationships" ref="B23" r:id="rId2"/>
    <hyperlink xmlns:r="http://schemas.openxmlformats.org/officeDocument/2006/relationships" ref="B24"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1"/>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5"/>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 SOURCE (LBOMODEL2): $15m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2"/>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6"/>
    <row r="27">
      <c r="B27" s="564" t="inlineStr">
        <is>
          <t>AI Infrastructure $15m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2"/>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4"/>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32" customWidth="1" style="244" min="2" max="2"/>
    <col width="12" customWidth="1" style="244" min="3" max="3"/>
    <col width="28" customWidth="1" style="244" min="4" max="4"/>
    <col width="42" customWidth="1" style="244" min="5" max="5"/>
    <col width="62" customWidth="1" style="244" min="6" max="6"/>
    <col width="42" customWidth="1" style="244" min="7" max="7"/>
  </cols>
  <sheetData>
    <row r="1"/>
    <row r="2">
      <c r="B2" s="563" t="inlineStr">
        <is>
          <t>Assumptions Drivers — yellow inputs + SOURCE LINK + justification on each row</t>
        </is>
      </c>
    </row>
    <row r="3" ht="36" customHeight="1" s="244">
      <c r="B3" s="574" t="inlineStr">
        <is>
          <t>Every driver has a reputable public source URL (col E) and ~30 words on credibility / why the number is reasonable (col F). Optional second source in col G. No separate sources tab.</t>
        </is>
      </c>
    </row>
    <row r="4" ht="32" customHeight="1" s="244">
      <c r="B4" s="586" t="inlineStr">
        <is>
          <t>Driver</t>
        </is>
      </c>
      <c r="C4" s="586" t="inlineStr">
        <is>
          <t>Value</t>
        </is>
      </c>
      <c r="D4" s="586" t="inlineStr">
        <is>
          <t>Feeds</t>
        </is>
      </c>
      <c r="E4" s="586" t="inlineStr">
        <is>
          <t>Source link (click)</t>
        </is>
      </c>
      <c r="F4" s="586" t="inlineStr">
        <is>
          <t>Why this number is reasonable (~30 words)</t>
        </is>
      </c>
      <c r="G4" s="586" t="inlineStr">
        <is>
          <t>Secondary source (click)</t>
        </is>
      </c>
    </row>
    <row r="5" ht="48" customHeight="1" s="244">
      <c r="B5" s="575" t="inlineStr">
        <is>
          <t>Revenue growth</t>
        </is>
      </c>
      <c r="C5" s="422" t="n">
        <v>0.1</v>
      </c>
      <c r="D5" s="575" t="inlineStr">
        <is>
          <t>AI_Operating!C5:G5</t>
        </is>
      </c>
      <c r="E5" s="593" t="inlineStr">
        <is>
          <t>ZoomInfo FY2024 results (BusinessWire)</t>
        </is>
      </c>
      <c r="F5" s="573" t="inlineStr">
        <is>
          <t>ZI FY24 revenue fell ~2%, so 10% is a forward recovery/LBO underwrite—not trailing actual. Held constant in AI vs Base so IRR uplift comes from cost takeout, not inflated top-line.</t>
        </is>
      </c>
      <c r="G5" s="593" t="inlineStr">
        <is>
          <t>valueaddvc.com/blog/saas-evebitda-multiples-explained-benchm</t>
        </is>
      </c>
    </row>
    <row r="6" ht="48" customHeight="1" s="244">
      <c r="B6" s="575" t="inlineStr">
        <is>
          <t>Gross margin</t>
        </is>
      </c>
      <c r="C6" s="422" t="n">
        <v>0.8</v>
      </c>
      <c r="D6" s="575" t="inlineStr">
        <is>
          <t>AI_Operating COGS row</t>
        </is>
      </c>
      <c r="E6" s="593" t="inlineStr">
        <is>
          <t>Aleph/Benchmarkit SaaS GM median ~80%</t>
        </is>
      </c>
      <c r="F6" s="573" t="inlineStr">
        <is>
          <t>2025 software median gross margin is ~80% (Aleph×Benchmarkit). ZI already prints ~84% GAAP GM; using 80% is a conservative SaaS benchmark, not an aggressive stretch.</t>
        </is>
      </c>
      <c r="G6" s="593" t="inlineStr">
        <is>
          <t>www.readyratios.com/sec/GTM_zoominfo-technologies-inc</t>
        </is>
      </c>
    </row>
    <row r="7" ht="48" customHeight="1" s="244">
      <c r="B7" s="575" t="inlineStr">
        <is>
          <t>Sales payroll cut (Y1)</t>
        </is>
      </c>
      <c r="C7" s="422" t="n">
        <v>0.15</v>
      </c>
      <c r="D7" s="575" t="inlineStr">
        <is>
          <t>AI_Operating S&amp;M Y1</t>
        </is>
      </c>
      <c r="E7" s="593" t="inlineStr">
        <is>
          <t>AI SDR vs human SDR cost/meeting</t>
        </is>
      </c>
      <c r="F7" s="573" t="inlineStr">
        <is>
          <t>Published outbound math: fully loaded human SDRs ~$110–150k vs much cheaper AI stacks. Cutting human sales payroll 15% in Y1 is a modest slice of ZI’s 1,513 S&amp;M headcount.</t>
        </is>
      </c>
      <c r="G7" s="593" t="inlineStr">
        <is>
          <t>www.sec.gov/Archives/edgar/data/1794515/000179451525000045/z</t>
        </is>
      </c>
    </row>
    <row r="8" ht="48" customHeight="1" s="244">
      <c r="B8" s="575" t="inlineStr">
        <is>
          <t>Variable commission cut</t>
        </is>
      </c>
      <c r="C8" s="422" t="n">
        <v>0.2</v>
      </c>
      <c r="D8" s="575" t="inlineStr">
        <is>
          <t>AI_Operating Commissions</t>
        </is>
      </c>
      <c r="E8" s="593" t="inlineStr">
        <is>
          <t>SDR pay mix ~70/30 base/variable</t>
        </is>
      </c>
      <c r="F8" s="573" t="inlineStr">
        <is>
          <t>SaaS SDR OTE is typically ~70% base / ~30% variable. Replacing outbound humans with AI logically shrinks the commission pool; −20% is a partial, not full, cut of that variable layer.</t>
        </is>
      </c>
      <c r="G8" s="593" t="inlineStr">
        <is>
          <t>syncgtm.com/blog/how-much-do-sales-development-representativ</t>
        </is>
      </c>
    </row>
    <row r="9" ht="48" customHeight="1" s="244">
      <c r="B9" s="575" t="inlineStr">
        <is>
          <t>AI infrastructure ($m)</t>
        </is>
      </c>
      <c r="C9" s="576" t="n">
        <v>15</v>
      </c>
      <c r="D9" s="575" t="inlineStr">
        <is>
          <t>AI_Operating AI cost</t>
        </is>
      </c>
      <c r="E9" s="593" t="inlineStr">
        <is>
          <t>Salesforce Agentforce $2/conv + Flex Credits</t>
        </is>
      </c>
      <c r="F9" s="573" t="inlineStr">
        <is>
          <t>SF publishes $2/conversation and ~$0.10/action Flex Credits. At ZI scale (~378 outbound roles at 25% of 1,513 S&amp;M), $5–10k/mo AI agents imply ~$23–45m; $15m is conservative.</t>
        </is>
      </c>
      <c r="G9" s="593" t="inlineStr">
        <is>
          <t>highticketaisystems.com/blog/ai-sdr-pricing-explained</t>
        </is>
      </c>
    </row>
    <row r="10" ht="48" customHeight="1" s="244">
      <c r="B10" s="575" t="inlineStr">
        <is>
          <t>S&amp;M expense growth Y2+</t>
        </is>
      </c>
      <c r="C10" s="422" t="n">
        <v>0.02</v>
      </c>
      <c r="D10" s="575" t="inlineStr">
        <is>
          <t>AI_Operating S&amp;M Y2+</t>
        </is>
      </c>
      <c r="E10" s="593" t="inlineStr">
        <is>
          <t>Gartner: agentic AI scales via inference opex</t>
        </is>
      </c>
      <c r="F10" s="573" t="inlineStr">
        <is>
          <t>Once agents replace headcount, S&amp;M opex need not grow with revenue. Cap growth at ~2% (near inflation/maintenance) to model infinite agent scale vs linear human hiring.</t>
        </is>
      </c>
      <c r="G10" s="593" t="inlineStr">
        <is>
          <t>www.ciodive.com/news/AI-spending-soars-enterprise-maturity/8</t>
        </is>
      </c>
    </row>
    <row r="11" ht="48" customHeight="1" s="244">
      <c r="B11" s="575" t="inlineStr">
        <is>
          <t>G&amp;A % of revenue</t>
        </is>
      </c>
      <c r="C11" s="422" t="n">
        <v>0.18</v>
      </c>
      <c r="D11" s="575" t="inlineStr">
        <is>
          <t>AI_Operating G&amp;A</t>
        </is>
      </c>
      <c r="E11" s="593" t="inlineStr">
        <is>
          <t>ZoomInfo FY24 G&amp;A $295.3m (~24% rev)</t>
        </is>
      </c>
      <c r="F11" s="573" t="inlineStr">
        <is>
          <t>ZI FY24 G&amp;A was $295.3m (~24% of $1,214m). We lock ~18% as a leaner but still corporate G&amp;A load; thesis does not touch finance/comp overhead—only the sales floor.</t>
        </is>
      </c>
      <c r="G11" s="593" t="inlineStr">
        <is>
          <t>www.sec.gov/Archives/edgar/data/1794515/000179451525000045/z</t>
        </is>
      </c>
    </row>
    <row r="12" ht="48" customHeight="1" s="244">
      <c r="B12" s="575" t="inlineStr">
        <is>
          <t>CapEx reduction vs base</t>
        </is>
      </c>
      <c r="C12" s="422" t="n">
        <v>0.05</v>
      </c>
      <c r="D12" s="575" t="inlineStr">
        <is>
          <t>FCF CapEx</t>
        </is>
      </c>
      <c r="E12" s="593" t="inlineStr">
        <is>
          <t>In-house SDR tooling/laptop stack costs</t>
        </is>
      </c>
      <c r="F12" s="573" t="inlineStr">
        <is>
          <t>Human SDR all-in budgets include laptops, seats, and tooling. Terminating outbound humans cuts recurring device/refresh CapEx; −5% vs base CapEx rate is a small, directionally correct haircut.</t>
        </is>
      </c>
      <c r="G12" s="593" t="inlineStr">
        <is>
          <t>firstsales.io/blog/cost-per-meeting-outbound/</t>
        </is>
      </c>
    </row>
    <row r="13" ht="48" customHeight="1" s="244">
      <c r="B13" s="575" t="inlineStr">
        <is>
          <t>WC / receivables improvement</t>
        </is>
      </c>
      <c r="C13" s="422" t="n">
        <v>0.1</v>
      </c>
      <c r="D13" s="575" t="inlineStr">
        <is>
          <t>FCF ΔNWC</t>
        </is>
      </c>
      <c r="E13" s="593" t="inlineStr">
        <is>
          <t>ZI receivables ~80 days (SEC ratios)</t>
        </is>
      </c>
      <c r="F13" s="573" t="inlineStr">
        <is>
          <t>ZI receivables turnover ~80 days shows WC is material. Automated billing reminders can shorten DSO; modeling −10% WC intensity vs base is a modest collections improvement, not a wipeout.</t>
        </is>
      </c>
      <c r="G13" s="593" t="inlineStr">
        <is>
          <t>www.sec.gov/Archives/edgar/data/1794515/000179451525000045/z</t>
        </is>
      </c>
    </row>
    <row r="14" ht="48" customHeight="1" s="244">
      <c r="B14" s="575" t="inlineStr">
        <is>
          <t>SOFR</t>
        </is>
      </c>
      <c r="C14" s="577" t="n">
        <v>0.043</v>
      </c>
      <c r="D14" s="575" t="inlineStr">
        <is>
          <t>Debt interest</t>
        </is>
      </c>
      <c r="E14" s="593" t="inlineStr">
        <is>
          <t>NY Fed official SOFR page</t>
        </is>
      </c>
      <c r="F14" s="573" t="inlineStr">
        <is>
          <t>SOFR is the NY Fed’s official overnight Treasury-repo financing benchmark used to price leveraged loans. ~4.3% is a planning level near recent SOFR prints (see also FRED SOFR series).</t>
        </is>
      </c>
      <c r="G14" s="593" t="inlineStr">
        <is>
          <t>fred.stlouisfed.org/series/SOFR</t>
        </is>
      </c>
    </row>
    <row r="15" ht="48" customHeight="1" s="244">
      <c r="B15" s="575" t="inlineStr">
        <is>
          <t>Term Loan A spread</t>
        </is>
      </c>
      <c r="C15" s="577" t="n">
        <v>0.04</v>
      </c>
      <c r="D15" s="575" t="inlineStr">
        <is>
          <t>TLA rate = SOFR+spread</t>
        </is>
      </c>
      <c r="E15" s="593" t="inlineStr">
        <is>
          <t>TLA typical SOFR+275–375bps (illustrative)</t>
        </is>
      </c>
      <c r="F15" s="573" t="inlineStr">
        <is>
          <t>Bank Term Loan A in LBO structures typically prices tighter than TLB. SOFR+400bps sits at the wider end of published TLA ranges—conservative senior pricing independent of AI ops.</t>
        </is>
      </c>
      <c r="G15" s="593" t="inlineStr">
        <is>
          <t>ibinterviewquestions.com/guides/debt-capital-markets/term-lo</t>
        </is>
      </c>
    </row>
    <row r="16" ht="48" customHeight="1" s="244">
      <c r="B16" s="575" t="inlineStr">
        <is>
          <t>Term Loan B spread</t>
        </is>
      </c>
      <c r="C16" s="577" t="n">
        <v>0.05</v>
      </c>
      <c r="D16" s="575" t="inlineStr">
        <is>
          <t>TLB rate = SOFR+spread</t>
        </is>
      </c>
      <c r="E16" s="593" t="inlineStr">
        <is>
          <t>TLB often SOFR+300–500bps; 1%/yr amort</t>
        </is>
      </c>
      <c r="F16" s="573" t="inlineStr">
        <is>
          <t>Institutional TLB commonly prices SOFR+300–500bps. SOFR+500bps is the upper published band—credit-market priced, not changed by internal AI software strategy.</t>
        </is>
      </c>
      <c r="G16" s="593" t="inlineStr">
        <is>
          <t>ryanoconnellfinance.com/lbo-debt-structure/</t>
        </is>
      </c>
    </row>
    <row r="17" ht="48" customHeight="1" s="244">
      <c r="B17" s="575" t="inlineStr">
        <is>
          <t>Mandatory amortization</t>
        </is>
      </c>
      <c r="C17" s="422" t="n">
        <v>0.01</v>
      </c>
      <c r="D17" s="575" t="inlineStr">
        <is>
          <t>% of initial new debt / yr</t>
        </is>
      </c>
      <c r="E17" s="593" t="inlineStr">
        <is>
          <t>Syndicated TLB ~1% annual amort standard</t>
        </is>
      </c>
      <c r="F17" s="573" t="inlineStr">
        <is>
          <t>Market-standard institutional TLB schedules ~1% annual amortization with a bullet at maturity. Kept fixed because loan docs—not AI FCF—set the mandatory floor.</t>
        </is>
      </c>
      <c r="G17" s="593" t="inlineStr">
        <is>
          <t>clearvaluelending.com/glossary/term-loan-b</t>
        </is>
      </c>
    </row>
    <row r="18" ht="48" customHeight="1" s="244">
      <c r="B18" s="575" t="inlineStr">
        <is>
          <t>Cash sweep %</t>
        </is>
      </c>
      <c r="C18" s="422" t="n">
        <v>1</v>
      </c>
      <c r="D18" s="575" t="inlineStr">
        <is>
          <t>Debt_Sweep_AI</t>
        </is>
      </c>
      <c r="E18" s="593" t="inlineStr">
        <is>
          <t>LBO excess cash / optional prepay practice</t>
        </is>
      </c>
      <c r="F18" s="573" t="inlineStr">
        <is>
          <t>Sponsor LBOs typically sweep excess free cash to optional debt prepay after mandatory amort. 100% sweep maximizes deleveraging so AI margin gains show up in MOIC/IRR, not idle cash.</t>
        </is>
      </c>
      <c r="G18" s="593" t="inlineStr">
        <is>
          <t>ibinterviewquestions.com/guides/valuation-investment-banking</t>
        </is>
      </c>
    </row>
    <row r="19" ht="48" customHeight="1" s="244">
      <c r="B19" s="575" t="inlineStr">
        <is>
          <t>Tax rate</t>
        </is>
      </c>
      <c r="C19" s="422" t="n">
        <v>0.21</v>
      </c>
      <c r="D19" s="575" t="inlineStr">
        <is>
          <t>NI tax</t>
        </is>
      </c>
      <c r="E19" s="593" t="inlineStr">
        <is>
          <t>PwC: US federal corporate rate 21%</t>
        </is>
      </c>
      <c r="F19" s="573" t="inlineStr">
        <is>
          <t>US federal corporate income tax is a flat 21% statutory rate (TCJA). Operating-margin gains do not change the federal statutory rate used in the model.</t>
        </is>
      </c>
      <c r="G19" s="593" t="inlineStr">
        <is>
          <t>tradingeconomics.com/united-states/corporate-tax-rate</t>
        </is>
      </c>
    </row>
    <row r="20" ht="48" customHeight="1" s="244">
      <c r="B20" s="575" t="inlineStr">
        <is>
          <t>Exit EV/EBITDA multiple</t>
        </is>
      </c>
      <c r="C20" s="584" t="n">
        <v>13</v>
      </c>
      <c r="D20" s="575" t="inlineStr">
        <is>
          <t>LBO!D17 / Strategy_Summary</t>
        </is>
      </c>
      <c r="E20" s="593" t="inlineStr">
        <is>
          <t>PE SaaS buyouts often ~15–22x EBITDA</t>
        </is>
      </c>
      <c r="F20" s="573" t="inlineStr">
        <is>
          <t>PE SaaS deals often underwrite ~15–22x EBITDA. Locking exit at 13x in BOTH AI and Base cases is deliberately conservative so equity creation is attributed to ops, not multiple expansion.</t>
        </is>
      </c>
      <c r="G20" s="593" t="inlineStr">
        <is>
          <t>aventis-advisors.com/software-valuation-multiples/</t>
        </is>
      </c>
    </row>
    <row r="21" ht="48" customHeight="1" s="244">
      <c r="B21" s="575" t="inlineStr">
        <is>
          <t>S&amp;M baseline ($m)</t>
        </is>
      </c>
      <c r="C21" s="576" t="n">
        <v>425</v>
      </c>
      <c r="D21" s="575" t="inlineStr">
        <is>
          <t>35% × FY24 revenue</t>
        </is>
      </c>
      <c r="E21" s="593" t="inlineStr">
        <is>
          <t>ZI FY24 S&amp;M $414.1m on $1,214.3m rev</t>
        </is>
      </c>
      <c r="F21" s="573" t="inlineStr">
        <is>
          <t>Company-reported FY24 S&amp;M = $414.1m (~34% of $1,214.3m revenue). Model uses ~$425m (~35%) as a rounded baseline consistent with that filing.</t>
        </is>
      </c>
      <c r="G21" s="593" t="inlineStr">
        <is>
          <t>www.sec.gov/Archives/edgar/data/1794515/000179451525000045/z</t>
        </is>
      </c>
    </row>
    <row r="22" ht="48" customHeight="1" s="244">
      <c r="B22" s="575" t="inlineStr">
        <is>
          <t>Payroll baseline ($m)</t>
        </is>
      </c>
      <c r="C22" s="576" t="n">
        <v>318.8</v>
      </c>
      <c r="D22" s="575" t="inlineStr">
        <is>
          <t>S&amp;M − commission pool</t>
        </is>
      </c>
      <c r="E22" s="593" t="inlineStr">
        <is>
          <t>SDR OTE mostly base (~70%)</t>
        </is>
      </c>
      <c r="F22" s="573" t="inlineStr">
        <is>
          <t>With ~70/30 base/variable SDR mix, most S&amp;M people cost is payroll/base. Payroll baseline = S&amp;M − commission pool (~75% of S&amp;M) matches that pay-mix structure.</t>
        </is>
      </c>
      <c r="G22" s="593" t="inlineStr">
        <is>
          <t>pulserevops.com/knowledge/ra0197</t>
        </is>
      </c>
    </row>
    <row r="23" ht="48" customHeight="1" s="244">
      <c r="B23" s="575" t="inlineStr">
        <is>
          <t>Commission baseline ($m)</t>
        </is>
      </c>
      <c r="C23" s="576" t="n">
        <v>106.2</v>
      </c>
      <c r="D23" s="575" t="inlineStr">
        <is>
          <t>25% of S&amp;M baseline</t>
        </is>
      </c>
      <c r="E23" s="593" t="inlineStr">
        <is>
          <t>Variable ~30–35% of SDR OTE</t>
        </is>
      </c>
      <c r="F23" s="573" t="inlineStr">
        <is>
          <t>Tech SDR variable is typically ~30–35% of OTE. Setting commission pool at 25% of S&amp;M is a slightly conservative carve of total S&amp;M for variable payouts.</t>
        </is>
      </c>
      <c r="G23" s="593" t="inlineStr">
        <is>
          <t>syncgtm.com/blog/how-to-pay-sales-development-rep</t>
        </is>
      </c>
    </row>
    <row r="24" ht="48" customHeight="1" s="244">
      <c r="B24" s="575" t="inlineStr">
        <is>
          <t>CapEx base % of rev</t>
        </is>
      </c>
      <c r="C24" s="422" t="n">
        <v>0.02</v>
      </c>
      <c r="D24" s="575" t="inlineStr">
        <is>
          <t>Before AI −5%</t>
        </is>
      </c>
      <c r="E24" s="593" t="inlineStr">
        <is>
          <t>ZI FY24 unlevered FCF / light CapEx SaaS</t>
        </is>
      </c>
      <c r="F24" s="573" t="inlineStr">
        <is>
          <t>SaaS models run low CapEx vs industrials; ZI still printed strong FY24 FCF. 2% of revenue is a simple maintenance CapEx planning rate before the AI −5% haircut.</t>
        </is>
      </c>
      <c r="G24" s="593" t="inlineStr">
        <is>
          <t>www.sec.gov/Archives/edgar/data/1794515/000179451525000045/z</t>
        </is>
      </c>
    </row>
    <row r="25" ht="48" customHeight="1" s="244">
      <c r="B25" s="575" t="inlineStr">
        <is>
          <t>WC base % of Δrev</t>
        </is>
      </c>
      <c r="C25" s="422" t="n">
        <v>0.02</v>
      </c>
      <c r="D25" s="575" t="inlineStr">
        <is>
          <t>Before AI improvement</t>
        </is>
      </c>
      <c r="E25" s="593" t="inlineStr">
        <is>
          <t>ZI receivables days ~80 (WC intensity)</t>
        </is>
      </c>
      <c r="F25" s="573" t="inlineStr">
        <is>
          <t>Receivables ~80 days imply WC scales with growth. Using 2% of Δrevenue as ΔNWC is a simplified SaaS WC plug anchored to that receivables reality.</t>
        </is>
      </c>
      <c r="G25" s="593" t="inlineStr">
        <is>
          <t>www.sec.gov/Archives/edgar/data/1794515/000179451525000045/z</t>
        </is>
      </c>
    </row>
    <row r="26"/>
    <row r="27">
      <c r="B27" t="inlineStr">
        <is>
          <t>TLA rate (SOFR+4)</t>
        </is>
      </c>
      <c r="C27" s="579">
        <f>C14+C15</f>
        <v/>
      </c>
    </row>
    <row r="28">
      <c r="B28" t="inlineStr">
        <is>
          <t>TLB rate (SOFR+5)</t>
        </is>
      </c>
      <c r="C28" s="579">
        <f>C14+C16</f>
        <v/>
      </c>
    </row>
    <row r="29">
      <c r="B29" s="564" t="inlineStr">
        <is>
          <t>PDF twin of this source map:</t>
        </is>
      </c>
      <c r="C29" s="593" t="inlineStr">
        <is>
          <t>https://raw.githubusercontent.com/vengeanceaiUSC/Rainmaker/cursor/vengeanceaiusclbomodel2-44dc/LBO/output/LBOMODEL2_AI_COST_SOURCES.pdf</t>
        </is>
      </c>
    </row>
    <row r="30">
      <c r="B30" s="594" t="inlineStr">
        <is>
          <t>Educational / research use only — not investment advice. List prices and filings update over time.</t>
        </is>
      </c>
    </row>
    <row r="31"/>
    <row r="32"/>
    <row r="33"/>
    <row r="34"/>
  </sheetData>
  <mergeCells count="1">
    <mergeCell ref="B3:G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E6" r:id="rId3"/>
    <hyperlink xmlns:r="http://schemas.openxmlformats.org/officeDocument/2006/relationships" ref="G6" r:id="rId4"/>
    <hyperlink xmlns:r="http://schemas.openxmlformats.org/officeDocument/2006/relationships" ref="E7" r:id="rId5"/>
    <hyperlink xmlns:r="http://schemas.openxmlformats.org/officeDocument/2006/relationships" ref="G7" r:id="rId6"/>
    <hyperlink xmlns:r="http://schemas.openxmlformats.org/officeDocument/2006/relationships" ref="E8" r:id="rId7"/>
    <hyperlink xmlns:r="http://schemas.openxmlformats.org/officeDocument/2006/relationships" ref="G8" r:id="rId8"/>
    <hyperlink xmlns:r="http://schemas.openxmlformats.org/officeDocument/2006/relationships" ref="E9" r:id="rId9"/>
    <hyperlink xmlns:r="http://schemas.openxmlformats.org/officeDocument/2006/relationships" ref="F9" r:id="rId10"/>
    <hyperlink xmlns:r="http://schemas.openxmlformats.org/officeDocument/2006/relationships" ref="G9" r:id="rId11"/>
    <hyperlink xmlns:r="http://schemas.openxmlformats.org/officeDocument/2006/relationships" ref="E10" r:id="rId12"/>
    <hyperlink xmlns:r="http://schemas.openxmlformats.org/officeDocument/2006/relationships" ref="G10" r:id="rId13"/>
    <hyperlink xmlns:r="http://schemas.openxmlformats.org/officeDocument/2006/relationships" ref="E11" r:id="rId14"/>
    <hyperlink xmlns:r="http://schemas.openxmlformats.org/officeDocument/2006/relationships" ref="G11" r:id="rId15"/>
    <hyperlink xmlns:r="http://schemas.openxmlformats.org/officeDocument/2006/relationships" ref="E12" r:id="rId16"/>
    <hyperlink xmlns:r="http://schemas.openxmlformats.org/officeDocument/2006/relationships" ref="G12" r:id="rId17"/>
    <hyperlink xmlns:r="http://schemas.openxmlformats.org/officeDocument/2006/relationships" ref="E13" r:id="rId18"/>
    <hyperlink xmlns:r="http://schemas.openxmlformats.org/officeDocument/2006/relationships" ref="G13" r:id="rId19"/>
    <hyperlink xmlns:r="http://schemas.openxmlformats.org/officeDocument/2006/relationships" ref="E14" r:id="rId20"/>
    <hyperlink xmlns:r="http://schemas.openxmlformats.org/officeDocument/2006/relationships" ref="G14" r:id="rId21"/>
    <hyperlink xmlns:r="http://schemas.openxmlformats.org/officeDocument/2006/relationships" ref="E15" r:id="rId22"/>
    <hyperlink xmlns:r="http://schemas.openxmlformats.org/officeDocument/2006/relationships" ref="G15" r:id="rId23"/>
    <hyperlink xmlns:r="http://schemas.openxmlformats.org/officeDocument/2006/relationships" ref="E16" r:id="rId24"/>
    <hyperlink xmlns:r="http://schemas.openxmlformats.org/officeDocument/2006/relationships" ref="G16" r:id="rId25"/>
    <hyperlink xmlns:r="http://schemas.openxmlformats.org/officeDocument/2006/relationships" ref="E17" r:id="rId26"/>
    <hyperlink xmlns:r="http://schemas.openxmlformats.org/officeDocument/2006/relationships" ref="G17" r:id="rId27"/>
    <hyperlink xmlns:r="http://schemas.openxmlformats.org/officeDocument/2006/relationships" ref="E18" r:id="rId28"/>
    <hyperlink xmlns:r="http://schemas.openxmlformats.org/officeDocument/2006/relationships" ref="G18" r:id="rId29"/>
    <hyperlink xmlns:r="http://schemas.openxmlformats.org/officeDocument/2006/relationships" ref="E19" r:id="rId30"/>
    <hyperlink xmlns:r="http://schemas.openxmlformats.org/officeDocument/2006/relationships" ref="G19" r:id="rId31"/>
    <hyperlink xmlns:r="http://schemas.openxmlformats.org/officeDocument/2006/relationships" ref="E20" r:id="rId32"/>
    <hyperlink xmlns:r="http://schemas.openxmlformats.org/officeDocument/2006/relationships" ref="G20" r:id="rId33"/>
    <hyperlink xmlns:r="http://schemas.openxmlformats.org/officeDocument/2006/relationships" ref="E21" r:id="rId34"/>
    <hyperlink xmlns:r="http://schemas.openxmlformats.org/officeDocument/2006/relationships" ref="G21" r:id="rId35"/>
    <hyperlink xmlns:r="http://schemas.openxmlformats.org/officeDocument/2006/relationships" ref="E22" r:id="rId36"/>
    <hyperlink xmlns:r="http://schemas.openxmlformats.org/officeDocument/2006/relationships" ref="G22" r:id="rId37"/>
    <hyperlink xmlns:r="http://schemas.openxmlformats.org/officeDocument/2006/relationships" ref="E23" r:id="rId38"/>
    <hyperlink xmlns:r="http://schemas.openxmlformats.org/officeDocument/2006/relationships" ref="G23" r:id="rId39"/>
    <hyperlink xmlns:r="http://schemas.openxmlformats.org/officeDocument/2006/relationships" ref="E24" r:id="rId40"/>
    <hyperlink xmlns:r="http://schemas.openxmlformats.org/officeDocument/2006/relationships" ref="G24" r:id="rId41"/>
    <hyperlink xmlns:r="http://schemas.openxmlformats.org/officeDocument/2006/relationships" ref="E25" r:id="rId42"/>
    <hyperlink xmlns:r="http://schemas.openxmlformats.org/officeDocument/2006/relationships" ref="G25" r:id="rId43"/>
    <hyperlink xmlns:r="http://schemas.openxmlformats.org/officeDocument/2006/relationships" ref="C29" r:id="rId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0"/>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2"/>
  <sheetViews>
    <sheetView showGridLines="0" tabSelected="1" workbookViewId="0">
      <selection activeCell="A1" sqref="A1"/>
    </sheetView>
  </sheetViews>
  <sheetFormatPr baseColWidth="8" defaultRowHeight="15"/>
  <sheetData>
    <row r="1"/>
    <row r="2">
      <c r="B2" t="inlineStr">
        <is>
          <t>vengeanceaiUSC-LBOMODEL1 — ZoomInfo AI-SDR take-private</t>
        </is>
      </c>
    </row>
    <row r="3"/>
    <row r="4"/>
    <row r="5"/>
    <row r="6"/>
    <row r="7"/>
    <row r="8" ht="26.25" customHeight="1" s="244">
      <c r="B8" s="402" t="inlineStr">
        <is>
          <t>LBO Model Sample Template</t>
        </is>
      </c>
      <c r="C8" s="403" t="n"/>
      <c r="D8" s="403" t="n"/>
      <c r="E8" s="404" t="n"/>
      <c r="F8" s="404" t="n"/>
      <c r="G8" s="404" t="n"/>
      <c r="H8" s="404" t="n"/>
      <c r="I8" s="404" t="n"/>
      <c r="J8" s="404" t="n"/>
      <c r="K8" s="404" t="n"/>
      <c r="L8" s="404" t="n"/>
      <c r="M8" s="404" t="n"/>
    </row>
    <row r="9"/>
    <row r="10"/>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15"/>
    <row r="16"/>
    <row r="17"/>
    <row r="18"/>
    <row r="19"/>
    <row r="20"/>
    <row r="21"/>
    <row r="22"/>
    <row r="23"/>
    <row r="24"/>
    <row r="25"/>
    <row r="26"/>
    <row r="27"/>
    <row r="28"/>
    <row r="29"/>
    <row r="30"/>
    <row r="31"/>
    <row r="32"/>
    <row r="33"/>
    <row r="34"/>
    <row r="35"/>
    <row r="36"/>
    <row r="37"/>
    <row r="38"/>
    <row r="39"/>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1: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7"/>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4"/>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4"/>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8"/>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4"/>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0"/>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5"/>
    <row r="216">
      <c r="F216" s="475" t="n">
        <v>43190</v>
      </c>
      <c r="G216" s="475" t="n"/>
      <c r="H216" s="475" t="n"/>
      <c r="I216" s="475" t="n"/>
      <c r="J216" s="475" t="n"/>
    </row>
    <row r="217"/>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5"/>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299"/>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09"/>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8"/>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1"/>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6"/>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4"/>
    <row r="385">
      <c r="B385" s="383" t="inlineStr">
        <is>
          <t>Purchase price</t>
        </is>
      </c>
      <c r="C385" s="57" t="n">
        <v>6741.92625</v>
      </c>
    </row>
    <row r="386">
      <c r="B386" t="inlineStr">
        <is>
          <t>Goodwill</t>
        </is>
      </c>
      <c r="C386" s="140" t="n">
        <v>5536.653639577004</v>
      </c>
    </row>
    <row r="387"/>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0"/>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4"/>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0"/>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2"/>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2"/>
    <row r="93" ht="15.75" customHeight="1" s="244" thickBot="1">
      <c r="B93" s="63" t="inlineStr">
        <is>
          <t>Football field</t>
        </is>
      </c>
      <c r="C93" s="93" t="n"/>
      <c r="D93" s="93" t="n"/>
      <c r="E93" s="93" t="n"/>
    </row>
    <row r="94"/>
    <row r="95"/>
    <row r="96"/>
    <row r="97"/>
    <row r="98"/>
    <row r="99"/>
    <row r="100"/>
    <row r="101"/>
    <row r="102"/>
    <row r="103"/>
    <row r="104"/>
    <row r="105"/>
    <row r="106"/>
    <row r="107"/>
    <row r="108"/>
    <row r="109"/>
    <row r="110"/>
    <row r="111"/>
    <row r="112"/>
    <row r="113"/>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1"/>
    <row r="2" ht="18" customHeight="1" s="244" thickBot="1">
      <c r="A2" s="101" t="inlineStr">
        <is>
          <t>52 week high low</t>
        </is>
      </c>
      <c r="B2" s="93" t="n"/>
      <c r="C2" s="93" t="n"/>
      <c r="D2" s="93" t="n"/>
      <c r="E2" s="93" t="n"/>
      <c r="F2" s="93" t="n"/>
    </row>
    <row r="3"/>
    <row r="4">
      <c r="A4" t="inlineStr">
        <is>
          <t>52 week high</t>
        </is>
      </c>
      <c r="E4" s="383" t="n">
        <v>46.33</v>
      </c>
    </row>
    <row r="5">
      <c r="A5" t="inlineStr">
        <is>
          <t>52 week low</t>
        </is>
      </c>
      <c r="E5" s="383" t="n">
        <v>37.51</v>
      </c>
    </row>
    <row r="6"/>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2026-08-15T15:11:42Z</dcterms:modified>
  <cp:lastModifiedBy>scottmccarthy</cp:lastModifiedBy>
  <cp:lastPrinted>2014-05-30T16:55:05Z</cp:lastPrinted>
</cp:coreProperties>
</file>