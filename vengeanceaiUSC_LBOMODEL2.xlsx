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I_Cost_Sources" sheetId="1" state="visible" r:id="rId1"/>
    <sheet name="Strategy_Summary" sheetId="2" state="visible" r:id="rId2"/>
    <sheet name="00_Assumptions_List" sheetId="3" state="visible" r:id="rId3"/>
    <sheet name="Assumptions_Drivers" sheetId="4" state="visible" r:id="rId4"/>
    <sheet name="Debt_Sweep_AI" sheetId="5" state="visible" r:id="rId5"/>
    <sheet name="Base_Operating" sheetId="6" state="visible" r:id="rId6"/>
    <sheet name="AI_Operating" sheetId="7" state="visible" r:id="rId7"/>
    <sheet name="Coversheet" sheetId="8" state="visible" r:id="rId8"/>
    <sheet name="LBO" sheetId="9" state="visible" r:id="rId9"/>
    <sheet name="DCF" sheetId="10" state="visible" r:id="rId10"/>
    <sheet name="Shares" sheetId="11" state="visible" r:id="rId11"/>
    <sheet name="52wkHL" sheetId="12" state="visible" r:id="rId12"/>
  </sheets>
  <externalReferences>
    <externalReference r:id="rId13"/>
    <externalReference r:id="rId14"/>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7"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0">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s>
  <fills count="39">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s>
  <borders count="36">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593">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externalLink" Target="/xl/externalLinks/externalLink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alesforce.com/news/press-releases/2025/05/15/agentforce-flexible-pricing-news/" TargetMode="External" Id="rId1" /><Relationship Type="http://schemas.openxmlformats.org/officeDocument/2006/relationships/hyperlink" Target="https://www.saastr.com/salesforce-now-has-3-pricing-models-for-agentforce-and-maybe-right-now-thats-the-way-to-do-it/" TargetMode="External" Id="rId2" /><Relationship Type="http://schemas.openxmlformats.org/officeDocument/2006/relationships/hyperlink" Target="https://www.layer3labs.io/guides/salesforce-agentforce-pricing-explained" TargetMode="External" Id="rId3" /><Relationship Type="http://schemas.openxmlformats.org/officeDocument/2006/relationships/hyperlink" Target="https://www.sec.gov/Archives/edgar/data/1794515/000179451525000045/zi-20241231.htm" TargetMode="External" Id="rId4" /><Relationship Type="http://schemas.openxmlformats.org/officeDocument/2006/relationships/hyperlink" Target="https://www.sec.gov/Archives/edgar/data/1794515/000179451525000075/zoominfo10k2024printvf.pdf" TargetMode="External" Id="rId5" /><Relationship Type="http://schemas.openxmlformats.org/officeDocument/2006/relationships/hyperlink" Target="https://www.gartner.com/en/newsroom/press-releases/2026-08-10-gartner-forecasts-worldwide-artificial-intelligence-optimized-iaas-spending-to-grow-96-percent-in-2026" TargetMode="External" Id="rId6" /><Relationship Type="http://schemas.openxmlformats.org/officeDocument/2006/relationships/hyperlink" Target="https://everworker.ai/blog/ai_sdr_software_pricing_tco_roi_guide" TargetMode="External" Id="rId7" /><Relationship Type="http://schemas.openxmlformats.org/officeDocument/2006/relationships/hyperlink" Target="https://highticketaisystems.com/blog/ai-sdr-pricing-explained" TargetMode="External" Id="rId8" /><Relationship Type="http://schemas.openxmlformats.org/officeDocument/2006/relationships/hyperlink" Target="#'Assumptions_Drivers'!C9" TargetMode="External" Id="rId9" /><Relationship Type="http://schemas.openxmlformats.org/officeDocument/2006/relationships/hyperlink" Target="#'AI_Operating'!D10" TargetMode="External" Id="rId10" /><Relationship Type="http://schemas.openxmlformats.org/officeDocument/2006/relationships/hyperlink" Target="#'00_Assumptions_List'!B11" TargetMode="External" Id="rId11" /><Relationship Type="http://schemas.openxmlformats.org/officeDocument/2006/relationships/hyperlink" Target="#'AI_Cost_Sources'!B2" TargetMode="External" Id="rId12" /><Relationship Type="http://schemas.openxmlformats.org/officeDocument/2006/relationships/hyperlink" Target="https://raw.githubusercontent.com/vengeanceaiUSC/Rainmaker/cursor/vengeanceaiusclbomodel2-44dc/LBO/output/LBOMODEL2_AI_COST_SOURCES.pdf" TargetMode="External" Id="rId13" /><Relationship Type="http://schemas.openxmlformats.org/officeDocument/2006/relationships/hyperlink" Target="https://raw.githubusercontent.com/vengeanceaiUSC/Rainmaker/cursor/vengeanceaiusclbomodel2-44dc/vengeanceaiUSC_LBOMODEL2.xlsx" TargetMode="External" Id="rId14" /></Relationships>
</file>

<file path=xl/worksheets/_rels/sheet2.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I_Cost_Sources!B2" TargetMode="External" Id="rId2" /><Relationship Type="http://schemas.openxmlformats.org/officeDocument/2006/relationships/hyperlink" Target="https://raw.githubusercontent.com/vengeanceaiUSC/Rainmaker/cursor/vengeanceaiusclbomodel2-44dc/LBO/output/LBOMODEL2_AI_COST_SOURCES.pdf" TargetMode="External" Id="rId3"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I_Cost_Sources!B2"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s>
</file>

<file path=xl/worksheets/_rels/sheet4.xml.rels><Relationships xmlns="http://schemas.openxmlformats.org/package/2006/relationships"><Relationship Type="http://schemas.openxmlformats.org/officeDocument/2006/relationships/hyperlink" Target="#AI_Cost_Sources!B2"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G42"/>
  <sheetViews>
    <sheetView workbookViewId="0">
      <pane xSplit="1" ySplit="9" topLeftCell="B10" activePane="bottomRight" state="frozen"/>
      <selection pane="topRight"/>
      <selection pane="bottomLeft"/>
      <selection pane="bottomRight" activeCell="A1" sqref="A1"/>
    </sheetView>
  </sheetViews>
  <sheetFormatPr baseColWidth="8" defaultRowHeight="15"/>
  <cols>
    <col width="4" customWidth="1" style="244" min="1" max="1"/>
    <col width="36" customWidth="1" style="244" min="2" max="2"/>
    <col width="42" customWidth="1" style="244" min="3" max="3"/>
    <col width="36" customWidth="1" style="244" min="4" max="4"/>
    <col width="42" customWidth="1" style="244" min="5" max="5"/>
    <col width="40" customWidth="1" style="244" min="6" max="6"/>
  </cols>
  <sheetData>
    <row r="2">
      <c r="B2" s="563" t="inlineStr">
        <is>
          <t>LBOMODEL2 — Why $15m AI Infrastructure Is a Reasonable Estimate (Sourced)</t>
        </is>
      </c>
    </row>
    <row r="3" ht="36" customHeight="1" s="244">
      <c r="B3" s="574" t="inlineStr">
        <is>
          <t>This sheet is the evidence pack for Assumptions_Drivers!C9 ($15.0m). Numbers below are triangulation from PUBLIC list prices + ZoomInfo 10-K headcount — not invented.</t>
        </is>
      </c>
    </row>
    <row r="5">
      <c r="B5" s="564" t="inlineStr">
        <is>
          <t>CONCLUSION</t>
        </is>
      </c>
    </row>
    <row r="6" ht="48" customHeight="1" s="244">
      <c r="B6" s="585" t="inlineStr">
        <is>
          <t>$15m/year is INSIDE a triangulated range of ~$9m–$45m for replacing ~378 outbound S&amp;M roles at ZoomInfo scale. We use $15m as a conservative mid/low point.</t>
        </is>
      </c>
    </row>
    <row r="8">
      <c r="B8" s="564" t="inlineStr">
        <is>
          <t>PRIMARY PUBLIC PRICE ANCHORS (click links)</t>
        </is>
      </c>
    </row>
    <row r="9">
      <c r="B9" s="586" t="inlineStr">
        <is>
          <t>#</t>
        </is>
      </c>
      <c r="C9" s="586" t="inlineStr">
        <is>
          <t>Source</t>
        </is>
      </c>
      <c r="D9" s="586" t="inlineStr">
        <is>
          <t>What it says (public)</t>
        </is>
      </c>
      <c r="E9" s="586" t="inlineStr">
        <is>
          <t>URL (click)</t>
        </is>
      </c>
      <c r="F9" s="586" t="inlineStr">
        <is>
          <t>How we use it</t>
        </is>
      </c>
    </row>
    <row r="10" ht="56" customHeight="1" s="244">
      <c r="B10" s="587" t="n">
        <v>1</v>
      </c>
      <c r="C10" s="420" t="inlineStr">
        <is>
          <t>Salesforce Agentforce press release (May 15, 2025)</t>
        </is>
      </c>
      <c r="D10" s="420" t="inlineStr">
        <is>
          <t>$2 per conversation (original model) AND Flex Credits at $500 / 100,000 credits (= $0.10 per action; 20 credits/action).</t>
        </is>
      </c>
      <c r="E10" s="572" t="inlineStr">
        <is>
          <t>https://www.salesforce.com/news/press-releases/2025/05/15/agentforce-flexible-pricing-news/</t>
        </is>
      </c>
      <c r="F10" s="420" t="inlineStr">
        <is>
          <t>Primary list-price anchor for agent conversation / action economics.</t>
        </is>
      </c>
    </row>
    <row r="11" ht="56" customHeight="1" s="244">
      <c r="B11" s="587" t="n">
        <v>2</v>
      </c>
      <c r="C11" s="420" t="inlineStr">
        <is>
          <t>SaaStr summary of Agentforce pricing models</t>
        </is>
      </c>
      <c r="D11" s="420" t="inlineStr">
        <is>
          <t>Confirms three live models: $2/conversation, ~$0.10/action Flex Credits, and ~$125+/user/month digital labor seats.</t>
        </is>
      </c>
      <c r="E11" s="572" t="inlineStr">
        <is>
          <t>https://www.saastr.com/salesforce-now-has-3-pricing-models-for-agentforce-and-maybe-right-now-thats-the-way-to-do-it/</t>
        </is>
      </c>
      <c r="F11" s="420" t="inlineStr">
        <is>
          <t>Cross-check that seat + consumption pricing both exist for budgeting.</t>
        </is>
      </c>
    </row>
    <row r="12" ht="56" customHeight="1" s="244">
      <c r="B12" s="587" t="n">
        <v>3</v>
      </c>
      <c r="C12" s="420" t="inlineStr">
        <is>
          <t>Independent Agentforce pricing guide (list prices)</t>
        </is>
      </c>
      <c r="D12" s="420" t="inlineStr">
        <is>
          <t>Documents Agentforce add-on ~$125–$150/user/month and Flex Credit math matching Salesforce.</t>
        </is>
      </c>
      <c r="E12" s="572" t="inlineStr">
        <is>
          <t>https://www.layer3labs.io/guides/salesforce-agentforce-pricing-explained</t>
        </is>
      </c>
      <c r="F12" s="420" t="inlineStr">
        <is>
          <t>Seat-license path for employee-facing / digital labor agents.</t>
        </is>
      </c>
    </row>
    <row r="13" ht="56" customHeight="1" s="244">
      <c r="B13" s="587" t="n">
        <v>4</v>
      </c>
      <c r="C13" s="420" t="inlineStr">
        <is>
          <t>ZoomInfo FY2024 Form 10-K (SEC)</t>
        </is>
      </c>
      <c r="D13" s="420" t="inlineStr">
        <is>
          <t>As of Dec 31, 2024: 3,508 employees; 1,513 in sales &amp; marketing.</t>
        </is>
      </c>
      <c r="E13" s="572" t="inlineStr">
        <is>
          <t>https://www.sec.gov/Archives/edgar/data/1794515/000179451525000045/zi-20241231.htm</t>
        </is>
      </c>
      <c r="F13" s="420" t="inlineStr">
        <is>
          <t>Scale factor: how many human outbound roles AI must replace.</t>
        </is>
      </c>
    </row>
    <row r="14" ht="56" customHeight="1" s="244">
      <c r="B14" s="587" t="n">
        <v>5</v>
      </c>
      <c r="C14" s="420" t="inlineStr">
        <is>
          <t>ZoomInfo FY2024 10-K PDF (Human Capital)</t>
        </is>
      </c>
      <c r="D14" s="420" t="inlineStr">
        <is>
          <t>Same headcount disclosure in printable annual report PDF.</t>
        </is>
      </c>
      <c r="E14" s="572" t="inlineStr">
        <is>
          <t>https://www.sec.gov/Archives/edgar/data/1794515/000179451525000075/zoominfo10k2024printvf.pdf</t>
        </is>
      </c>
      <c r="F14" s="420" t="inlineStr">
        <is>
          <t>Backup filing link for the S&amp;M headcount figure.</t>
        </is>
      </c>
    </row>
    <row r="15" ht="56" customHeight="1" s="244">
      <c r="B15" s="587" t="n">
        <v>6</v>
      </c>
      <c r="C15" s="420" t="inlineStr">
        <is>
          <t>Gartner AI-optimized IaaS forecast (Aug 2026)</t>
        </is>
      </c>
      <c r="D15" s="420" t="inlineStr">
        <is>
          <t>Worldwide AI-optimized IaaS ~$42.3B in 2026; inference overtakes training — production agent compute is a real, growing opex line.</t>
        </is>
      </c>
      <c r="E15" s="572" t="inlineStr">
        <is>
          <t>https://www.gartner.com/en/newsroom/press-releases/2026-08-10-gartner-forecasts-worldwide-artificial-intelligence-optimized-iaas-spending-to-grow-96-percent-in-2026</t>
        </is>
      </c>
      <c r="F15" s="420" t="inlineStr">
        <is>
          <t>Macro proof that inference/API/compute spend is material (not a rounding error).</t>
        </is>
      </c>
    </row>
    <row r="16" ht="56" customHeight="1" s="244">
      <c r="B16" s="587" t="n">
        <v>7</v>
      </c>
      <c r="C16" s="420" t="inlineStr">
        <is>
          <t>AI SDR TCO / pricing survey</t>
        </is>
      </c>
      <c r="D16" s="420" t="inlineStr">
        <is>
          <t>Point tools $300–$1,500/user/mo; autonomous AI workers $1k–$5k/mo; enterprise bundles often $50k–$250k+ annually (mid-market).</t>
        </is>
      </c>
      <c r="E16" s="572" t="inlineStr">
        <is>
          <t>https://everworker.ai/blog/ai_sdr_software_pricing_tco_roi_guide</t>
        </is>
      </c>
      <c r="F16" s="420" t="inlineStr">
        <is>
          <t>Shows mid-market AI SDR alone is already six figures; ZoomInfo scale is multiples of that.</t>
        </is>
      </c>
    </row>
    <row r="17" ht="56" customHeight="1" s="244">
      <c r="B17" s="587" t="n">
        <v>8</v>
      </c>
      <c r="C17" s="420" t="inlineStr">
        <is>
          <t>AI SDR vendor price compilation (incl. 11x-style agents)</t>
        </is>
      </c>
      <c r="D17" s="420" t="inlineStr">
        <is>
          <t>Custom enterprise AI SDR agents commonly estimated ~$5,000–$10,000 per month per agent.</t>
        </is>
      </c>
      <c r="E17" s="572" t="inlineStr">
        <is>
          <t>https://highticketaisystems.com/blog/ai-sdr-pricing-explained</t>
        </is>
      </c>
      <c r="F17" s="420" t="inlineStr">
        <is>
          <t>Per-agent monthly cost used in Scenario C below.</t>
        </is>
      </c>
    </row>
    <row r="20">
      <c r="B20" s="564" t="inlineStr">
        <is>
          <t>BOTTOM-UP TRIANGULATION → $15.0m</t>
        </is>
      </c>
    </row>
    <row r="21" ht="40" customHeight="1" s="244">
      <c r="B21" s="574" t="inlineStr">
        <is>
          <t>Scale assumption: 25% of 1,513 S&amp;M employees ≈ 378 outbound SDR/BDR roles replaced (illustrative share of S&amp;M; 10-K does not break out SDRs alone).</t>
        </is>
      </c>
    </row>
    <row r="23">
      <c r="B23" s="586" t="inlineStr">
        <is>
          <t>Scenario</t>
        </is>
      </c>
      <c r="C23" s="586" t="inlineStr">
        <is>
          <t>Public price used</t>
        </is>
      </c>
      <c r="D23" s="586" t="inlineStr">
        <is>
          <t>Volume / seats implied by $15m</t>
        </is>
      </c>
      <c r="E23" s="586" t="inlineStr">
        <is>
          <t>Implied annual cost</t>
        </is>
      </c>
      <c r="F23" s="586" t="inlineStr">
        <is>
          <t>Verdict vs $15m</t>
        </is>
      </c>
    </row>
    <row r="24" ht="52" customHeight="1" s="244">
      <c r="B24" s="420" t="inlineStr">
        <is>
          <t>A. Salesforce $2 / conversation</t>
        </is>
      </c>
      <c r="C24" s="420" t="inlineStr">
        <is>
          <t>$2 / conversation (SF press)</t>
        </is>
      </c>
      <c r="D24" s="420" t="inlineStr">
        <is>
          <t>7.5m agent conversations / year</t>
        </is>
      </c>
      <c r="E24" s="420" t="inlineStr">
        <is>
          <t>$15.0m (by construction)</t>
        </is>
      </c>
      <c r="F24" s="588" t="inlineStr">
        <is>
          <t>Reasonable at ZoomInfo outbound scale</t>
        </is>
      </c>
    </row>
    <row r="25" ht="52" customHeight="1" s="244">
      <c r="B25" s="420" t="inlineStr">
        <is>
          <t>B. Salesforce Flex Credits ~$0.10 / action</t>
        </is>
      </c>
      <c r="C25" s="420" t="inlineStr">
        <is>
          <t>$0.10 / action (SF press)</t>
        </is>
      </c>
      <c r="D25" s="420" t="inlineStr">
        <is>
          <t>150m agent actions / year</t>
        </is>
      </c>
      <c r="E25" s="420" t="inlineStr">
        <is>
          <t>$15.0m (by construction)</t>
        </is>
      </c>
      <c r="F25" s="588" t="inlineStr">
        <is>
          <t>Reasonable for multi-step agentic workflows</t>
        </is>
      </c>
    </row>
    <row r="26" ht="52" customHeight="1" s="244">
      <c r="B26" s="420" t="inlineStr">
        <is>
          <t>C. Enterprise AI SDR agents $5–10k / mo</t>
        </is>
      </c>
      <c r="C26" s="420" t="inlineStr">
        <is>
          <t>$5,000–$10,000/mo/agent</t>
        </is>
      </c>
      <c r="D26" s="420" t="inlineStr">
        <is>
          <t>378 agents × 12 months</t>
        </is>
      </c>
      <c r="E26" s="420" t="inlineStr">
        <is>
          <t>$22.7m – $45.4m</t>
        </is>
      </c>
      <c r="F26" s="588" t="inlineStr">
        <is>
          <t>$15m is BELOW / at low end of this range</t>
        </is>
      </c>
    </row>
    <row r="27" ht="52" customHeight="1" s="244">
      <c r="B27" s="420" t="inlineStr">
        <is>
          <t>D. Agentforce seats alone @ $125/user/mo</t>
        </is>
      </c>
      <c r="C27" s="420" t="inlineStr">
        <is>
          <t>$125/user/mo × 12</t>
        </is>
      </c>
      <c r="D27" s="420" t="inlineStr">
        <is>
          <t>$15m buys ~10,000 seats (or ~378 seats ≈ $0.6m) + API/compute still needed</t>
        </is>
      </c>
      <c r="E27" s="420" t="inlineStr">
        <is>
          <t>Seats-only for 378 roles ≈ $0.6m</t>
        </is>
      </c>
      <c r="F27" s="588" t="inlineStr">
        <is>
          <t>Seats alone understate TCO → add API/compute → ~$15m total is coherent</t>
        </is>
      </c>
    </row>
    <row r="28" ht="52" customHeight="1" s="244">
      <c r="B28" s="420" t="inlineStr">
        <is>
          <t>E. Hybrid (seats + consumption / LLM API)</t>
        </is>
      </c>
      <c r="C28" s="420" t="inlineStr">
        <is>
          <t>~378 seats @ $125/mo + ~$12m API/compute/enrichment</t>
        </is>
      </c>
      <c r="D28" s="420" t="inlineStr">
        <is>
          <t>Licenses + inference + data + voice + observability</t>
        </is>
      </c>
      <c r="E28" s="420" t="inlineStr">
        <is>
          <t>≈ $12.6m</t>
        </is>
      </c>
      <c r="F28" s="588" t="inlineStr">
        <is>
          <t>Closest to how enterprises actually buy → supports $15m</t>
        </is>
      </c>
    </row>
    <row r="30">
      <c r="B30" s="564" t="inlineStr">
        <is>
          <t>BINDING TO THE LBO MODEL</t>
        </is>
      </c>
    </row>
    <row r="31">
      <c r="B31" s="586" t="inlineStr">
        <is>
          <t>Item</t>
        </is>
      </c>
      <c r="C31" s="586" t="inlineStr">
        <is>
          <t>Tab</t>
        </is>
      </c>
      <c r="D31" s="586" t="inlineStr">
        <is>
          <t>Cell</t>
        </is>
      </c>
      <c r="E31" s="586" t="inlineStr">
        <is>
          <t>Jump</t>
        </is>
      </c>
      <c r="F31" s="586" t="inlineStr">
        <is>
          <t>Notes</t>
        </is>
      </c>
    </row>
    <row r="32">
      <c r="B32" s="587" t="inlineStr">
        <is>
          <t>AI infrastructure ($m)</t>
        </is>
      </c>
      <c r="C32" s="587" t="inlineStr">
        <is>
          <t>Assumptions_Drivers</t>
        </is>
      </c>
      <c r="D32" s="587" t="inlineStr">
        <is>
          <t>C9</t>
        </is>
      </c>
      <c r="E32" s="589" t="inlineStr">
        <is>
          <t>Go to Assumptions_Drivers!C9</t>
        </is>
      </c>
      <c r="F32" s="420" t="inlineStr">
        <is>
          <t>Yellow input = 15.0</t>
        </is>
      </c>
    </row>
    <row r="33">
      <c r="B33" s="587" t="inlineStr">
        <is>
          <t>AI cost hits P&amp;L</t>
        </is>
      </c>
      <c r="C33" s="587" t="inlineStr">
        <is>
          <t>AI_Operating</t>
        </is>
      </c>
      <c r="D33" s="587" t="inlineStr">
        <is>
          <t>D10:H10</t>
        </is>
      </c>
      <c r="E33" s="589" t="inlineStr">
        <is>
          <t>Go to AI_Operating!D10</t>
        </is>
      </c>
      <c r="F33" s="420" t="inlineStr">
        <is>
          <t>Fixed $15m each forecast year (AI case)</t>
        </is>
      </c>
    </row>
    <row r="34">
      <c r="B34" s="587" t="inlineStr">
        <is>
          <t>Assumption commentary</t>
        </is>
      </c>
      <c r="C34" s="587" t="inlineStr">
        <is>
          <t>00_Assumptions_List</t>
        </is>
      </c>
      <c r="D34" s="587" t="inlineStr">
        <is>
          <t>row for AI Infrastructure</t>
        </is>
      </c>
      <c r="E34" s="589" t="inlineStr">
        <is>
          <t>Go to 00_Assumptions_List!B11</t>
        </is>
      </c>
      <c r="F34" s="420" t="inlineStr">
        <is>
          <t>Includes this source pack</t>
        </is>
      </c>
    </row>
    <row r="35">
      <c r="B35" s="587" t="inlineStr">
        <is>
          <t>This evidence pack</t>
        </is>
      </c>
      <c r="C35" s="587" t="inlineStr">
        <is>
          <t>AI_Cost_Sources</t>
        </is>
      </c>
      <c r="D35" s="587" t="inlineStr">
        <is>
          <t>B2</t>
        </is>
      </c>
      <c r="E35" s="589" t="inlineStr">
        <is>
          <t>Go to AI_Cost_Sources!B2</t>
        </is>
      </c>
      <c r="F35" s="420" t="inlineStr">
        <is>
          <t>You are here</t>
        </is>
      </c>
    </row>
    <row r="37">
      <c r="B37" s="564" t="inlineStr">
        <is>
          <t>PDF twin of this sheet:</t>
        </is>
      </c>
    </row>
    <row r="38">
      <c r="B38" s="590" t="inlineStr">
        <is>
          <t>https://raw.githubusercontent.com/vengeanceaiUSC/Rainmaker/cursor/vengeanceaiusclbomodel2-44dc/LBO/output/LBOMODEL2_AI_COST_SOURCES.pdf</t>
        </is>
      </c>
    </row>
    <row r="39">
      <c r="B39" s="564" t="inlineStr">
        <is>
          <t>Excel workbook:</t>
        </is>
      </c>
    </row>
    <row r="40">
      <c r="B40" s="590" t="inlineStr">
        <is>
          <t>https://raw.githubusercontent.com/vengeanceaiUSC/Rainmaker/cursor/vengeanceaiusclbomodel2-44dc/vengeanceaiUSC_LBOMODEL2.xlsx</t>
        </is>
      </c>
    </row>
    <row r="42">
      <c r="B42" s="591" t="inlineStr">
        <is>
          <t>Educational / research use only — not investment advice. List prices change; use as order-of-magnitude triangulation.</t>
        </is>
      </c>
    </row>
  </sheetData>
  <mergeCells count="3">
    <mergeCell ref="B3:G3"/>
    <mergeCell ref="B21:F21"/>
    <mergeCell ref="B6:G6"/>
  </mergeCells>
  <hyperlinks>
    <hyperlink xmlns:r="http://schemas.openxmlformats.org/officeDocument/2006/relationships" ref="E10" r:id="rId1"/>
    <hyperlink xmlns:r="http://schemas.openxmlformats.org/officeDocument/2006/relationships" ref="E11" r:id="rId2"/>
    <hyperlink xmlns:r="http://schemas.openxmlformats.org/officeDocument/2006/relationships" ref="E12" r:id="rId3"/>
    <hyperlink xmlns:r="http://schemas.openxmlformats.org/officeDocument/2006/relationships" ref="E13" r:id="rId4"/>
    <hyperlink xmlns:r="http://schemas.openxmlformats.org/officeDocument/2006/relationships" ref="E14" r:id="rId5"/>
    <hyperlink xmlns:r="http://schemas.openxmlformats.org/officeDocument/2006/relationships" ref="E15" r:id="rId6"/>
    <hyperlink xmlns:r="http://schemas.openxmlformats.org/officeDocument/2006/relationships" ref="E16" r:id="rId7"/>
    <hyperlink xmlns:r="http://schemas.openxmlformats.org/officeDocument/2006/relationships" ref="E17" r:id="rId8"/>
    <hyperlink xmlns:r="http://schemas.openxmlformats.org/officeDocument/2006/relationships" ref="E32" r:id="rId9"/>
    <hyperlink xmlns:r="http://schemas.openxmlformats.org/officeDocument/2006/relationships" ref="E33" r:id="rId10"/>
    <hyperlink xmlns:r="http://schemas.openxmlformats.org/officeDocument/2006/relationships" ref="E34" r:id="rId11"/>
    <hyperlink xmlns:r="http://schemas.openxmlformats.org/officeDocument/2006/relationships" ref="E35" r:id="rId12"/>
    <hyperlink xmlns:r="http://schemas.openxmlformats.org/officeDocument/2006/relationships" ref="B38" r:id="rId13"/>
    <hyperlink xmlns:r="http://schemas.openxmlformats.org/officeDocument/2006/relationships" ref="B40"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24"/>
  <sheetViews>
    <sheetView workbookViewId="0">
      <selection activeCell="A1" sqref="A1"/>
    </sheetView>
  </sheetViews>
  <sheetFormatPr baseColWidth="8" defaultRowHeight="15"/>
  <cols>
    <col width="32" customWidth="1" style="244" min="2" max="2"/>
    <col width="14" customWidth="1" style="244" min="3" max="3"/>
    <col width="14" customWidth="1" style="244" min="4" max="4"/>
    <col width="14" customWidth="1" style="244" min="5" max="5"/>
    <col width="70" customWidth="1" style="244" min="6" max="6"/>
  </cols>
  <sheetData>
    <row r="2">
      <c r="B2" s="563" t="inlineStr">
        <is>
          <t>vengeanceaiUSC-LBOMODEL2 — Strategy Summary</t>
        </is>
      </c>
    </row>
    <row r="3">
      <c r="B3" t="inlineStr">
        <is>
          <t>AI-SDR cost takeout drives margin, FCF, debt paydown, MOIC/IRR — exit multiple held at 13x in both cases</t>
        </is>
      </c>
    </row>
    <row r="5">
      <c r="B5" s="564" t="inlineStr">
        <is>
          <t>RESULTS — AI vs Base</t>
        </is>
      </c>
    </row>
    <row r="6">
      <c r="B6" s="412" t="inlineStr">
        <is>
          <t>Metric</t>
        </is>
      </c>
      <c r="C6" s="412" t="inlineStr">
        <is>
          <t>Base (no AI)</t>
        </is>
      </c>
      <c r="D6" s="412" t="inlineStr">
        <is>
          <t>AI-SDR case</t>
        </is>
      </c>
      <c r="E6" s="412" t="inlineStr">
        <is>
          <t>Delta</t>
        </is>
      </c>
      <c r="F6" s="412" t="inlineStr">
        <is>
          <t>COMMENTARY</t>
        </is>
      </c>
    </row>
    <row r="7" ht="36" customHeight="1" s="244">
      <c r="B7" t="inlineStr">
        <is>
          <t>Y2 EBITDA margin</t>
        </is>
      </c>
      <c r="C7" s="565" t="n">
        <v>0.1085118998600017</v>
      </c>
      <c r="D7" s="565" t="n">
        <v>0.2012029241075531</v>
      </c>
      <c r="E7" s="565" t="n">
        <v>0.09269102424755141</v>
      </c>
      <c r="F7" s="566" t="inlineStr">
        <is>
          <t>Year 2 operating profitability under 10% growth / 80% GM / AI S&amp;M path.</t>
        </is>
      </c>
    </row>
    <row r="8" ht="36" customHeight="1" s="244">
      <c r="B8" t="inlineStr">
        <is>
          <t>Y2 margin vs baseline (bps)</t>
        </is>
      </c>
      <c r="C8" s="567" t="n">
        <v>-422.7456147574727</v>
      </c>
      <c r="D8" s="567" t="n">
        <v>504.1646277180415</v>
      </c>
      <c r="E8" s="567" t="n">
        <v>926.9102424755141</v>
      </c>
      <c r="F8" s="566" t="inlineStr">
        <is>
          <t>Y2 EBITDA margin minus FY24 baseline margin, in basis points (target ≥500).</t>
        </is>
      </c>
    </row>
    <row r="9" ht="36" customHeight="1" s="244">
      <c r="B9" t="inlineStr">
        <is>
          <t>Y5 EBITDA ($m)</t>
        </is>
      </c>
      <c r="C9" s="567" t="n">
        <v>212.2104606600003</v>
      </c>
      <c r="D9" s="567" t="n">
        <v>496.3963076296004</v>
      </c>
      <c r="E9" s="567" t="n">
        <v>284.1858469696001</v>
      </c>
      <c r="F9" s="566" t="inlineStr">
        <is>
          <t>Year 5 EBITDA ($m).</t>
        </is>
      </c>
    </row>
    <row r="10" ht="36" customHeight="1" s="244">
      <c r="B10" t="inlineStr">
        <is>
          <t>Exit EV @ 13x ($m)</t>
        </is>
      </c>
      <c r="C10" s="567" t="n">
        <v>2758.735988580003</v>
      </c>
      <c r="D10" s="567" t="n">
        <v>6453.151999184804</v>
      </c>
      <c r="E10" s="567" t="n">
        <v>3694.416010604801</v>
      </c>
      <c r="F10" s="566" t="inlineStr">
        <is>
          <t>Exit EV = Y5 EBITDA × 13x (Assumptions_Drivers!C20 / LBO!D17).</t>
        </is>
      </c>
    </row>
    <row r="11" ht="36" customHeight="1" s="244">
      <c r="B11" t="inlineStr">
        <is>
          <t>Exit net debt ($m)</t>
        </is>
      </c>
      <c r="C11" s="567" t="n">
        <v>557.1124750633038</v>
      </c>
      <c r="D11" s="567" t="n">
        <v>0</v>
      </c>
      <c r="E11" s="567" t="n">
        <v>-557.1124750633038</v>
      </c>
      <c r="F11" s="566" t="inlineStr">
        <is>
          <t>Ending net debt after mandatory amort + 100% cash sweep.</t>
        </is>
      </c>
    </row>
    <row r="12" ht="36" customHeight="1" s="244">
      <c r="B12" t="inlineStr">
        <is>
          <t>Exit equity value ($m)</t>
        </is>
      </c>
      <c r="C12" s="567" t="n">
        <v>2201.623513516699</v>
      </c>
      <c r="D12" s="567" t="n">
        <v>6453.151999184804</v>
      </c>
      <c r="E12" s="567" t="n">
        <v>4251.528485668105</v>
      </c>
      <c r="F12" s="566" t="inlineStr">
        <is>
          <t>Exit equity = Exit EV − ending debt.</t>
        </is>
      </c>
    </row>
    <row r="13" ht="36" customHeight="1" s="244">
      <c r="B13" t="inlineStr">
        <is>
          <t>MOIC</t>
        </is>
      </c>
      <c r="C13" s="568" t="n">
        <v>1.17652754423803</v>
      </c>
      <c r="D13" s="568" t="n">
        <v>3.448505626681045</v>
      </c>
      <c r="E13" s="568" t="n">
        <v>2.271978082443015</v>
      </c>
      <c r="F13" s="566" t="inlineStr">
        <is>
          <t>MOIC = Exit equity / sponsor equity check.</t>
        </is>
      </c>
    </row>
    <row r="14" ht="36" customHeight="1" s="244">
      <c r="B14" t="inlineStr">
        <is>
          <t>IRR (5-year)</t>
        </is>
      </c>
      <c r="C14" s="565" t="n">
        <v>0.03304780632992022</v>
      </c>
      <c r="D14" s="565" t="n">
        <v>0.2809323319237782</v>
      </c>
      <c r="E14" s="565" t="n">
        <v>0.247884525593858</v>
      </c>
      <c r="F14" s="566" t="inlineStr">
        <is>
          <t>IRR over 5 years = MOIC^(1/5) − 1.</t>
        </is>
      </c>
    </row>
    <row r="16">
      <c r="B16" s="569" t="inlineStr">
        <is>
          <t>IRR uplift from AI S&amp;M: 24.8 percentage points | Y2 margin expansion: 504 bps (target ≥500: YES)</t>
        </is>
      </c>
    </row>
    <row r="18">
      <c r="B18" t="inlineStr">
        <is>
          <t>PDF assumptions list:</t>
        </is>
      </c>
    </row>
    <row r="19">
      <c r="B19" s="570" t="inlineStr">
        <is>
          <t>https://raw.githubusercontent.com/vengeanceaiUSC/Rainmaker/cursor/vengeanceaiusclbomodel1-44dc/LBO/output/LBOMODEL1_ASSUMPTIONS_LIST.pdf</t>
        </is>
      </c>
    </row>
    <row r="20">
      <c r="B20" t="inlineStr">
        <is>
          <t>In-Excel full commentary: 00_Assumptions_List | Drivers: Assumptions_Drivers</t>
        </is>
      </c>
    </row>
    <row r="22">
      <c r="B22" t="inlineStr">
        <is>
          <t>AI $15m cost evidence (LBOMODEL2):</t>
        </is>
      </c>
    </row>
    <row r="23">
      <c r="B23" s="590" t="inlineStr">
        <is>
          <t>Go to AI_Cost_Sources</t>
        </is>
      </c>
    </row>
    <row r="24">
      <c r="B24" s="590" t="inlineStr">
        <is>
          <t>https://raw.githubusercontent.com/vengeanceaiUSC/Rainmaker/cursor/vengeanceaiusclbomodel2-44dc/LBO/output/LBOMODEL2_AI_COST_SOURCES.pdf</t>
        </is>
      </c>
    </row>
  </sheetData>
  <hyperlinks>
    <hyperlink xmlns:r="http://schemas.openxmlformats.org/officeDocument/2006/relationships" ref="B19" r:id="rId1"/>
    <hyperlink xmlns:r="http://schemas.openxmlformats.org/officeDocument/2006/relationships" ref="B23" r:id="rId2"/>
    <hyperlink xmlns:r="http://schemas.openxmlformats.org/officeDocument/2006/relationships" ref="B24" r:id="rId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31"/>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AI_Cost_Sources.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$15m — SOURCE PACK</t>
        </is>
      </c>
    </row>
    <row r="28">
      <c r="B28" s="590" t="inlineStr">
        <is>
          <t>Go to AI_Cost_Sources (in-workbook evidence)</t>
        </is>
      </c>
    </row>
    <row r="29">
      <c r="B29" s="590" t="inlineStr">
        <is>
          <t>Salesforce Agentforce pricing press release</t>
        </is>
      </c>
    </row>
    <row r="30">
      <c r="B30" s="590" t="inlineStr">
        <is>
          <t>ZoomInfo FY2024 10-K (S&amp;M headcount)</t>
        </is>
      </c>
    </row>
    <row r="31">
      <c r="B31" s="590" t="inlineStr">
        <is>
          <t>PDF: LBOMODEL2_AI_COST_SOURCES.pdf</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G30"/>
  <sheetViews>
    <sheetView workbookViewId="0">
      <selection activeCell="A1" sqref="A1"/>
    </sheetView>
  </sheetViews>
  <sheetFormatPr baseColWidth="8" defaultRowHeight="15"/>
  <cols>
    <col width="36" customWidth="1" style="244" min="2" max="2"/>
    <col width="14" customWidth="1" style="244" min="3" max="3"/>
    <col width="36" customWidth="1" style="244" min="4" max="4"/>
    <col width="28" customWidth="1" style="244" min="5" max="5"/>
    <col width="48" customWidth="1" style="244" min="6" max="6"/>
    <col width="40" customWidth="1" style="244" min="7" max="7"/>
  </cols>
  <sheetData>
    <row r="2">
      <c r="B2" s="563" t="inlineStr">
        <is>
          <t>Assumptions Drivers (yellow = inputs used by AI / Base operating math)</t>
        </is>
      </c>
    </row>
    <row r="3">
      <c r="B3" t="inlineStr">
        <is>
          <t>These cells are the single source of truth for the commentary list. Operating tabs read these values.</t>
        </is>
      </c>
    </row>
    <row r="4">
      <c r="B4" s="412" t="inlineStr">
        <is>
          <t>Driver</t>
        </is>
      </c>
      <c r="C4" s="412" t="inlineStr">
        <is>
          <t>Value</t>
        </is>
      </c>
      <c r="D4" s="412" t="inlineStr">
        <is>
          <t>Feeds</t>
        </is>
      </c>
    </row>
    <row r="5">
      <c r="B5" s="575" t="inlineStr">
        <is>
          <t>Revenue growth</t>
        </is>
      </c>
      <c r="C5" s="422" t="n">
        <v>0.1</v>
      </c>
      <c r="D5" s="575" t="inlineStr">
        <is>
          <t>AI_Operating!C5:G5</t>
        </is>
      </c>
    </row>
    <row r="6">
      <c r="B6" s="575" t="inlineStr">
        <is>
          <t>Gross margin</t>
        </is>
      </c>
      <c r="C6" s="422" t="n">
        <v>0.8</v>
      </c>
      <c r="D6" s="575" t="inlineStr">
        <is>
          <t>AI_Operating COGS row</t>
        </is>
      </c>
    </row>
    <row r="7">
      <c r="B7" s="575" t="inlineStr">
        <is>
          <t>Sales payroll cut (Y1)</t>
        </is>
      </c>
      <c r="C7" s="422" t="n">
        <v>0.15</v>
      </c>
      <c r="D7" s="575" t="inlineStr">
        <is>
          <t>AI_Operating S&amp;M Y1</t>
        </is>
      </c>
    </row>
    <row r="8">
      <c r="B8" s="575" t="inlineStr">
        <is>
          <t>Variable commission cut</t>
        </is>
      </c>
      <c r="C8" s="422" t="n">
        <v>0.2</v>
      </c>
      <c r="D8" s="575" t="inlineStr">
        <is>
          <t>AI_Operating Commissions</t>
        </is>
      </c>
    </row>
    <row r="9">
      <c r="B9" s="575" t="inlineStr">
        <is>
          <t>AI infrastructure ($m)</t>
        </is>
      </c>
      <c r="C9" s="576" t="n">
        <v>15</v>
      </c>
      <c r="D9" s="575" t="inlineStr">
        <is>
          <t>AI_Operating AI cost</t>
        </is>
      </c>
      <c r="E9" s="590" t="inlineStr">
        <is>
          <t>SOURCE → AI_Cost_Sources</t>
        </is>
      </c>
      <c r="F9" s="590" t="inlineStr">
        <is>
          <t>Salesforce Agentforce $2/conv + Flex Credits press</t>
        </is>
      </c>
      <c r="G9" s="590" t="inlineStr">
        <is>
          <t>ZoomInfo 10-K S&amp;M headcount</t>
        </is>
      </c>
    </row>
    <row r="10">
      <c r="B10" s="575" t="inlineStr">
        <is>
          <t>S&amp;M expense growth Y2+</t>
        </is>
      </c>
      <c r="C10" s="422" t="n">
        <v>0.02</v>
      </c>
      <c r="D10" s="575" t="inlineStr">
        <is>
          <t>AI_Operating S&amp;M Y2+</t>
        </is>
      </c>
    </row>
    <row r="11">
      <c r="B11" s="575" t="inlineStr">
        <is>
          <t>G&amp;A % of revenue</t>
        </is>
      </c>
      <c r="C11" s="422" t="n">
        <v>0.18</v>
      </c>
      <c r="D11" s="575" t="inlineStr">
        <is>
          <t>AI_Operating G&amp;A</t>
        </is>
      </c>
    </row>
    <row r="12">
      <c r="B12" s="575" t="inlineStr">
        <is>
          <t>CapEx reduction vs base</t>
        </is>
      </c>
      <c r="C12" s="422" t="n">
        <v>0.05</v>
      </c>
      <c r="D12" s="575" t="inlineStr">
        <is>
          <t>FCF CapEx</t>
        </is>
      </c>
    </row>
    <row r="13">
      <c r="B13" s="575" t="inlineStr">
        <is>
          <t>WC / receivables improvement</t>
        </is>
      </c>
      <c r="C13" s="422" t="n">
        <v>0.1</v>
      </c>
      <c r="D13" s="575" t="inlineStr">
        <is>
          <t>FCF ΔNWC</t>
        </is>
      </c>
    </row>
    <row r="14">
      <c r="B14" s="575" t="inlineStr">
        <is>
          <t>SOFR</t>
        </is>
      </c>
      <c r="C14" s="577" t="n">
        <v>0.043</v>
      </c>
      <c r="D14" s="575" t="inlineStr">
        <is>
          <t>Debt interest</t>
        </is>
      </c>
    </row>
    <row r="15">
      <c r="B15" s="575" t="inlineStr">
        <is>
          <t>Term Loan A spread</t>
        </is>
      </c>
      <c r="C15" s="577" t="n">
        <v>0.04</v>
      </c>
      <c r="D15" s="575" t="inlineStr">
        <is>
          <t>TLA rate = SOFR+spread</t>
        </is>
      </c>
    </row>
    <row r="16">
      <c r="B16" s="575" t="inlineStr">
        <is>
          <t>Term Loan B spread</t>
        </is>
      </c>
      <c r="C16" s="577" t="n">
        <v>0.05</v>
      </c>
      <c r="D16" s="575" t="inlineStr">
        <is>
          <t>TLB rate = SOFR+spread</t>
        </is>
      </c>
    </row>
    <row r="17">
      <c r="B17" s="575" t="inlineStr">
        <is>
          <t>Mandatory amortization</t>
        </is>
      </c>
      <c r="C17" s="422" t="n">
        <v>0.01</v>
      </c>
      <c r="D17" s="575" t="inlineStr">
        <is>
          <t>% of initial new debt / yr</t>
        </is>
      </c>
    </row>
    <row r="18">
      <c r="B18" s="575" t="inlineStr">
        <is>
          <t>Cash sweep %</t>
        </is>
      </c>
      <c r="C18" s="422" t="n">
        <v>1</v>
      </c>
      <c r="D18" s="575" t="inlineStr">
        <is>
          <t>Debt_Sweep_AI</t>
        </is>
      </c>
    </row>
    <row r="19">
      <c r="B19" s="575" t="inlineStr">
        <is>
          <t>Tax rate</t>
        </is>
      </c>
      <c r="C19" s="422" t="n">
        <v>0.21</v>
      </c>
      <c r="D19" s="575" t="inlineStr">
        <is>
          <t>NI tax</t>
        </is>
      </c>
    </row>
    <row r="20">
      <c r="B20" s="575" t="inlineStr">
        <is>
          <t>Exit EV/EBITDA multiple</t>
        </is>
      </c>
      <c r="C20" s="584" t="n">
        <v>13</v>
      </c>
      <c r="D20" s="575" t="inlineStr">
        <is>
          <t>LBO!D17 / Strategy_Summary</t>
        </is>
      </c>
    </row>
    <row r="21">
      <c r="B21" s="575" t="inlineStr">
        <is>
          <t>S&amp;M baseline ($m)</t>
        </is>
      </c>
      <c r="C21" s="576" t="n">
        <v>425</v>
      </c>
      <c r="D21" s="575" t="inlineStr">
        <is>
          <t>35% × FY24 revenue</t>
        </is>
      </c>
    </row>
    <row r="22">
      <c r="B22" s="575" t="inlineStr">
        <is>
          <t>Payroll baseline ($m)</t>
        </is>
      </c>
      <c r="C22" s="576" t="n">
        <v>318.8</v>
      </c>
      <c r="D22" s="575" t="inlineStr">
        <is>
          <t>S&amp;M − commission pool</t>
        </is>
      </c>
    </row>
    <row r="23">
      <c r="B23" s="575" t="inlineStr">
        <is>
          <t>Commission baseline ($m)</t>
        </is>
      </c>
      <c r="C23" s="576" t="n">
        <v>106.2</v>
      </c>
      <c r="D23" s="575" t="inlineStr">
        <is>
          <t>25% of S&amp;M baseline</t>
        </is>
      </c>
    </row>
    <row r="24">
      <c r="B24" s="575" t="inlineStr">
        <is>
          <t>CapEx base % of rev</t>
        </is>
      </c>
      <c r="C24" s="422" t="n">
        <v>0.02</v>
      </c>
      <c r="D24" s="575" t="inlineStr">
        <is>
          <t>Before AI −5%</t>
        </is>
      </c>
    </row>
    <row r="25">
      <c r="B25" s="575" t="inlineStr">
        <is>
          <t>WC base % of Δrev</t>
        </is>
      </c>
      <c r="C25" s="422" t="n">
        <v>0.02</v>
      </c>
      <c r="D25" s="575" t="inlineStr">
        <is>
          <t>Before AI improvement</t>
        </is>
      </c>
    </row>
    <row r="27">
      <c r="B27" t="inlineStr">
        <is>
          <t>TLA rate (SOFR+4)</t>
        </is>
      </c>
      <c r="C27" s="579">
        <f>C14+C15</f>
        <v/>
      </c>
    </row>
    <row r="28">
      <c r="B28" t="inlineStr">
        <is>
          <t>TLB rate (SOFR+5)</t>
        </is>
      </c>
      <c r="C28" s="579">
        <f>C14+C16</f>
        <v/>
      </c>
    </row>
    <row r="30">
      <c r="B30" s="592" t="inlineStr">
        <is>
          <t>AI $15m reasonableness: see sheet AI_Cost_Sources (triangulated from public SF Agentforce prices + ZI 10-K).</t>
        </is>
      </c>
    </row>
  </sheetData>
  <mergeCells count="1">
    <mergeCell ref="B30:G30"/>
  </mergeCells>
  <hyperlinks>
    <hyperlink xmlns:r="http://schemas.openxmlformats.org/officeDocument/2006/relationships" ref="E9" r:id="rId1"/>
    <hyperlink xmlns:r="http://schemas.openxmlformats.org/officeDocument/2006/relationships" ref="F9" r:id="rId2"/>
    <hyperlink xmlns:r="http://schemas.openxmlformats.org/officeDocument/2006/relationships" ref="G9" r:id="rId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9.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2026-08-15T15:06:41Z</dcterms:modified>
  <cp:lastModifiedBy>scottmccarthy</cp:lastModifiedBy>
  <cp:lastPrinted>2014-05-30T16:55:05Z</cp:lastPrinted>
</cp:coreProperties>
</file>