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2">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41">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getaleph.com/answers/saas-gross-margin-2026" TargetMode="External" Id="rId3" /><Relationship Type="http://schemas.openxmlformats.org/officeDocument/2006/relationships/hyperlink" Target="#'AI_Operating'!D6" TargetMode="External" Id="rId4" /><Relationship Type="http://schemas.openxmlformats.org/officeDocument/2006/relationships/hyperlink" Target="https://www.readyratios.com/sec/GTM_zoominfo-technologies-inc" TargetMode="External" Id="rId5" /><Relationship Type="http://schemas.openxmlformats.org/officeDocument/2006/relationships/hyperlink" Target="https://revheat.com/sdr-model-decline/" TargetMode="External" Id="rId6" /><Relationship Type="http://schemas.openxmlformats.org/officeDocument/2006/relationships/hyperlink" Target="#'AI_Operating'!D7" TargetMode="External" Id="rId7" /><Relationship Type="http://schemas.openxmlformats.org/officeDocument/2006/relationships/hyperlink" Target="https://www.digitalapplied.com/blog/ai-sdr-statistics-2026-outbound-sales-data-points" TargetMode="External" Id="rId8" /><Relationship Type="http://schemas.openxmlformats.org/officeDocument/2006/relationships/hyperlink" Target="https://syncgtm.com/blog/how-to-pay-sales-development-rep" TargetMode="External" Id="rId9" /><Relationship Type="http://schemas.openxmlformats.org/officeDocument/2006/relationships/hyperlink" Target="#'AI_Operating'!D8" TargetMode="External" Id="rId10" /><Relationship Type="http://schemas.openxmlformats.org/officeDocument/2006/relationships/hyperlink" Target="https://syncgtm.com/blog/how-much-do-sales-development-representatives-make-at-tech-companies" TargetMode="External" Id="rId11" /><Relationship Type="http://schemas.openxmlformats.org/officeDocument/2006/relationships/hyperlink" Target="https://www.whitespacesolutions.ai/content/ai-sdr-pricing-guide-2026" TargetMode="External" Id="rId12" /><Relationship Type="http://schemas.openxmlformats.org/officeDocument/2006/relationships/hyperlink" Target="#'AI_Operating'!D10" TargetMode="External" Id="rId13" /><Relationship Type="http://schemas.openxmlformats.org/officeDocument/2006/relationships/hyperlink" Target="https://www.miniloop.ai/blog/11x-pricing" TargetMode="External" Id="rId14" /><Relationship Type="http://schemas.openxmlformats.org/officeDocument/2006/relationships/hyperlink" Target="https://www.federalreserve.gov/faqs/economy_14400.htm" TargetMode="External" Id="rId15" /><Relationship Type="http://schemas.openxmlformats.org/officeDocument/2006/relationships/hyperlink" Target="#'AI_Operating'!E7" TargetMode="External" Id="rId16" /><Relationship Type="http://schemas.openxmlformats.org/officeDocument/2006/relationships/hyperlink" Target="https://www.federalreserve.gov/monetarypolicy/files/FOMC_LongerRunGoals.pdf" TargetMode="External" Id="rId17" /><Relationship Type="http://schemas.openxmlformats.org/officeDocument/2006/relationships/hyperlink" Target="https://blossomstreetventures.medium.com/what-should-saas-spend-on-cogs-s-m-r-d-and-g-a-the-data-from-57-public-cos-8e88eabe99ca" TargetMode="External" Id="rId18" /><Relationship Type="http://schemas.openxmlformats.org/officeDocument/2006/relationships/hyperlink" Target="#'AI_Operating'!D12" TargetMode="External" Id="rId19" /><Relationship Type="http://schemas.openxmlformats.org/officeDocument/2006/relationships/hyperlink" Target="#'AI_Operating'!D19" TargetMode="External" Id="rId20" /><Relationship Type="http://schemas.openxmlformats.org/officeDocument/2006/relationships/hyperlink" Target="https://www.readyratios.com/sec/GTM_zoominfo-technologies-inc" TargetMode="External" Id="rId21" /><Relationship Type="http://schemas.openxmlformats.org/officeDocument/2006/relationships/hyperlink" Target="#'AI_Operating'!D20" TargetMode="External" Id="rId22" /><Relationship Type="http://schemas.openxmlformats.org/officeDocument/2006/relationships/hyperlink" Target="https://www.global-rates.com/en/interest-rates/sofr/historical/2024/" TargetMode="External" Id="rId23" /><Relationship Type="http://schemas.openxmlformats.org/officeDocument/2006/relationships/hyperlink" Target="#'Debt_Sweep_AI'!C12" TargetMode="External" Id="rId24" /><Relationship Type="http://schemas.openxmlformats.org/officeDocument/2006/relationships/hyperlink" Target="https://www.newyorkfed.org/markets/reference-rates/sofr" TargetMode="External" Id="rId25" /><Relationship Type="http://schemas.openxmlformats.org/officeDocument/2006/relationships/hyperlink" Target="https://ctacquisitions.com/acquisition-financing/" TargetMode="External" Id="rId26" /><Relationship Type="http://schemas.openxmlformats.org/officeDocument/2006/relationships/hyperlink" Target="#'Assumptions_Drivers'!C27" TargetMode="External" Id="rId27" /><Relationship Type="http://schemas.openxmlformats.org/officeDocument/2006/relationships/hyperlink" Target="https://ctacquisitions.com/debt-financing/" TargetMode="External" Id="rId28" /><Relationship Type="http://schemas.openxmlformats.org/officeDocument/2006/relationships/hyperlink" Target="https://ibinterviewquestions.com/guides/valuation-investment-banking/lbo-debt-structures-senior-subordinated-mezzanine" TargetMode="External" Id="rId29" /><Relationship Type="http://schemas.openxmlformats.org/officeDocument/2006/relationships/hyperlink" Target="#'Assumptions_Drivers'!C28"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https://ibinterviewquestions.com/guides/debt-capital-markets/term-loan-b-tlb-mechanics-and-why-it-dominates-lev-lending" TargetMode="External" Id="rId32" /><Relationship Type="http://schemas.openxmlformats.org/officeDocument/2006/relationships/hyperlink" Target="#'Debt_Sweep_AI'!D5" TargetMode="External" Id="rId33" /><Relationship Type="http://schemas.openxmlformats.org/officeDocument/2006/relationships/hyperlink" Target="https://clearvaluelending.com/glossary/term-loan-b" TargetMode="External" Id="rId34" /><Relationship Type="http://schemas.openxmlformats.org/officeDocument/2006/relationships/hyperlink" Target="https://ryanoconnellfinance.com/lbo-model-fundamentals/" TargetMode="External" Id="rId35" /><Relationship Type="http://schemas.openxmlformats.org/officeDocument/2006/relationships/hyperlink" Target="#'Debt_Sweep_AI'!E5" TargetMode="External" Id="rId36" /><Relationship Type="http://schemas.openxmlformats.org/officeDocument/2006/relationships/hyperlink" Target="https://taxsummaries.pwc.com/united-states/corporate/taxes-on-corporate-income" TargetMode="External" Id="rId37" /><Relationship Type="http://schemas.openxmlformats.org/officeDocument/2006/relationships/hyperlink" Target="#'AI_Operating'!D18" TargetMode="External" Id="rId38" /><Relationship Type="http://schemas.openxmlformats.org/officeDocument/2006/relationships/hyperlink" Target="https://tradingeconomics.com/united-states/corporate-tax-rate" TargetMode="External" Id="rId39" /><Relationship Type="http://schemas.openxmlformats.org/officeDocument/2006/relationships/hyperlink" Target="https://aventis-advisors.com/saas-valuation-multiples-how-much-is-my-saas-business-worth/" TargetMode="External" Id="rId40" /><Relationship Type="http://schemas.openxmlformats.org/officeDocument/2006/relationships/hyperlink" Target="#'LBO'!D17" TargetMode="External" Id="rId41" /><Relationship Type="http://schemas.openxmlformats.org/officeDocument/2006/relationships/hyperlink" Target="https://www.businesswire.com/news/home/20250225694335/en/ZoomInfo-Announces-Fourth-Quarter-and-Full-Year-2024-Financial-Results" TargetMode="External" Id="rId42" /><Relationship Type="http://schemas.openxmlformats.org/officeDocument/2006/relationships/hyperlink" Target="#'AI_Operating'!C9" TargetMode="External" Id="rId43" /><Relationship Type="http://schemas.openxmlformats.org/officeDocument/2006/relationships/hyperlink" Target="https://www.key.com/content/dam/kco/documents/businesses___institutions/2024_kbcm_sapphire_saas_survey.pdf" TargetMode="External" Id="rId44" /><Relationship Type="http://schemas.openxmlformats.org/officeDocument/2006/relationships/hyperlink" Target="https://syncgtm.com/blog/how-to-pay-sales-development-rep" TargetMode="External" Id="rId45" /><Relationship Type="http://schemas.openxmlformats.org/officeDocument/2006/relationships/hyperlink" Target="#'AI_Operating'!C7" TargetMode="External" Id="rId46" /><Relationship Type="http://schemas.openxmlformats.org/officeDocument/2006/relationships/hyperlink" Target="https://syncgtm.com/blog/how-much-do-sales-development-representatives-make-at-tech-companies" TargetMode="External" Id="rId47" /><Relationship Type="http://schemas.openxmlformats.org/officeDocument/2006/relationships/hyperlink" Target="#'AI_Operating'!C8" TargetMode="External" Id="rId48" /><Relationship Type="http://schemas.openxmlformats.org/officeDocument/2006/relationships/hyperlink" Target="https://syncgtm.com/blog/how-to-pay-sales-development-rep" TargetMode="External" Id="rId49" /><Relationship Type="http://schemas.openxmlformats.org/officeDocument/2006/relationships/hyperlink" Target="https://saasdb.app/learn/financials/fcf-margin/" TargetMode="External" Id="rId50" /><Relationship Type="http://schemas.openxmlformats.org/officeDocument/2006/relationships/hyperlink" Target="#'AI_Operating'!D19" TargetMode="External" Id="rId51" /><Relationship Type="http://schemas.openxmlformats.org/officeDocument/2006/relationships/hyperlink" Target="https://www.businesswire.com/news/home/20250225694335/en/ZoomInfo-Announces-Fourth-Quarter-and-Full-Year-2024-Financial-Results" TargetMode="External" Id="rId52" /><Relationship Type="http://schemas.openxmlformats.org/officeDocument/2006/relationships/hyperlink" Target="#'AI_Operating'!D20" TargetMode="External" Id="rId53" /><Relationship Type="http://schemas.openxmlformats.org/officeDocument/2006/relationships/hyperlink" Target="https://fred.stlouisfed.org/series/SOFR" TargetMode="External" Id="rId54" /><Relationship Type="http://schemas.openxmlformats.org/officeDocument/2006/relationships/hyperlink" Target="#'Debt_Sweep_AI'!C12" TargetMode="External" Id="rId55" /><Relationship Type="http://schemas.openxmlformats.org/officeDocument/2006/relationships/hyperlink" Target="https://fred.stlouisfed.org/series/SOFR" TargetMode="External" Id="rId56" /><Relationship Type="http://schemas.openxmlformats.org/officeDocument/2006/relationships/hyperlink" Target="#'Debt_Sweep_AI'!D12" TargetMode="External" Id="rId57" /><Relationship Type="http://schemas.openxmlformats.org/officeDocument/2006/relationships/hyperlink" Target="https://www.sec.gov/Archives/edgar/data/1794515/000179451525000045/zi-20241231.htm" TargetMode="External" Id="rId58" /><Relationship Type="http://schemas.openxmlformats.org/officeDocument/2006/relationships/hyperlink" Target="https://www.11x.ai/products/alice/pricing" TargetMode="External" Id="rId59" /><Relationship Type="http://schemas.openxmlformats.org/officeDocument/2006/relationships/hyperlink" Target="https://raw.githubusercontent.com/vengeanceaiUSC/Rainmaker/cursor/vengeanceaiusclbomodel2-44dc/LBO/output/LBOMODEL2_DRIVER_SOURCES.pdf" TargetMode="External" Id="rId6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2"/>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54" customWidth="1" style="244" min="5" max="5"/>
    <col width="78" customWidth="1" style="244" min="6" max="6"/>
    <col width="34" customWidth="1" style="244" min="7" max="7"/>
    <col width="38" customWidth="1" style="244" min="8" max="8"/>
  </cols>
  <sheetData>
    <row r="2">
      <c r="B2" s="629" t="inlineStr">
        <is>
          <t>Assumptions Drivers — source listed ONLY if its number is an input to the C-column equation</t>
        </is>
      </c>
    </row>
    <row r="3" ht="48" customHeight="1" s="244">
      <c r="B3" s="605" t="inlineStr">
        <is>
          <t>AI $34m: White Space + Miniloop print $5k and $10k/mo used in EQ + ZI 1,513 S&amp;M HC. Newly EQ-sourced (were MODEL CONST): G&amp;A 18%, exit ~13x, sweep 100%, TLA +400bps, SOFR 4.30% (2024 low), payroll cut 15% (mid of 12–18%). Still MODEL CONST: rev +10%, commission cut 20%, CapEx −5%, WC −10%/2%, outbound share 25%.</t>
        </is>
      </c>
    </row>
    <row r="4" ht="40" customHeight="1" s="244">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row>
    <row r="5" ht="96"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7" t="inlineStr">
        <is>
          <t>IN EQ: FY24 Rev=$1,214.3m (ZI). NOT in EQ: −2% growth. C5=10% = MODEL CONST (no source equals 10%).</t>
        </is>
      </c>
      <c r="F5" s="631" t="inlineStr">
        <is>
          <t>EQ: Y1_Rev=1214.3×(1+0.10)=$1,335.73m. SOURCED $ base: 1214.3 ZI FY24. MODEL CONST: 0.10. Blossom public SaaS medians ~15–18% and Aventis ‘under 10%’ guidance do not equal 10% — not cited as the driver of C5.</t>
        </is>
      </c>
      <c r="G5" s="612" t="inlineStr">
        <is>
          <t>Go to AI_Operating!D5 (Revenue)</t>
        </is>
      </c>
      <c r="H5" s="612" t="n"/>
    </row>
    <row r="6" ht="96"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IN EQ: software median GM=80% → C6=0.80 (Aleph/Benchmarkit)</t>
        </is>
      </c>
      <c r="F6" s="632" t="inlineStr">
        <is>
          <t>EQ: COGS = Rev × (1−0.80). Y1: 1335.73×0.20=$267.15m. SOURCED in EQ: 0.80 = published software median GM. Source number = driver.</t>
        </is>
      </c>
      <c r="G6" s="612" t="inlineStr">
        <is>
          <t>Go to AI_Operating!D6 (COGS)</t>
        </is>
      </c>
      <c r="H6" s="612" t="inlineStr">
        <is>
          <t>www.readyratios.com/sec/GTM_zoominfo-technologies-inc</t>
        </is>
      </c>
    </row>
    <row r="7" ht="96"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8" t="inlineStr">
        <is>
          <t>IN EQ: C7=15% = midpoint of sourced SDR HC declines 12% (RevHeat/Bridge) and ~18% YoY (2026 SaaS) — click</t>
        </is>
      </c>
      <c r="F7" s="632" t="inlineStr">
        <is>
          <t>EQ: Payroll_Y1=318.8×(1−0.15)=$270.98m. SOURCED in EQ: 15% = midpoint of 12% (RevHeat: Bridge Group active SDR HC −12% in 18 months) and ~18% YoY US B2B SaaS SDR HC decline. SOURCED $: 318.8 from row22. NOT used as driver alone: either endpoint.</t>
        </is>
      </c>
      <c r="G7" s="612" t="inlineStr">
        <is>
          <t>Go to AI_Operating!D7 (Sales payroll)</t>
        </is>
      </c>
      <c r="H7" s="612" t="inlineStr">
        <is>
          <t>Secondary: ~18% YoY SDR HC decline (US B2B SaaS 2026)</t>
        </is>
      </c>
    </row>
    <row r="8" ht="96"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7" t="inlineStr">
        <is>
          <t>IN EQ: ~30% variable OTE (explains commission pool); pool $106.2m; C8=20% cut = MODEL CONST</t>
        </is>
      </c>
      <c r="F8" s="631" t="inlineStr">
        <is>
          <t>EQ: Commission_AI=106.2×(1−0.20)=$84.96m. SOURCED: ~30% variable share (why pool exists). SOURCED $: 106.2=0.25×425. MODEL CONST: 0.20 cut — no publication prints a 20% commission cut.</t>
        </is>
      </c>
      <c r="G8" s="612" t="inlineStr">
        <is>
          <t>Go to AI_Operating!D8 (Commissions)</t>
        </is>
      </c>
      <c r="H8" s="612" t="inlineStr">
        <is>
          <t>syncgtm.com variable OTE mix</t>
        </is>
      </c>
    </row>
    <row r="9" ht="96" customHeight="1" s="244">
      <c r="B9" s="607" t="inlineStr">
        <is>
          <t>AI infrastructure ($m)</t>
        </is>
      </c>
      <c r="C9" s="614" t="n">
        <v>34</v>
      </c>
      <c r="D9" s="609" t="inlineStr">
        <is>
          <t>AI infra $34m = 378 roles × $5–10k/mo × 12, midpoint. $/mo from published AI SDR enterprise pricing; headcount from ZI 10-K.</t>
        </is>
      </c>
      <c r="E9" s="638" t="inlineStr">
        <is>
          <t>IN EQ: $5,000/mo (entry) and $10,000/mo (enterprise) AI SDR — White Space + Miniloop print both — click</t>
        </is>
      </c>
      <c r="F9" s="639" t="inlineStr">
        <is>
          <t>EQ: Roles=0.25×1,513=378; Low=378×$5,000×12=$22.7m; High=378×$10,000×12=$45.4m; C9=avg=$34.0m. SOURCED $/mo IN EQ: White Space lists 11x Alice $5,000–10,000+/mo; Miniloop entry $5,000 and enterprise $10,000–15,000+ (we use $10k high). SOURCED HC: 1,513 S&amp;M (ZI 10-K, H). MODEL CONST: 0.25 outbound share. NOT in EQ: 11x official Growth $3,750/mo (below $5k low — cross-check only).</t>
        </is>
      </c>
      <c r="G9" s="612" t="inlineStr">
        <is>
          <t>Go to AI_Operating!D10 (AI infrastructure)</t>
        </is>
      </c>
      <c r="H9" s="612" t="inlineStr">
        <is>
          <t>Secondary EQ $/mo: Miniloop 11x pricing table Entry $5k / Enterprise $10k+</t>
        </is>
      </c>
    </row>
    <row r="10" ht="96"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IN EQ: C10=2% = Fed longer-run inflation target 2% (FOMC)</t>
        </is>
      </c>
      <c r="F10" s="632" t="inlineStr">
        <is>
          <t>EQ: Payroll_t = Payroll_{t−1}×(1.02). Y2=270.98×1.02=$276.40m. SOURCED in EQ: 0.02 from Fed 2% longer-run inflation goal. SOURCED $ start: 270.98 from row7. Removed: Gartner qualitative agent note (supplied no numeric 2%).</t>
        </is>
      </c>
      <c r="G10" s="612" t="inlineStr">
        <is>
          <t>Go to AI_Operating!E7 (payroll Y2+)</t>
        </is>
      </c>
      <c r="H10" s="612" t="inlineStr">
        <is>
          <t>www.federalreserve.gov/monetarypolicy/files/FOMC_LongerRunGoals.pdf</t>
        </is>
      </c>
    </row>
    <row r="11" ht="96"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8" t="inlineStr">
        <is>
          <t>IN EQ: C11=18% = Blossom Street 2025 public SaaS median G&amp;A 18% of rev — click</t>
        </is>
      </c>
      <c r="F11" s="631" t="inlineStr">
        <is>
          <t>EQ: G&amp;A=Rev×0.18 → Y1 1335.73×0.18=$240.43m. SOURCED in EQ: 18% = Blossom Street median G&amp;A for SaaS IPOs-since-2017 in FY2025 (18%, 20%, 21%, 23% for 2025–2022). NOT in EQ: ZI filing G&amp;A 295.3/1214.3=24.3% (would be Y1 $324.9m).</t>
        </is>
      </c>
      <c r="G11" s="612" t="inlineStr">
        <is>
          <t>Go to AI_Operating!D12 (G&amp;A)</t>
        </is>
      </c>
      <c r="H11" s="612" t="n"/>
    </row>
    <row r="12" ht="96"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1" t="inlineStr">
        <is>
          <t>C12=5% CapEx cut = MODEL CONST (no sourced 5%). Device $ in SDR stacks is qualitative only.</t>
        </is>
      </c>
      <c r="F12" s="631" t="inlineStr">
        <is>
          <t>EQ: CapEx_AI=Rev×0.02×(1−0.05)=Rev×0.019 → Y1=$25.38m. MODEL CONST: 0.05. No source prints a 5% CapEx cut — not citing hardware articles as if they did.</t>
        </is>
      </c>
      <c r="G12" s="612" t="inlineStr">
        <is>
          <t>Go to AI_Operating!D19 (CapEx)</t>
        </is>
      </c>
      <c r="H12" s="612" t="n"/>
    </row>
    <row r="13" ht="96"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7" t="inlineStr">
        <is>
          <t>~80 DSO motivates WC but is NOT equal to C13=10%. 10% = MODEL CONST.</t>
        </is>
      </c>
      <c r="F13" s="631" t="inlineStr">
        <is>
          <t>EQ: ΔNWC_AI=ΔRev×0.02×0.90 → Y1 121.43×0.018=$2.19m. MODEL CONST: 0.10 improvement. 80 DSO ≠ 10% improvement rate (80/365≈21.9% AR/sales stock).</t>
        </is>
      </c>
      <c r="G13" s="612" t="inlineStr">
        <is>
          <t>Go to AI_Operating!D20 (ΔNWC)</t>
        </is>
      </c>
      <c r="H13" s="612" t="n"/>
    </row>
    <row r="14" ht="96"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8" t="inlineStr">
        <is>
          <t>IN EQ: C14=4.30% = SOFR 2024 calendar-year LOW (Global-Rates / NY Fed series) — click</t>
        </is>
      </c>
      <c r="F14" s="631" t="inlineStr">
        <is>
          <t>EQ: rates use C14 directly (TLA=C14+C15). SOURCED in EQ: 4.30% = lowest SOFR print in 2024 (Global-Rates summary of NY Fed SOFR; Dec 2024 trough). Official series: FRED/NY Fed. NOT used: latest FRED ~3.62% (would lower interest vs this underwrite).</t>
        </is>
      </c>
      <c r="G14" s="612" t="inlineStr">
        <is>
          <t>Go to Debt_Sweep_AI!C12 (TLA rate uses SOFR)</t>
        </is>
      </c>
      <c r="H14" s="612" t="inlineStr">
        <is>
          <t>Official SOFR publisher: NY Fed</t>
        </is>
      </c>
    </row>
    <row r="15" ht="96"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8" t="inlineStr">
        <is>
          <t>IN EQ: C15=+400bps = lower bound of senior Term Loan A SOFR+400–500bps (CT Acquisitions) — click</t>
        </is>
      </c>
      <c r="F15" s="631" t="inlineStr">
        <is>
          <t>EQ: TLA_rate=4.30%+4.00%=8.30%. SOURCED in EQ: +400bps = floor of CT Acquisitions senior term loan A band SOFR+400–500bps (2026 LMM acquisition financing). Removed prior Ryan O’Connell 275–375bps band (did not contain 400).</t>
        </is>
      </c>
      <c r="G15" s="612" t="inlineStr">
        <is>
          <t>Go to Assumptions_Drivers!C27 (TLA rate)</t>
        </is>
      </c>
      <c r="H15" s="612" t="inlineStr">
        <is>
          <t>Also: senior bank term loan SOFR+350–500 (400 in band)</t>
        </is>
      </c>
    </row>
    <row r="16" ht="96"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IN EQ: TLB SOFR+300–500bps → C16=+500bps = upper bound of source</t>
        </is>
      </c>
      <c r="F16" s="632" t="inlineStr">
        <is>
          <t>EQ: TLB_rate=4.30%+5.00%=9.30%. SOURCED in EQ: 500bps = top of published SOFR+300–500 band. Source upper bound = driver.</t>
        </is>
      </c>
      <c r="G16" s="612" t="inlineStr">
        <is>
          <t>Go to Assumptions_Drivers!C28 (TLB rate)</t>
        </is>
      </c>
      <c r="H16" s="612" t="inlineStr">
        <is>
          <t>ryanoconnellfinance.com/lbo-debt-structure/</t>
        </is>
      </c>
    </row>
    <row r="17" ht="96"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IN EQ: ~1%/yr TLB amort → C17=1%; principal≈$915.5m</t>
        </is>
      </c>
      <c r="F17" s="632" t="inlineStr">
        <is>
          <t>EQ: Mandatory=915.5×0.01=$9.155m/yr. SOURCED: 1% amort standard. Source number = driver.</t>
        </is>
      </c>
      <c r="G17" s="612" t="inlineStr">
        <is>
          <t>Go to Debt_Sweep_AI!D5 (Mandatory 1%)</t>
        </is>
      </c>
      <c r="H17" s="612" t="inlineStr">
        <is>
          <t>clearvaluelending.com/glossary/term-loan-b</t>
        </is>
      </c>
    </row>
    <row r="18" ht="96"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8" t="inlineStr">
        <is>
          <t>IN EQ: C18=100% = upper bound of LBO excess-cash-flow sweep 50–100%; models often use 100% — click</t>
        </is>
      </c>
      <c r="F18" s="631" t="inlineStr">
        <is>
          <t>EQ: Sweep=1.00×max(0,FCF−Mandatory). SOURCED in EQ: Ryan O’Connell LBO fundamentals — ECF sweep typically 50–100% of excess FCF; LBO models typically use 100% for max delever path. 100% = upper bound of that published band. NOT claiming every credit agreement is 100%.</t>
        </is>
      </c>
      <c r="G18" s="612" t="inlineStr">
        <is>
          <t>Go to Debt_Sweep_AI!E5 (Total paydown)</t>
        </is>
      </c>
      <c r="H18" s="612" t="n"/>
    </row>
    <row r="19" ht="96"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IN EQ: US federal CIT=21% → C19=0.21 (PwC)</t>
        </is>
      </c>
      <c r="F19" s="632" t="inlineStr">
        <is>
          <t>EQ: Tax=EBT×0.21. SOURCED: 21% statutory. Source number = driver.</t>
        </is>
      </c>
      <c r="G19" s="612" t="inlineStr">
        <is>
          <t>Go to AI_Operating!D18 (Net income)</t>
        </is>
      </c>
      <c r="H19" s="612" t="inlineStr">
        <is>
          <t>tradingeconomics.com/united-states/corporate-tax-rate</t>
        </is>
      </c>
    </row>
    <row r="20" ht="96"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8" t="inlineStr">
        <is>
          <t>IN EQ: C20=13x ≈ Aventis private SaaS EV/EBITDA lower quartile 12.8x–12.9x (round) — click</t>
        </is>
      </c>
      <c r="F20" s="631" t="inlineStr">
        <is>
          <t>EQ: Exit_EV=Y5_EBITDA×13. SOURCED in EQ: Aventis Advisors private SaaS EV/EBITDA 1st quartile 12.9x (table) / ~12.8x (text) → model rounds to 13.0x conservative exit. NOT in EQ: PE SaaS entry/exit bands 15–22x / 20–28x (would raise exit EV).</t>
        </is>
      </c>
      <c r="G20" s="612" t="inlineStr">
        <is>
          <t>Go to LBO!D17 (Exit multiple)</t>
        </is>
      </c>
      <c r="H20" s="612" t="n"/>
    </row>
    <row r="21" ht="96"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IN EQ: Rev $1,214.3m; choose 35%≈filing S&amp;M 34.1% ($414.1m) → C21=$425m</t>
        </is>
      </c>
      <c r="F21" s="632" t="inlineStr">
        <is>
          <t>EQ: 0.35×1214.3=$425.0m=C21. SOURCED: 1214.3 rev and 414.1 S&amp;M (34.1%) from ZI FY24. MODEL ROUND: 35% near 34.1%.</t>
        </is>
      </c>
      <c r="G21" s="612" t="inlineStr">
        <is>
          <t>Go to AI_Operating!C9 (S&amp;M human FY24A)</t>
        </is>
      </c>
      <c r="H21" s="612" t="inlineStr">
        <is>
          <t>www.key.com/content/dam/kco/documents/businesses___institutions/2024_kbcm_s</t>
        </is>
      </c>
    </row>
    <row r="22" ht="96"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IN EQ: ~70% base OTE → set 75%×$425m=$318.8m</t>
        </is>
      </c>
      <c r="F22" s="632" t="inlineStr">
        <is>
          <t>EQ: C22=0.75×425=$318.8m. SOURCED: ~70% base (SyncGTM). MODEL: 75% of S&amp;M pool near that mix. SOURCED $: 425 from row21.</t>
        </is>
      </c>
      <c r="G22" s="612" t="inlineStr">
        <is>
          <t>Go to AI_Operating!C7 (Payroll FY24A)</t>
        </is>
      </c>
      <c r="H22" s="612" t="n"/>
    </row>
    <row r="23" ht="96"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IN EQ: residual 25%×$425m=$106.2m (near sourced ~30–35% variable)</t>
        </is>
      </c>
      <c r="F23" s="632" t="inlineStr">
        <is>
          <t>EQ: C23=0.25×425=$106.2m; 318.8+106.2=425. SOURCED: variable ~30–35% OTE. MODEL: 25% of S&amp;M as commission carve.</t>
        </is>
      </c>
      <c r="G23" s="612" t="inlineStr">
        <is>
          <t>Go to AI_Operating!C8 (Commissions FY24A)</t>
        </is>
      </c>
      <c r="H23" s="612" t="inlineStr">
        <is>
          <t>syncgtm.com/blog/how-to-pay-sales-development-rep</t>
        </is>
      </c>
    </row>
    <row r="24" ht="96"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IN EQ: SaaS CapEx typically 1–3% of rev → C24=2% = midpoint of sourced band</t>
        </is>
      </c>
      <c r="F24" s="632" t="inlineStr">
        <is>
          <t>EQ: CapEx=Rev×0.02 → Y1=$26.71m. SOURCED: pure-play SaaS CapEx 1–3% of revenue (SaaSDB). 2% = midpoint of 1–3%. Source band drives driver.</t>
        </is>
      </c>
      <c r="G24" s="612" t="inlineStr">
        <is>
          <t>Go to AI_Operating!D19 (CapEx)</t>
        </is>
      </c>
      <c r="H24" s="612" t="inlineStr">
        <is>
          <t>www.businesswire.com/news/home/20250225694335/en/ZoomInfo-Announces-Fourth-</t>
        </is>
      </c>
    </row>
    <row r="25" ht="96"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1" t="inlineStr">
        <is>
          <t>C25=2% ΔNWC/ΔRev = MODEL CONST. ~80 DSO is not equal to 2%.</t>
        </is>
      </c>
      <c r="F25" s="631" t="inlineStr">
        <is>
          <t>EQ: ΔNWC=ΔRev×0.02 → Y1=$2.43m. MODEL CONST: 0.02. No source equals a 2% ΔNWC/ΔRev plug (stock NWC/rev metrics are different).</t>
        </is>
      </c>
      <c r="G25" s="612" t="inlineStr">
        <is>
          <t>Go to AI_Operating!D20 (ΔNWC)</t>
        </is>
      </c>
      <c r="H25" s="612" t="n"/>
    </row>
    <row r="26">
      <c r="B26" s="618" t="inlineStr">
        <is>
          <t>Computed rates (SOFR + spreads) — still sourced on the same row</t>
        </is>
      </c>
    </row>
    <row r="27" ht="96"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EQ: C27=C14+C15 only (inputs from rows 14–15)</t>
        </is>
      </c>
      <c r="F27" s="632" t="inlineStr">
        <is>
          <t>EQ: 4.30%+4.00%=8.30%. Interest_TLA=TLA_beg×0.083. No third-party source beyond C14/C15 component rows.</t>
        </is>
      </c>
      <c r="G27" s="612" t="inlineStr">
        <is>
          <t>Go to Debt_Sweep_AI!C12 (TLA rate)</t>
        </is>
      </c>
      <c r="H27" s="612" t="n"/>
    </row>
    <row r="28" ht="96"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EQ: C28=C14+C16 only; C16=+500bps sourced as TLB upper bound on row16</t>
        </is>
      </c>
      <c r="F28" s="632" t="inlineStr">
        <is>
          <t>EQ: 4.30%+5.00%=9.30%. Interest_TLB=TLB_beg×0.093. Component sources on rows 14 &amp; 16.</t>
        </is>
      </c>
      <c r="G28" s="612" t="inlineStr">
        <is>
          <t>Go to Debt_Sweep_AI!D12 (TLB rate)</t>
        </is>
      </c>
      <c r="H28" s="612" t="n"/>
    </row>
    <row r="29" ht="72" customHeight="1" s="244">
      <c r="B29" s="618" t="inlineStr">
        <is>
          <t>AI $34m — sources that are IN the equation:</t>
        </is>
      </c>
      <c r="C29" s="620" t="inlineStr">
        <is>
          <t>(1) https://www.whitespacesolutions.ai/content/ai-sdr-pricing-guide-2026 → 11x Alice $5,000–$10,000+/mo. (2) https://www.miniloop.ai/blog/11x-pricing → Entry $5,000 / Enterprise $10,000+. (3) https://www.sec.gov/Archives/edgar/data/1794515/000179451525000045/zi-20241231.htm → 1,513 S&amp;M employees. (4) MODEL CONST 25% outbound share. NOT in EQ: 11x Growth $3,750/mo https://www.11x.ai/products/alice/pricing</t>
        </is>
      </c>
      <c r="D29" s="621" t="n"/>
      <c r="E29" s="621" t="n"/>
      <c r="F29" s="622" t="n"/>
    </row>
    <row r="30">
      <c r="B30" s="618" t="inlineStr">
        <is>
          <t>ZI 10-K S&amp;M headcount 1,513 (EQ input):</t>
        </is>
      </c>
      <c r="C30" s="593" t="inlineStr">
        <is>
          <t>https://www.sec.gov/Archives/edgar/data/1794515/000179451525000045/zi-20241231.htm</t>
        </is>
      </c>
    </row>
    <row r="31">
      <c r="B31" s="623" t="inlineStr">
        <is>
          <t>11x official Growth $3,750/mo (NOT in EQ — below $5k low):</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E6" r:id="rId3"/>
    <hyperlink xmlns:r="http://schemas.openxmlformats.org/officeDocument/2006/relationships" ref="G6" r:id="rId4"/>
    <hyperlink xmlns:r="http://schemas.openxmlformats.org/officeDocument/2006/relationships" ref="H6" r:id="rId5"/>
    <hyperlink xmlns:r="http://schemas.openxmlformats.org/officeDocument/2006/relationships" ref="E7" r:id="rId6"/>
    <hyperlink xmlns:r="http://schemas.openxmlformats.org/officeDocument/2006/relationships" ref="G7" r:id="rId7"/>
    <hyperlink xmlns:r="http://schemas.openxmlformats.org/officeDocument/2006/relationships" ref="H7" r:id="rId8"/>
    <hyperlink xmlns:r="http://schemas.openxmlformats.org/officeDocument/2006/relationships" ref="E8" r:id="rId9"/>
    <hyperlink xmlns:r="http://schemas.openxmlformats.org/officeDocument/2006/relationships" ref="G8" r:id="rId10"/>
    <hyperlink xmlns:r="http://schemas.openxmlformats.org/officeDocument/2006/relationships" ref="H8" r:id="rId11"/>
    <hyperlink xmlns:r="http://schemas.openxmlformats.org/officeDocument/2006/relationships" ref="E9" r:id="rId12"/>
    <hyperlink xmlns:r="http://schemas.openxmlformats.org/officeDocument/2006/relationships" ref="G9" r:id="rId13"/>
    <hyperlink xmlns:r="http://schemas.openxmlformats.org/officeDocument/2006/relationships" ref="H9" r:id="rId14"/>
    <hyperlink xmlns:r="http://schemas.openxmlformats.org/officeDocument/2006/relationships" ref="E10" r:id="rId15"/>
    <hyperlink xmlns:r="http://schemas.openxmlformats.org/officeDocument/2006/relationships" ref="G10" r:id="rId16"/>
    <hyperlink xmlns:r="http://schemas.openxmlformats.org/officeDocument/2006/relationships" ref="H10" r:id="rId17"/>
    <hyperlink xmlns:r="http://schemas.openxmlformats.org/officeDocument/2006/relationships" ref="E11" r:id="rId18"/>
    <hyperlink xmlns:r="http://schemas.openxmlformats.org/officeDocument/2006/relationships" ref="G11" r:id="rId19"/>
    <hyperlink xmlns:r="http://schemas.openxmlformats.org/officeDocument/2006/relationships" ref="G12" r:id="rId20"/>
    <hyperlink xmlns:r="http://schemas.openxmlformats.org/officeDocument/2006/relationships" ref="E13" r:id="rId21"/>
    <hyperlink xmlns:r="http://schemas.openxmlformats.org/officeDocument/2006/relationships" ref="G13" r:id="rId22"/>
    <hyperlink xmlns:r="http://schemas.openxmlformats.org/officeDocument/2006/relationships" ref="E14" r:id="rId23"/>
    <hyperlink xmlns:r="http://schemas.openxmlformats.org/officeDocument/2006/relationships" ref="G14" r:id="rId24"/>
    <hyperlink xmlns:r="http://schemas.openxmlformats.org/officeDocument/2006/relationships" ref="H14" r:id="rId25"/>
    <hyperlink xmlns:r="http://schemas.openxmlformats.org/officeDocument/2006/relationships" ref="E15" r:id="rId26"/>
    <hyperlink xmlns:r="http://schemas.openxmlformats.org/officeDocument/2006/relationships" ref="G15" r:id="rId27"/>
    <hyperlink xmlns:r="http://schemas.openxmlformats.org/officeDocument/2006/relationships" ref="H15" r:id="rId28"/>
    <hyperlink xmlns:r="http://schemas.openxmlformats.org/officeDocument/2006/relationships" ref="E16" r:id="rId29"/>
    <hyperlink xmlns:r="http://schemas.openxmlformats.org/officeDocument/2006/relationships" ref="G16" r:id="rId30"/>
    <hyperlink xmlns:r="http://schemas.openxmlformats.org/officeDocument/2006/relationships" ref="H16" r:id="rId31"/>
    <hyperlink xmlns:r="http://schemas.openxmlformats.org/officeDocument/2006/relationships" ref="E17" r:id="rId32"/>
    <hyperlink xmlns:r="http://schemas.openxmlformats.org/officeDocument/2006/relationships" ref="G17" r:id="rId33"/>
    <hyperlink xmlns:r="http://schemas.openxmlformats.org/officeDocument/2006/relationships" ref="H17" r:id="rId34"/>
    <hyperlink xmlns:r="http://schemas.openxmlformats.org/officeDocument/2006/relationships" ref="E18" r:id="rId35"/>
    <hyperlink xmlns:r="http://schemas.openxmlformats.org/officeDocument/2006/relationships" ref="G18" r:id="rId36"/>
    <hyperlink xmlns:r="http://schemas.openxmlformats.org/officeDocument/2006/relationships" ref="E19" r:id="rId37"/>
    <hyperlink xmlns:r="http://schemas.openxmlformats.org/officeDocument/2006/relationships" ref="G19" r:id="rId38"/>
    <hyperlink xmlns:r="http://schemas.openxmlformats.org/officeDocument/2006/relationships" ref="H19" r:id="rId39"/>
    <hyperlink xmlns:r="http://schemas.openxmlformats.org/officeDocument/2006/relationships" ref="E20" r:id="rId40"/>
    <hyperlink xmlns:r="http://schemas.openxmlformats.org/officeDocument/2006/relationships" ref="G20" r:id="rId41"/>
    <hyperlink xmlns:r="http://schemas.openxmlformats.org/officeDocument/2006/relationships" ref="E21" r:id="rId42"/>
    <hyperlink xmlns:r="http://schemas.openxmlformats.org/officeDocument/2006/relationships" ref="G21" r:id="rId43"/>
    <hyperlink xmlns:r="http://schemas.openxmlformats.org/officeDocument/2006/relationships" ref="H21" r:id="rId44"/>
    <hyperlink xmlns:r="http://schemas.openxmlformats.org/officeDocument/2006/relationships" ref="E22" r:id="rId45"/>
    <hyperlink xmlns:r="http://schemas.openxmlformats.org/officeDocument/2006/relationships" ref="G22" r:id="rId46"/>
    <hyperlink xmlns:r="http://schemas.openxmlformats.org/officeDocument/2006/relationships" ref="E23" r:id="rId47"/>
    <hyperlink xmlns:r="http://schemas.openxmlformats.org/officeDocument/2006/relationships" ref="G23" r:id="rId48"/>
    <hyperlink xmlns:r="http://schemas.openxmlformats.org/officeDocument/2006/relationships" ref="H23" r:id="rId49"/>
    <hyperlink xmlns:r="http://schemas.openxmlformats.org/officeDocument/2006/relationships" ref="E24" r:id="rId50"/>
    <hyperlink xmlns:r="http://schemas.openxmlformats.org/officeDocument/2006/relationships" ref="G24" r:id="rId51"/>
    <hyperlink xmlns:r="http://schemas.openxmlformats.org/officeDocument/2006/relationships" ref="H24" r:id="rId52"/>
    <hyperlink xmlns:r="http://schemas.openxmlformats.org/officeDocument/2006/relationships" ref="G25" r:id="rId53"/>
    <hyperlink xmlns:r="http://schemas.openxmlformats.org/officeDocument/2006/relationships" ref="E27" r:id="rId54"/>
    <hyperlink xmlns:r="http://schemas.openxmlformats.org/officeDocument/2006/relationships" ref="G27" r:id="rId55"/>
    <hyperlink xmlns:r="http://schemas.openxmlformats.org/officeDocument/2006/relationships" ref="E28" r:id="rId56"/>
    <hyperlink xmlns:r="http://schemas.openxmlformats.org/officeDocument/2006/relationships" ref="G28"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2026-08-15T15:57:44Z</dcterms:modified>
  <cp:lastModifiedBy>scottmccarthy</cp:lastModifiedBy>
  <cp:lastPrinted>2014-05-30T16:55:05Z</cp:lastPrinted>
</cp:coreProperties>
</file>