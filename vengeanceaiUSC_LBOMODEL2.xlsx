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1">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s>
  <fills count="45">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s>
  <borders count="41">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35">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sinesswire.com/news/home/20250225694335/en/ZoomInfo-Announces-Fourth-Quarter-and-Full-Year-2024-Financial-Results" TargetMode="External" Id="rId1" /><Relationship Type="http://schemas.openxmlformats.org/officeDocument/2006/relationships/hyperlink" Target="#'AI_Operating'!D5"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www.getaleph.com/answers/saas-gross-margin-2026" TargetMode="External" Id="rId4" /><Relationship Type="http://schemas.openxmlformats.org/officeDocument/2006/relationships/hyperlink" Target="#'AI_Operating'!D6" TargetMode="External" Id="rId5" /><Relationship Type="http://schemas.openxmlformats.org/officeDocument/2006/relationships/hyperlink" Target="https://www.readyratios.com/sec/GTM_zoominfo-technologies-inc" TargetMode="External" Id="rId6" /><Relationship Type="http://schemas.openxmlformats.org/officeDocument/2006/relationships/hyperlink" Target="https://resources.rework.com/pt/news/sales-tech/ai-sdr-worth-it-2026-hybrid-model-sales-leader" TargetMode="External" Id="rId7" /><Relationship Type="http://schemas.openxmlformats.org/officeDocument/2006/relationships/hyperlink" Target="#'AI_Operating'!D7" TargetMode="External" Id="rId8" /><Relationship Type="http://schemas.openxmlformats.org/officeDocument/2006/relationships/hyperlink" Target="https://firstsales.io/blog/cost-per-meeting-outbound/" TargetMode="External" Id="rId9" /><Relationship Type="http://schemas.openxmlformats.org/officeDocument/2006/relationships/hyperlink" Target="https://syncgtm.com/blog/how-to-pay-sales-development-rep" TargetMode="External" Id="rId10" /><Relationship Type="http://schemas.openxmlformats.org/officeDocument/2006/relationships/hyperlink" Target="#'AI_Operating'!D8" TargetMode="External" Id="rId11" /><Relationship Type="http://schemas.openxmlformats.org/officeDocument/2006/relationships/hyperlink" Target="https://syncgtm.com/blog/how-much-do-sales-development-representatives-make-at-tech-companies" TargetMode="External" Id="rId12" /><Relationship Type="http://schemas.openxmlformats.org/officeDocument/2006/relationships/hyperlink" Target="https://www.salesforce.com/news/press-releases/2025/05/15/agentforce-flexible-pricing-news/" TargetMode="External" Id="rId13" /><Relationship Type="http://schemas.openxmlformats.org/officeDocument/2006/relationships/hyperlink" Target="#'AI_Operating'!D10" TargetMode="External" Id="rId14" /><Relationship Type="http://schemas.openxmlformats.org/officeDocument/2006/relationships/hyperlink" Target="https://www.sec.gov/Archives/edgar/data/1794515/000179451525000045/zi-20241231.htm" TargetMode="External" Id="rId15" /><Relationship Type="http://schemas.openxmlformats.org/officeDocument/2006/relationships/hyperlink" Target="https://www.gartner.com/en/newsroom/press-releases/2026-08-10-gartner-forecasts-worldwide-artificial-intelligence-optimized-iaas-spending-to-grow-96-percent-in-2026" TargetMode="External" Id="rId16" /><Relationship Type="http://schemas.openxmlformats.org/officeDocument/2006/relationships/hyperlink" Target="#'AI_Operating'!E7" TargetMode="External" Id="rId17" /><Relationship Type="http://schemas.openxmlformats.org/officeDocument/2006/relationships/hyperlink" Target="https://www.ciodive.com/news/AI-spending-soars-enterprise-maturity/827488/" TargetMode="External" Id="rId18" /><Relationship Type="http://schemas.openxmlformats.org/officeDocument/2006/relationships/hyperlink" Target="https://www.businesswire.com/news/home/20250225694335/en/ZoomInfo-Announces-Fourth-Quarter-and-Full-Year-2024-Financial-Results" TargetMode="External" Id="rId19" /><Relationship Type="http://schemas.openxmlformats.org/officeDocument/2006/relationships/hyperlink" Target="#'AI_Operating'!D12" TargetMode="External" Id="rId20" /><Relationship Type="http://schemas.openxmlformats.org/officeDocument/2006/relationships/hyperlink" Target="https://www.sec.gov/Archives/edgar/data/1794515/000179451525000045/zi-20241231.htm" TargetMode="External" Id="rId21" /><Relationship Type="http://schemas.openxmlformats.org/officeDocument/2006/relationships/hyperlink" Target="https://caliberoutbound.com/blog/build-vs-buy-outbound-the-2026-cost-math" TargetMode="External" Id="rId22" /><Relationship Type="http://schemas.openxmlformats.org/officeDocument/2006/relationships/hyperlink" Target="#'AI_Operating'!D19" TargetMode="External" Id="rId23" /><Relationship Type="http://schemas.openxmlformats.org/officeDocument/2006/relationships/hyperlink" Target="https://firstsales.io/blog/cost-per-meeting-outbound/" TargetMode="External" Id="rId24" /><Relationship Type="http://schemas.openxmlformats.org/officeDocument/2006/relationships/hyperlink" Target="https://www.readyratios.com/sec/GTM_zoominfo-technologies-inc" TargetMode="External" Id="rId25" /><Relationship Type="http://schemas.openxmlformats.org/officeDocument/2006/relationships/hyperlink" Target="#'AI_Operating'!D20" TargetMode="External" Id="rId26" /><Relationship Type="http://schemas.openxmlformats.org/officeDocument/2006/relationships/hyperlink" Target="https://www.sec.gov/Archives/edgar/data/1794515/000179451525000045/zi-20241231.htm" TargetMode="External" Id="rId27" /><Relationship Type="http://schemas.openxmlformats.org/officeDocument/2006/relationships/hyperlink" Target="https://fred.stlouisfed.org/series/SOFR" TargetMode="External" Id="rId28" /><Relationship Type="http://schemas.openxmlformats.org/officeDocument/2006/relationships/hyperlink" Target="#'Debt_Sweep_AI'!C12" TargetMode="External" Id="rId29" /><Relationship Type="http://schemas.openxmlformats.org/officeDocument/2006/relationships/hyperlink" Target="https://www.newyorkfed.org/markets/reference-rates/sofr" TargetMode="External" Id="rId30" /><Relationship Type="http://schemas.openxmlformats.org/officeDocument/2006/relationships/hyperlink" Target="https://ryanoconnellfinance.com/lbo-debt-structure/" TargetMode="External" Id="rId31" /><Relationship Type="http://schemas.openxmlformats.org/officeDocument/2006/relationships/hyperlink" Target="#'Assumptions_Drivers'!C27" TargetMode="External" Id="rId32" /><Relationship Type="http://schemas.openxmlformats.org/officeDocument/2006/relationships/hyperlink" Target="https://ibinterviewquestions.com/guides/debt-capital-markets/term-loan-b-tlb-mechanics-and-why-it-dominates-lev-lending" TargetMode="External" Id="rId33" /><Relationship Type="http://schemas.openxmlformats.org/officeDocument/2006/relationships/hyperlink" Target="https://ibinterviewquestions.com/guides/valuation-investment-banking/lbo-debt-structures-senior-subordinated-mezzanine" TargetMode="External" Id="rId34" /><Relationship Type="http://schemas.openxmlformats.org/officeDocument/2006/relationships/hyperlink" Target="#'Assumptions_Drivers'!C28" TargetMode="External" Id="rId35" /><Relationship Type="http://schemas.openxmlformats.org/officeDocument/2006/relationships/hyperlink" Target="https://ryanoconnellfinance.com/lbo-debt-structure/" TargetMode="External" Id="rId36" /><Relationship Type="http://schemas.openxmlformats.org/officeDocument/2006/relationships/hyperlink" Target="https://ibinterviewquestions.com/guides/debt-capital-markets/term-loan-b-tlb-mechanics-and-why-it-dominates-lev-lending" TargetMode="External" Id="rId37" /><Relationship Type="http://schemas.openxmlformats.org/officeDocument/2006/relationships/hyperlink" Target="#'Debt_Sweep_AI'!D5" TargetMode="External" Id="rId38" /><Relationship Type="http://schemas.openxmlformats.org/officeDocument/2006/relationships/hyperlink" Target="https://clearvaluelending.com/glossary/term-loan-b" TargetMode="External" Id="rId39" /><Relationship Type="http://schemas.openxmlformats.org/officeDocument/2006/relationships/hyperlink" Target="https://ryanoconnellfinance.com/lbo-debt-structure/" TargetMode="External" Id="rId40" /><Relationship Type="http://schemas.openxmlformats.org/officeDocument/2006/relationships/hyperlink" Target="#'Debt_Sweep_AI'!E5" TargetMode="External" Id="rId41" /><Relationship Type="http://schemas.openxmlformats.org/officeDocument/2006/relationships/hyperlink" Target="https://ibinterviewquestions.com/guides/valuation-investment-banking/lbo-debt-structures-senior-subordinated-mezzanine" TargetMode="External" Id="rId42" /><Relationship Type="http://schemas.openxmlformats.org/officeDocument/2006/relationships/hyperlink" Target="https://taxsummaries.pwc.com/united-states/corporate/taxes-on-corporate-income" TargetMode="External" Id="rId43" /><Relationship Type="http://schemas.openxmlformats.org/officeDocument/2006/relationships/hyperlink" Target="#'AI_Operating'!D18" TargetMode="External" Id="rId44" /><Relationship Type="http://schemas.openxmlformats.org/officeDocument/2006/relationships/hyperlink" Target="https://tradingeconomics.com/united-states/corporate-tax-rate" TargetMode="External" Id="rId45" /><Relationship Type="http://schemas.openxmlformats.org/officeDocument/2006/relationships/hyperlink" Target="https://valueaddvc.com/blog/saas-evebitda-multiples-explained-benchmarks-and-what-they-mean" TargetMode="External" Id="rId46" /><Relationship Type="http://schemas.openxmlformats.org/officeDocument/2006/relationships/hyperlink" Target="#'LBO'!D17" TargetMode="External" Id="rId47" /><Relationship Type="http://schemas.openxmlformats.org/officeDocument/2006/relationships/hyperlink" Target="https://aventis-advisors.com/software-valuation-multiples/" TargetMode="External" Id="rId48" /><Relationship Type="http://schemas.openxmlformats.org/officeDocument/2006/relationships/hyperlink" Target="https://www.businesswire.com/news/home/20250225694335/en/ZoomInfo-Announces-Fourth-Quarter-and-Full-Year-2024-Financial-Results" TargetMode="External" Id="rId49" /><Relationship Type="http://schemas.openxmlformats.org/officeDocument/2006/relationships/hyperlink" Target="#'AI_Operating'!C9" TargetMode="External" Id="rId50" /><Relationship Type="http://schemas.openxmlformats.org/officeDocument/2006/relationships/hyperlink" Target="https://www.key.com/content/dam/kco/documents/businesses___institutions/2024_kbcm_sapphire_saas_survey.pdf" TargetMode="External" Id="rId51" /><Relationship Type="http://schemas.openxmlformats.org/officeDocument/2006/relationships/hyperlink" Target="https://syncgtm.com/blog/how-to-pay-sales-development-rep" TargetMode="External" Id="rId52" /><Relationship Type="http://schemas.openxmlformats.org/officeDocument/2006/relationships/hyperlink" Target="#'AI_Operating'!C7" TargetMode="External" Id="rId53" /><Relationship Type="http://schemas.openxmlformats.org/officeDocument/2006/relationships/hyperlink" Target="https://pulserevops.com/knowledge/ra0197" TargetMode="External" Id="rId54" /><Relationship Type="http://schemas.openxmlformats.org/officeDocument/2006/relationships/hyperlink" Target="https://syncgtm.com/blog/how-much-do-sales-development-representatives-make-at-tech-companies" TargetMode="External" Id="rId55" /><Relationship Type="http://schemas.openxmlformats.org/officeDocument/2006/relationships/hyperlink" Target="#'AI_Operating'!C8" TargetMode="External" Id="rId56" /><Relationship Type="http://schemas.openxmlformats.org/officeDocument/2006/relationships/hyperlink" Target="https://syncgtm.com/blog/how-to-pay-sales-development-rep" TargetMode="External" Id="rId57" /><Relationship Type="http://schemas.openxmlformats.org/officeDocument/2006/relationships/hyperlink" Target="https://www.businesswire.com/news/home/20250225694335/en/ZoomInfo-Announces-Fourth-Quarter-and-Full-Year-2024-Financial-Results" TargetMode="External" Id="rId58" /><Relationship Type="http://schemas.openxmlformats.org/officeDocument/2006/relationships/hyperlink" Target="#'AI_Operating'!D19" TargetMode="External" Id="rId59" /><Relationship Type="http://schemas.openxmlformats.org/officeDocument/2006/relationships/hyperlink" Target="https://www.sec.gov/Archives/edgar/data/1794515/000179451525000045/zi-20241231.htm" TargetMode="External" Id="rId60" /><Relationship Type="http://schemas.openxmlformats.org/officeDocument/2006/relationships/hyperlink" Target="https://www.readyratios.com/sec/GTM_zoominfo-technologies-inc" TargetMode="External" Id="rId61" /><Relationship Type="http://schemas.openxmlformats.org/officeDocument/2006/relationships/hyperlink" Target="#'AI_Operating'!D20" TargetMode="External" Id="rId62" /><Relationship Type="http://schemas.openxmlformats.org/officeDocument/2006/relationships/hyperlink" Target="https://www.sec.gov/Archives/edgar/data/1794515/000179451525000045/zi-20241231.htm" TargetMode="External" Id="rId63" /><Relationship Type="http://schemas.openxmlformats.org/officeDocument/2006/relationships/hyperlink" Target="https://ryanoconnellfinance.com/lbo-debt-structure/" TargetMode="External" Id="rId64" /><Relationship Type="http://schemas.openxmlformats.org/officeDocument/2006/relationships/hyperlink" Target="#'Debt_Sweep_AI'!C12" TargetMode="External" Id="rId65" /><Relationship Type="http://schemas.openxmlformats.org/officeDocument/2006/relationships/hyperlink" Target="https://fred.stlouisfed.org/series/SOFR" TargetMode="External" Id="rId66" /><Relationship Type="http://schemas.openxmlformats.org/officeDocument/2006/relationships/hyperlink" Target="https://ibinterviewquestions.com/guides/valuation-investment-banking/lbo-debt-structures-senior-subordinated-mezzanine" TargetMode="External" Id="rId67" /><Relationship Type="http://schemas.openxmlformats.org/officeDocument/2006/relationships/hyperlink" Target="#'Debt_Sweep_AI'!D12" TargetMode="External" Id="rId68" /><Relationship Type="http://schemas.openxmlformats.org/officeDocument/2006/relationships/hyperlink" Target="https://fred.stlouisfed.org/series/SOFR" TargetMode="External" Id="rId69" /><Relationship Type="http://schemas.openxmlformats.org/officeDocument/2006/relationships/hyperlink" Target="https://raw.githubusercontent.com/vengeanceaiUSC/Rainmaker/cursor/vengeanceaiusclbomodel2-44dc/LBO/output/LBOMODEL2_DRIVER_SOURCES.pdf" TargetMode="External" Id="rId70"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H31"/>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6" customWidth="1" style="244" min="2" max="2"/>
    <col width="11" customWidth="1" style="244" min="3" max="3"/>
    <col width="52" customWidth="1" style="244" min="4" max="4"/>
    <col width="46" customWidth="1" style="244" min="5" max="5"/>
    <col width="72" customWidth="1" style="244" min="6" max="6"/>
    <col width="34" customWidth="1" style="244" min="7" max="7"/>
    <col width="38" customWidth="1" style="244" min="8" max="8"/>
  </cols>
  <sheetData>
    <row r="2">
      <c r="B2" s="629" t="inlineStr">
        <is>
          <t>Assumptions Drivers — col F shows SOURCE MATH → DRIVER for every input</t>
        </is>
      </c>
    </row>
    <row r="3" ht="40" customHeight="1" s="244">
      <c r="B3" s="605" t="inlineStr">
        <is>
          <t>Column F walks source facts → arithmetic/logic → the yellow value in col C (same pattern as AI $34m). Column E is the clickable FIND link. Thesis steps are labeled; we do not pretend SF quotes “$34m.”</t>
        </is>
      </c>
    </row>
    <row r="4" ht="36" customHeight="1" s="244">
      <c r="B4" s="606" t="inlineStr">
        <is>
          <t>Driver</t>
        </is>
      </c>
      <c r="C4" s="606" t="inlineStr">
        <is>
          <t>Value</t>
        </is>
      </c>
      <c r="D4" s="606" t="inlineStr">
        <is>
          <t>Why reasonable (model justification)</t>
        </is>
      </c>
      <c r="E4" s="606" t="inlineStr">
        <is>
          <t>Source link — FIND statistic here (click)</t>
        </is>
      </c>
      <c r="F4" s="606" t="inlineStr">
        <is>
          <t>SOURCE MATH → DRIVER (how this source produces the yellow value)</t>
        </is>
      </c>
      <c r="G4" s="606" t="inlineStr">
        <is>
          <t>Feeds (click to jump)</t>
        </is>
      </c>
      <c r="H4" s="606" t="inlineStr">
        <is>
          <t>Secondary source (click)</t>
        </is>
      </c>
    </row>
    <row r="5" ht="78" customHeight="1" s="244">
      <c r="B5" s="607" t="inlineStr">
        <is>
          <t>Revenue growth</t>
        </is>
      </c>
      <c r="C5" s="608" t="n">
        <v>0.1</v>
      </c>
      <c r="D5" s="609" t="inlineStr">
        <is>
          <t>Assumes steady top-line expansion. Reasonable for a mature enterprise software company, avoiding aggressive hypergrowth assumptions while maintaining a healthy, realistic sales trajectory.</t>
        </is>
      </c>
      <c r="E5" s="630" t="inlineStr">
        <is>
          <t>FIND: ZI FY24 Revenue $1,214.3m (−2% YoY)</t>
        </is>
      </c>
      <c r="F5" s="631" t="inlineStr">
        <is>
          <t>SOURCE MATH → DRIVER: Filing shows FY24 rev $1,214.3m / FY23 $1,239.5m − 1 = −2.0% (not +10%). Driver C5=10% is a forward LBO underwrite held equal in AI vs Base so IRR delta is cost-driven. Math tie: baseline scale from source; growth rate is thesis, not the −2% print.</t>
        </is>
      </c>
      <c r="G5" s="612" t="inlineStr">
        <is>
          <t>Go to AI_Operating!D5 (Revenue)</t>
        </is>
      </c>
      <c r="H5" s="612" t="inlineStr">
        <is>
          <t>www.sec.gov/Archives/edgar/data/1794515/000179451525000045/zi-20241231</t>
        </is>
      </c>
    </row>
    <row r="6" ht="78" customHeight="1" s="244">
      <c r="B6" s="613" t="inlineStr">
        <is>
          <t>Gross margin</t>
        </is>
      </c>
      <c r="C6" s="608" t="n">
        <v>0.8</v>
      </c>
      <c r="D6" s="609" t="inlineStr">
        <is>
          <t>High profitability on direct services. Highly reasonable for a SaaS company, which historically scales digital infrastructure with minimal incremental cost per user.</t>
        </is>
      </c>
      <c r="E6" s="630" t="inlineStr">
        <is>
          <t>FIND: Aleph/Benchmarkit software median GM = 80%</t>
        </is>
      </c>
      <c r="F6" s="631" t="inlineStr">
        <is>
          <t>SOURCE MATH → DRIVER: Published 2025 software median GM = 80%. Driver C6=80% ⇒ COGS% = 1 − 0.80 = 20%; COGS_t = Rev_t × 0.20. (ZI GAAP GM ~84% in SEC comps would imply COGS 16%; we deliberately use the 80% median, not ZI’s higher print.)</t>
        </is>
      </c>
      <c r="G6" s="612" t="inlineStr">
        <is>
          <t>Go to AI_Operating!D6 (COGS)</t>
        </is>
      </c>
      <c r="H6" s="612" t="inlineStr">
        <is>
          <t>www.readyratios.com/sec/GTM_zoominfo-technologies-inc</t>
        </is>
      </c>
    </row>
    <row r="7" ht="78" customHeight="1" s="244">
      <c r="B7" s="607" t="inlineStr">
        <is>
          <t>Sales payroll cut (Y1)</t>
        </is>
      </c>
      <c r="C7" s="608" t="n">
        <v>0.15</v>
      </c>
      <c r="D7" s="609" t="inlineStr">
        <is>
          <t>Immediate headcount reduction for human SDRs. Reasonable as a private equity cost-cutting measure, easily achieved by eliminating the lower-tier outbound sales team.</t>
        </is>
      </c>
      <c r="E7" s="630" t="inlineStr">
        <is>
          <t>FIND: US B2B SaaS SDR headcount −~18% YoY (junior −31%)</t>
        </is>
      </c>
      <c r="F7" s="632" t="inlineStr">
        <is>
          <t>SOURCE MATH → DRIVER: Published SDR headcount −~18% YoY. Driver C7=15% ≈ that cut. Payroll_Y1 = Payroll0 × (1 − 0.15) = 318.8 × 0.85 = $270.98m. Source supports ~15–18% outbound labor reduction; 15% is the model switch near the −18% evidence (not a ZI 10-K line).</t>
        </is>
      </c>
      <c r="G7" s="612" t="inlineStr">
        <is>
          <t>Go to AI_Operating!D7 (Sales payroll)</t>
        </is>
      </c>
      <c r="H7" s="612" t="inlineStr">
        <is>
          <t>firstsales.io/blog/cost-per-meeting-outbound/</t>
        </is>
      </c>
    </row>
    <row r="8" ht="78" customHeight="1" s="244">
      <c r="B8" s="613" t="inlineStr">
        <is>
          <t>Variable commission cut</t>
        </is>
      </c>
      <c r="C8" s="608" t="n">
        <v>0.2</v>
      </c>
      <c r="D8" s="609" t="inlineStr">
        <is>
          <t>Reduces payouts for automated sales. Reasonable because AI agents do not collect commission checks, retaining more profit per enterprise deal directly for the company.</t>
        </is>
      </c>
      <c r="E8" s="630" t="inlineStr">
        <is>
          <t>FIND: SDR OTE ~70% base / ~30% variable</t>
        </is>
      </c>
      <c r="F8" s="632" t="inlineStr">
        <is>
          <t>SOURCE MATH → DRIVER: Source variable share ≈ 30% of OTE. Driver C8=20% cut on commission pool: Commission_AI = 106.2 × (1 − 0.20) = $84.96m. Logic: AI doesn’t take commissions ⇒ shrink the ~30% variable layer; −20% is a partial cut of that published variable share.</t>
        </is>
      </c>
      <c r="G8" s="612" t="inlineStr">
        <is>
          <t>Go to AI_Operating!D8 (Commissions)</t>
        </is>
      </c>
      <c r="H8" s="612" t="inlineStr">
        <is>
          <t>syncgtm.com/blog/how-much-do-sales-development-representatives-make-at</t>
        </is>
      </c>
    </row>
    <row r="9" ht="78" customHeight="1" s="244">
      <c r="B9" s="607" t="inlineStr">
        <is>
          <t>AI infrastructure ($m)</t>
        </is>
      </c>
      <c r="C9" s="614" t="n">
        <v>34</v>
      </c>
      <c r="D9" s="609" t="inlineStr">
        <is>
          <t>Fixed cost for AI software and compute set to $34m — midpoint of the $23–45m enterprise AI-agent triangulation. Covers API calls and infra to replace human reps.</t>
        </is>
      </c>
      <c r="E9" s="630" t="inlineStr">
        <is>
          <t>FIND: SF $2/conversation; Flex Credits ~$0.10/action; ZI S&amp;M HC 1,513</t>
        </is>
      </c>
      <c r="F9" s="634" t="inlineStr">
        <is>
          <t>SOURCE MATH → DRIVER: SF list $2/conv and ~$0.10/action. Outbound roles ≈ 25% × 1,513 S&amp;M (10-K) = 378. At $5–10k/mo/agent: 378 × $5k × 12 = $22.7m; 378 × $10k × 12 = $45.4m. Driver C9 = avg(23,45) = $34m. $34m is derived — SF does not quote “$34m.”</t>
        </is>
      </c>
      <c r="G9" s="612" t="inlineStr">
        <is>
          <t>Go to AI_Operating!D10 (AI infrastructure)</t>
        </is>
      </c>
      <c r="H9" s="612" t="inlineStr">
        <is>
          <t>www.sec.gov/Archives/edgar/data/1794515/000179451525000045/zi-20241231</t>
        </is>
      </c>
    </row>
    <row r="10" ht="78" customHeight="1" s="244">
      <c r="B10" s="613" t="inlineStr">
        <is>
          <t>S&amp;M expense growth Y2+</t>
        </is>
      </c>
      <c r="C10" s="608" t="n">
        <v>0.02</v>
      </c>
      <c r="D10" s="609" t="inlineStr">
        <is>
          <t>Caps future marketing cost increases. Reasonable because AI scales infinitely without needing proportional headcount additions, severing the link between revenue growth and human hiring.</t>
        </is>
      </c>
      <c r="E10" s="630" t="inlineStr">
        <is>
          <t>FIND: Gartner — agentic/inference AI scales as compute opex, not headcount-linear</t>
        </is>
      </c>
      <c r="F10" s="631" t="inlineStr">
        <is>
          <t>SOURCE MATH → DRIVER: Source: production agents scale via inference opex (not 1:1 hiring). Driver C10=2%: for t≥2, Payroll_t = Payroll_{t−1} × 1.02 (same for commissions). Example: 270.98 × 1.02 = $276.4m in Y2. 2% ≈ maintenance/inflation growth after severing revenue-linked hiring (thesis rate; Gartner doesn’t print “2%”).</t>
        </is>
      </c>
      <c r="G10" s="612" t="inlineStr">
        <is>
          <t>Go to AI_Operating!E7 (payroll Y2+)</t>
        </is>
      </c>
      <c r="H10" s="612" t="inlineStr">
        <is>
          <t>www.ciodive.com/news/AI-spending-soars-enterprise-maturity/827488/</t>
        </is>
      </c>
    </row>
    <row r="11" ht="78" customHeight="1" s="244">
      <c r="B11" s="607" t="inlineStr">
        <is>
          <t>G&amp;A % of revenue</t>
        </is>
      </c>
      <c r="C11" s="608" t="n">
        <v>0.18</v>
      </c>
      <c r="D11" s="609" t="inlineStr">
        <is>
          <t>General administrative overhead costs. Reasonable for a public-to-private SaaS company, maintaining standard corporate expenses without relying on unrealistic operational magic outside of sales.</t>
        </is>
      </c>
      <c r="E11" s="630" t="inlineStr">
        <is>
          <t>FIND: ZI FY24 G&amp;A $295.3m on Revenue $1,214.3m</t>
        </is>
      </c>
      <c r="F11" s="631" t="inlineStr">
        <is>
          <t>SOURCE MATH → DRIVER: Filing G&amp;A/Rev = 295.3 / 1214.3 = 24.3%. Driver C11=18% is a leaner thesis rate. G&amp;A_t = Rev_t × 0.18 (e.g. Y1 rev 1335.7 × 0.18 ≈ $240.4m). Source gives the actual 24.3% anchor; model deliberately uses 18% below that print.</t>
        </is>
      </c>
      <c r="G11" s="612" t="inlineStr">
        <is>
          <t>Go to AI_Operating!D12 (G&amp;A)</t>
        </is>
      </c>
      <c r="H11" s="612" t="inlineStr">
        <is>
          <t>www.sec.gov/Archives/edgar/data/1794515/000179451525000045/zi-20241231</t>
        </is>
      </c>
    </row>
    <row r="12" ht="78" customHeight="1" s="244">
      <c r="B12" s="613" t="inlineStr">
        <is>
          <t>CapEx reduction vs base</t>
        </is>
      </c>
      <c r="C12" s="608" t="n">
        <v>0.05</v>
      </c>
      <c r="D12" s="609" t="inlineStr">
        <is>
          <t>Lowers physical equipment spending. Reasonable because firing 15% of the sales team permanently eliminates the need to purchase and refresh their laptops and hardware.</t>
        </is>
      </c>
      <c r="E12" s="630" t="inlineStr">
        <is>
          <t>FIND: human SDR all-in includes tooling/devices (~$12k tooling in stack examples)</t>
        </is>
      </c>
      <c r="F12" s="632" t="inlineStr">
        <is>
          <t>SOURCE MATH → DRIVER: Source shows devices/tooling inside SDR all-in cost. Driver C12=5% CapEx cut: CapEx_AI = Rev × CapEx_base% × (1 − 0.05) = Rev × 0.02 × 0.95 = Rev × 1.9%. Cutting ~15% outbound seats (C7) removes laptop refresh — 5% is the modeled CapEx haircut tied to that labor cut.</t>
        </is>
      </c>
      <c r="G12" s="612" t="inlineStr">
        <is>
          <t>Go to AI_Operating!D19 (CapEx)</t>
        </is>
      </c>
      <c r="H12" s="612" t="inlineStr">
        <is>
          <t>firstsales.io/blog/cost-per-meeting-outbound/</t>
        </is>
      </c>
    </row>
    <row r="13" ht="78" customHeight="1" s="244">
      <c r="B13" s="607" t="inlineStr">
        <is>
          <t>WC / receivables improvement</t>
        </is>
      </c>
      <c r="C13" s="608" t="n">
        <v>0.1</v>
      </c>
      <c r="D13" s="609" t="inlineStr">
        <is>
          <t>Speeds up cash collection from clients. Reasonable because automated AI billing systems can aggressively follow up on late invoices, freeing up cash for debt paydown.</t>
        </is>
      </c>
      <c r="E13" s="630" t="inlineStr">
        <is>
          <t>FIND: ZI receivables ~80 days (SEC-derived)</t>
        </is>
      </c>
      <c r="F13" s="631" t="inlineStr">
        <is>
          <t>SOURCE MATH → DRIVER: ~80 DSO ⇒ WC scales with growth. Driver C13=10% improvement: ΔNWC_AI = ΔRev × WC_base% × (1 − 0.10) = ΔRev × 0.02 × 0.90 = ΔRev × 1.8%. Source proves receivables intensity; −10% is the thesis collections gain from automated billing.</t>
        </is>
      </c>
      <c r="G13" s="612" t="inlineStr">
        <is>
          <t>Go to AI_Operating!D20 (ΔNWC)</t>
        </is>
      </c>
      <c r="H13" s="612" t="inlineStr">
        <is>
          <t>www.sec.gov/Archives/edgar/data/1794515/000179451525000045/zi-20241231</t>
        </is>
      </c>
    </row>
    <row r="14" ht="78" customHeight="1" s="244">
      <c r="B14" s="613" t="inlineStr">
        <is>
          <t>SOFR</t>
        </is>
      </c>
      <c r="C14" s="616" t="n">
        <v>0.043</v>
      </c>
      <c r="D14" s="609" t="inlineStr">
        <is>
          <t>The foundational secured lending interest rate. Reasonable and historically accurate for the macroeconomic environment, properly reflecting actual institutional baseline borrowing costs.</t>
        </is>
      </c>
      <c r="E14" s="630" t="inlineStr">
        <is>
          <t>FIND live SOFR on FRED (e.g. ~3.62% on 2026-08-13); NY Fed publishes the rate</t>
        </is>
      </c>
      <c r="F14" s="631" t="inlineStr">
        <is>
          <t>SOURCE MATH → DRIVER: Official SOFR feeds leveraged-loan coupons. Driver C14=4.30% is a planning cushion above recent ~3.6% prints (+~70 bps buffer). TLA/TLB interest use C14 directly: rate = SOFR + spread. Open FRED for the exact daily print.</t>
        </is>
      </c>
      <c r="G14" s="612" t="inlineStr">
        <is>
          <t>Go to Debt_Sweep_AI!C12 (TLA rate uses SOFR)</t>
        </is>
      </c>
      <c r="H14" s="612" t="inlineStr">
        <is>
          <t>www.newyorkfed.org/markets/reference-rates/sofr</t>
        </is>
      </c>
    </row>
    <row r="15" ht="78" customHeight="1" s="244">
      <c r="B15" s="607" t="inlineStr">
        <is>
          <t>Term Loan A spread</t>
        </is>
      </c>
      <c r="C15" s="616" t="n">
        <v>0.04</v>
      </c>
      <c r="D15" s="609" t="inlineStr">
        <is>
          <t>The risk premium for senior debt. Reasonable for a standard LBO, reflecting typical syndicated commercial bank pricing for secured corporate borrowing.</t>
        </is>
      </c>
      <c r="E15" s="630" t="inlineStr">
        <is>
          <t>FIND: TLA illustrative ~SOFR+275–375 bps</t>
        </is>
      </c>
      <c r="F15" s="631" t="inlineStr">
        <is>
          <t>SOURCE MATH → DRIVER: Guide band SOFR+275–375bps. Driver C15=+400bps (0.04) is ~25–125bps above that band (conservative). TLA_rate = C14 + C15 = 4.30% + 4.00% = 8.30% (see C27).</t>
        </is>
      </c>
      <c r="G15" s="612" t="inlineStr">
        <is>
          <t>Go to Assumptions_Drivers!C27 (TLA rate)</t>
        </is>
      </c>
      <c r="H15" s="612" t="inlineStr">
        <is>
          <t>ibinterviewquestions.com/guides/debt-capital-markets/term-loan-b-tlb-m</t>
        </is>
      </c>
    </row>
    <row r="16" ht="78" customHeight="1" s="244">
      <c r="B16" s="613" t="inlineStr">
        <is>
          <t>Term Loan B spread</t>
        </is>
      </c>
      <c r="C16" s="616" t="n">
        <v>0.05</v>
      </c>
      <c r="D16" s="609" t="inlineStr">
        <is>
          <t>The risk premium for riskier debt. Reasonable, as Term Loan B is usually held by institutional investors requiring higher yields for slightly higher risk.</t>
        </is>
      </c>
      <c r="E16" s="630" t="inlineStr">
        <is>
          <t>FIND: TLB typically SOFR+300–500 bps</t>
        </is>
      </c>
      <c r="F16" s="632" t="inlineStr">
        <is>
          <t>SOURCE MATH → DRIVER: Published TLB band SOFR+300–500bps. Driver C16=+500bps = top of that band. TLB_rate = C14 + C16 = 4.30% + 5.00% = 9.30% (see C28).</t>
        </is>
      </c>
      <c r="G16" s="612" t="inlineStr">
        <is>
          <t>Go to Assumptions_Drivers!C28 (TLB rate)</t>
        </is>
      </c>
      <c r="H16" s="612" t="inlineStr">
        <is>
          <t>ryanoconnellfinance.com/lbo-debt-structure/</t>
        </is>
      </c>
    </row>
    <row r="17" ht="78" customHeight="1" s="244">
      <c r="B17" s="607" t="inlineStr">
        <is>
          <t>Mandatory amortization</t>
        </is>
      </c>
      <c r="C17" s="608" t="n">
        <v>0.01</v>
      </c>
      <c r="D17" s="609" t="inlineStr">
        <is>
          <t>Required annual principal repayment. Highly reasonable and standard market practice for leveraged loans, forcing a tiny minimum debt reduction each year.</t>
        </is>
      </c>
      <c r="E17" s="630" t="inlineStr">
        <is>
          <t>FIND: TLB scheduled amort typically ~1%/year</t>
        </is>
      </c>
      <c r="F17" s="632" t="inlineStr">
        <is>
          <t>SOURCE MATH → DRIVER: Source standard = ~1% of original principal / year. Driver C17=1%. Mandatory_t = Initial_new_debt × 0.01 (e.g. 915.5 × 0.01 ≈ $9.2m/yr before optional sweep).</t>
        </is>
      </c>
      <c r="G17" s="612" t="inlineStr">
        <is>
          <t>Go to Debt_Sweep_AI!D5 (Mandatory 1%)</t>
        </is>
      </c>
      <c r="H17" s="612" t="inlineStr">
        <is>
          <t>clearvaluelending.com/glossary/term-loan-b</t>
        </is>
      </c>
    </row>
    <row r="18" ht="78" customHeight="1" s="244">
      <c r="B18" s="613" t="inlineStr">
        <is>
          <t>Cash sweep %</t>
        </is>
      </c>
      <c r="C18" s="608" t="n">
        <v>1</v>
      </c>
      <c r="D18" s="609" t="inlineStr">
        <is>
          <t>Dedicates all excess cash to debt. Reasonable and standard for maximizing LBO returns, ensuring every free dollar generated immediately aggressively reduces outstanding leverage.</t>
        </is>
      </c>
      <c r="E18" s="630" t="inlineStr">
        <is>
          <t>FIND: LBO design uses excess cash / optional prepay to delever</t>
        </is>
      </c>
      <c r="F18" s="632" t="inlineStr">
        <is>
          <t>SOURCE MATH → DRIVER: Source mechanism = optional prepay after mandatory amort. Driver C18=100%: Optional_sweep = 1.0 × max(0, FCF − Mandatory); Debt_end = Debt_beg − Mandatory − Optional. 100% is the switch setting maximizing that standard delever path.</t>
        </is>
      </c>
      <c r="G18" s="612" t="inlineStr">
        <is>
          <t>Go to Debt_Sweep_AI!E5 (Total paydown)</t>
        </is>
      </c>
      <c r="H18" s="612" t="inlineStr">
        <is>
          <t>ibinterviewquestions.com/guides/valuation-investment-banking/lbo-debt-</t>
        </is>
      </c>
    </row>
    <row r="19" ht="78" customHeight="1" s="244">
      <c r="B19" s="607" t="inlineStr">
        <is>
          <t>Tax rate</t>
        </is>
      </c>
      <c r="C19" s="608" t="n">
        <v>0.21</v>
      </c>
      <c r="D19" s="609" t="inlineStr">
        <is>
          <t>Corporate income tax obligation. Perfectly reasonable because it strictly matches the current standard U.S. federal statutory corporate tax rate without aggressive tax-dodging assumptions.</t>
        </is>
      </c>
      <c r="E19" s="630" t="inlineStr">
        <is>
          <t>FIND: US federal corporate tax rate = 21%</t>
        </is>
      </c>
      <c r="F19" s="632" t="inlineStr">
        <is>
          <t>SOURCE MATH → DRIVER: Statutory federal CIT = 21%. Driver C19=21%. Tax_t = max(0, EBT_t) × 0.21; NI_t = EBT_t − Tax_t. Direct 1:1 match to the published statutory rate.</t>
        </is>
      </c>
      <c r="G19" s="612" t="inlineStr">
        <is>
          <t>Go to AI_Operating!D18 (Net income)</t>
        </is>
      </c>
      <c r="H19" s="612" t="inlineStr">
        <is>
          <t>tradingeconomics.com/united-states/corporate-tax-rate</t>
        </is>
      </c>
    </row>
    <row r="20" ht="78" customHeight="1" s="244">
      <c r="B20" s="613" t="inlineStr">
        <is>
          <t>Exit EV/EBITDA multiple</t>
        </is>
      </c>
      <c r="C20" s="617" t="n">
        <v>13</v>
      </c>
      <c r="D20" s="609" t="inlineStr">
        <is>
          <t>The valuation multiple upon selling. Reasonable to keep it conservative; relying on a 13x exit assumes no market inflation, proving returns come from operational growth.</t>
        </is>
      </c>
      <c r="E20" s="630" t="inlineStr">
        <is>
          <t>FIND: PE SaaS buyouts often ~15–22x EBITDA</t>
        </is>
      </c>
      <c r="F20" s="631" t="inlineStr">
        <is>
          <t>SOURCE MATH → DRIVER: Source band ~15–22x. Driver C20=13.0x is deliberately ~2–9 turns below that band. Exit_EV = Y5_EBITDA × 13. Locked equal in AI vs Base so MOIC/IRR uplift comes from ops, not multiple expansion.</t>
        </is>
      </c>
      <c r="G20" s="612" t="inlineStr">
        <is>
          <t>Go to LBO!D17 (Exit multiple)</t>
        </is>
      </c>
      <c r="H20" s="612" t="inlineStr">
        <is>
          <t>aventis-advisors.com/software-valuation-multiples/</t>
        </is>
      </c>
    </row>
    <row r="21" ht="78" customHeight="1" s="244">
      <c r="B21" s="607" t="inlineStr">
        <is>
          <t>S&amp;M baseline ($m)</t>
        </is>
      </c>
      <c r="C21" s="614" t="n">
        <v>425</v>
      </c>
      <c r="D21" s="609" t="inlineStr">
        <is>
          <t>This is historical assumptions without AI. Total initial sales spend is reasonable, representing roughly 35% of FY24 revenue, perfectly aligning with standard SaaS benchmarks.</t>
        </is>
      </c>
      <c r="E21" s="630" t="inlineStr">
        <is>
          <t>FIND: ZI FY24 S&amp;M $414.1m; Revenue $1,214.3m</t>
        </is>
      </c>
      <c r="F21" s="631" t="inlineStr">
        <is>
          <t>SOURCE MATH → DRIVER: Filing S&amp;M/Rev = 414.1 / 1214.3 = 34.1%. Driver C21=$425m ⇒ 425 / 1214.3 = 35.0% (rounded near the filing). KeyBanc &lt;10% growth cohort S&amp;M ~31% also sits in the same ~30–35% neighborhood.</t>
        </is>
      </c>
      <c r="G21" s="612" t="inlineStr">
        <is>
          <t>Go to AI_Operating!C9 (S&amp;M human FY24A)</t>
        </is>
      </c>
      <c r="H21" s="612" t="inlineStr">
        <is>
          <t>www.key.com/content/dam/kco/documents/businesses___institutions/2024_k</t>
        </is>
      </c>
    </row>
    <row r="22" ht="78" customHeight="1" s="244">
      <c r="B22" s="613" t="inlineStr">
        <is>
          <t>Payroll baseline ($m)</t>
        </is>
      </c>
      <c r="C22" s="614" t="n">
        <v>318.8</v>
      </c>
      <c r="D22" s="609" t="inlineStr">
        <is>
          <t>This is historical assumptions without AI. The fixed salary portion is reasonable, representing 75% of S&amp;M, accurately reflecting that human software sales floors are base-salary heavy.</t>
        </is>
      </c>
      <c r="E22" s="630" t="inlineStr">
        <is>
          <t>FIND: SDR OTE ~70% base / ~30% variable</t>
        </is>
      </c>
      <c r="F22" s="632" t="inlineStr">
        <is>
          <t>SOURCE MATH → DRIVER: Source base share ~70% of OTE. Driver C22 = 75% × S&amp;M baseline = 0.75 × 425 = $318.8m payroll pool. Allocation set near the published base-heavy mix (slightly above 70% because total S&amp;M also includes non-OTE costs).</t>
        </is>
      </c>
      <c r="G22" s="612" t="inlineStr">
        <is>
          <t>Go to AI_Operating!C7 (Payroll FY24A)</t>
        </is>
      </c>
      <c r="H22" s="612" t="inlineStr">
        <is>
          <t>pulserevops.com/knowledge/ra0197</t>
        </is>
      </c>
    </row>
    <row r="23" ht="78" customHeight="1" s="244">
      <c r="B23" s="607" t="inlineStr">
        <is>
          <t>Commission baseline ($m)</t>
        </is>
      </c>
      <c r="C23" s="614" t="n">
        <v>106.2</v>
      </c>
      <c r="D23" s="609" t="inlineStr">
        <is>
          <t>This is historical assumptions without AI. The variable payout is reasonable, calculating exactly to the remaining 25% of the budget, representing standard quota-based enterprise sales incentives.</t>
        </is>
      </c>
      <c r="E23" s="630" t="inlineStr">
        <is>
          <t>FIND: tech SDR variable ~30–35% of OTE</t>
        </is>
      </c>
      <c r="F23" s="631" t="inlineStr">
        <is>
          <t>SOURCE MATH → DRIVER: Source variable ~30–35% of OTE. Driver C23 = 25% × 425 = $106.2m (and 318.8 + 106.2 = 425). 25% is a slightly conservative carve of total S&amp;M vs the ~30% OTE variable share.</t>
        </is>
      </c>
      <c r="G23" s="612" t="inlineStr">
        <is>
          <t>Go to AI_Operating!C8 (Commissions FY24A)</t>
        </is>
      </c>
      <c r="H23" s="612" t="inlineStr">
        <is>
          <t>syncgtm.com/blog/how-to-pay-sales-development-rep</t>
        </is>
      </c>
    </row>
    <row r="24" ht="78" customHeight="1" s="244">
      <c r="B24" s="613" t="inlineStr">
        <is>
          <t>CapEx base % of rev</t>
        </is>
      </c>
      <c r="C24" s="608" t="n">
        <v>0.02</v>
      </c>
      <c r="D24" s="609" t="inlineStr">
        <is>
          <t>This is historical assumptions without AI. Normal hardware and capitalized software spending is reasonable for asset-light tech companies investing heavily in code rather than factories.</t>
        </is>
      </c>
      <c r="E24" s="630" t="inlineStr">
        <is>
          <t>FIND: ZI FY24 Unlevered FCF $446.9m on $1,214.3m rev (asset-light)</t>
        </is>
      </c>
      <c r="F24" s="631" t="inlineStr">
        <is>
          <t>SOURCE MATH → DRIVER: uFCF/Rev = 446.9 / 1214.3 ≈ 36.8% ⇒ low capital intensity. Driver C24=2%: CapEx_base = Rev × 0.02 (before AI −5% in C12). 2% is a maintenance CapEx planning plug consistent with asset-light FCF, not a filing CapEx% line.</t>
        </is>
      </c>
      <c r="G24" s="612" t="inlineStr">
        <is>
          <t>Go to AI_Operating!D19 (CapEx)</t>
        </is>
      </c>
      <c r="H24" s="612" t="inlineStr">
        <is>
          <t>www.sec.gov/Archives/edgar/data/1794515/000179451525000045/zi-20241231</t>
        </is>
      </c>
    </row>
    <row r="25" ht="78" customHeight="1" s="244">
      <c r="B25" s="607" t="inlineStr">
        <is>
          <t>WC base % of Δrev</t>
        </is>
      </c>
      <c r="C25" s="608" t="n">
        <v>0.02</v>
      </c>
      <c r="D25" s="609" t="inlineStr">
        <is>
          <t>This is historical assumptions without AI. Normal working capital needs are reasonable, showing that as revenue grows, a small percentage of cash gets tied up in daily operations.</t>
        </is>
      </c>
      <c r="E25" s="630" t="inlineStr">
        <is>
          <t>FIND: ZI receivables ~80 days</t>
        </is>
      </c>
      <c r="F25" s="632" t="inlineStr">
        <is>
          <t>SOURCE MATH → DRIVER: 80/365 ≈ 21.9% of annual sales theoretically tied in AR at a point in time; growth still needs incremental WC. Driver C25=2%: ΔNWC = ΔRev × 0.02 (before AI −10% in C13). Simplified annual plug anchored to that receivables reality.</t>
        </is>
      </c>
      <c r="G25" s="612" t="inlineStr">
        <is>
          <t>Go to AI_Operating!D20 (ΔNWC)</t>
        </is>
      </c>
      <c r="H25" s="612" t="inlineStr">
        <is>
          <t>www.sec.gov/Archives/edgar/data/1794515/000179451525000045/zi-20241231</t>
        </is>
      </c>
    </row>
    <row r="26">
      <c r="B26" s="618" t="inlineStr">
        <is>
          <t>Computed rates (SOFR + spreads) — still sourced on the same row</t>
        </is>
      </c>
    </row>
    <row r="27" ht="78" customHeight="1" s="244">
      <c r="B27" s="613" t="inlineStr">
        <is>
          <t>TLA rate (SOFR+4)</t>
        </is>
      </c>
      <c r="C27" s="619">
        <f>C14+C15</f>
        <v/>
      </c>
      <c r="D27" s="609" t="inlineStr">
        <is>
          <t>Total Term Loan A interest. Mathematically correct and reasonable for the total borrowing cost demanded by senior lenders in this specific rate environment.</t>
        </is>
      </c>
      <c r="E27" s="630" t="inlineStr">
        <is>
          <t>FIND: TLA coupon = SOFR + senior bank spread</t>
        </is>
      </c>
      <c r="F27" s="632" t="inlineStr">
        <is>
          <t>SOURCE MATH → DRIVER: C27 = C14 + C15 = 4.30% + 4.00% = 8.30%. Components sourced on rows 14–15 (official SOFR + TLA spread band). Interest_TLA = TLA_beg × 8.30%.</t>
        </is>
      </c>
      <c r="G27" s="612" t="inlineStr">
        <is>
          <t>Go to Debt_Sweep_AI!C12 (TLA rate)</t>
        </is>
      </c>
      <c r="H27" s="612" t="inlineStr">
        <is>
          <t>fred.stlouisfed.org/series/SOFR</t>
        </is>
      </c>
    </row>
    <row r="28" ht="78" customHeight="1" s="244">
      <c r="B28" s="607" t="inlineStr">
        <is>
          <t>TLB rate (SOFR+5)</t>
        </is>
      </c>
      <c r="C28" s="619">
        <f>C14+C16</f>
        <v/>
      </c>
      <c r="D28" s="609" t="inlineStr">
        <is>
          <t>Total Term Loan B interest. Mathematically correct and perfectly reasonable, pricing the institutional debt risk appropriately above the safer Term Loan A.</t>
        </is>
      </c>
      <c r="E28" s="630" t="inlineStr">
        <is>
          <t>FIND: TLB coupon = SOFR + institutional spread</t>
        </is>
      </c>
      <c r="F28" s="632" t="inlineStr">
        <is>
          <t>SOURCE MATH → DRIVER: C28 = C14 + C16 = 4.30% + 5.00% = 9.30%. Components sourced on rows 14 &amp; 16 (official SOFR + TLB SOFR+300–500bps band). Interest_TLB = TLB_beg × 9.30%.</t>
        </is>
      </c>
      <c r="G28" s="612" t="inlineStr">
        <is>
          <t>Go to Debt_Sweep_AI!D12 (TLB rate)</t>
        </is>
      </c>
      <c r="H28" s="612" t="inlineStr">
        <is>
          <t>fred.stlouisfed.org/series/SOFR</t>
        </is>
      </c>
    </row>
    <row r="29" ht="56" customHeight="1" s="244">
      <c r="B29" s="618" t="inlineStr">
        <is>
          <t>Example pattern (AI $34m):</t>
        </is>
      </c>
      <c r="C29" s="620" t="inlineStr">
        <is>
          <t>SOURCE MATH → DRIVER: SF list $2/conv and ~$0.10/action. Outbound roles ≈ 25% × 1,513 S&amp;M (10-K) = 378. At $5–10k/mo/agent: 378 × $5k × 12 = $22.7m; 378 × $10k × 12 = $45.4m. Driver C9 = avg(23,45) = $34m. $34m is derived — SF does not quote “$34m.”</t>
        </is>
      </c>
      <c r="D29" s="621" t="n"/>
      <c r="E29" s="621" t="n"/>
      <c r="F29" s="622" t="n"/>
    </row>
    <row r="30">
      <c r="B30" s="618" t="inlineStr">
        <is>
          <t>PDF:</t>
        </is>
      </c>
      <c r="C30" s="593" t="inlineStr">
        <is>
          <t>https://raw.githubusercontent.com/vengeanceaiUSC/Rainmaker/cursor/vengeanceaiusclbomodel2-44dc/LBO/output/LBOMODEL2_DRIVER_SOURCES.pdf</t>
        </is>
      </c>
    </row>
    <row r="31">
      <c r="B31" s="623" t="inlineStr">
        <is>
          <t>Educational / research use only — not investment advice. Vendor list prices change; treat triangulation as order-of-magnitude support.</t>
        </is>
      </c>
    </row>
  </sheetData>
  <mergeCells count="2">
    <mergeCell ref="C29:F29"/>
    <mergeCell ref="B3:H3"/>
  </mergeCells>
  <hyperlinks>
    <hyperlink xmlns:r="http://schemas.openxmlformats.org/officeDocument/2006/relationships" ref="E5" r:id="rId1"/>
    <hyperlink xmlns:r="http://schemas.openxmlformats.org/officeDocument/2006/relationships" ref="G5" r:id="rId2"/>
    <hyperlink xmlns:r="http://schemas.openxmlformats.org/officeDocument/2006/relationships" ref="H5" r:id="rId3"/>
    <hyperlink xmlns:r="http://schemas.openxmlformats.org/officeDocument/2006/relationships" ref="E6" r:id="rId4"/>
    <hyperlink xmlns:r="http://schemas.openxmlformats.org/officeDocument/2006/relationships" ref="G6" r:id="rId5"/>
    <hyperlink xmlns:r="http://schemas.openxmlformats.org/officeDocument/2006/relationships" ref="H6" r:id="rId6"/>
    <hyperlink xmlns:r="http://schemas.openxmlformats.org/officeDocument/2006/relationships" ref="E7" r:id="rId7"/>
    <hyperlink xmlns:r="http://schemas.openxmlformats.org/officeDocument/2006/relationships" ref="G7" r:id="rId8"/>
    <hyperlink xmlns:r="http://schemas.openxmlformats.org/officeDocument/2006/relationships" ref="H7" r:id="rId9"/>
    <hyperlink xmlns:r="http://schemas.openxmlformats.org/officeDocument/2006/relationships" ref="E8" r:id="rId10"/>
    <hyperlink xmlns:r="http://schemas.openxmlformats.org/officeDocument/2006/relationships" ref="G8" r:id="rId11"/>
    <hyperlink xmlns:r="http://schemas.openxmlformats.org/officeDocument/2006/relationships" ref="H8" r:id="rId12"/>
    <hyperlink xmlns:r="http://schemas.openxmlformats.org/officeDocument/2006/relationships" ref="E9" r:id="rId13"/>
    <hyperlink xmlns:r="http://schemas.openxmlformats.org/officeDocument/2006/relationships" ref="G9" r:id="rId14"/>
    <hyperlink xmlns:r="http://schemas.openxmlformats.org/officeDocument/2006/relationships" ref="H9" r:id="rId15"/>
    <hyperlink xmlns:r="http://schemas.openxmlformats.org/officeDocument/2006/relationships" ref="E10" r:id="rId16"/>
    <hyperlink xmlns:r="http://schemas.openxmlformats.org/officeDocument/2006/relationships" ref="G10" r:id="rId17"/>
    <hyperlink xmlns:r="http://schemas.openxmlformats.org/officeDocument/2006/relationships" ref="H10" r:id="rId18"/>
    <hyperlink xmlns:r="http://schemas.openxmlformats.org/officeDocument/2006/relationships" ref="E11" r:id="rId19"/>
    <hyperlink xmlns:r="http://schemas.openxmlformats.org/officeDocument/2006/relationships" ref="G11" r:id="rId20"/>
    <hyperlink xmlns:r="http://schemas.openxmlformats.org/officeDocument/2006/relationships" ref="H11" r:id="rId21"/>
    <hyperlink xmlns:r="http://schemas.openxmlformats.org/officeDocument/2006/relationships" ref="E12" r:id="rId22"/>
    <hyperlink xmlns:r="http://schemas.openxmlformats.org/officeDocument/2006/relationships" ref="G12" r:id="rId23"/>
    <hyperlink xmlns:r="http://schemas.openxmlformats.org/officeDocument/2006/relationships" ref="H12" r:id="rId24"/>
    <hyperlink xmlns:r="http://schemas.openxmlformats.org/officeDocument/2006/relationships" ref="E13" r:id="rId25"/>
    <hyperlink xmlns:r="http://schemas.openxmlformats.org/officeDocument/2006/relationships" ref="G13" r:id="rId26"/>
    <hyperlink xmlns:r="http://schemas.openxmlformats.org/officeDocument/2006/relationships" ref="H13" r:id="rId27"/>
    <hyperlink xmlns:r="http://schemas.openxmlformats.org/officeDocument/2006/relationships" ref="E14" r:id="rId28"/>
    <hyperlink xmlns:r="http://schemas.openxmlformats.org/officeDocument/2006/relationships" ref="G14" r:id="rId29"/>
    <hyperlink xmlns:r="http://schemas.openxmlformats.org/officeDocument/2006/relationships" ref="H14" r:id="rId30"/>
    <hyperlink xmlns:r="http://schemas.openxmlformats.org/officeDocument/2006/relationships" ref="E15" r:id="rId31"/>
    <hyperlink xmlns:r="http://schemas.openxmlformats.org/officeDocument/2006/relationships" ref="G15" r:id="rId32"/>
    <hyperlink xmlns:r="http://schemas.openxmlformats.org/officeDocument/2006/relationships" ref="H15" r:id="rId33"/>
    <hyperlink xmlns:r="http://schemas.openxmlformats.org/officeDocument/2006/relationships" ref="E16" r:id="rId34"/>
    <hyperlink xmlns:r="http://schemas.openxmlformats.org/officeDocument/2006/relationships" ref="G16" r:id="rId35"/>
    <hyperlink xmlns:r="http://schemas.openxmlformats.org/officeDocument/2006/relationships" ref="H16" r:id="rId36"/>
    <hyperlink xmlns:r="http://schemas.openxmlformats.org/officeDocument/2006/relationships" ref="E17" r:id="rId37"/>
    <hyperlink xmlns:r="http://schemas.openxmlformats.org/officeDocument/2006/relationships" ref="G17" r:id="rId38"/>
    <hyperlink xmlns:r="http://schemas.openxmlformats.org/officeDocument/2006/relationships" ref="H17" r:id="rId39"/>
    <hyperlink xmlns:r="http://schemas.openxmlformats.org/officeDocument/2006/relationships" ref="E18" r:id="rId40"/>
    <hyperlink xmlns:r="http://schemas.openxmlformats.org/officeDocument/2006/relationships" ref="G18" r:id="rId41"/>
    <hyperlink xmlns:r="http://schemas.openxmlformats.org/officeDocument/2006/relationships" ref="H18" r:id="rId42"/>
    <hyperlink xmlns:r="http://schemas.openxmlformats.org/officeDocument/2006/relationships" ref="E19" r:id="rId43"/>
    <hyperlink xmlns:r="http://schemas.openxmlformats.org/officeDocument/2006/relationships" ref="G19" r:id="rId44"/>
    <hyperlink xmlns:r="http://schemas.openxmlformats.org/officeDocument/2006/relationships" ref="H19" r:id="rId45"/>
    <hyperlink xmlns:r="http://schemas.openxmlformats.org/officeDocument/2006/relationships" ref="E20" r:id="rId46"/>
    <hyperlink xmlns:r="http://schemas.openxmlformats.org/officeDocument/2006/relationships" ref="G20" r:id="rId47"/>
    <hyperlink xmlns:r="http://schemas.openxmlformats.org/officeDocument/2006/relationships" ref="H20" r:id="rId48"/>
    <hyperlink xmlns:r="http://schemas.openxmlformats.org/officeDocument/2006/relationships" ref="E21" r:id="rId49"/>
    <hyperlink xmlns:r="http://schemas.openxmlformats.org/officeDocument/2006/relationships" ref="G21" r:id="rId50"/>
    <hyperlink xmlns:r="http://schemas.openxmlformats.org/officeDocument/2006/relationships" ref="H21" r:id="rId51"/>
    <hyperlink xmlns:r="http://schemas.openxmlformats.org/officeDocument/2006/relationships" ref="E22" r:id="rId52"/>
    <hyperlink xmlns:r="http://schemas.openxmlformats.org/officeDocument/2006/relationships" ref="G22" r:id="rId53"/>
    <hyperlink xmlns:r="http://schemas.openxmlformats.org/officeDocument/2006/relationships" ref="H22" r:id="rId54"/>
    <hyperlink xmlns:r="http://schemas.openxmlformats.org/officeDocument/2006/relationships" ref="E23" r:id="rId55"/>
    <hyperlink xmlns:r="http://schemas.openxmlformats.org/officeDocument/2006/relationships" ref="G23" r:id="rId56"/>
    <hyperlink xmlns:r="http://schemas.openxmlformats.org/officeDocument/2006/relationships" ref="H23" r:id="rId57"/>
    <hyperlink xmlns:r="http://schemas.openxmlformats.org/officeDocument/2006/relationships" ref="E24" r:id="rId58"/>
    <hyperlink xmlns:r="http://schemas.openxmlformats.org/officeDocument/2006/relationships" ref="G24" r:id="rId59"/>
    <hyperlink xmlns:r="http://schemas.openxmlformats.org/officeDocument/2006/relationships" ref="H24" r:id="rId60"/>
    <hyperlink xmlns:r="http://schemas.openxmlformats.org/officeDocument/2006/relationships" ref="E25" r:id="rId61"/>
    <hyperlink xmlns:r="http://schemas.openxmlformats.org/officeDocument/2006/relationships" ref="G25" r:id="rId62"/>
    <hyperlink xmlns:r="http://schemas.openxmlformats.org/officeDocument/2006/relationships" ref="H25" r:id="rId63"/>
    <hyperlink xmlns:r="http://schemas.openxmlformats.org/officeDocument/2006/relationships" ref="E27" r:id="rId64"/>
    <hyperlink xmlns:r="http://schemas.openxmlformats.org/officeDocument/2006/relationships" ref="G27" r:id="rId65"/>
    <hyperlink xmlns:r="http://schemas.openxmlformats.org/officeDocument/2006/relationships" ref="H27" r:id="rId66"/>
    <hyperlink xmlns:r="http://schemas.openxmlformats.org/officeDocument/2006/relationships" ref="E28" r:id="rId67"/>
    <hyperlink xmlns:r="http://schemas.openxmlformats.org/officeDocument/2006/relationships" ref="G28" r:id="rId68"/>
    <hyperlink xmlns:r="http://schemas.openxmlformats.org/officeDocument/2006/relationships" ref="H28" r:id="rId69"/>
    <hyperlink xmlns:r="http://schemas.openxmlformats.org/officeDocument/2006/relationships" ref="C30" r:id="rId7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(35% of rev)</t>
        </is>
      </c>
      <c r="C16" s="567" t="n">
        <v>425</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inlineStr">
        <is>
          <t>13.0x</t>
        </is>
      </c>
      <c r="D22" s="591" t="inlineStr">
        <is>
          <t>Mid of 12–14x software band</t>
        </is>
      </c>
    </row>
    <row r="24">
      <c r="B24" s="564" t="inlineStr">
        <is>
          <t>AI STRATEGY RULES (as specified)</t>
        </is>
      </c>
    </row>
    <row r="25">
      <c r="B25" t="inlineStr">
        <is>
          <t>Y1: cut S&amp;M 15% vs baseline $425m; add $34m AI software/compute cost</t>
        </is>
      </c>
    </row>
    <row r="26">
      <c r="B26" t="inlineStr">
        <is>
          <t>Y2–Y5: S&amp;M grows only 2%/yr (AI scales without headcount)</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0.1085118998600017</v>
      </c>
      <c r="D31" s="624" t="n">
        <v>0.1882716226673465</v>
      </c>
      <c r="E31" s="624" t="n">
        <v>0.07975972280734472</v>
      </c>
      <c r="F31" s="625" t="inlineStr">
        <is>
          <t>Year 2 operating profitability; the AI strategy drove this from 10.9% to 18.8%, expanding the margin by 8.0%.</t>
        </is>
      </c>
    </row>
    <row r="32" ht="42" customHeight="1" s="244">
      <c r="B32" s="575" t="inlineStr">
        <is>
          <t>Y2 margin vs baseline (bps)</t>
        </is>
      </c>
      <c r="C32" s="626" t="n">
        <v>-422.7456147574727</v>
      </c>
      <c r="D32" s="626" t="n">
        <v>374.8516133159746</v>
      </c>
      <c r="E32" s="626" t="n">
        <v>797.5972280734472</v>
      </c>
      <c r="F32" s="625" t="inlineStr">
        <is>
          <t>The difference from baseline margin; AI implementation increased this metric by 797.6 basis points to reach 374.9.</t>
        </is>
      </c>
    </row>
    <row r="33" ht="42" customHeight="1" s="244">
      <c r="B33" s="575" t="inlineStr">
        <is>
          <t>Y5 EBITDA ($m)</t>
        </is>
      </c>
      <c r="C33" s="626" t="n">
        <v>212.2104606600003</v>
      </c>
      <c r="D33" s="626" t="n">
        <v>477.3963076296004</v>
      </c>
      <c r="E33" s="626" t="n">
        <v>265.1858469696001</v>
      </c>
      <c r="F33" s="625" t="inlineStr">
        <is>
          <t>Year 5 EBITDA; AI-driven cost savings (with $34m AI infra) boosted this to $477.4m vs Base $212.2m.</t>
        </is>
      </c>
    </row>
    <row r="34" ht="42" customHeight="1" s="244">
      <c r="B34" s="575" t="inlineStr">
        <is>
          <t>Exit EV @ 13x ($m)</t>
        </is>
      </c>
      <c r="C34" s="626" t="n">
        <v>2758.735988580003</v>
      </c>
      <c r="D34" s="626" t="n">
        <v>6206.151999184804</v>
      </c>
      <c r="E34" s="626" t="n">
        <v>3447.416010604801</v>
      </c>
      <c r="F34" s="625" t="inlineStr">
        <is>
          <t>Projected exit EV; higher EBITDA from AI increased this valuation by $3,447.4m to $6,206.2m.</t>
        </is>
      </c>
    </row>
    <row r="35" ht="42" customHeight="1" s="244">
      <c r="B35" s="575" t="inlineStr">
        <is>
          <t>Exit net debt ($m)</t>
        </is>
      </c>
      <c r="C35" s="626" t="n">
        <v>557.1124750633038</v>
      </c>
      <c r="D35" s="626" t="n">
        <v>0</v>
      </c>
      <c r="E35" s="626" t="n">
        <v>-557.1124750633038</v>
      </c>
      <c r="F35" s="625" t="inlineStr">
        <is>
          <t>Remaining debt at exit; AI case $0.0m vs Base $557.1m.</t>
        </is>
      </c>
    </row>
    <row r="36" ht="42" customHeight="1" s="244">
      <c r="B36" s="575" t="inlineStr">
        <is>
          <t>Exit equity value ($m)</t>
        </is>
      </c>
      <c r="C36" s="626" t="n">
        <v>2201.623513516699</v>
      </c>
      <c r="D36" s="626" t="n">
        <v>6206.151999184804</v>
      </c>
      <c r="E36" s="626" t="n">
        <v>4004.528485668105</v>
      </c>
      <c r="F36" s="625" t="inlineStr">
        <is>
          <t>Total equity payout; AI strategy increased final payout by $4,004.5m to $6,206.2m.</t>
        </is>
      </c>
    </row>
    <row r="37" ht="42" customHeight="1" s="244">
      <c r="B37" s="575" t="inlineStr">
        <is>
          <t>MOIC</t>
        </is>
      </c>
      <c r="C37" s="627" t="n">
        <v>1.17652754423803</v>
      </c>
      <c r="D37" s="627" t="n">
        <v>3.316511077366568</v>
      </c>
      <c r="E37" s="627" t="n">
        <v>2.139983533128538</v>
      </c>
      <c r="F37" s="625" t="inlineStr">
        <is>
          <t>Multiple on Invested Capital; AI improved gross cash return from 1.18x to 3.32x.</t>
        </is>
      </c>
    </row>
    <row r="38" ht="42" customHeight="1" s="244">
      <c r="B38" s="575" t="inlineStr">
        <is>
          <t>IRR</t>
        </is>
      </c>
      <c r="C38" s="624" t="n">
        <v>0.03304780632992022</v>
      </c>
      <c r="D38" s="624" t="n">
        <v>0.2709728997774654</v>
      </c>
      <c r="E38" s="624" t="n">
        <v>0.2379250934475452</v>
      </c>
      <c r="F38" s="625" t="inlineStr">
        <is>
          <t>5-year IRR; AI boosted return by 23.8 percentage points to 27.1% (AI infra now $34m midpoint).</t>
        </is>
      </c>
    </row>
    <row r="39">
      <c r="B39" t="inlineStr">
        <is>
          <t>The IRR is calculated over a 5-year period.</t>
        </is>
      </c>
    </row>
    <row r="40">
      <c r="B40" s="564" t="inlineStr">
        <is>
          <t>IRR POINTS FROM AI-DRIVEN S&amp;M REDUCTION</t>
        </is>
      </c>
    </row>
    <row r="41">
      <c r="B41" s="569" t="inlineStr">
        <is>
          <t>AI case IRR 27.1% − Base IRR 3.3% = 23.8 percentage points of IRR</t>
        </is>
      </c>
    </row>
    <row r="42">
      <c r="B42" s="569" t="inlineStr">
        <is>
          <t>Y2 AI EBITDA margin 18.8% vs baseline 15.1% = 375 bps (target ≥500: NO)</t>
        </is>
      </c>
    </row>
    <row r="44">
      <c r="B44" t="inlineStr">
        <is>
          <t>See AI_Operating, Base_Operating, Debt_Sweep_AI, LBO, Assumptions_Drivers, 00_Assumptions_List</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M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$34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7">
      <c r="B27" s="564" t="inlineStr">
        <is>
          <t>AI Infrastructure $34m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row r="41">
      <c r="B41" s="564" t="inlineStr">
        <is>
          <t>SOURCE MAP: open Assumptions_Drivers — columns E (link), F (~30-word justification), G (secondary link) on each driver row.</t>
        </is>
      </c>
    </row>
    <row r="42">
      <c r="B42" s="593" t="inlineStr">
        <is>
          <t>Jump to AI infra source row (E9)</t>
        </is>
      </c>
    </row>
    <row r="43">
      <c r="B43"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106.533319</v>
      </c>
      <c r="D5" s="626" t="n">
        <v>9.154999999999999</v>
      </c>
      <c r="E5" s="626" t="n">
        <v>106.533319</v>
      </c>
      <c r="F5" s="626" t="n">
        <v>808.966681</v>
      </c>
      <c r="G5" s="626" t="n">
        <v>877.5180999999999</v>
      </c>
      <c r="H5" s="626" t="n">
        <v>68.5514189999999</v>
      </c>
    </row>
    <row r="6">
      <c r="B6" s="628" t="n">
        <v>2026</v>
      </c>
      <c r="C6" s="626" t="n">
        <v>155.5010311268301</v>
      </c>
      <c r="D6" s="626" t="n">
        <v>9.154999999999999</v>
      </c>
      <c r="E6" s="626" t="n">
        <v>155.5010311268301</v>
      </c>
      <c r="F6" s="626" t="n">
        <v>653.4656498731698</v>
      </c>
      <c r="G6" s="626" t="n">
        <v>824.8037622999997</v>
      </c>
      <c r="H6" s="626" t="n">
        <v>171.3381124268299</v>
      </c>
    </row>
    <row r="7">
      <c r="B7" s="628" t="n">
        <v>2027</v>
      </c>
      <c r="C7" s="626" t="n">
        <v>212.3276965378165</v>
      </c>
      <c r="D7" s="626" t="n">
        <v>9.154999999999999</v>
      </c>
      <c r="E7" s="626" t="n">
        <v>212.3276965378165</v>
      </c>
      <c r="F7" s="626" t="n">
        <v>441.1379533353534</v>
      </c>
      <c r="G7" s="626" t="n">
        <v>754.9762005708997</v>
      </c>
      <c r="H7" s="626" t="n">
        <v>313.8382472355463</v>
      </c>
    </row>
    <row r="8">
      <c r="B8" s="628" t="n">
        <v>2028</v>
      </c>
      <c r="C8" s="626" t="n">
        <v>278.1336741716516</v>
      </c>
      <c r="D8" s="626" t="n">
        <v>9.154999999999999</v>
      </c>
      <c r="E8" s="626" t="n">
        <v>278.1336741716516</v>
      </c>
      <c r="F8" s="626" t="n">
        <v>163.0042791637017</v>
      </c>
      <c r="G8" s="626" t="n">
        <v>665.9609770683334</v>
      </c>
      <c r="H8" s="626" t="n">
        <v>502.9566979046317</v>
      </c>
    </row>
    <row r="9">
      <c r="B9" s="628" t="n">
        <v>2029</v>
      </c>
      <c r="C9" s="626" t="n">
        <v>355.725762314317</v>
      </c>
      <c r="D9" s="626" t="n">
        <v>9.154999999999999</v>
      </c>
      <c r="E9" s="626" t="n">
        <v>163.0042791637017</v>
      </c>
      <c r="F9" s="626" t="n">
        <v>0</v>
      </c>
      <c r="G9" s="626" t="n">
        <v>557.1124750633038</v>
      </c>
      <c r="H9" s="626"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350.68</v>
      </c>
      <c r="E7" s="626" t="n">
        <v>385.748</v>
      </c>
      <c r="F7" s="626" t="n">
        <v>424.3228000000001</v>
      </c>
      <c r="G7" s="626" t="n">
        <v>466.7550800000001</v>
      </c>
      <c r="H7" s="626" t="n">
        <v>513.4305880000002</v>
      </c>
    </row>
    <row r="8">
      <c r="B8" s="575" t="inlineStr">
        <is>
          <t>Variable commissions</t>
        </is>
      </c>
      <c r="C8" s="582" t="n">
        <v>106.2</v>
      </c>
      <c r="D8" s="626" t="n">
        <v>116.82</v>
      </c>
      <c r="E8" s="626" t="n">
        <v>128.502</v>
      </c>
      <c r="F8" s="626" t="n">
        <v>141.3522</v>
      </c>
      <c r="G8" s="626" t="n">
        <v>155.48742</v>
      </c>
      <c r="H8" s="626" t="n">
        <v>171.0361620000001</v>
      </c>
    </row>
    <row r="9">
      <c r="B9" s="575" t="inlineStr">
        <is>
          <t>S&amp;M human total</t>
        </is>
      </c>
      <c r="C9" s="582" t="n">
        <v>425</v>
      </c>
      <c r="D9" s="626" t="n">
        <v>467.5</v>
      </c>
      <c r="E9" s="626" t="n">
        <v>514.25</v>
      </c>
      <c r="F9" s="626" t="n">
        <v>565.6750000000002</v>
      </c>
      <c r="G9" s="626" t="n">
        <v>622.2425000000002</v>
      </c>
      <c r="H9" s="626" t="n">
        <v>684.4667500000003</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144.9426000000001</v>
      </c>
      <c r="E13" s="626" t="n">
        <v>159.4368600000001</v>
      </c>
      <c r="F13" s="626" t="n">
        <v>175.380546</v>
      </c>
      <c r="G13" s="626" t="n">
        <v>192.9186006000002</v>
      </c>
      <c r="H13" s="626" t="n">
        <v>212.2104606600003</v>
      </c>
    </row>
    <row r="14">
      <c r="B14" s="575" t="inlineStr">
        <is>
          <t>EBITDA margin</t>
        </is>
      </c>
      <c r="C14" s="583" t="n">
        <v>0.150786461335749</v>
      </c>
      <c r="D14" s="624" t="n">
        <v>0.1085118998600017</v>
      </c>
      <c r="E14" s="624" t="n">
        <v>0.1085118998600017</v>
      </c>
      <c r="F14" s="624" t="n">
        <v>0.1085118998600016</v>
      </c>
      <c r="G14" s="624" t="n">
        <v>0.1085118998600017</v>
      </c>
      <c r="H14" s="624" t="n">
        <v>0.1085118998600017</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50.67260000000009</v>
      </c>
      <c r="E16" s="626" t="n">
        <v>55.73986000000014</v>
      </c>
      <c r="F16" s="626" t="n">
        <v>61.31384600000001</v>
      </c>
      <c r="G16" s="626" t="n">
        <v>67.44523060000019</v>
      </c>
      <c r="H16" s="626" t="n">
        <v>74.18975366000021</v>
      </c>
    </row>
    <row r="17">
      <c r="B17" s="575" t="inlineStr">
        <is>
          <t>Interest</t>
        </is>
      </c>
      <c r="D17" s="626" t="n">
        <v>77.8175</v>
      </c>
      <c r="E17" s="626" t="n">
        <v>74.66500229999998</v>
      </c>
      <c r="F17" s="626" t="n">
        <v>70.28971227089997</v>
      </c>
      <c r="G17" s="626" t="n">
        <v>64.49402464738468</v>
      </c>
      <c r="H17" s="626" t="n">
        <v>57.10576109667166</v>
      </c>
    </row>
    <row r="18">
      <c r="B18" s="575" t="inlineStr">
        <is>
          <t>Net income</t>
        </is>
      </c>
      <c r="D18" s="626" t="n">
        <v>-27.14489999999991</v>
      </c>
      <c r="E18" s="626" t="n">
        <v>-18.92514229999985</v>
      </c>
      <c r="F18" s="626" t="n">
        <v>-8.975866270899957</v>
      </c>
      <c r="G18" s="626" t="n">
        <v>2.331452702566253</v>
      </c>
      <c r="H18" s="626" t="n">
        <v>13.49635412502955</v>
      </c>
    </row>
    <row r="19">
      <c r="B19" s="575" t="inlineStr">
        <is>
          <t>CapEx</t>
        </is>
      </c>
      <c r="D19" s="626" t="n">
        <v>26.7146</v>
      </c>
      <c r="E19" s="626" t="n">
        <v>29.38606</v>
      </c>
      <c r="F19" s="626" t="n">
        <v>32.32466600000001</v>
      </c>
      <c r="G19" s="626" t="n">
        <v>35.55713260000001</v>
      </c>
      <c r="H19" s="626" t="n">
        <v>39.11284586000001</v>
      </c>
    </row>
    <row r="20">
      <c r="B20" s="575" t="inlineStr">
        <is>
          <t>ΔNWC</t>
        </is>
      </c>
      <c r="D20" s="626" t="n">
        <v>2.428600000000001</v>
      </c>
      <c r="E20" s="626" t="n">
        <v>2.671460000000002</v>
      </c>
      <c r="F20" s="626" t="n">
        <v>2.938606000000004</v>
      </c>
      <c r="G20" s="626" t="n">
        <v>3.232466600000003</v>
      </c>
      <c r="H20" s="626" t="n">
        <v>3.555713260000002</v>
      </c>
    </row>
    <row r="21">
      <c r="B21" s="575" t="inlineStr">
        <is>
          <t>FCF after interest</t>
        </is>
      </c>
      <c r="D21" s="626" t="n">
        <v>37.98190000000008</v>
      </c>
      <c r="E21" s="626" t="n">
        <v>52.71433770000015</v>
      </c>
      <c r="F21" s="626" t="n">
        <v>69.82756172910005</v>
      </c>
      <c r="G21" s="626" t="n">
        <v>89.01522350256627</v>
      </c>
      <c r="H21" s="626" t="n">
        <v>108.8485020050296</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37.98190000000008</v>
      </c>
      <c r="E23" s="626" t="n">
        <v>52.71433770000015</v>
      </c>
      <c r="F23" s="626" t="n">
        <v>69.82756172910005</v>
      </c>
      <c r="G23" s="626" t="n">
        <v>89.01522350256627</v>
      </c>
      <c r="H23" s="626" t="n">
        <v>108.8485020050296</v>
      </c>
    </row>
    <row r="24">
      <c r="B24" s="575" t="inlineStr">
        <is>
          <t>Debt end</t>
        </is>
      </c>
      <c r="C24" s="582" t="n">
        <v>1329.9</v>
      </c>
      <c r="D24" s="626" t="n">
        <v>877.5180999999999</v>
      </c>
      <c r="E24" s="626" t="n">
        <v>824.8037622999997</v>
      </c>
      <c r="F24" s="626" t="n">
        <v>754.9762005708997</v>
      </c>
      <c r="G24" s="626" t="n">
        <v>665.9609770683334</v>
      </c>
      <c r="H24" s="626"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270.98</v>
      </c>
      <c r="E7" s="626" t="n">
        <v>276.3996</v>
      </c>
      <c r="F7" s="626" t="n">
        <v>281.927592</v>
      </c>
      <c r="G7" s="626" t="n">
        <v>287.56614384</v>
      </c>
      <c r="H7" s="626" t="n">
        <v>293.3174667168</v>
      </c>
    </row>
    <row r="8">
      <c r="B8" s="575" t="inlineStr">
        <is>
          <t>Variable commissions</t>
        </is>
      </c>
      <c r="C8" s="582" t="n">
        <v>106.2</v>
      </c>
      <c r="D8" s="626" t="n">
        <v>84.96000000000001</v>
      </c>
      <c r="E8" s="626" t="n">
        <v>86.65920000000001</v>
      </c>
      <c r="F8" s="626" t="n">
        <v>88.39238400000002</v>
      </c>
      <c r="G8" s="626" t="n">
        <v>90.16023168000002</v>
      </c>
      <c r="H8" s="626" t="n">
        <v>91.96343631360003</v>
      </c>
    </row>
    <row r="9">
      <c r="B9" s="575" t="inlineStr">
        <is>
          <t>S&amp;M human total</t>
        </is>
      </c>
      <c r="C9" s="582" t="n">
        <v>425</v>
      </c>
      <c r="D9" s="626" t="n">
        <v>355.9400000000001</v>
      </c>
      <c r="E9" s="626" t="n">
        <v>363.0588</v>
      </c>
      <c r="F9" s="626" t="n">
        <v>370.319976</v>
      </c>
      <c r="G9" s="626" t="n">
        <v>377.72637552</v>
      </c>
      <c r="H9" s="626" t="n">
        <v>385.2809030304001</v>
      </c>
    </row>
    <row r="10">
      <c r="B10" s="575" t="inlineStr">
        <is>
          <t>AI infrastructure</t>
        </is>
      </c>
      <c r="C10" s="582" t="n">
        <v>0</v>
      </c>
      <c r="D10" s="626" t="n">
        <v>34</v>
      </c>
      <c r="E10" s="626" t="n">
        <v>34</v>
      </c>
      <c r="F10" s="626" t="n">
        <v>34</v>
      </c>
      <c r="G10" s="626" t="n">
        <v>34</v>
      </c>
      <c r="H10" s="626" t="n">
        <v>34</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222.5026</v>
      </c>
      <c r="E13" s="626" t="n">
        <v>276.6280600000002</v>
      </c>
      <c r="F13" s="626" t="n">
        <v>336.7355700000003</v>
      </c>
      <c r="G13" s="626" t="n">
        <v>403.4347250800001</v>
      </c>
      <c r="H13" s="626" t="n">
        <v>477.3963076296004</v>
      </c>
    </row>
    <row r="14">
      <c r="B14" s="575" t="inlineStr">
        <is>
          <t>EBITDA margin</t>
        </is>
      </c>
      <c r="C14" s="583" t="n">
        <v>0.150786461335749</v>
      </c>
      <c r="D14" s="624" t="n">
        <v>0.1665775268954055</v>
      </c>
      <c r="E14" s="624" t="n">
        <v>0.1882716226673465</v>
      </c>
      <c r="F14" s="624" t="n">
        <v>0.2083458928856374</v>
      </c>
      <c r="G14" s="624" t="n">
        <v>0.2269219678754411</v>
      </c>
      <c r="H14" s="624" t="n">
        <v>0.2441122844082408</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128.2326</v>
      </c>
      <c r="E16" s="626" t="n">
        <v>172.9310600000002</v>
      </c>
      <c r="F16" s="626" t="n">
        <v>222.6688700000003</v>
      </c>
      <c r="G16" s="626" t="n">
        <v>277.9613550800001</v>
      </c>
      <c r="H16" s="626" t="n">
        <v>339.3756006296003</v>
      </c>
    </row>
    <row r="17">
      <c r="B17" s="575" t="inlineStr">
        <is>
          <t>Interest</t>
        </is>
      </c>
      <c r="D17" s="626" t="n">
        <v>77.8175</v>
      </c>
      <c r="E17" s="626" t="n">
        <v>68.975234523</v>
      </c>
      <c r="F17" s="626" t="n">
        <v>56.06864893947309</v>
      </c>
      <c r="G17" s="626" t="n">
        <v>38.27932966018786</v>
      </c>
      <c r="H17" s="626" t="n">
        <v>12.71433377476873</v>
      </c>
    </row>
    <row r="18">
      <c r="B18" s="575" t="inlineStr">
        <is>
          <t>Net income</t>
        </is>
      </c>
      <c r="D18" s="626" t="n">
        <v>39.82792900000004</v>
      </c>
      <c r="E18" s="626" t="n">
        <v>82.12510212683014</v>
      </c>
      <c r="F18" s="626" t="n">
        <v>131.6141746378165</v>
      </c>
      <c r="G18" s="626" t="n">
        <v>189.3488000816517</v>
      </c>
      <c r="H18" s="626" t="n">
        <v>258.0624008153169</v>
      </c>
    </row>
    <row r="19">
      <c r="B19" s="575" t="inlineStr">
        <is>
          <t>CapEx</t>
        </is>
      </c>
      <c r="D19" s="626" t="n">
        <v>25.37887</v>
      </c>
      <c r="E19" s="626" t="n">
        <v>27.916757</v>
      </c>
      <c r="F19" s="626" t="n">
        <v>30.70843270000001</v>
      </c>
      <c r="G19" s="626" t="n">
        <v>33.77927597000001</v>
      </c>
      <c r="H19" s="626" t="n">
        <v>37.15720356700001</v>
      </c>
    </row>
    <row r="20">
      <c r="B20" s="575" t="inlineStr">
        <is>
          <t>ΔNWC</t>
        </is>
      </c>
      <c r="D20" s="626" t="n">
        <v>2.185740000000001</v>
      </c>
      <c r="E20" s="626" t="n">
        <v>2.404314000000002</v>
      </c>
      <c r="F20" s="626" t="n">
        <v>2.644745400000004</v>
      </c>
      <c r="G20" s="626" t="n">
        <v>2.909219940000003</v>
      </c>
      <c r="H20" s="626" t="n">
        <v>3.200141934000002</v>
      </c>
    </row>
    <row r="21">
      <c r="B21" s="575" t="inlineStr">
        <is>
          <t>FCF after interest</t>
        </is>
      </c>
      <c r="D21" s="626" t="n">
        <v>106.533319</v>
      </c>
      <c r="E21" s="626" t="n">
        <v>155.5010311268301</v>
      </c>
      <c r="F21" s="626" t="n">
        <v>212.3276965378165</v>
      </c>
      <c r="G21" s="626" t="n">
        <v>278.1336741716516</v>
      </c>
      <c r="H21" s="626" t="n">
        <v>355.725762314317</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106.533319</v>
      </c>
      <c r="E23" s="626" t="n">
        <v>155.5010311268301</v>
      </c>
      <c r="F23" s="626" t="n">
        <v>212.3276965378165</v>
      </c>
      <c r="G23" s="626" t="n">
        <v>278.1336741716516</v>
      </c>
      <c r="H23" s="626" t="n">
        <v>163.0042791637017</v>
      </c>
    </row>
    <row r="24">
      <c r="B24" s="575" t="inlineStr">
        <is>
          <t>Debt end</t>
        </is>
      </c>
      <c r="C24" s="582" t="n">
        <v>1329.9</v>
      </c>
      <c r="D24" s="626" t="n">
        <v>808.966681</v>
      </c>
      <c r="E24" s="626" t="n">
        <v>653.4656498731698</v>
      </c>
      <c r="F24" s="626" t="n">
        <v>441.1379533353534</v>
      </c>
      <c r="G24" s="626" t="n">
        <v>163.0042791637017</v>
      </c>
      <c r="H24" s="6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2026-08-15T15:45:03Z</dcterms:modified>
  <cp:lastModifiedBy>scottmccarthy</cp:lastModifiedBy>
  <cp:lastPrinted>2014-05-30T16:55:05Z</cp:lastPrinted>
</cp:coreProperties>
</file>