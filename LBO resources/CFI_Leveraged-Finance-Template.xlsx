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G:\My Drive\!CFI Drive\Website - wordpress\Downloads\Excel\"/>
    </mc:Choice>
  </mc:AlternateContent>
  <xr:revisionPtr revIDLastSave="0" documentId="13_ncr:1_{B46B313A-8D29-439E-8F43-0F893C26714E}" xr6:coauthVersionLast="40" xr6:coauthVersionMax="40" xr10:uidLastSave="{00000000-0000-0000-0000-000000000000}"/>
  <bookViews>
    <workbookView xWindow="0" yWindow="0" windowWidth="28800" windowHeight="12216" xr2:uid="{00000000-000D-0000-FFFF-FFFF00000000}"/>
  </bookViews>
  <sheets>
    <sheet name="Cover Page" sheetId="2" r:id="rId1"/>
    <sheet name="Leveraged Finance" sheetId="1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C17" i="1"/>
  <c r="C9" i="1"/>
  <c r="C10" i="1" s="1"/>
  <c r="C7" i="1"/>
  <c r="C14" i="1" s="1"/>
  <c r="C15" i="1" s="1"/>
  <c r="C22" i="1" s="1"/>
  <c r="C23" i="1" l="1"/>
  <c r="E25" i="1"/>
  <c r="D25" i="1"/>
  <c r="F25" i="1"/>
  <c r="H25" i="1"/>
  <c r="G25" i="1"/>
  <c r="F17" i="1"/>
  <c r="G17" i="1"/>
  <c r="D17" i="1"/>
  <c r="E17" i="1"/>
  <c r="H17" i="1"/>
  <c r="C26" i="1" l="1"/>
  <c r="C18" i="1"/>
</calcChain>
</file>

<file path=xl/sharedStrings.xml><?xml version="1.0" encoding="utf-8"?>
<sst xmlns="http://schemas.openxmlformats.org/spreadsheetml/2006/main" count="33" uniqueCount="22">
  <si>
    <t>Equity</t>
  </si>
  <si>
    <t>Debt</t>
  </si>
  <si>
    <t>Total Capital</t>
  </si>
  <si>
    <t>IRR</t>
  </si>
  <si>
    <t>#1 No Leverage</t>
  </si>
  <si>
    <t>#2 Moderate Leverage</t>
  </si>
  <si>
    <t>#3 High Leverage</t>
  </si>
  <si>
    <t>Cash Flow (after total debt expense)</t>
  </si>
  <si>
    <t>© Corporate Finance Institute®. All rights reserved.</t>
  </si>
  <si>
    <t>Leveraged Finance Example</t>
  </si>
  <si>
    <t>This file is for educational purposes only. E&amp;OE</t>
  </si>
  <si>
    <t xml:space="preserve">Corporate Finance Institute® </t>
  </si>
  <si>
    <t>https://corporatefinanceinstitute.com/</t>
  </si>
  <si>
    <t>Strictly Confidential</t>
  </si>
  <si>
    <t>Notes</t>
  </si>
  <si>
    <t>This Excel model is for educational purposes only and should not be used for any other reason.</t>
  </si>
  <si>
    <t>All content is Copyright material of CFI Education Inc.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</si>
  <si>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</si>
  <si>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</si>
  <si>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</si>
  <si>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</si>
  <si>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Leverage Finance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</si>
</sst>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* #,##0_-;\(#,##0\)_-;_-* &quot;-&quot;_-;_-@_-"/>
    <numFmt numFmtId="167" formatCode="_ * #,##0_ ;_ * \-#,##0_ ;_ * &quot;-&quot;??_ ;_ @_ "/>
  </numFmts>
  <fonts count="1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i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6" fillId="0" borderId="0" applyNumberFormat="0" applyFill="0" applyBorder="0" applyAlignment="0" applyProtection="0"/>
  </cellStyleXfs>
  <cellXfs count="31">
    <xf numFmtId="0" fontId="0" fillId="0" borderId="0" xfId="0"/>
    <xf numFmtId="166" fontId="3" fillId="3" borderId="0" xfId="1" applyNumberFormat="1" applyFont="1" applyFill="1"/>
    <xf numFmtId="166" fontId="4" fillId="3" borderId="0" xfId="1" applyNumberFormat="1" applyFont="1" applyFill="1"/>
    <xf numFmtId="166" fontId="4" fillId="3" borderId="0" xfId="1" applyNumberFormat="1" applyFont="1" applyFill="1" applyAlignment="1">
      <alignment horizontal="center"/>
    </xf>
    <xf numFmtId="0" fontId="5" fillId="3" borderId="0" xfId="0" applyFont="1" applyFill="1" applyAlignment="1">
      <alignment vertical="center"/>
    </xf>
    <xf numFmtId="0" fontId="6" fillId="3" borderId="0" xfId="0" applyFont="1" applyFill="1"/>
    <xf numFmtId="0" fontId="7" fillId="0" borderId="0" xfId="0" applyFont="1"/>
    <xf numFmtId="0" fontId="5" fillId="2" borderId="0" xfId="0" applyFont="1" applyFill="1"/>
    <xf numFmtId="165" fontId="5" fillId="2" borderId="0" xfId="1" applyNumberFormat="1" applyFont="1" applyFill="1"/>
    <xf numFmtId="165" fontId="7" fillId="0" borderId="0" xfId="1" applyNumberFormat="1" applyFont="1"/>
    <xf numFmtId="165" fontId="7" fillId="0" borderId="1" xfId="1" applyNumberFormat="1" applyFont="1" applyBorder="1"/>
    <xf numFmtId="165" fontId="7" fillId="0" borderId="0" xfId="1" applyNumberFormat="1" applyFont="1" applyBorder="1"/>
    <xf numFmtId="0" fontId="8" fillId="4" borderId="0" xfId="0" applyFont="1" applyFill="1"/>
    <xf numFmtId="9" fontId="8" fillId="4" borderId="0" xfId="2" applyFont="1" applyFill="1"/>
    <xf numFmtId="0" fontId="9" fillId="0" borderId="0" xfId="0" applyFont="1"/>
    <xf numFmtId="0" fontId="10" fillId="0" borderId="0" xfId="0" applyFont="1"/>
    <xf numFmtId="167" fontId="10" fillId="0" borderId="0" xfId="1" applyNumberFormat="1" applyFont="1"/>
    <xf numFmtId="0" fontId="12" fillId="0" borderId="0" xfId="3" applyFont="1"/>
    <xf numFmtId="0" fontId="13" fillId="0" borderId="0" xfId="0" applyFont="1"/>
    <xf numFmtId="0" fontId="2" fillId="5" borderId="0" xfId="4" applyFont="1" applyFill="1"/>
    <xf numFmtId="0" fontId="2" fillId="0" borderId="0" xfId="4" applyFont="1" applyFill="1" applyBorder="1"/>
    <xf numFmtId="0" fontId="14" fillId="0" borderId="0" xfId="4" applyFont="1" applyFill="1" applyBorder="1" applyProtection="1">
      <protection locked="0"/>
    </xf>
    <xf numFmtId="0" fontId="15" fillId="0" borderId="0" xfId="4" applyFont="1" applyFill="1" applyBorder="1" applyAlignment="1">
      <alignment horizontal="right"/>
    </xf>
    <xf numFmtId="0" fontId="2" fillId="0" borderId="0" xfId="4" applyFont="1" applyFill="1" applyBorder="1" applyProtection="1">
      <protection locked="0"/>
    </xf>
    <xf numFmtId="0" fontId="1" fillId="0" borderId="0" xfId="4"/>
    <xf numFmtId="0" fontId="2" fillId="0" borderId="1" xfId="4" applyFont="1" applyFill="1" applyBorder="1"/>
    <xf numFmtId="0" fontId="17" fillId="0" borderId="0" xfId="5" applyFont="1" applyFill="1" applyBorder="1"/>
    <xf numFmtId="0" fontId="18" fillId="3" borderId="0" xfId="4" applyFont="1" applyFill="1" applyBorder="1"/>
    <xf numFmtId="0" fontId="2" fillId="3" borderId="0" xfId="4" applyFont="1" applyFill="1" applyBorder="1"/>
    <xf numFmtId="0" fontId="2" fillId="6" borderId="0" xfId="4" applyFont="1" applyFill="1"/>
    <xf numFmtId="0" fontId="18" fillId="3" borderId="0" xfId="4" applyFont="1" applyFill="1"/>
  </cellXfs>
  <cellStyles count="6">
    <cellStyle name="Comma" xfId="1" builtinId="3"/>
    <cellStyle name="Hyperlink 2 2" xfId="5" xr:uid="{EF9D0B5E-8BD5-4FEA-9F09-FC0B1237926B}"/>
    <cellStyle name="Hyperlink 3" xfId="3" xr:uid="{00000000-0005-0000-0000-000001000000}"/>
    <cellStyle name="Normal" xfId="0" builtinId="0"/>
    <cellStyle name="Normal 2 2 2" xfId="4" xr:uid="{F6AC1A29-433A-4085-83A5-B77EE77FCC7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s://corporatefinanceinstitute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714374</xdr:colOff>
      <xdr:row>3</xdr:row>
      <xdr:rowOff>19050</xdr:rowOff>
    </xdr:from>
    <xdr:ext cx="3446303" cy="154051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AA043-4C2F-4CCE-A3E9-D3608029F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4" y="745490"/>
          <a:ext cx="3446303" cy="15405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31</xdr:row>
      <xdr:rowOff>129314</xdr:rowOff>
    </xdr:from>
    <xdr:to>
      <xdr:col>1</xdr:col>
      <xdr:colOff>781051</xdr:colOff>
      <xdr:row>35</xdr:row>
      <xdr:rowOff>104773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BA813C-2B78-4CFD-A677-3BBFB76F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B972-1BE6-4BA5-A032-1F9D566CC497}">
  <dimension ref="B1:O44"/>
  <sheetViews>
    <sheetView showGridLines="0" tabSelected="1" zoomScaleNormal="100" workbookViewId="0"/>
  </sheetViews>
  <sheetFormatPr defaultColWidth="10.25" defaultRowHeight="13.8" x14ac:dyDescent="0.25"/>
  <cols>
    <col min="1" max="2" width="12.375" style="19" customWidth="1"/>
    <col min="3" max="3" width="37.25" style="19" customWidth="1"/>
    <col min="4" max="22" width="12.375" style="19" customWidth="1"/>
    <col min="23" max="25" width="10.25" style="19"/>
    <col min="26" max="26" width="10.25" style="19" customWidth="1"/>
    <col min="27" max="16384" width="10.25" style="19"/>
  </cols>
  <sheetData>
    <row r="1" spans="2:15" ht="19.5" customHeight="1" x14ac:dyDescent="0.25"/>
    <row r="2" spans="2:15" ht="19.5" customHeight="1" x14ac:dyDescent="0.25"/>
    <row r="3" spans="2:15" ht="19.5" customHeight="1" x14ac:dyDescent="0.25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2:15" ht="19.5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2:15" ht="19.5" customHeight="1" x14ac:dyDescent="0.25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2:15" ht="19.5" customHeight="1" x14ac:dyDescent="0.2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2:15" ht="19.5" customHeight="1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2:15" ht="19.5" customHeight="1" x14ac:dyDescent="0.25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2:15" ht="19.5" customHeigh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2:15" ht="19.5" customHeight="1" x14ac:dyDescent="0.25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2:15" ht="19.5" customHeight="1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2:15" ht="28.2" x14ac:dyDescent="0.5">
      <c r="B12" s="20"/>
      <c r="C12" s="21" t="s">
        <v>21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2" t="s">
        <v>13</v>
      </c>
      <c r="O12" s="20"/>
    </row>
    <row r="13" spans="2:15" ht="19.5" customHeight="1" x14ac:dyDescent="0.25">
      <c r="B13" s="20"/>
      <c r="C13" s="2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2:15" ht="19.5" customHeight="1" x14ac:dyDescent="0.3">
      <c r="B14" s="20"/>
      <c r="C14" s="24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2:15" ht="19.5" customHeight="1" x14ac:dyDescent="0.3">
      <c r="B15" s="20"/>
      <c r="C15" s="24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2:15" ht="19.5" customHeight="1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2:15" ht="19.5" customHeight="1" x14ac:dyDescent="0.25">
      <c r="B17" s="20"/>
      <c r="C17" s="20" t="s">
        <v>14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2:15" ht="19.5" customHeight="1" x14ac:dyDescent="0.25">
      <c r="B18" s="20"/>
      <c r="C18" s="25" t="s">
        <v>15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0"/>
    </row>
    <row r="19" spans="2:15" ht="19.5" customHeight="1" x14ac:dyDescent="0.25">
      <c r="B19" s="20"/>
      <c r="C19" s="20" t="s">
        <v>16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15" ht="19.5" customHeight="1" x14ac:dyDescent="0.25">
      <c r="B20" s="20"/>
      <c r="C20" s="26" t="s">
        <v>12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2:15" ht="19.5" customHeight="1" x14ac:dyDescent="0.25">
      <c r="B21" s="20"/>
      <c r="C21" s="26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2:15" ht="19.5" customHeight="1" x14ac:dyDescent="0.25">
      <c r="B22" s="20"/>
      <c r="C22" s="27" t="s">
        <v>17</v>
      </c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0"/>
    </row>
    <row r="23" spans="2:15" ht="19.5" customHeight="1" x14ac:dyDescent="0.25">
      <c r="B23" s="29"/>
      <c r="C23" s="30" t="s">
        <v>18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29"/>
    </row>
    <row r="24" spans="2:15" ht="19.5" customHeight="1" x14ac:dyDescent="0.25">
      <c r="B24" s="29"/>
      <c r="C24" s="30" t="s">
        <v>19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29"/>
    </row>
    <row r="25" spans="2:15" ht="19.5" customHeight="1" x14ac:dyDescent="0.25">
      <c r="B25" s="29"/>
      <c r="C25" s="30" t="s">
        <v>20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29"/>
    </row>
    <row r="26" spans="2:15" ht="19.5" customHeight="1" x14ac:dyDescent="0.25"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29"/>
    </row>
    <row r="27" spans="2:15" ht="19.5" customHeight="1" x14ac:dyDescent="0.2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2:15" ht="19.5" customHeight="1" x14ac:dyDescent="0.25"/>
    <row r="29" spans="2:15" ht="19.5" customHeight="1" x14ac:dyDescent="0.25"/>
    <row r="30" spans="2:15" ht="19.5" customHeight="1" x14ac:dyDescent="0.25"/>
    <row r="31" spans="2:15" ht="19.5" customHeight="1" x14ac:dyDescent="0.25"/>
    <row r="32" spans="2:15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</sheetData>
  <hyperlinks>
    <hyperlink ref="C20" r:id="rId1" xr:uid="{6F129148-B197-416E-8125-AFCF8898B173}"/>
  </hyperlinks>
  <pageMargins left="0.7" right="0.7" top="0.75" bottom="0.75" header="0.3" footer="0.3"/>
  <pageSetup scale="6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showGridLines="0" workbookViewId="0"/>
  </sheetViews>
  <sheetFormatPr defaultRowHeight="13.8" x14ac:dyDescent="0.25"/>
  <cols>
    <col min="2" max="2" width="29.875" bestFit="1" customWidth="1"/>
    <col min="3" max="3" width="10.125" customWidth="1"/>
    <col min="4" max="4" width="10.625" bestFit="1" customWidth="1"/>
    <col min="5" max="8" width="9.25" bestFit="1" customWidth="1"/>
    <col min="9" max="9" width="9.25" customWidth="1"/>
  </cols>
  <sheetData>
    <row r="1" spans="1:12" ht="17.399999999999999" x14ac:dyDescent="0.4">
      <c r="A1" s="1" t="s">
        <v>8</v>
      </c>
      <c r="B1" s="2"/>
      <c r="C1" s="2"/>
      <c r="D1" s="3"/>
      <c r="E1" s="3"/>
      <c r="F1" s="3"/>
      <c r="G1" s="3"/>
      <c r="H1" s="3"/>
      <c r="I1" s="3"/>
      <c r="J1" s="3"/>
    </row>
    <row r="2" spans="1:12" ht="17.399999999999999" x14ac:dyDescent="0.4">
      <c r="A2" s="2"/>
      <c r="B2" s="4" t="s">
        <v>9</v>
      </c>
      <c r="C2" s="5"/>
      <c r="D2" s="5"/>
      <c r="E2" s="5"/>
      <c r="F2" s="3"/>
      <c r="G2" s="3"/>
      <c r="H2" s="3"/>
      <c r="I2" s="3"/>
      <c r="J2" s="3"/>
    </row>
    <row r="3" spans="1:12" ht="15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" x14ac:dyDescent="0.35">
      <c r="A4" s="6"/>
      <c r="B4" s="7" t="s">
        <v>4</v>
      </c>
      <c r="C4" s="8"/>
      <c r="D4" s="8"/>
      <c r="E4" s="8"/>
      <c r="F4" s="8"/>
      <c r="G4" s="8"/>
      <c r="H4" s="8"/>
      <c r="I4" s="6"/>
      <c r="J4" s="6"/>
      <c r="K4" s="6"/>
      <c r="L4" s="6"/>
    </row>
    <row r="5" spans="1:12" ht="15" x14ac:dyDescent="0.35">
      <c r="A5" s="6"/>
      <c r="B5" s="6" t="s">
        <v>0</v>
      </c>
      <c r="C5" s="9">
        <v>10000</v>
      </c>
      <c r="D5" s="9"/>
      <c r="E5" s="9"/>
      <c r="F5" s="9"/>
      <c r="G5" s="9"/>
      <c r="H5" s="9"/>
      <c r="I5" s="6"/>
      <c r="J5" s="6"/>
      <c r="K5" s="6"/>
      <c r="L5" s="6"/>
    </row>
    <row r="6" spans="1:12" ht="15" x14ac:dyDescent="0.35">
      <c r="A6" s="6"/>
      <c r="B6" s="6" t="s">
        <v>1</v>
      </c>
      <c r="C6" s="9">
        <v>0</v>
      </c>
      <c r="D6" s="9"/>
      <c r="E6" s="9"/>
      <c r="F6" s="9"/>
      <c r="G6" s="9"/>
      <c r="H6" s="9"/>
      <c r="I6" s="6"/>
      <c r="J6" s="6"/>
      <c r="K6" s="6"/>
      <c r="L6" s="6"/>
    </row>
    <row r="7" spans="1:12" ht="15" x14ac:dyDescent="0.35">
      <c r="A7" s="6"/>
      <c r="B7" s="6" t="s">
        <v>2</v>
      </c>
      <c r="C7" s="10">
        <f>SUM(C5:C6)</f>
        <v>10000</v>
      </c>
      <c r="D7" s="9"/>
      <c r="E7" s="9"/>
      <c r="F7" s="9"/>
      <c r="G7" s="9"/>
      <c r="H7" s="9"/>
      <c r="I7" s="6"/>
      <c r="J7" s="6"/>
      <c r="K7" s="6"/>
      <c r="L7" s="6"/>
    </row>
    <row r="8" spans="1:12" ht="15" x14ac:dyDescent="0.35">
      <c r="A8" s="6"/>
      <c r="B8" s="6"/>
      <c r="C8" s="11"/>
      <c r="D8" s="9"/>
      <c r="E8" s="9"/>
      <c r="F8" s="9"/>
      <c r="G8" s="9"/>
      <c r="H8" s="9"/>
      <c r="I8" s="6"/>
      <c r="J8" s="6"/>
      <c r="K8" s="6"/>
      <c r="L8" s="6"/>
    </row>
    <row r="9" spans="1:12" ht="15" x14ac:dyDescent="0.35">
      <c r="A9" s="6"/>
      <c r="B9" s="6" t="s">
        <v>7</v>
      </c>
      <c r="C9" s="9">
        <f>-C5</f>
        <v>-10000</v>
      </c>
      <c r="D9" s="9">
        <v>3500</v>
      </c>
      <c r="E9" s="9">
        <v>3500</v>
      </c>
      <c r="F9" s="9">
        <v>3500</v>
      </c>
      <c r="G9" s="9">
        <v>3500</v>
      </c>
      <c r="H9" s="9">
        <v>3500</v>
      </c>
      <c r="I9" s="6"/>
      <c r="J9" s="6"/>
      <c r="K9" s="6"/>
      <c r="L9" s="6"/>
    </row>
    <row r="10" spans="1:12" ht="15" x14ac:dyDescent="0.35">
      <c r="A10" s="6"/>
      <c r="B10" s="12" t="s">
        <v>3</v>
      </c>
      <c r="C10" s="13">
        <f>IRR(C9:H9)</f>
        <v>0.2210629215316211</v>
      </c>
      <c r="D10" s="9"/>
      <c r="E10" s="9"/>
      <c r="F10" s="9"/>
      <c r="G10" s="9"/>
      <c r="H10" s="9"/>
      <c r="I10" s="6"/>
      <c r="J10" s="6"/>
      <c r="K10" s="6"/>
      <c r="L10" s="6"/>
    </row>
    <row r="11" spans="1:12" ht="15" x14ac:dyDescent="0.35">
      <c r="A11" s="6"/>
      <c r="B11" s="6"/>
      <c r="C11" s="9"/>
      <c r="D11" s="9"/>
      <c r="E11" s="9"/>
      <c r="F11" s="9"/>
      <c r="G11" s="9"/>
      <c r="H11" s="9"/>
      <c r="I11" s="6"/>
      <c r="J11" s="6"/>
      <c r="K11" s="6"/>
      <c r="L11" s="6"/>
    </row>
    <row r="12" spans="1:12" ht="15" x14ac:dyDescent="0.35">
      <c r="A12" s="6"/>
      <c r="B12" s="7" t="s">
        <v>5</v>
      </c>
      <c r="C12" s="8"/>
      <c r="D12" s="8"/>
      <c r="E12" s="8"/>
      <c r="F12" s="8"/>
      <c r="G12" s="8"/>
      <c r="H12" s="8"/>
      <c r="I12" s="6"/>
      <c r="J12" s="6"/>
      <c r="K12" s="6"/>
      <c r="L12" s="6"/>
    </row>
    <row r="13" spans="1:12" ht="15" x14ac:dyDescent="0.35">
      <c r="A13" s="6"/>
      <c r="B13" s="6" t="s">
        <v>0</v>
      </c>
      <c r="C13" s="9">
        <v>7000</v>
      </c>
      <c r="D13" s="9"/>
      <c r="E13" s="9"/>
      <c r="F13" s="9"/>
      <c r="G13" s="9"/>
      <c r="H13" s="9"/>
      <c r="I13" s="6"/>
      <c r="J13" s="6"/>
      <c r="K13" s="6"/>
      <c r="L13" s="6"/>
    </row>
    <row r="14" spans="1:12" ht="15" x14ac:dyDescent="0.35">
      <c r="A14" s="6"/>
      <c r="B14" s="6" t="s">
        <v>1</v>
      </c>
      <c r="C14" s="9">
        <f>C7-C13</f>
        <v>3000</v>
      </c>
      <c r="D14" s="9"/>
      <c r="E14" s="9"/>
      <c r="F14" s="9"/>
      <c r="G14" s="9"/>
      <c r="H14" s="9"/>
      <c r="I14" s="6"/>
      <c r="J14" s="6"/>
      <c r="K14" s="6"/>
      <c r="L14" s="6"/>
    </row>
    <row r="15" spans="1:12" ht="15" x14ac:dyDescent="0.35">
      <c r="A15" s="6"/>
      <c r="B15" s="6" t="s">
        <v>2</v>
      </c>
      <c r="C15" s="10">
        <f>SUM(C13:C14)</f>
        <v>10000</v>
      </c>
      <c r="D15" s="9"/>
      <c r="E15" s="9"/>
      <c r="F15" s="9"/>
      <c r="G15" s="9"/>
      <c r="H15" s="9"/>
      <c r="I15" s="6"/>
      <c r="J15" s="6"/>
      <c r="K15" s="6"/>
      <c r="L15" s="6"/>
    </row>
    <row r="16" spans="1:12" ht="15" x14ac:dyDescent="0.35">
      <c r="A16" s="6"/>
      <c r="B16" s="6"/>
      <c r="C16" s="11"/>
      <c r="D16" s="9"/>
      <c r="E16" s="9"/>
      <c r="F16" s="9"/>
      <c r="G16" s="9"/>
      <c r="H16" s="9"/>
      <c r="I16" s="6"/>
      <c r="J16" s="6"/>
      <c r="K16" s="6"/>
      <c r="L16" s="6"/>
    </row>
    <row r="17" spans="1:12" ht="15" x14ac:dyDescent="0.35">
      <c r="A17" s="6"/>
      <c r="B17" s="6" t="s">
        <v>7</v>
      </c>
      <c r="C17" s="9">
        <f>-C13</f>
        <v>-7000</v>
      </c>
      <c r="D17" s="9">
        <f>D$9-$C14*1.2/5</f>
        <v>2780</v>
      </c>
      <c r="E17" s="9">
        <f>E$9-$C14*1.2/5</f>
        <v>2780</v>
      </c>
      <c r="F17" s="9">
        <f>F$9-$C14*1.2/5</f>
        <v>2780</v>
      </c>
      <c r="G17" s="9">
        <f>G$9-$C14*1.2/5</f>
        <v>2780</v>
      </c>
      <c r="H17" s="9">
        <f>H$9-$C14*1.2/5</f>
        <v>2780</v>
      </c>
      <c r="I17" s="6"/>
      <c r="J17" s="6"/>
      <c r="K17" s="6"/>
      <c r="L17" s="6"/>
    </row>
    <row r="18" spans="1:12" ht="15" x14ac:dyDescent="0.35">
      <c r="A18" s="6"/>
      <c r="B18" s="12" t="s">
        <v>3</v>
      </c>
      <c r="C18" s="13">
        <f>IRR(C17:H17)</f>
        <v>0.28282708614848184</v>
      </c>
      <c r="D18" s="9"/>
      <c r="E18" s="9"/>
      <c r="F18" s="9"/>
      <c r="G18" s="9"/>
      <c r="H18" s="9"/>
      <c r="I18" s="6"/>
      <c r="J18" s="6"/>
      <c r="K18" s="6"/>
      <c r="L18" s="6"/>
    </row>
    <row r="19" spans="1:12" ht="15" x14ac:dyDescent="0.35">
      <c r="A19" s="6"/>
      <c r="B19" s="6"/>
      <c r="C19" s="9"/>
      <c r="D19" s="9"/>
      <c r="E19" s="9"/>
      <c r="F19" s="9"/>
      <c r="G19" s="9"/>
      <c r="H19" s="9"/>
      <c r="I19" s="6"/>
      <c r="J19" s="6"/>
      <c r="K19" s="6"/>
      <c r="L19" s="6"/>
    </row>
    <row r="20" spans="1:12" ht="15" x14ac:dyDescent="0.35">
      <c r="A20" s="6"/>
      <c r="B20" s="7" t="s">
        <v>6</v>
      </c>
      <c r="C20" s="8"/>
      <c r="D20" s="8"/>
      <c r="E20" s="8"/>
      <c r="F20" s="8"/>
      <c r="G20" s="8"/>
      <c r="H20" s="8"/>
      <c r="I20" s="6"/>
      <c r="J20" s="6"/>
      <c r="K20" s="6"/>
      <c r="L20" s="6"/>
    </row>
    <row r="21" spans="1:12" ht="15" x14ac:dyDescent="0.35">
      <c r="A21" s="6"/>
      <c r="B21" s="6" t="s">
        <v>0</v>
      </c>
      <c r="C21" s="9">
        <v>4000</v>
      </c>
      <c r="D21" s="9"/>
      <c r="E21" s="9"/>
      <c r="F21" s="9"/>
      <c r="G21" s="9"/>
      <c r="H21" s="9"/>
      <c r="I21" s="6"/>
      <c r="J21" s="6"/>
      <c r="K21" s="6"/>
      <c r="L21" s="6"/>
    </row>
    <row r="22" spans="1:12" ht="15" x14ac:dyDescent="0.35">
      <c r="A22" s="6"/>
      <c r="B22" s="6" t="s">
        <v>1</v>
      </c>
      <c r="C22" s="9">
        <f>C15-C21</f>
        <v>6000</v>
      </c>
      <c r="D22" s="9"/>
      <c r="E22" s="9"/>
      <c r="F22" s="9"/>
      <c r="G22" s="9"/>
      <c r="H22" s="9"/>
      <c r="I22" s="6"/>
      <c r="J22" s="6"/>
      <c r="K22" s="6"/>
      <c r="L22" s="6"/>
    </row>
    <row r="23" spans="1:12" ht="15" x14ac:dyDescent="0.35">
      <c r="A23" s="6"/>
      <c r="B23" s="6" t="s">
        <v>2</v>
      </c>
      <c r="C23" s="10">
        <f>SUM(C21:C22)</f>
        <v>10000</v>
      </c>
      <c r="D23" s="9"/>
      <c r="E23" s="9"/>
      <c r="F23" s="9"/>
      <c r="G23" s="9"/>
      <c r="H23" s="9"/>
      <c r="I23" s="6"/>
      <c r="J23" s="6"/>
      <c r="K23" s="6"/>
      <c r="L23" s="6"/>
    </row>
    <row r="24" spans="1:12" ht="15" x14ac:dyDescent="0.35">
      <c r="A24" s="6"/>
      <c r="B24" s="6"/>
      <c r="C24" s="11"/>
      <c r="D24" s="9"/>
      <c r="E24" s="9"/>
      <c r="F24" s="9"/>
      <c r="G24" s="9"/>
      <c r="H24" s="9"/>
      <c r="I24" s="6"/>
      <c r="J24" s="6"/>
      <c r="K24" s="6"/>
      <c r="L24" s="6"/>
    </row>
    <row r="25" spans="1:12" ht="15" x14ac:dyDescent="0.35">
      <c r="A25" s="6"/>
      <c r="B25" s="6" t="s">
        <v>7</v>
      </c>
      <c r="C25" s="9">
        <f>-C21</f>
        <v>-4000</v>
      </c>
      <c r="D25" s="9">
        <f>D$9-$C22*1.3/5</f>
        <v>1940</v>
      </c>
      <c r="E25" s="9">
        <f>E$9-$C22*1.3/5</f>
        <v>1940</v>
      </c>
      <c r="F25" s="9">
        <f>F$9-$C22*1.3/5</f>
        <v>1940</v>
      </c>
      <c r="G25" s="9">
        <f>G$9-$C22*1.3/5</f>
        <v>1940</v>
      </c>
      <c r="H25" s="9">
        <f>H$9-$C22*1.3/5</f>
        <v>1940</v>
      </c>
      <c r="I25" s="6"/>
      <c r="J25" s="6"/>
      <c r="K25" s="6"/>
      <c r="L25" s="6"/>
    </row>
    <row r="26" spans="1:12" ht="15" x14ac:dyDescent="0.35">
      <c r="A26" s="6"/>
      <c r="B26" s="12" t="s">
        <v>3</v>
      </c>
      <c r="C26" s="13">
        <f>IRR(C25:H25)</f>
        <v>0.39230067552301162</v>
      </c>
      <c r="D26" s="9"/>
      <c r="E26" s="9"/>
      <c r="F26" s="9"/>
      <c r="G26" s="9"/>
      <c r="H26" s="9"/>
      <c r="I26" s="6"/>
      <c r="J26" s="6"/>
      <c r="K26" s="6"/>
      <c r="L26" s="6"/>
    </row>
    <row r="27" spans="1:12" ht="15" x14ac:dyDescent="0.35">
      <c r="A27" s="6"/>
      <c r="B27" s="6"/>
      <c r="C27" s="9"/>
      <c r="D27" s="9"/>
      <c r="E27" s="9"/>
      <c r="F27" s="9"/>
      <c r="G27" s="9"/>
      <c r="H27" s="9"/>
      <c r="I27" s="6"/>
      <c r="J27" s="6"/>
      <c r="K27" s="6"/>
      <c r="L27" s="6"/>
    </row>
    <row r="28" spans="1:12" ht="15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5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16.2" x14ac:dyDescent="0.35">
      <c r="A30" s="6"/>
      <c r="B30" s="14" t="s">
        <v>10</v>
      </c>
      <c r="C30" s="15"/>
      <c r="D30" s="15"/>
      <c r="E30" s="6"/>
      <c r="F30" s="6"/>
      <c r="G30" s="6"/>
      <c r="H30" s="6"/>
      <c r="I30" s="6"/>
      <c r="J30" s="6"/>
      <c r="K30" s="6"/>
      <c r="L30" s="6"/>
    </row>
    <row r="31" spans="1:12" ht="16.2" x14ac:dyDescent="0.35">
      <c r="A31" s="6"/>
      <c r="B31" s="15"/>
      <c r="C31" s="15"/>
      <c r="D31" s="15"/>
      <c r="E31" s="6"/>
      <c r="F31" s="6"/>
      <c r="G31" s="6"/>
      <c r="H31" s="6"/>
      <c r="I31" s="6"/>
      <c r="J31" s="6"/>
      <c r="K31" s="6"/>
      <c r="L31" s="6"/>
    </row>
    <row r="32" spans="1:12" ht="15.6" x14ac:dyDescent="0.3">
      <c r="B32" s="15"/>
      <c r="C32" s="15"/>
      <c r="D32" s="15"/>
    </row>
    <row r="33" spans="2:4" ht="15.6" x14ac:dyDescent="0.3">
      <c r="B33" s="15"/>
      <c r="C33" s="15"/>
      <c r="D33" s="15"/>
    </row>
    <row r="34" spans="2:4" ht="15.6" x14ac:dyDescent="0.3">
      <c r="B34" s="15"/>
      <c r="C34" s="15"/>
      <c r="D34" s="15"/>
    </row>
    <row r="35" spans="2:4" ht="15.6" x14ac:dyDescent="0.3">
      <c r="B35" s="15"/>
      <c r="C35" s="15"/>
      <c r="D35" s="15"/>
    </row>
    <row r="36" spans="2:4" ht="15.6" x14ac:dyDescent="0.3">
      <c r="B36" s="15"/>
      <c r="C36" s="15"/>
      <c r="D36" s="15"/>
    </row>
    <row r="37" spans="2:4" ht="15.6" x14ac:dyDescent="0.3">
      <c r="B37" s="15" t="s">
        <v>11</v>
      </c>
      <c r="C37" s="16"/>
      <c r="D37" s="16"/>
    </row>
    <row r="38" spans="2:4" ht="16.2" x14ac:dyDescent="0.35">
      <c r="B38" s="17" t="s">
        <v>12</v>
      </c>
      <c r="C38" s="18"/>
      <c r="D38" s="18"/>
    </row>
  </sheetData>
  <hyperlinks>
    <hyperlink ref="B38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Leveraged Finance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Katie Au Yeung</cp:lastModifiedBy>
  <dcterms:created xsi:type="dcterms:W3CDTF">2017-07-22T08:02:32Z</dcterms:created>
  <dcterms:modified xsi:type="dcterms:W3CDTF">2019-01-10T19:13:49Z</dcterms:modified>
</cp:coreProperties>
</file>