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ardn\Downloads\"/>
    </mc:Choice>
  </mc:AlternateContent>
  <xr:revisionPtr revIDLastSave="0" documentId="13_ncr:1_{041F0838-2CEB-4CBD-9B8D-4437E3F1A889}" xr6:coauthVersionLast="47" xr6:coauthVersionMax="47" xr10:uidLastSave="{00000000-0000-0000-0000-000000000000}"/>
  <bookViews>
    <workbookView xWindow="-110" yWindow="-110" windowWidth="19420" windowHeight="11500" tabRatio="685" activeTab="1" xr2:uid="{00000000-000D-0000-FFFF-FFFF00000000}"/>
  </bookViews>
  <sheets>
    <sheet name="Cover Page" sheetId="1" r:id="rId1"/>
    <sheet name="3 Statement Model" sheetId="2" r:id="rId2"/>
    <sheet name="DCF Model" sheetId="3" r:id="rId3"/>
  </sheets>
  <definedNames>
    <definedName name="ASSUM_APDays_Start">'3 Statement Model'!$J$17</definedName>
    <definedName name="ASSUM_ARDays_Start">'3 Statement Model'!$J$15</definedName>
    <definedName name="ASSUM_Capex_Start">'3 Statement Model'!$J$18</definedName>
    <definedName name="ASSUM_COGSPct_Start">'3 Statement Model'!$J$8</definedName>
    <definedName name="ASSUM_DAPctPPE_Start">'3 Statement Model'!$J$11</definedName>
    <definedName name="ASSUM_DebtIssuance_Start">'3 Statement Model'!$J$19</definedName>
    <definedName name="ASSUM_EquityIssuance_Start">'3 Statement Model'!$J$20</definedName>
    <definedName name="ASSUM_IntPct_Start">'3 Statement Model'!$J$12</definedName>
    <definedName name="ASSUM_InvDays_Start">'3 Statement Model'!$J$16</definedName>
    <definedName name="ASSUM_RD_Start">'3 Statement Model'!$J$10</definedName>
    <definedName name="ASSUM_RevGrowth_Start">'3 Statement Model'!$J$7</definedName>
    <definedName name="ASSUM_SGA_Start">'3 Statement Model'!$J$9</definedName>
    <definedName name="ASSUM_TaxRate_Start">'3 Statement Model'!$J$13</definedName>
    <definedName name="BS_AP_Start">'3 Statement Model'!$E$48</definedName>
    <definedName name="BS_AR_Start">'3 Statement Model'!$E$42</definedName>
    <definedName name="BS_Cash_Start">'3 Statement Model'!$E$41</definedName>
    <definedName name="BS_Debt_Start">'3 Statement Model'!$E$49</definedName>
    <definedName name="BS_EquityCapital_Start">'3 Statement Model'!$E$52</definedName>
    <definedName name="BS_Inventory_Start">'3 Statement Model'!$E$43</definedName>
    <definedName name="BS_PPE_Start">'3 Statement Model'!$E$44</definedName>
    <definedName name="BS_RE_Start">'3 Statement Model'!$E$53</definedName>
    <definedName name="CF_Capex_Start">'3 Statement Model'!$E$68</definedName>
    <definedName name="CF_DebtIssuance_Start">'3 Statement Model'!$E$72</definedName>
    <definedName name="CF_DeltaNWC_Start">'3 Statement Model'!$E$64</definedName>
    <definedName name="CF_EquityIssuance_Start">'3 Statement Model'!$E$73</definedName>
    <definedName name="CF_OpeningCash_FY1">'3 Statement Model'!$D$78</definedName>
    <definedName name="DCF_Cash">'DCF Model'!$D$14</definedName>
    <definedName name="DCF_Debt">'DCF Model'!$D$13</definedName>
    <definedName name="DCF_ExitMultiple">'DCF Model'!$D$8</definedName>
    <definedName name="DCF_FiscalYearEnd">'DCF Model'!$D$10</definedName>
    <definedName name="DCF_PerpetualGrowth">'DCF Model'!$D$7</definedName>
    <definedName name="DCF_SharePrice">'DCF Model'!$D$11</definedName>
    <definedName name="DCF_Shares">'DCF Model'!$D$12</definedName>
    <definedName name="DCF_TaxRate">'DCF Model'!$D$5</definedName>
    <definedName name="DCF_TransactionDate">'DCF Model'!$D$9</definedName>
    <definedName name="DCF_WACC">'DCF Model'!$D$6</definedName>
    <definedName name="Forecast" localSheetId="1">#REF!</definedName>
    <definedName name="IS_BaseYear">'3 Statement Model'!$E$2</definedName>
    <definedName name="IS_COGS_FY1">'3 Statement Model'!$E$25</definedName>
    <definedName name="IS_COGS_FY2">'3 Statement Model'!$F$25</definedName>
    <definedName name="IS_COGS_FY3">'3 Statement Model'!$G$25</definedName>
    <definedName name="IS_COGS_FY4">'3 Statement Model'!$H$25</definedName>
    <definedName name="IS_COGS_FY5">'3 Statement Model'!$I$25</definedName>
    <definedName name="IS_COGS_Start">'3 Statement Model'!$E$25</definedName>
    <definedName name="IS_DA_Start">'3 Statement Model'!$E$30</definedName>
    <definedName name="IS_Interest_Start">'3 Statement Model'!$E$31</definedName>
    <definedName name="IS_RD_Start">'3 Statement Model'!$E$29</definedName>
    <definedName name="IS_Revenue_FY1">'3 Statement Model'!$E$24</definedName>
    <definedName name="IS_Revenue_FY2">'3 Statement Model'!$F$24</definedName>
    <definedName name="IS_Revenue_FY3">'3 Statement Model'!$G$24</definedName>
    <definedName name="IS_Revenue_FY4">'3 Statement Model'!$H$24</definedName>
    <definedName name="IS_Revenue_FY5">'3 Statement Model'!$I$24</definedName>
    <definedName name="IS_Revenue_Start">'3 Statement Model'!$E$24</definedName>
    <definedName name="IS_SGA_Start">'3 Statement Model'!$E$28</definedName>
    <definedName name="IS_Tax_Start">'3 Statement Model'!$E$35</definedName>
    <definedName name="_xlnm.Print_Area" localSheetId="1">'3 Statement Model'!$A$1:$N$104</definedName>
    <definedName name="_xlnm.Print_Area" localSheetId="0">'Cover Page'!$A$1:$P$27</definedName>
    <definedName name="_xlnm.Print_Titles" localSheetId="1">'3 Statement Model'!$1:$3</definedName>
    <definedName name="Step_1" localSheetId="1">#REF!</definedName>
    <definedName name="Step_2" localSheetId="1">#REF!</definedName>
    <definedName name="Step_3" localSheetId="1">#REF!</definedName>
    <definedName name="Step_4" localSheetId="1">#REF!</definedName>
    <definedName name="Step_5" localSheetId="1">#REF!</definedName>
    <definedName name="Step_6" localSheetId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0" i="3" l="1"/>
  <c r="I37" i="3"/>
  <c r="N36" i="3"/>
  <c r="I34" i="3"/>
  <c r="D34" i="3"/>
  <c r="I33" i="3"/>
  <c r="D33" i="3"/>
  <c r="I32" i="3"/>
  <c r="I35" i="3" s="1"/>
  <c r="D27" i="3" s="1"/>
  <c r="D29" i="3" s="1"/>
  <c r="F19" i="3"/>
  <c r="G19" i="3" s="1"/>
  <c r="F18" i="3"/>
  <c r="E18" i="3"/>
  <c r="D18" i="3"/>
  <c r="E20" i="3" s="1"/>
  <c r="R11" i="3"/>
  <c r="R12" i="3" s="1"/>
  <c r="R9" i="3"/>
  <c r="R15" i="3" s="1"/>
  <c r="D6" i="3"/>
  <c r="I127" i="2"/>
  <c r="H127" i="2"/>
  <c r="H126" i="2"/>
  <c r="G126" i="2"/>
  <c r="F126" i="2"/>
  <c r="E126" i="2"/>
  <c r="I122" i="2"/>
  <c r="H122" i="2"/>
  <c r="G122" i="2"/>
  <c r="I121" i="2"/>
  <c r="H121" i="2"/>
  <c r="G121" i="2"/>
  <c r="F121" i="2"/>
  <c r="E121" i="2"/>
  <c r="N99" i="2"/>
  <c r="M99" i="2"/>
  <c r="L99" i="2"/>
  <c r="K99" i="2"/>
  <c r="J99" i="2"/>
  <c r="J98" i="2"/>
  <c r="J100" i="2" s="1"/>
  <c r="J49" i="2" s="1"/>
  <c r="I98" i="2"/>
  <c r="N12" i="2" s="1"/>
  <c r="H98" i="2"/>
  <c r="H12" i="2" s="1"/>
  <c r="G98" i="2"/>
  <c r="G12" i="2" s="1"/>
  <c r="F98" i="2"/>
  <c r="F12" i="2" s="1"/>
  <c r="J92" i="2"/>
  <c r="I92" i="2"/>
  <c r="H92" i="2"/>
  <c r="G92" i="2"/>
  <c r="F92" i="2"/>
  <c r="E80" i="2"/>
  <c r="E78" i="2"/>
  <c r="J77" i="2"/>
  <c r="I77" i="2"/>
  <c r="I76" i="2" s="1"/>
  <c r="I78" i="2" s="1"/>
  <c r="I80" i="2" s="1"/>
  <c r="H77" i="2"/>
  <c r="G77" i="2"/>
  <c r="F77" i="2"/>
  <c r="H76" i="2"/>
  <c r="H78" i="2" s="1"/>
  <c r="H80" i="2" s="1"/>
  <c r="G76" i="2"/>
  <c r="G78" i="2" s="1"/>
  <c r="G80" i="2" s="1"/>
  <c r="F76" i="2"/>
  <c r="F78" i="2" s="1"/>
  <c r="F80" i="2" s="1"/>
  <c r="E76" i="2"/>
  <c r="N74" i="2"/>
  <c r="M74" i="2"/>
  <c r="L74" i="2"/>
  <c r="K74" i="2"/>
  <c r="J74" i="2"/>
  <c r="I74" i="2"/>
  <c r="H74" i="2"/>
  <c r="G74" i="2"/>
  <c r="G127" i="2" s="1"/>
  <c r="F74" i="2"/>
  <c r="F127" i="2" s="1"/>
  <c r="E74" i="2"/>
  <c r="E127" i="2" s="1"/>
  <c r="N73" i="2"/>
  <c r="M73" i="2"/>
  <c r="L73" i="2"/>
  <c r="K73" i="2"/>
  <c r="J73" i="2"/>
  <c r="N72" i="2"/>
  <c r="M72" i="2"/>
  <c r="L72" i="2"/>
  <c r="K72" i="2"/>
  <c r="J72" i="2"/>
  <c r="I69" i="2"/>
  <c r="I126" i="2" s="1"/>
  <c r="H69" i="2"/>
  <c r="G69" i="2"/>
  <c r="F69" i="2"/>
  <c r="E69" i="2"/>
  <c r="I63" i="2"/>
  <c r="H63" i="2"/>
  <c r="G63" i="2"/>
  <c r="F63" i="2"/>
  <c r="E63" i="2"/>
  <c r="E55" i="2"/>
  <c r="I54" i="2"/>
  <c r="H54" i="2"/>
  <c r="G54" i="2"/>
  <c r="F54" i="2"/>
  <c r="E54" i="2"/>
  <c r="J52" i="2"/>
  <c r="K52" i="2" s="1"/>
  <c r="L52" i="2" s="1"/>
  <c r="M52" i="2" s="1"/>
  <c r="I50" i="2"/>
  <c r="I55" i="2" s="1"/>
  <c r="I57" i="2" s="1"/>
  <c r="I3" i="2" s="1"/>
  <c r="H50" i="2"/>
  <c r="H55" i="2" s="1"/>
  <c r="H57" i="2" s="1"/>
  <c r="H3" i="2" s="1"/>
  <c r="G50" i="2"/>
  <c r="G55" i="2" s="1"/>
  <c r="G57" i="2" s="1"/>
  <c r="G3" i="2" s="1"/>
  <c r="F50" i="2"/>
  <c r="F55" i="2" s="1"/>
  <c r="F57" i="2" s="1"/>
  <c r="F3" i="2" s="1"/>
  <c r="E50" i="2"/>
  <c r="I45" i="2"/>
  <c r="H45" i="2"/>
  <c r="G45" i="2"/>
  <c r="F45" i="2"/>
  <c r="E45" i="2"/>
  <c r="I32" i="2"/>
  <c r="H32" i="2"/>
  <c r="G32" i="2"/>
  <c r="F32" i="2"/>
  <c r="E32" i="2"/>
  <c r="J28" i="2"/>
  <c r="I26" i="2"/>
  <c r="H26" i="2"/>
  <c r="G26" i="2"/>
  <c r="F26" i="2"/>
  <c r="E26" i="2"/>
  <c r="J24" i="2"/>
  <c r="J29" i="2" s="1"/>
  <c r="I20" i="2"/>
  <c r="H20" i="2"/>
  <c r="G20" i="2"/>
  <c r="F20" i="2"/>
  <c r="E20" i="2"/>
  <c r="I19" i="2"/>
  <c r="H19" i="2"/>
  <c r="G19" i="2"/>
  <c r="F19" i="2"/>
  <c r="E19" i="2"/>
  <c r="N18" i="2"/>
  <c r="M18" i="2"/>
  <c r="L18" i="2"/>
  <c r="K18" i="2"/>
  <c r="J18" i="2"/>
  <c r="J68" i="2" s="1"/>
  <c r="I18" i="2"/>
  <c r="H18" i="2"/>
  <c r="G18" i="2"/>
  <c r="F18" i="2"/>
  <c r="E18" i="2"/>
  <c r="N17" i="2"/>
  <c r="M17" i="2"/>
  <c r="L17" i="2"/>
  <c r="K17" i="2"/>
  <c r="J17" i="2"/>
  <c r="I17" i="2"/>
  <c r="H17" i="2"/>
  <c r="G17" i="2"/>
  <c r="F17" i="2"/>
  <c r="E17" i="2"/>
  <c r="I16" i="2"/>
  <c r="H16" i="2"/>
  <c r="G16" i="2"/>
  <c r="F16" i="2"/>
  <c r="E16" i="2"/>
  <c r="N15" i="2"/>
  <c r="M15" i="2"/>
  <c r="L15" i="2"/>
  <c r="K15" i="2"/>
  <c r="J15" i="2"/>
  <c r="I15" i="2"/>
  <c r="H15" i="2"/>
  <c r="G15" i="2"/>
  <c r="F15" i="2"/>
  <c r="E15" i="2"/>
  <c r="E12" i="2"/>
  <c r="N11" i="2"/>
  <c r="M11" i="2"/>
  <c r="L11" i="2"/>
  <c r="K11" i="2"/>
  <c r="J11" i="2"/>
  <c r="I11" i="2"/>
  <c r="H11" i="2"/>
  <c r="G11" i="2"/>
  <c r="F11" i="2"/>
  <c r="E11" i="2"/>
  <c r="N10" i="2"/>
  <c r="M10" i="2"/>
  <c r="L10" i="2"/>
  <c r="K10" i="2"/>
  <c r="J10" i="2"/>
  <c r="I10" i="2"/>
  <c r="H10" i="2"/>
  <c r="G10" i="2"/>
  <c r="F10" i="2"/>
  <c r="E10" i="2"/>
  <c r="N9" i="2"/>
  <c r="M9" i="2"/>
  <c r="L9" i="2"/>
  <c r="K9" i="2"/>
  <c r="J9" i="2"/>
  <c r="I9" i="2"/>
  <c r="H9" i="2"/>
  <c r="G9" i="2"/>
  <c r="F9" i="2"/>
  <c r="E9" i="2"/>
  <c r="N8" i="2"/>
  <c r="M8" i="2"/>
  <c r="L8" i="2"/>
  <c r="K8" i="2"/>
  <c r="J8" i="2"/>
  <c r="I8" i="2"/>
  <c r="H8" i="2"/>
  <c r="G8" i="2"/>
  <c r="F8" i="2"/>
  <c r="E8" i="2"/>
  <c r="I7" i="2"/>
  <c r="H7" i="2"/>
  <c r="G7" i="2"/>
  <c r="F7" i="2"/>
  <c r="G2" i="2"/>
  <c r="H2" i="2" s="1"/>
  <c r="I2" i="2" s="1"/>
  <c r="J2" i="2" s="1"/>
  <c r="K2" i="2" s="1"/>
  <c r="L2" i="2" s="1"/>
  <c r="M2" i="2" s="1"/>
  <c r="N2" i="2" s="1"/>
  <c r="F2" i="2"/>
  <c r="I12" i="2" l="1"/>
  <c r="J12" i="2"/>
  <c r="J31" i="2" s="1"/>
  <c r="K12" i="2"/>
  <c r="L12" i="2"/>
  <c r="M12" i="2"/>
  <c r="E57" i="2"/>
  <c r="E3" i="2" s="1"/>
  <c r="E33" i="2"/>
  <c r="F33" i="2"/>
  <c r="G33" i="2"/>
  <c r="G123" i="2" s="1"/>
  <c r="H33" i="2"/>
  <c r="I33" i="2"/>
  <c r="I36" i="2" s="1"/>
  <c r="I62" i="2" s="1"/>
  <c r="I65" i="2" s="1"/>
  <c r="I125" i="2" s="1"/>
  <c r="J69" i="2"/>
  <c r="D15" i="3"/>
  <c r="E24" i="3"/>
  <c r="N52" i="2"/>
  <c r="I123" i="2"/>
  <c r="N13" i="2"/>
  <c r="M13" i="2"/>
  <c r="J94" i="2"/>
  <c r="E17" i="3"/>
  <c r="F20" i="3"/>
  <c r="F36" i="2"/>
  <c r="F62" i="2" s="1"/>
  <c r="F65" i="2" s="1"/>
  <c r="F125" i="2" s="1"/>
  <c r="F13" i="2"/>
  <c r="F123" i="2"/>
  <c r="H13" i="2"/>
  <c r="H19" i="3"/>
  <c r="G18" i="3"/>
  <c r="G36" i="2"/>
  <c r="G62" i="2" s="1"/>
  <c r="G65" i="2" s="1"/>
  <c r="G125" i="2" s="1"/>
  <c r="G13" i="2"/>
  <c r="J101" i="2"/>
  <c r="E122" i="2"/>
  <c r="E36" i="2"/>
  <c r="E62" i="2" s="1"/>
  <c r="E65" i="2" s="1"/>
  <c r="E125" i="2" s="1"/>
  <c r="E13" i="2"/>
  <c r="E123" i="2"/>
  <c r="K98" i="2"/>
  <c r="K13" i="2"/>
  <c r="F122" i="2"/>
  <c r="K24" i="2"/>
  <c r="J93" i="2"/>
  <c r="J63" i="2" s="1"/>
  <c r="J88" i="2"/>
  <c r="J25" i="2"/>
  <c r="F17" i="3"/>
  <c r="J89" i="2"/>
  <c r="J13" i="2" l="1"/>
  <c r="H123" i="2"/>
  <c r="H36" i="2"/>
  <c r="H62" i="2" s="1"/>
  <c r="H65" i="2" s="1"/>
  <c r="H125" i="2" s="1"/>
  <c r="I13" i="2"/>
  <c r="L13" i="2"/>
  <c r="J30" i="2"/>
  <c r="E23" i="3" s="1"/>
  <c r="J43" i="2"/>
  <c r="J86" i="2" s="1"/>
  <c r="J48" i="2"/>
  <c r="J26" i="2"/>
  <c r="H18" i="3"/>
  <c r="I19" i="3"/>
  <c r="I18" i="3" s="1"/>
  <c r="G17" i="3"/>
  <c r="H20" i="3"/>
  <c r="K89" i="2"/>
  <c r="K25" i="2"/>
  <c r="K93" i="2"/>
  <c r="K29" i="2"/>
  <c r="K26" i="2"/>
  <c r="K88" i="2"/>
  <c r="L24" i="2"/>
  <c r="K68" i="2"/>
  <c r="K28" i="2"/>
  <c r="J95" i="2"/>
  <c r="G20" i="3"/>
  <c r="K100" i="2"/>
  <c r="K101" i="2"/>
  <c r="K31" i="2"/>
  <c r="J90" i="2"/>
  <c r="J64" i="2" s="1"/>
  <c r="E25" i="3" s="1"/>
  <c r="J32" i="2" l="1"/>
  <c r="K49" i="2"/>
  <c r="L98" i="2"/>
  <c r="K90" i="2"/>
  <c r="K64" i="2" s="1"/>
  <c r="F25" i="3" s="1"/>
  <c r="J44" i="2"/>
  <c r="K92" i="2"/>
  <c r="J18" i="3"/>
  <c r="I17" i="3"/>
  <c r="K69" i="2"/>
  <c r="F24" i="3"/>
  <c r="K43" i="2"/>
  <c r="K86" i="2" s="1"/>
  <c r="K48" i="2"/>
  <c r="H17" i="3"/>
  <c r="I20" i="3"/>
  <c r="E21" i="3"/>
  <c r="J33" i="2"/>
  <c r="L25" i="2"/>
  <c r="L26" i="2" s="1"/>
  <c r="L93" i="2"/>
  <c r="L88" i="2"/>
  <c r="L29" i="2"/>
  <c r="M24" i="2"/>
  <c r="L89" i="2"/>
  <c r="L28" i="2"/>
  <c r="L68" i="2"/>
  <c r="J50" i="2"/>
  <c r="J87" i="2"/>
  <c r="J42" i="2"/>
  <c r="J85" i="2" s="1"/>
  <c r="K42" i="2" l="1"/>
  <c r="K85" i="2" s="1"/>
  <c r="R20" i="3"/>
  <c r="E22" i="3"/>
  <c r="E26" i="3" s="1"/>
  <c r="J35" i="2"/>
  <c r="J65" i="2"/>
  <c r="J76" i="2" s="1"/>
  <c r="J78" i="2" s="1"/>
  <c r="J62" i="2"/>
  <c r="J53" i="2"/>
  <c r="J36" i="2"/>
  <c r="G24" i="3"/>
  <c r="L69" i="2"/>
  <c r="K94" i="2"/>
  <c r="K95" i="2" s="1"/>
  <c r="K30" i="2"/>
  <c r="K63" i="2"/>
  <c r="L43" i="2"/>
  <c r="L86" i="2" s="1"/>
  <c r="L48" i="2"/>
  <c r="L42" i="2" s="1"/>
  <c r="L85" i="2" s="1"/>
  <c r="L90" i="2"/>
  <c r="L64" i="2" s="1"/>
  <c r="G25" i="3" s="1"/>
  <c r="K50" i="2"/>
  <c r="K87" i="2"/>
  <c r="L101" i="2"/>
  <c r="L31" i="2"/>
  <c r="L100" i="2"/>
  <c r="M93" i="2"/>
  <c r="M88" i="2"/>
  <c r="M29" i="2"/>
  <c r="N24" i="2"/>
  <c r="M25" i="2"/>
  <c r="M26" i="2" s="1"/>
  <c r="M89" i="2"/>
  <c r="M28" i="2"/>
  <c r="M68" i="2"/>
  <c r="R19" i="3" l="1"/>
  <c r="K44" i="2"/>
  <c r="L92" i="2"/>
  <c r="E29" i="3"/>
  <c r="E28" i="3"/>
  <c r="L87" i="2"/>
  <c r="L49" i="2"/>
  <c r="L50" i="2" s="1"/>
  <c r="M98" i="2"/>
  <c r="F23" i="3"/>
  <c r="K32" i="2"/>
  <c r="K33" i="2" s="1"/>
  <c r="F21" i="3"/>
  <c r="K53" i="2"/>
  <c r="J54" i="2"/>
  <c r="J55" i="2" s="1"/>
  <c r="M90" i="2"/>
  <c r="M64" i="2" s="1"/>
  <c r="H25" i="3" s="1"/>
  <c r="M43" i="2"/>
  <c r="M86" i="2" s="1"/>
  <c r="M48" i="2"/>
  <c r="N68" i="2"/>
  <c r="N28" i="2"/>
  <c r="N93" i="2"/>
  <c r="N88" i="2"/>
  <c r="N29" i="2"/>
  <c r="N25" i="2"/>
  <c r="N26" i="2" s="1"/>
  <c r="N89" i="2"/>
  <c r="J41" i="2"/>
  <c r="J80" i="2" s="1"/>
  <c r="H24" i="3"/>
  <c r="M69" i="2"/>
  <c r="L63" i="2" l="1"/>
  <c r="L30" i="2"/>
  <c r="L94" i="2"/>
  <c r="L95" i="2" s="1"/>
  <c r="F22" i="3"/>
  <c r="F26" i="3"/>
  <c r="K35" i="2"/>
  <c r="K65" i="2"/>
  <c r="K76" i="2" s="1"/>
  <c r="K62" i="2"/>
  <c r="K36" i="2"/>
  <c r="I24" i="3"/>
  <c r="N69" i="2"/>
  <c r="M31" i="2"/>
  <c r="M101" i="2"/>
  <c r="M100" i="2"/>
  <c r="M87" i="2"/>
  <c r="J45" i="2"/>
  <c r="J57" i="2" s="1"/>
  <c r="J3" i="2" s="1"/>
  <c r="K77" i="2"/>
  <c r="M42" i="2"/>
  <c r="M85" i="2" s="1"/>
  <c r="N43" i="2"/>
  <c r="N86" i="2" s="1"/>
  <c r="N48" i="2"/>
  <c r="N42" i="2" s="1"/>
  <c r="N85" i="2" s="1"/>
  <c r="K54" i="2"/>
  <c r="K55" i="2" s="1"/>
  <c r="N90" i="2"/>
  <c r="N64" i="2" s="1"/>
  <c r="I25" i="3" s="1"/>
  <c r="T39" i="3" s="1"/>
  <c r="L44" i="2" l="1"/>
  <c r="M92" i="2"/>
  <c r="F29" i="3"/>
  <c r="F28" i="3"/>
  <c r="K78" i="2"/>
  <c r="N98" i="2"/>
  <c r="M49" i="2"/>
  <c r="M50" i="2" s="1"/>
  <c r="G23" i="3"/>
  <c r="G21" i="3"/>
  <c r="L32" i="2"/>
  <c r="L33" i="2" s="1"/>
  <c r="N87" i="2"/>
  <c r="M63" i="2" l="1"/>
  <c r="M30" i="2"/>
  <c r="M94" i="2"/>
  <c r="M95" i="2" s="1"/>
  <c r="G22" i="3"/>
  <c r="G26" i="3"/>
  <c r="N101" i="2"/>
  <c r="N31" i="2"/>
  <c r="N100" i="2"/>
  <c r="N49" i="2" s="1"/>
  <c r="N50" i="2" s="1"/>
  <c r="K41" i="2"/>
  <c r="L65" i="2"/>
  <c r="L76" i="2" s="1"/>
  <c r="L35" i="2"/>
  <c r="L62" i="2"/>
  <c r="L36" i="2"/>
  <c r="L53" i="2"/>
  <c r="K45" i="2" l="1"/>
  <c r="K57" i="2" s="1"/>
  <c r="K3" i="2" s="1"/>
  <c r="L77" i="2"/>
  <c r="L78" i="2" s="1"/>
  <c r="K80" i="2"/>
  <c r="G29" i="3"/>
  <c r="G28" i="3"/>
  <c r="L54" i="2"/>
  <c r="L55" i="2" s="1"/>
  <c r="H23" i="3"/>
  <c r="M32" i="2"/>
  <c r="M33" i="2" s="1"/>
  <c r="H21" i="3"/>
  <c r="N92" i="2"/>
  <c r="M44" i="2"/>
  <c r="L41" i="2" l="1"/>
  <c r="H22" i="3"/>
  <c r="H26" i="3" s="1"/>
  <c r="N63" i="2"/>
  <c r="N30" i="2"/>
  <c r="N94" i="2"/>
  <c r="N95" i="2" s="1"/>
  <c r="N44" i="2" s="1"/>
  <c r="M36" i="2"/>
  <c r="M65" i="2"/>
  <c r="M76" i="2" s="1"/>
  <c r="M62" i="2"/>
  <c r="M35" i="2"/>
  <c r="M53" i="2"/>
  <c r="I23" i="3" l="1"/>
  <c r="I21" i="3"/>
  <c r="N32" i="2"/>
  <c r="N33" i="2" s="1"/>
  <c r="N53" i="2" s="1"/>
  <c r="N54" i="2" s="1"/>
  <c r="N55" i="2" s="1"/>
  <c r="H28" i="3"/>
  <c r="H29" i="3"/>
  <c r="M54" i="2"/>
  <c r="M55" i="2" s="1"/>
  <c r="L45" i="2"/>
  <c r="L57" i="2" s="1"/>
  <c r="L3" i="2" s="1"/>
  <c r="M77" i="2"/>
  <c r="M78" i="2" s="1"/>
  <c r="L80" i="2"/>
  <c r="M41" i="2" l="1"/>
  <c r="M80" i="2"/>
  <c r="N65" i="2"/>
  <c r="N76" i="2" s="1"/>
  <c r="N62" i="2"/>
  <c r="N35" i="2"/>
  <c r="N36" i="2"/>
  <c r="J27" i="3"/>
  <c r="I22" i="3"/>
  <c r="I26" i="3" s="1"/>
  <c r="M21" i="3"/>
  <c r="R25" i="3"/>
  <c r="I28" i="3" l="1"/>
  <c r="R21" i="3"/>
  <c r="I29" i="3"/>
  <c r="M19" i="3"/>
  <c r="M20" i="3" s="1"/>
  <c r="R27" i="3"/>
  <c r="M18" i="3"/>
  <c r="J28" i="3"/>
  <c r="T25" i="3"/>
  <c r="J29" i="3"/>
  <c r="M45" i="2"/>
  <c r="M57" i="2" s="1"/>
  <c r="M3" i="2" s="1"/>
  <c r="N77" i="2"/>
  <c r="N78" i="2" s="1"/>
  <c r="N33" i="3" l="1"/>
  <c r="N41" i="2"/>
  <c r="N45" i="2" s="1"/>
  <c r="N57" i="2" s="1"/>
  <c r="N3" i="2" s="1"/>
  <c r="R32" i="3"/>
  <c r="D32" i="3"/>
  <c r="T27" i="3"/>
  <c r="R28" i="3" s="1"/>
  <c r="N80" i="2" l="1"/>
  <c r="T32" i="3"/>
  <c r="D35" i="3"/>
  <c r="R33" i="3" l="1"/>
  <c r="D37" i="3"/>
  <c r="N37" i="3" l="1"/>
  <c r="N38" i="3" s="1"/>
  <c r="N32" i="3"/>
  <c r="R35" i="3"/>
  <c r="R3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vengeanceaiUSCMODEL7</author>
  </authors>
  <commentList>
    <comment ref="B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Forecast year label
WHY: Adds one year to the prior column’s fiscal-year label so forecast headers stay sequential.
PATTERN: ={p}2+1
LINK: https://www.sec.gov/Archives/edgar/data/814547/000081454725000030/fico-20250930.htm</t>
        </r>
      </text>
    </comment>
    <comment ref="J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Forecast year label
FORMULA: =I2+1
WHY: Adds one year to the prior column’s fiscal-year label so forecast headers stay sequential.
LINK: https://www.sec.gov/Archives/edgar/data/814547/000081454725000030/fico-20250930.htm</t>
        </r>
      </text>
    </comment>
    <comment ref="K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Forecast year label
FORMULA: =J2+1
WHY: Adds one year to the prior column’s fiscal-year label so forecast headers stay sequential.
LINK: https://www.sec.gov/Archives/edgar/data/814547/000081454725000030/fico-20250930.htm</t>
        </r>
      </text>
    </comment>
    <comment ref="L2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Forecast year label
FORMULA: =K2+1
WHY: Adds one year to the prior column’s fiscal-year label so forecast headers stay sequential.
LINK: https://www.sec.gov/Archives/edgar/data/814547/000081454725000030/fico-20250930.htm</t>
        </r>
      </text>
    </comment>
    <comment ref="M2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Forecast year label
FORMULA: =L2+1
WHY: Adds one year to the prior column’s fiscal-year label so forecast headers stay sequential.
LINK: https://www.sec.gov/Archives/edgar/data/814547/000081454725000030/fico-20250930.htm</t>
        </r>
      </text>
    </comment>
    <comment ref="N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Forecast year label
FORMULA: =M2+1
WHY: Adds one year to the prior column’s fiscal-year label so forecast headers stay sequential.
LINK: https://www.sec.gov/Archives/edgar/data/814547/000081454725000030/fico-20250930.htm</t>
        </r>
      </text>
    </comment>
    <comment ref="B3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Balance sheet check
WHY: Flags ERROR if Assets ≠ L+E by more than $1k; otherwise OK. Protects the plug.
PATTERN: =IFERROR(IF(ABS({c}57)&gt;1,"ERROR","OK"),"OK")
LINK: https://www.sec.gov/Archives/edgar/data/814547/000081454725000030/fico-20250930.htm</t>
        </r>
      </text>
    </comment>
    <comment ref="J3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Balance sheet check
FORMULA: =IFERROR(IF(ABS(J57)&gt;1,"ERROR","OK"),"OK")
WHY: Flags ERROR if Assets ≠ L+E by more than $1k; otherwise OK. Protects the plug.
LINK: https://www.sec.gov/Archives/edgar/data/814547/000081454725000030/fico-20250930.htm</t>
        </r>
      </text>
    </comment>
    <comment ref="K3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Balance sheet check
FORMULA: =IFERROR(IF(ABS(K57)&gt;1,"ERROR","OK"),"OK")
WHY: Flags ERROR if Assets ≠ L+E by more than $1k; otherwise OK. Protects the plug.
LINK: https://www.sec.gov/Archives/edgar/data/814547/000081454725000030/fico-20250930.htm</t>
        </r>
      </text>
    </comment>
    <comment ref="L3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Balance sheet check
FORMULA: =IFERROR(IF(ABS(L57)&gt;1,"ERROR","OK"),"OK")
WHY: Flags ERROR if Assets ≠ L+E by more than $1k; otherwise OK. Protects the plug.
LINK: https://www.sec.gov/Archives/edgar/data/814547/000081454725000030/fico-20250930.htm</t>
        </r>
      </text>
    </comment>
    <comment ref="M3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Balance sheet check
FORMULA: =IFERROR(IF(ABS(M57)&gt;1,"ERROR","OK"),"OK")
WHY: Flags ERROR if Assets ≠ L+E by more than $1k; otherwise OK. Protects the plug.
LINK: https://www.sec.gov/Archives/edgar/data/814547/000081454725000030/fico-20250930.htm</t>
        </r>
      </text>
    </comment>
    <comment ref="N3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Balance sheet check
FORMULA: =IFERROR(IF(ABS(N57)&gt;1,"ERROR","OK"),"OK")
WHY: Flags ERROR if Assets ≠ L+E by more than $1k; otherwise OK. Protects the plug.
LINK: https://www.sec.gov/Archives/edgar/data/814547/000081454725000030/fico-20250930.htm</t>
        </r>
      </text>
    </comment>
    <comment ref="B7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Revenue Growth
HOW: Yellow POLICY input: 27% / 16% / 13% / 10% / 7%.
WHY: Y1 ≈ company FY2026 revenue guidance (~$2.53B / FY25 $1.991B − 1 ≈ 27%). Then fade toward terminal g=3% (not straight-lined). This is the main forward-looking judgment; it drives Rev → GP → EBT → Net Earnings → CF.
SOURCE: SEC EX-99.1 Q3 FY2026 — updated FY2026 revenue guidance $2.53B
LINK: https://www.sec.gov/Archives/edgar/data/814547/000081454726000031/exhibit991erq32026.htm</t>
        </r>
      </text>
    </comment>
    <comment ref="J7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Revenue Growth
HOW: Yellow POLICY input: 27% / 16% / 13% / 10% / 7%.
WHY: Y1 ≈ company FY2026 revenue guidance (~$2.53B / FY25 $1.991B − 1 ≈ 27%). Then fade toward terminal g=3% (not straight-lined). This is the main forward-looking judgment; it drives Rev → GP → EBT → Net Earnings → CF.
SOURCE: SEC EX-99.1 Q3 FY2026 — updated FY2026 revenue guidance $2.53B
LINK: https://www.sec.gov/Archives/edgar/data/814547/000081454726000031/exhibit991erq32026.htm</t>
        </r>
      </text>
    </comment>
    <comment ref="K7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Revenue Growth
HOW: Yellow POLICY input: 27% / 16% / 13% / 10% / 7%.
WHY: Y1 ≈ company FY2026 revenue guidance (~$2.53B / FY25 $1.991B − 1 ≈ 27%). Then fade toward terminal g=3% (not straight-lined). This is the main forward-looking judgment; it drives Rev → GP → EBT → Net Earnings → CF.
SOURCE: SEC EX-99.1 Q3 FY2026 — updated FY2026 revenue guidance $2.53B
LINK: https://www.sec.gov/Archives/edgar/data/814547/000081454726000031/exhibit991erq32026.htm</t>
        </r>
      </text>
    </comment>
    <comment ref="L7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Revenue Growth
HOW: Yellow POLICY input: 27% / 16% / 13% / 10% / 7%.
WHY: Y1 ≈ company FY2026 revenue guidance (~$2.53B / FY25 $1.991B − 1 ≈ 27%). Then fade toward terminal g=3% (not straight-lined). This is the main forward-looking judgment; it drives Rev → GP → EBT → Net Earnings → CF.
SOURCE: SEC EX-99.1 Q3 FY2026 — updated FY2026 revenue guidance $2.53B
LINK: https://www.sec.gov/Archives/edgar/data/814547/000081454726000031/exhibit991erq32026.htm</t>
        </r>
      </text>
    </comment>
    <comment ref="M7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Revenue Growth
HOW: Yellow POLICY input: 27% / 16% / 13% / 10% / 7%.
WHY: Y1 ≈ company FY2026 revenue guidance (~$2.53B / FY25 $1.991B − 1 ≈ 27%). Then fade toward terminal g=3% (not straight-lined). This is the main forward-looking judgment; it drives Rev → GP → EBT → Net Earnings → CF.
SOURCE: SEC EX-99.1 Q3 FY2026 — updated FY2026 revenue guidance $2.53B
LINK: https://www.sec.gov/Archives/edgar/data/814547/000081454726000031/exhibit991erq32026.htm</t>
        </r>
      </text>
    </comment>
    <comment ref="N7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Revenue Growth
HOW: Yellow POLICY input: 27% / 16% / 13% / 10% / 7%.
WHY: Y1 ≈ company FY2026 revenue guidance (~$2.53B / FY25 $1.991B − 1 ≈ 27%). Then fade toward terminal g=3% (not straight-lined). This is the main forward-looking judgment; it drives Rev → GP → EBT → Net Earnings → CF.
SOURCE: SEC EX-99.1 Q3 FY2026 — updated FY2026 revenue guidance $2.53B
LINK: https://www.sec.gov/Archives/edgar/data/814547/000081454726000031/exhibit991erq32026.htm</t>
        </r>
      </text>
    </comment>
    <comment ref="U7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Revenue Growth
HOW: Yellow POLICY input: 27% / 16% / 13% / 10% / 7%.
WHY: Y1 ≈ company FY2026 revenue guidance (~$2.53B / FY25 $1.991B − 1 ≈ 27%). Then fade toward terminal g=3% (not straight-lined). This is the main forward-looking judgment; it drives Rev → GP → EBT → Net Earnings → CF.
SOURCE: SEC EX-99.1 Q3 FY2026 — updated FY2026 revenue guidance $2.53B
LINK: https://www.sec.gov/Archives/edgar/data/814547/000081454726000031/exhibit991erq32026.htm</t>
        </r>
      </text>
    </comment>
    <comment ref="B8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COGS % of Revenue
HOW: Excel equation: I25/I24 (FY25 COGS ÷ FY25 Revenue) held flat.
WHY: Locks in latest reported cost structure (~17.8%). Scores mix is high-margin; holding FY25 is conservative vs further mix shift.
SOURCE: SEC 10-K FY2025 — Cost of revenues / Total revenues
LINK: https://www.sec.gov/Archives/edgar/data/814547/000081454725000030/fico-20250930.htm</t>
        </r>
      </text>
    </comment>
    <comment ref="J8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COGS % of Revenue
HOW: Excel equation: I25/I24 (FY25 COGS ÷ FY25 Revenue) held flat.
WHY: Locks in latest reported cost structure (~17.8%). Scores mix is high-margin; holding FY25 is conservative vs further mix shift.
SOURCE: SEC 10-K FY2025 — Cost of revenues / Total revenues
LINK: https://www.sec.gov/Archives/edgar/data/814547/000081454725000030/fico-20250930.htm</t>
        </r>
      </text>
    </comment>
    <comment ref="K8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COGS % of Revenue
HOW: Excel equation: I25/I24 (FY25 COGS ÷ FY25 Revenue) held flat.
WHY: Locks in latest reported cost structure (~17.8%). Scores mix is high-margin; holding FY25 is conservative vs further mix shift.
SOURCE: SEC 10-K FY2025 — Cost of revenues / Total revenues
LINK: https://www.sec.gov/Archives/edgar/data/814547/000081454725000030/fico-20250930.htm</t>
        </r>
      </text>
    </comment>
    <comment ref="L8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COGS % of Revenue
HOW: Excel equation: I25/I24 (FY25 COGS ÷ FY25 Revenue) held flat.
WHY: Locks in latest reported cost structure (~17.8%). Scores mix is high-margin; holding FY25 is conservative vs further mix shift.
SOURCE: SEC 10-K FY2025 — Cost of revenues / Total revenues
LINK: https://www.sec.gov/Archives/edgar/data/814547/000081454725000030/fico-20250930.htm</t>
        </r>
      </text>
    </comment>
    <comment ref="M8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COGS % of Revenue
HOW: Excel equation: I25/I24 (FY25 COGS ÷ FY25 Revenue) held flat.
WHY: Locks in latest reported cost structure (~17.8%). Scores mix is high-margin; holding FY25 is conservative vs further mix shift.
SOURCE: SEC 10-K FY2025 — Cost of revenues / Total revenues
LINK: https://www.sec.gov/Archives/edgar/data/814547/000081454725000030/fico-20250930.htm</t>
        </r>
      </text>
    </comment>
    <comment ref="N8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COGS % of Revenue
HOW: Excel equation: I25/I24 (FY25 COGS ÷ FY25 Revenue) held flat.
WHY: Locks in latest reported cost structure (~17.8%). Scores mix is high-margin; holding FY25 is conservative vs further mix shift.
SOURCE: SEC 10-K FY2025 — Cost of revenues / Total revenues
LINK: https://www.sec.gov/Archives/edgar/data/814547/000081454725000030/fico-20250930.htm</t>
        </r>
      </text>
    </comment>
    <comment ref="U8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COGS % of Revenue
HOW: Excel equation: I25/I24 (FY25 COGS ÷ FY25 Revenue) held flat.
WHY: Locks in latest reported cost structure (~17.8%). Scores mix is high-margin; holding FY25 is conservative vs further mix shift.
SOURCE: SEC 10-K FY2025 — Cost of revenues / Total revenues
LINK: https://www.sec.gov/Archives/edgar/data/814547/000081454725000030/fico-20250930.htm</t>
        </r>
      </text>
    </comment>
    <comment ref="B9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SG&amp;A % of Revenue
HOW: Equation: MAX(15%, (I28 − 10,922)/I24 − 75bps × year). Strips FY25 restructuring; then −0.75% of sales each year.
WHY: MODEL7 audit: allow software operating leverage. Floor 15%; grind −75 bps so SG&amp;A can scale toward mid-teens as revenue expands (not stuck ~24–25%).
SOURCE: SEC 10-K FY2025 — SG&amp;A + restructuring note
LINK: https://www.sec.gov/Archives/edgar/data/814547/000081454725000030/fico-20250930.htm</t>
        </r>
      </text>
    </comment>
    <comment ref="J9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SG&amp;A % of Revenue
HOW: Equation: MAX(15%, (I28 − 10,922)/I24 − 75bps × year). Strips FY25 restructuring; then −0.75% of sales each year.
WHY: MODEL7 audit: allow software operating leverage. Floor 15%; grind −75 bps so SG&amp;A can scale toward mid-teens as revenue expands (not stuck ~24–25%).
SOURCE: SEC 10-K FY2025 — SG&amp;A + restructuring note
LINK: https://www.sec.gov/Archives/edgar/data/814547/000081454725000030/fico-20250930.htm</t>
        </r>
      </text>
    </comment>
    <comment ref="K9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SG&amp;A % of Revenue
HOW: Equation: MAX(15%, (I28 − 10,922)/I24 − 75bps × year). Strips FY25 restructuring; then −0.75% of sales each year.
WHY: MODEL7 audit: allow software operating leverage. Floor 15%; grind −75 bps so SG&amp;A can scale toward mid-teens as revenue expands (not stuck ~24–25%).
SOURCE: SEC 10-K FY2025 — SG&amp;A + restructuring note
LINK: https://www.sec.gov/Archives/edgar/data/814547/000081454725000030/fico-20250930.htm</t>
        </r>
      </text>
    </comment>
    <comment ref="L9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SG&amp;A % of Revenue
HOW: Equation: MAX(15%, (I28 − 10,922)/I24 − 75bps × year). Strips FY25 restructuring; then −0.75% of sales each year.
WHY: MODEL7 audit: allow software operating leverage. Floor 15%; grind −75 bps so SG&amp;A can scale toward mid-teens as revenue expands (not stuck ~24–25%).
SOURCE: SEC 10-K FY2025 — SG&amp;A + restructuring note
LINK: https://www.sec.gov/Archives/edgar/data/814547/000081454725000030/fico-20250930.htm</t>
        </r>
      </text>
    </comment>
    <comment ref="M9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SG&amp;A % of Revenue
HOW: Equation: MAX(15%, (I28 − 10,922)/I24 − 75bps × year). Strips FY25 restructuring; then −0.75% of sales each year.
WHY: MODEL7 audit: allow software operating leverage. Floor 15%; grind −75 bps so SG&amp;A can scale toward mid-teens as revenue expands (not stuck ~24–25%).
SOURCE: SEC 10-K FY2025 — SG&amp;A + restructuring note
LINK: https://www.sec.gov/Archives/edgar/data/814547/000081454725000030/fico-20250930.htm</t>
        </r>
      </text>
    </comment>
    <comment ref="N9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SG&amp;A % of Revenue
HOW: Equation: MAX(15%, (I28 − 10,922)/I24 − 75bps × year). Strips FY25 restructuring; then −0.75% of sales each year.
WHY: MODEL7 audit: allow software operating leverage. Floor 15%; grind −75 bps so SG&amp;A can scale toward mid-teens as revenue expands (not stuck ~24–25%).
SOURCE: SEC 10-K FY2025 — SG&amp;A + restructuring note
LINK: https://www.sec.gov/Archives/edgar/data/814547/000081454725000030/fico-20250930.htm</t>
        </r>
      </text>
    </comment>
    <comment ref="U9" authorId="0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SG&amp;A % of Revenue
HOW: Equation: MAX(15%, (I28 − 10,922)/I24 − 75bps × year). Strips FY25 restructuring; then −0.75% of sales each year.
WHY: MODEL7 audit: allow software operating leverage. Floor 15%; grind −75 bps so SG&amp;A can scale toward mid-teens as revenue expands (not stuck ~24–25%).
SOURCE: SEC 10-K FY2025 — SG&amp;A + restructuring note
LINK: https://www.sec.gov/Archives/edgar/data/814547/000081454725000030/fico-20250930.htm</t>
        </r>
      </text>
    </comment>
    <comment ref="B10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R&amp;D % of Revenue
HOW: Excel equation: I29/I24 held flat (~9.46%).
WHY: FICO reinvests steadily in analytics/software. Flat % grows dollars with revenue.
SOURCE: SEC 10-K FY2025 — Research and development
LINK: https://www.sec.gov/Archives/edgar/data/814547/000081454725000030/fico-20250930.htm</t>
        </r>
      </text>
    </comment>
    <comment ref="J10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R&amp;D % of Revenue
HOW: Excel equation: I29/I24 held flat (~9.46%).
WHY: FICO reinvests steadily in analytics/software. Flat % grows dollars with revenue.
SOURCE: SEC 10-K FY2025 — Research and development
LINK: https://www.sec.gov/Archives/edgar/data/814547/000081454725000030/fico-20250930.htm</t>
        </r>
      </text>
    </comment>
    <comment ref="K10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R&amp;D % of Revenue
HOW: Excel equation: I29/I24 held flat (~9.46%).
WHY: FICO reinvests steadily in analytics/software. Flat % grows dollars with revenue.
SOURCE: SEC 10-K FY2025 — Research and development
LINK: https://www.sec.gov/Archives/edgar/data/814547/000081454725000030/fico-20250930.htm</t>
        </r>
      </text>
    </comment>
    <comment ref="L10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R&amp;D % of Revenue
HOW: Excel equation: I29/I24 held flat (~9.46%).
WHY: FICO reinvests steadily in analytics/software. Flat % grows dollars with revenue.
SOURCE: SEC 10-K FY2025 — Research and development
LINK: https://www.sec.gov/Archives/edgar/data/814547/000081454725000030/fico-20250930.htm</t>
        </r>
      </text>
    </comment>
    <comment ref="M10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R&amp;D % of Revenue
HOW: Excel equation: I29/I24 held flat (~9.46%).
WHY: FICO reinvests steadily in analytics/software. Flat % grows dollars with revenue.
SOURCE: SEC 10-K FY2025 — Research and development
LINK: https://www.sec.gov/Archives/edgar/data/814547/000081454725000030/fico-20250930.htm</t>
        </r>
      </text>
    </comment>
    <comment ref="N10" authorId="0" shapeId="0" xr:uid="{00000000-0006-0000-0100-000027000000}">
      <text>
        <r>
          <rPr>
            <sz val="11"/>
            <color theme="1"/>
            <rFont val="Calibri"/>
            <family val="2"/>
            <scheme val="minor"/>
          </rPr>
          <t>R&amp;D % of Revenue
HOW: Excel equation: I29/I24 held flat (~9.46%).
WHY: FICO reinvests steadily in analytics/software. Flat % grows dollars with revenue.
SOURCE: SEC 10-K FY2025 — Research and development
LINK: https://www.sec.gov/Archives/edgar/data/814547/000081454725000030/fico-20250930.htm</t>
        </r>
      </text>
    </comment>
    <comment ref="U10" authorId="0" shapeId="0" xr:uid="{00000000-0006-0000-0100-000028000000}">
      <text>
        <r>
          <rPr>
            <sz val="11"/>
            <color theme="1"/>
            <rFont val="Calibri"/>
            <family val="2"/>
            <scheme val="minor"/>
          </rPr>
          <t>R&amp;D % of Revenue
HOW: Excel equation: I29/I24 held flat (~9.46%).
WHY: FICO reinvests steadily in analytics/software. Flat % grows dollars with revenue.
SOURCE: SEC 10-K FY2025 — Research and development
LINK: https://www.sec.gov/Archives/edgar/data/814547/000081454725000030/fico-20250930.htm</t>
        </r>
      </text>
    </comment>
    <comment ref="B11" authorId="0" shapeId="0" xr:uid="{00000000-0006-0000-0100-000029000000}">
      <text>
        <r>
          <rPr>
            <sz val="11"/>
            <color theme="1"/>
            <rFont val="Calibri"/>
            <family val="2"/>
            <scheme val="minor"/>
          </rPr>
          <t>D&amp;A % of Avg PP&amp;E
HOW: Rate = I30/I44 (FY25 DA ÷ FY25 PPE). Forecast DA$ = ((Open + Open+CapEx)/2) × rate.
WHY: MODEL6 fix: prior model depreciated only opening PP&amp;E, so ~$96M of forecast CapEx never hit D&amp;A/FCFF add-back. Average PP&amp;E (Open ↔ pre-DA close) depreciates additions in the year they are placed in service.
SOURCE: SEC 10-K FY2025 — D&amp;A and PP&amp;E
LINK: https://www.sec.gov/Archives/edgar/data/814547/000081454725000030/fico-20250930.htm</t>
        </r>
      </text>
    </comment>
    <comment ref="J11" authorId="0" shapeId="0" xr:uid="{00000000-0006-0000-0100-00002A000000}">
      <text>
        <r>
          <rPr>
            <sz val="11"/>
            <color theme="1"/>
            <rFont val="Calibri"/>
            <family val="2"/>
            <scheme val="minor"/>
          </rPr>
          <t>D&amp;A % of Avg PP&amp;E
HOW: Rate = I30/I44 (FY25 DA ÷ FY25 PPE). Forecast DA$ = ((Open + Open+CapEx)/2) × rate.
WHY: MODEL6 fix: prior model depreciated only opening PP&amp;E, so ~$96M of forecast CapEx never hit D&amp;A/FCFF add-back. Average PP&amp;E (Open ↔ pre-DA close) depreciates additions in the year they are placed in service.
SOURCE: SEC 10-K FY2025 — D&amp;A and PP&amp;E
LINK: https://www.sec.gov/Archives/edgar/data/814547/000081454725000030/fico-20250930.htm</t>
        </r>
      </text>
    </comment>
    <comment ref="K11" authorId="0" shapeId="0" xr:uid="{00000000-0006-0000-0100-00002B000000}">
      <text>
        <r>
          <rPr>
            <sz val="11"/>
            <color theme="1"/>
            <rFont val="Calibri"/>
            <family val="2"/>
            <scheme val="minor"/>
          </rPr>
          <t>D&amp;A % of Avg PP&amp;E
HOW: Rate = I30/I44 (FY25 DA ÷ FY25 PPE). Forecast DA$ = ((Open + Open+CapEx)/2) × rate.
WHY: MODEL6 fix: prior model depreciated only opening PP&amp;E, so ~$96M of forecast CapEx never hit D&amp;A/FCFF add-back. Average PP&amp;E (Open ↔ pre-DA close) depreciates additions in the year they are placed in service.
SOURCE: SEC 10-K FY2025 — D&amp;A and PP&amp;E
LINK: https://www.sec.gov/Archives/edgar/data/814547/000081454725000030/fico-20250930.htm</t>
        </r>
      </text>
    </comment>
    <comment ref="L11" authorId="0" shapeId="0" xr:uid="{00000000-0006-0000-0100-00002C000000}">
      <text>
        <r>
          <rPr>
            <sz val="11"/>
            <color theme="1"/>
            <rFont val="Calibri"/>
            <family val="2"/>
            <scheme val="minor"/>
          </rPr>
          <t>D&amp;A % of Avg PP&amp;E
HOW: Rate = I30/I44 (FY25 DA ÷ FY25 PPE). Forecast DA$ = ((Open + Open+CapEx)/2) × rate.
WHY: MODEL6 fix: prior model depreciated only opening PP&amp;E, so ~$96M of forecast CapEx never hit D&amp;A/FCFF add-back. Average PP&amp;E (Open ↔ pre-DA close) depreciates additions in the year they are placed in service.
SOURCE: SEC 10-K FY2025 — D&amp;A and PP&amp;E
LINK: https://www.sec.gov/Archives/edgar/data/814547/000081454725000030/fico-20250930.htm</t>
        </r>
      </text>
    </comment>
    <comment ref="M11" authorId="0" shapeId="0" xr:uid="{00000000-0006-0000-0100-00002D000000}">
      <text>
        <r>
          <rPr>
            <sz val="11"/>
            <color theme="1"/>
            <rFont val="Calibri"/>
            <family val="2"/>
            <scheme val="minor"/>
          </rPr>
          <t>D&amp;A % of Avg PP&amp;E
HOW: Rate = I30/I44 (FY25 DA ÷ FY25 PPE). Forecast DA$ = ((Open + Open+CapEx)/2) × rate.
WHY: MODEL6 fix: prior model depreciated only opening PP&amp;E, so ~$96M of forecast CapEx never hit D&amp;A/FCFF add-back. Average PP&amp;E (Open ↔ pre-DA close) depreciates additions in the year they are placed in service.
SOURCE: SEC 10-K FY2025 — D&amp;A and PP&amp;E
LINK: https://www.sec.gov/Archives/edgar/data/814547/000081454725000030/fico-20250930.htm</t>
        </r>
      </text>
    </comment>
    <comment ref="N11" authorId="0" shapeId="0" xr:uid="{00000000-0006-0000-0100-00002E000000}">
      <text>
        <r>
          <rPr>
            <sz val="11"/>
            <color theme="1"/>
            <rFont val="Calibri"/>
            <family val="2"/>
            <scheme val="minor"/>
          </rPr>
          <t>D&amp;A % of Avg PP&amp;E
HOW: Rate = I30/I44 (FY25 DA ÷ FY25 PPE). Forecast DA$ = ((Open + Open+CapEx)/2) × rate.
WHY: MODEL6 fix: prior model depreciated only opening PP&amp;E, so ~$96M of forecast CapEx never hit D&amp;A/FCFF add-back. Average PP&amp;E (Open ↔ pre-DA close) depreciates additions in the year they are placed in service.
SOURCE: SEC 10-K FY2025 — D&amp;A and PP&amp;E
LINK: https://www.sec.gov/Archives/edgar/data/814547/000081454725000030/fico-20250930.htm</t>
        </r>
      </text>
    </comment>
    <comment ref="U11" authorId="0" shapeId="0" xr:uid="{00000000-0006-0000-0100-00002F000000}">
      <text>
        <r>
          <rPr>
            <sz val="11"/>
            <color theme="1"/>
            <rFont val="Calibri"/>
            <family val="2"/>
            <scheme val="minor"/>
          </rPr>
          <t>D&amp;A % of Avg PP&amp;E
HOW: Rate = I30/I44 (FY25 DA ÷ FY25 PPE). Forecast DA$ = ((Open + Open+CapEx)/2) × rate.
WHY: MODEL6 fix: prior model depreciated only opening PP&amp;E, so ~$96M of forecast CapEx never hit D&amp;A/FCFF add-back. Average PP&amp;E (Open ↔ pre-DA close) depreciates additions in the year they are placed in service.
SOURCE: SEC 10-K FY2025 — D&amp;A and PP&amp;E
LINK: https://www.sec.gov/Archives/edgar/data/814547/000081454725000030/fico-20250930.htm</t>
        </r>
      </text>
    </comment>
    <comment ref="B12" authorId="0" shapeId="0" xr:uid="{00000000-0006-0000-0100-000030000000}">
      <text>
        <r>
          <rPr>
            <sz val="11"/>
            <color theme="1"/>
            <rFont val="Calibri"/>
            <family val="2"/>
            <scheme val="minor"/>
          </rPr>
          <t>Interest % of Debt Open
HOW: Excel equation: I101/I98 (FY25 interest ÷ FY25 opening debt in schedule).
WHY: Approximates average coupon / cost of debt on the book. Debt held flat (issuance = 0), so interest stays linked to that stock.
SOURCE: SEC 10-K FY2025 — Interest expense; see also 8-K 6.250% notes
LINK: https://www.sec.gov/Archives/edgar/data/814547/000081454725000030/fico-20250930.htm</t>
        </r>
      </text>
    </comment>
    <comment ref="J12" authorId="0" shapeId="0" xr:uid="{00000000-0006-0000-0100-000031000000}">
      <text>
        <r>
          <rPr>
            <sz val="11"/>
            <color theme="1"/>
            <rFont val="Calibri"/>
            <family val="2"/>
            <scheme val="minor"/>
          </rPr>
          <t>Interest % of Debt Open
HOW: Excel equation: I101/I98 (FY25 interest ÷ FY25 opening debt in schedule).
WHY: Approximates average coupon / cost of debt on the book. Debt held flat (issuance = 0), so interest stays linked to that stock.
SOURCE: SEC 10-K FY2025 — Interest expense; see also 8-K 6.250% notes
LINK: https://www.sec.gov/Archives/edgar/data/814547/000081454725000030/fico-20250930.htm</t>
        </r>
      </text>
    </comment>
    <comment ref="K12" authorId="0" shapeId="0" xr:uid="{00000000-0006-0000-0100-000032000000}">
      <text>
        <r>
          <rPr>
            <sz val="11"/>
            <color theme="1"/>
            <rFont val="Calibri"/>
            <family val="2"/>
            <scheme val="minor"/>
          </rPr>
          <t>Interest % of Debt Open
HOW: Excel equation: I101/I98 (FY25 interest ÷ FY25 opening debt in schedule).
WHY: Approximates average coupon / cost of debt on the book. Debt held flat (issuance = 0), so interest stays linked to that stock.
SOURCE: SEC 10-K FY2025 — Interest expense; see also 8-K 6.250% notes
LINK: https://www.sec.gov/Archives/edgar/data/814547/000081454725000030/fico-20250930.htm</t>
        </r>
      </text>
    </comment>
    <comment ref="L12" authorId="0" shapeId="0" xr:uid="{00000000-0006-0000-0100-000033000000}">
      <text>
        <r>
          <rPr>
            <sz val="11"/>
            <color theme="1"/>
            <rFont val="Calibri"/>
            <family val="2"/>
            <scheme val="minor"/>
          </rPr>
          <t>Interest % of Debt Open
HOW: Excel equation: I101/I98 (FY25 interest ÷ FY25 opening debt in schedule).
WHY: Approximates average coupon / cost of debt on the book. Debt held flat (issuance = 0), so interest stays linked to that stock.
SOURCE: SEC 10-K FY2025 — Interest expense; see also 8-K 6.250% notes
LINK: https://www.sec.gov/Archives/edgar/data/814547/000081454725000030/fico-20250930.htm</t>
        </r>
      </text>
    </comment>
    <comment ref="M12" authorId="0" shapeId="0" xr:uid="{00000000-0006-0000-0100-000034000000}">
      <text>
        <r>
          <rPr>
            <sz val="11"/>
            <color theme="1"/>
            <rFont val="Calibri"/>
            <family val="2"/>
            <scheme val="minor"/>
          </rPr>
          <t>Interest % of Debt Open
HOW: Excel equation: I101/I98 (FY25 interest ÷ FY25 opening debt in schedule).
WHY: Approximates average coupon / cost of debt on the book. Debt held flat (issuance = 0), so interest stays linked to that stock.
SOURCE: SEC 10-K FY2025 — Interest expense; see also 8-K 6.250% notes
LINK: https://www.sec.gov/Archives/edgar/data/814547/000081454725000030/fico-20250930.htm</t>
        </r>
      </text>
    </comment>
    <comment ref="N12" authorId="0" shapeId="0" xr:uid="{00000000-0006-0000-0100-000035000000}">
      <text>
        <r>
          <rPr>
            <sz val="11"/>
            <color theme="1"/>
            <rFont val="Calibri"/>
            <family val="2"/>
            <scheme val="minor"/>
          </rPr>
          <t>Interest % of Debt Open
HOW: Excel equation: I101/I98 (FY25 interest ÷ FY25 opening debt in schedule).
WHY: Approximates average coupon / cost of debt on the book. Debt held flat (issuance = 0), so interest stays linked to that stock.
SOURCE: SEC 10-K FY2025 — Interest expense; see also 8-K 6.250% notes
LINK: https://www.sec.gov/Archives/edgar/data/814547/000081454725000030/fico-20250930.htm</t>
        </r>
      </text>
    </comment>
    <comment ref="U12" authorId="0" shapeId="0" xr:uid="{00000000-0006-0000-0100-000036000000}">
      <text>
        <r>
          <rPr>
            <sz val="11"/>
            <color theme="1"/>
            <rFont val="Calibri"/>
            <family val="2"/>
            <scheme val="minor"/>
          </rPr>
          <t>Interest % of Debt Open
HOW: Excel equation: I101/I98 (FY25 interest ÷ FY25 opening debt in schedule).
WHY: Approximates average coupon / cost of debt on the book. Debt held flat (issuance = 0), so interest stays linked to that stock.
SOURCE: SEC 10-K FY2025 — Interest expense; see also 8-K 6.250% notes
LINK: https://www.sec.gov/Archives/edgar/data/814547/000081454725000030/fico-20250930.htm</t>
        </r>
      </text>
    </comment>
    <comment ref="B13" authorId="0" shapeId="0" xr:uid="{00000000-0006-0000-0100-000037000000}">
      <text>
        <r>
          <rPr>
            <sz val="11"/>
            <color theme="1"/>
            <rFont val="Calibri"/>
            <family val="2"/>
            <scheme val="minor"/>
          </rPr>
          <t>Tax Rate (% of EBT)
HOW: Excel equation: I35/I33 (FY25 tax ÷ simplified FY25 EBT in this template).
WHY: Uses reported effective rate (~19% on template EBT; ~18.8% on 10-K EBT). UFCF in DCF also uses unlevered EBIT × t.
SOURCE: SEC 10-K FY2025 — Provision for income taxes / Income before taxes
LINK: https://www.sec.gov/Archives/edgar/data/814547/000081454725000030/fico-20250930.htm</t>
        </r>
      </text>
    </comment>
    <comment ref="J13" authorId="0" shapeId="0" xr:uid="{00000000-0006-0000-0100-000038000000}">
      <text>
        <r>
          <rPr>
            <sz val="11"/>
            <color theme="1"/>
            <rFont val="Calibri"/>
            <family val="2"/>
            <scheme val="minor"/>
          </rPr>
          <t>Tax Rate (% of EBT)
HOW: Excel equation: I35/I33 (FY25 tax ÷ simplified FY25 EBT in this template).
WHY: Uses reported effective rate (~19% on template EBT; ~18.8% on 10-K EBT). UFCF in DCF also uses unlevered EBIT × t.
SOURCE: SEC 10-K FY2025 — Provision for income taxes / Income before taxes
LINK: https://www.sec.gov/Archives/edgar/data/814547/000081454725000030/fico-20250930.htm</t>
        </r>
      </text>
    </comment>
    <comment ref="K13" authorId="0" shapeId="0" xr:uid="{00000000-0006-0000-0100-000039000000}">
      <text>
        <r>
          <rPr>
            <sz val="11"/>
            <color theme="1"/>
            <rFont val="Calibri"/>
            <family val="2"/>
            <scheme val="minor"/>
          </rPr>
          <t>Tax Rate (% of EBT)
HOW: Excel equation: I35/I33 (FY25 tax ÷ simplified FY25 EBT in this template).
WHY: Uses reported effective rate (~19% on template EBT; ~18.8% on 10-K EBT). UFCF in DCF also uses unlevered EBIT × t.
SOURCE: SEC 10-K FY2025 — Provision for income taxes / Income before taxes
LINK: https://www.sec.gov/Archives/edgar/data/814547/000081454725000030/fico-20250930.htm</t>
        </r>
      </text>
    </comment>
    <comment ref="L13" authorId="0" shapeId="0" xr:uid="{00000000-0006-0000-0100-00003A000000}">
      <text>
        <r>
          <rPr>
            <sz val="11"/>
            <color theme="1"/>
            <rFont val="Calibri"/>
            <family val="2"/>
            <scheme val="minor"/>
          </rPr>
          <t>Tax Rate (% of EBT)
HOW: Excel equation: I35/I33 (FY25 tax ÷ simplified FY25 EBT in this template).
WHY: Uses reported effective rate (~19% on template EBT; ~18.8% on 10-K EBT). UFCF in DCF also uses unlevered EBIT × t.
SOURCE: SEC 10-K FY2025 — Provision for income taxes / Income before taxes
LINK: https://www.sec.gov/Archives/edgar/data/814547/000081454725000030/fico-20250930.htm</t>
        </r>
      </text>
    </comment>
    <comment ref="M13" authorId="0" shapeId="0" xr:uid="{00000000-0006-0000-0100-00003B000000}">
      <text>
        <r>
          <rPr>
            <sz val="11"/>
            <color theme="1"/>
            <rFont val="Calibri"/>
            <family val="2"/>
            <scheme val="minor"/>
          </rPr>
          <t>Tax Rate (% of EBT)
HOW: Excel equation: I35/I33 (FY25 tax ÷ simplified FY25 EBT in this template).
WHY: Uses reported effective rate (~19% on template EBT; ~18.8% on 10-K EBT). UFCF in DCF also uses unlevered EBIT × t.
SOURCE: SEC 10-K FY2025 — Provision for income taxes / Income before taxes
LINK: https://www.sec.gov/Archives/edgar/data/814547/000081454725000030/fico-20250930.htm</t>
        </r>
      </text>
    </comment>
    <comment ref="N13" authorId="0" shapeId="0" xr:uid="{00000000-0006-0000-0100-00003C000000}">
      <text>
        <r>
          <rPr>
            <sz val="11"/>
            <color theme="1"/>
            <rFont val="Calibri"/>
            <family val="2"/>
            <scheme val="minor"/>
          </rPr>
          <t>Tax Rate (% of EBT)
HOW: Excel equation: I35/I33 (FY25 tax ÷ simplified FY25 EBT in this template).
WHY: Uses reported effective rate (~19% on template EBT; ~18.8% on 10-K EBT). UFCF in DCF also uses unlevered EBIT × t.
SOURCE: SEC 10-K FY2025 — Provision for income taxes / Income before taxes
LINK: https://www.sec.gov/Archives/edgar/data/814547/000081454725000030/fico-20250930.htm</t>
        </r>
      </text>
    </comment>
    <comment ref="U13" authorId="0" shapeId="0" xr:uid="{00000000-0006-0000-0100-00003D000000}">
      <text>
        <r>
          <rPr>
            <sz val="11"/>
            <color theme="1"/>
            <rFont val="Calibri"/>
            <family val="2"/>
            <scheme val="minor"/>
          </rPr>
          <t>Tax Rate (% of EBT)
HOW: Excel equation: I35/I33 (FY25 tax ÷ simplified FY25 EBT in this template).
WHY: Uses reported effective rate (~19% on template EBT; ~18.8% on 10-K EBT). UFCF in DCF also uses unlevered EBIT × t.
SOURCE: SEC 10-K FY2025 — Provision for income taxes / Income before taxes
LINK: https://www.sec.gov/Archives/edgar/data/814547/000081454725000030/fico-20250930.htm</t>
        </r>
      </text>
    </comment>
    <comment ref="B15" authorId="0" shapeId="0" xr:uid="{00000000-0006-0000-0100-00003E000000}">
      <text>
        <r>
          <rPr>
            <sz val="11"/>
            <color theme="1"/>
            <rFont val="Calibri"/>
            <family val="2"/>
            <scheme val="minor"/>
          </rPr>
          <t>Operating NWC % of Revenue
HOW: Equation: fade FY25 op. NWC/Sales → 3% steady (weights 70/50/30/15/0).
WHY: MODEL7 audit: ends the gross-AR-days + deferred double-count that drained ~$297M of FCFF. Asset-light software WC fades toward ~3% of sales; BS AR is plugged so AR−AP−Deferred = NWC.
SOURCE: SEC companyfacts XBRL — AR / AP / DeferredRevenueCurrent
LINK: https://data.sec.gov/api/xbrl/companyfacts/CIK0000814547.json</t>
        </r>
      </text>
    </comment>
    <comment ref="J15" authorId="0" shapeId="0" xr:uid="{00000000-0006-0000-0100-00003F000000}">
      <text>
        <r>
          <rPr>
            <sz val="11"/>
            <color theme="1"/>
            <rFont val="Calibri"/>
            <family val="2"/>
            <scheme val="minor"/>
          </rPr>
          <t>Operating NWC % of Revenue
HOW: Equation: fade FY25 op. NWC/Sales → 3% steady (weights 70/50/30/15/0).
WHY: MODEL7 audit: ends the gross-AR-days + deferred double-count that drained ~$297M of FCFF. Asset-light software WC fades toward ~3% of sales; BS AR is plugged so AR−AP−Deferred = NWC.
SOURCE: SEC companyfacts XBRL — AR / AP / DeferredRevenueCurrent
LINK: https://data.sec.gov/api/xbrl/companyfacts/CIK0000814547.json</t>
        </r>
      </text>
    </comment>
    <comment ref="K15" authorId="0" shapeId="0" xr:uid="{00000000-0006-0000-0100-000040000000}">
      <text>
        <r>
          <rPr>
            <sz val="11"/>
            <color theme="1"/>
            <rFont val="Calibri"/>
            <family val="2"/>
            <scheme val="minor"/>
          </rPr>
          <t>Operating NWC % of Revenue
HOW: Equation: fade FY25 op. NWC/Sales → 3% steady (weights 70/50/30/15/0).
WHY: MODEL7 audit: ends the gross-AR-days + deferred double-count that drained ~$297M of FCFF. Asset-light software WC fades toward ~3% of sales; BS AR is plugged so AR−AP−Deferred = NWC.
SOURCE: SEC companyfacts XBRL — AR / AP / DeferredRevenueCurrent
LINK: https://data.sec.gov/api/xbrl/companyfacts/CIK0000814547.json</t>
        </r>
      </text>
    </comment>
    <comment ref="L15" authorId="0" shapeId="0" xr:uid="{00000000-0006-0000-0100-000041000000}">
      <text>
        <r>
          <rPr>
            <sz val="11"/>
            <color theme="1"/>
            <rFont val="Calibri"/>
            <family val="2"/>
            <scheme val="minor"/>
          </rPr>
          <t>Operating NWC % of Revenue
HOW: Equation: fade FY25 op. NWC/Sales → 3% steady (weights 70/50/30/15/0).
WHY: MODEL7 audit: ends the gross-AR-days + deferred double-count that drained ~$297M of FCFF. Asset-light software WC fades toward ~3% of sales; BS AR is plugged so AR−AP−Deferred = NWC.
SOURCE: SEC companyfacts XBRL — AR / AP / DeferredRevenueCurrent
LINK: https://data.sec.gov/api/xbrl/companyfacts/CIK0000814547.json</t>
        </r>
      </text>
    </comment>
    <comment ref="M15" authorId="0" shapeId="0" xr:uid="{00000000-0006-0000-0100-000042000000}">
      <text>
        <r>
          <rPr>
            <sz val="11"/>
            <color theme="1"/>
            <rFont val="Calibri"/>
            <family val="2"/>
            <scheme val="minor"/>
          </rPr>
          <t>Operating NWC % of Revenue
HOW: Equation: fade FY25 op. NWC/Sales → 3% steady (weights 70/50/30/15/0).
WHY: MODEL7 audit: ends the gross-AR-days + deferred double-count that drained ~$297M of FCFF. Asset-light software WC fades toward ~3% of sales; BS AR is plugged so AR−AP−Deferred = NWC.
SOURCE: SEC companyfacts XBRL — AR / AP / DeferredRevenueCurrent
LINK: https://data.sec.gov/api/xbrl/companyfacts/CIK0000814547.json</t>
        </r>
      </text>
    </comment>
    <comment ref="N15" authorId="0" shapeId="0" xr:uid="{00000000-0006-0000-0100-000043000000}">
      <text>
        <r>
          <rPr>
            <sz val="11"/>
            <color theme="1"/>
            <rFont val="Calibri"/>
            <family val="2"/>
            <scheme val="minor"/>
          </rPr>
          <t>Operating NWC % of Revenue
HOW: Equation: fade FY25 op. NWC/Sales → 3% steady (weights 70/50/30/15/0).
WHY: MODEL7 audit: ends the gross-AR-days + deferred double-count that drained ~$297M of FCFF. Asset-light software WC fades toward ~3% of sales; BS AR is plugged so AR−AP−Deferred = NWC.
SOURCE: SEC companyfacts XBRL — AR / AP / DeferredRevenueCurrent
LINK: https://data.sec.gov/api/xbrl/companyfacts/CIK0000814547.json</t>
        </r>
      </text>
    </comment>
    <comment ref="U15" authorId="0" shapeId="0" xr:uid="{00000000-0006-0000-0100-000044000000}">
      <text>
        <r>
          <rPr>
            <sz val="11"/>
            <color theme="1"/>
            <rFont val="Calibri"/>
            <family val="2"/>
            <scheme val="minor"/>
          </rPr>
          <t>Operating NWC % of Revenue
HOW: Equation: fade FY25 op. NWC/Sales → 3% steady (weights 70/50/30/15/0).
WHY: MODEL7 audit: ends the gross-AR-days + deferred double-count that drained ~$297M of FCFF. Asset-light software WC fades toward ~3% of sales; BS AR is plugged so AR−AP−Deferred = NWC.
SOURCE: SEC companyfacts XBRL — AR / AP / DeferredRevenueCurrent
LINK: https://data.sec.gov/api/xbrl/companyfacts/CIK0000814547.json</t>
        </r>
      </text>
    </comment>
    <comment ref="B16" authorId="0" shapeId="0" xr:uid="{00000000-0006-0000-0100-000045000000}">
      <text>
        <r>
          <rPr>
            <sz val="11"/>
            <color theme="1"/>
            <rFont val="Calibri"/>
            <family val="2"/>
            <scheme val="minor"/>
          </rPr>
          <t>Inventory (Days)
HOW: Hard zero — FICO is software / scores; inventory is immaterial.
WHY: No inventory cycle to fund.
SOURCE: SEC 10-K FY2025 — Inventory ≈ $0
LINK: https://www.sec.gov/Archives/edgar/data/814547/000081454725000030/fico-20250930.htm</t>
        </r>
      </text>
    </comment>
    <comment ref="J16" authorId="0" shapeId="0" xr:uid="{00000000-0006-0000-0100-000046000000}">
      <text>
        <r>
          <rPr>
            <sz val="11"/>
            <color theme="1"/>
            <rFont val="Calibri"/>
            <family val="2"/>
            <scheme val="minor"/>
          </rPr>
          <t>Inventory (Days)
HOW: Hard zero — FICO is software / scores; inventory is immaterial.
WHY: No inventory cycle to fund.
SOURCE: SEC 10-K FY2025 — Inventory ≈ $0
LINK: https://www.sec.gov/Archives/edgar/data/814547/000081454725000030/fico-20250930.htm</t>
        </r>
      </text>
    </comment>
    <comment ref="K16" authorId="0" shapeId="0" xr:uid="{00000000-0006-0000-0100-000047000000}">
      <text>
        <r>
          <rPr>
            <sz val="11"/>
            <color theme="1"/>
            <rFont val="Calibri"/>
            <family val="2"/>
            <scheme val="minor"/>
          </rPr>
          <t>Inventory (Days)
HOW: Hard zero — FICO is software / scores; inventory is immaterial.
WHY: No inventory cycle to fund.
SOURCE: SEC 10-K FY2025 — Inventory ≈ $0
LINK: https://www.sec.gov/Archives/edgar/data/814547/000081454725000030/fico-20250930.htm</t>
        </r>
      </text>
    </comment>
    <comment ref="L16" authorId="0" shapeId="0" xr:uid="{00000000-0006-0000-0100-000048000000}">
      <text>
        <r>
          <rPr>
            <sz val="11"/>
            <color theme="1"/>
            <rFont val="Calibri"/>
            <family val="2"/>
            <scheme val="minor"/>
          </rPr>
          <t>Inventory (Days)
HOW: Hard zero — FICO is software / scores; inventory is immaterial.
WHY: No inventory cycle to fund.
SOURCE: SEC 10-K FY2025 — Inventory ≈ $0
LINK: https://www.sec.gov/Archives/edgar/data/814547/000081454725000030/fico-20250930.htm</t>
        </r>
      </text>
    </comment>
    <comment ref="M16" authorId="0" shapeId="0" xr:uid="{00000000-0006-0000-0100-000049000000}">
      <text>
        <r>
          <rPr>
            <sz val="11"/>
            <color theme="1"/>
            <rFont val="Calibri"/>
            <family val="2"/>
            <scheme val="minor"/>
          </rPr>
          <t>Inventory (Days)
HOW: Hard zero — FICO is software / scores; inventory is immaterial.
WHY: No inventory cycle to fund.
SOURCE: SEC 10-K FY2025 — Inventory ≈ $0
LINK: https://www.sec.gov/Archives/edgar/data/814547/000081454725000030/fico-20250930.htm</t>
        </r>
      </text>
    </comment>
    <comment ref="N16" authorId="0" shapeId="0" xr:uid="{00000000-0006-0000-0100-00004A000000}">
      <text>
        <r>
          <rPr>
            <sz val="11"/>
            <color theme="1"/>
            <rFont val="Calibri"/>
            <family val="2"/>
            <scheme val="minor"/>
          </rPr>
          <t>Inventory (Days)
HOW: Hard zero — FICO is software / scores; inventory is immaterial.
WHY: No inventory cycle to fund.
SOURCE: SEC 10-K FY2025 — Inventory ≈ $0
LINK: https://www.sec.gov/Archives/edgar/data/814547/000081454725000030/fico-20250930.htm</t>
        </r>
      </text>
    </comment>
    <comment ref="U16" authorId="0" shapeId="0" xr:uid="{00000000-0006-0000-0100-00004B000000}">
      <text>
        <r>
          <rPr>
            <sz val="11"/>
            <color theme="1"/>
            <rFont val="Calibri"/>
            <family val="2"/>
            <scheme val="minor"/>
          </rPr>
          <t>Inventory (Days)
HOW: Hard zero — FICO is software / scores; inventory is immaterial.
WHY: No inventory cycle to fund.
SOURCE: SEC 10-K FY2025 — Inventory ≈ $0
LINK: https://www.sec.gov/Archives/edgar/data/814547/000081454725000030/fico-20250930.htm</t>
        </r>
      </text>
    </comment>
    <comment ref="B17" authorId="0" shapeId="0" xr:uid="{00000000-0006-0000-0100-00004C000000}">
      <text>
        <r>
          <rPr>
            <sz val="11"/>
            <color theme="1"/>
            <rFont val="Calibri"/>
            <family val="2"/>
            <scheme val="minor"/>
          </rPr>
          <t>Accounts Payable (Days)
HOW: Excel equation: ROUND(I48/I25×365, 0) from FY25.
WHY: Payable timing offsets AR in operating NWC.
SOURCE: SEC 10-K FY2025 — Accounts payable
LINK: https://www.sec.gov/Archives/edgar/data/814547/000081454725000030/fico-20250930.htm</t>
        </r>
      </text>
    </comment>
    <comment ref="J17" authorId="0" shapeId="0" xr:uid="{00000000-0006-0000-0100-00004D000000}">
      <text>
        <r>
          <rPr>
            <sz val="11"/>
            <color theme="1"/>
            <rFont val="Calibri"/>
            <family val="2"/>
            <scheme val="minor"/>
          </rPr>
          <t>Accounts Payable (Days)
HOW: Excel equation: ROUND(I48/I25×365, 0) from FY25.
WHY: Payable timing offsets AR in operating NWC.
SOURCE: SEC 10-K FY2025 — Accounts payable
LINK: https://www.sec.gov/Archives/edgar/data/814547/000081454725000030/fico-20250930.htm</t>
        </r>
      </text>
    </comment>
    <comment ref="K17" authorId="0" shapeId="0" xr:uid="{00000000-0006-0000-0100-00004E000000}">
      <text>
        <r>
          <rPr>
            <sz val="11"/>
            <color theme="1"/>
            <rFont val="Calibri"/>
            <family val="2"/>
            <scheme val="minor"/>
          </rPr>
          <t>Accounts Payable (Days)
HOW: Excel equation: ROUND(I48/I25×365, 0) from FY25.
WHY: Payable timing offsets AR in operating NWC.
SOURCE: SEC 10-K FY2025 — Accounts payable
LINK: https://www.sec.gov/Archives/edgar/data/814547/000081454725000030/fico-20250930.htm</t>
        </r>
      </text>
    </comment>
    <comment ref="L17" authorId="0" shapeId="0" xr:uid="{00000000-0006-0000-0100-00004F000000}">
      <text>
        <r>
          <rPr>
            <sz val="11"/>
            <color theme="1"/>
            <rFont val="Calibri"/>
            <family val="2"/>
            <scheme val="minor"/>
          </rPr>
          <t>Accounts Payable (Days)
HOW: Excel equation: ROUND(I48/I25×365, 0) from FY25.
WHY: Payable timing offsets AR in operating NWC.
SOURCE: SEC 10-K FY2025 — Accounts payable
LINK: https://www.sec.gov/Archives/edgar/data/814547/000081454725000030/fico-20250930.htm</t>
        </r>
      </text>
    </comment>
    <comment ref="M17" authorId="0" shapeId="0" xr:uid="{00000000-0006-0000-0100-000050000000}">
      <text>
        <r>
          <rPr>
            <sz val="11"/>
            <color theme="1"/>
            <rFont val="Calibri"/>
            <family val="2"/>
            <scheme val="minor"/>
          </rPr>
          <t>Accounts Payable (Days)
HOW: Excel equation: ROUND(I48/I25×365, 0) from FY25.
WHY: Payable timing offsets AR in operating NWC.
SOURCE: SEC 10-K FY2025 — Accounts payable
LINK: https://www.sec.gov/Archives/edgar/data/814547/000081454725000030/fico-20250930.htm</t>
        </r>
      </text>
    </comment>
    <comment ref="N17" authorId="0" shapeId="0" xr:uid="{00000000-0006-0000-0100-000051000000}">
      <text>
        <r>
          <rPr>
            <sz val="11"/>
            <color theme="1"/>
            <rFont val="Calibri"/>
            <family val="2"/>
            <scheme val="minor"/>
          </rPr>
          <t>Accounts Payable (Days)
HOW: Excel equation: ROUND(I48/I25×365, 0) from FY25.
WHY: Payable timing offsets AR in operating NWC.
SOURCE: SEC 10-K FY2025 — Accounts payable
LINK: https://www.sec.gov/Archives/edgar/data/814547/000081454725000030/fico-20250930.htm</t>
        </r>
      </text>
    </comment>
    <comment ref="U17" authorId="0" shapeId="0" xr:uid="{00000000-0006-0000-0100-000052000000}">
      <text>
        <r>
          <rPr>
            <sz val="11"/>
            <color theme="1"/>
            <rFont val="Calibri"/>
            <family val="2"/>
            <scheme val="minor"/>
          </rPr>
          <t>Accounts Payable (Days)
HOW: Excel equation: ROUND(I48/I25×365, 0) from FY25.
WHY: Payable timing offsets AR in operating NWC.
SOURCE: SEC 10-K FY2025 — Accounts payable
LINK: https://www.sec.gov/Archives/edgar/data/814547/000081454725000030/fico-20250930.htm</t>
        </r>
      </text>
    </comment>
    <comment ref="B18" authorId="0" shapeId="0" xr:uid="{00000000-0006-0000-0100-000053000000}">
      <text>
        <r>
          <rPr>
            <sz val="11"/>
            <color theme="1"/>
            <rFont val="Calibri"/>
            <family val="2"/>
            <scheme val="minor"/>
          </rPr>
          <t>CapEx % of Revenue
HOW: Equation: fade from I68/I24 toward 1.0% steady. MODEL7 weights 40%→20%→10%→0%→0% on the peak (faster fade).
WHY: MODEL7 audit: prior path left CapEx ≫ D&amp;A (~$80M cumulative drag). Faster fade to maintenance ~1% so CapEx converges near D&amp;A by Y4–Y5.
SOURCE: SEC 10-K FY2025 — PP&amp;E purchases + capitalized software
LINK: https://www.sec.gov/Archives/edgar/data/814547/000081454725000030/fico-20250930.htm</t>
        </r>
      </text>
    </comment>
    <comment ref="J18" authorId="0" shapeId="0" xr:uid="{00000000-0006-0000-0100-000054000000}">
      <text>
        <r>
          <rPr>
            <sz val="11"/>
            <color theme="1"/>
            <rFont val="Calibri"/>
            <family val="2"/>
            <scheme val="minor"/>
          </rPr>
          <t>CapEx % of Revenue
HOW: Equation: fade from I68/I24 toward 1.0% steady. MODEL7 weights 40%→20%→10%→0%→0% on the peak (faster fade).
WHY: MODEL7 audit: prior path left CapEx ≫ D&amp;A (~$80M cumulative drag). Faster fade to maintenance ~1% so CapEx converges near D&amp;A by Y4–Y5.
SOURCE: SEC 10-K FY2025 — PP&amp;E purchases + capitalized software
LINK: https://www.sec.gov/Archives/edgar/data/814547/000081454725000030/fico-20250930.htm</t>
        </r>
      </text>
    </comment>
    <comment ref="K18" authorId="0" shapeId="0" xr:uid="{00000000-0006-0000-0100-000055000000}">
      <text>
        <r>
          <rPr>
            <sz val="11"/>
            <color theme="1"/>
            <rFont val="Calibri"/>
            <family val="2"/>
            <scheme val="minor"/>
          </rPr>
          <t>CapEx % of Revenue
HOW: Equation: fade from I68/I24 toward 1.0% steady. MODEL7 weights 40%→20%→10%→0%→0% on the peak (faster fade).
WHY: MODEL7 audit: prior path left CapEx ≫ D&amp;A (~$80M cumulative drag). Faster fade to maintenance ~1% so CapEx converges near D&amp;A by Y4–Y5.
SOURCE: SEC 10-K FY2025 — PP&amp;E purchases + capitalized software
LINK: https://www.sec.gov/Archives/edgar/data/814547/000081454725000030/fico-20250930.htm</t>
        </r>
      </text>
    </comment>
    <comment ref="L18" authorId="0" shapeId="0" xr:uid="{00000000-0006-0000-0100-000056000000}">
      <text>
        <r>
          <rPr>
            <sz val="11"/>
            <color theme="1"/>
            <rFont val="Calibri"/>
            <family val="2"/>
            <scheme val="minor"/>
          </rPr>
          <t>CapEx % of Revenue
HOW: Equation: fade from I68/I24 toward 1.0% steady. MODEL7 weights 40%→20%→10%→0%→0% on the peak (faster fade).
WHY: MODEL7 audit: prior path left CapEx ≫ D&amp;A (~$80M cumulative drag). Faster fade to maintenance ~1% so CapEx converges near D&amp;A by Y4–Y5.
SOURCE: SEC 10-K FY2025 — PP&amp;E purchases + capitalized software
LINK: https://www.sec.gov/Archives/edgar/data/814547/000081454725000030/fico-20250930.htm</t>
        </r>
      </text>
    </comment>
    <comment ref="M18" authorId="0" shapeId="0" xr:uid="{00000000-0006-0000-0100-000057000000}">
      <text>
        <r>
          <rPr>
            <sz val="11"/>
            <color theme="1"/>
            <rFont val="Calibri"/>
            <family val="2"/>
            <scheme val="minor"/>
          </rPr>
          <t>CapEx % of Revenue
HOW: Equation: fade from I68/I24 toward 1.0% steady. MODEL7 weights 40%→20%→10%→0%→0% on the peak (faster fade).
WHY: MODEL7 audit: prior path left CapEx ≫ D&amp;A (~$80M cumulative drag). Faster fade to maintenance ~1% so CapEx converges near D&amp;A by Y4–Y5.
SOURCE: SEC 10-K FY2025 — PP&amp;E purchases + capitalized software
LINK: https://www.sec.gov/Archives/edgar/data/814547/000081454725000030/fico-20250930.htm</t>
        </r>
      </text>
    </comment>
    <comment ref="N18" authorId="0" shapeId="0" xr:uid="{00000000-0006-0000-0100-000058000000}">
      <text>
        <r>
          <rPr>
            <sz val="11"/>
            <color theme="1"/>
            <rFont val="Calibri"/>
            <family val="2"/>
            <scheme val="minor"/>
          </rPr>
          <t>CapEx % of Revenue
HOW: Equation: fade from I68/I24 toward 1.0% steady. MODEL7 weights 40%→20%→10%→0%→0% on the peak (faster fade).
WHY: MODEL7 audit: prior path left CapEx ≫ D&amp;A (~$80M cumulative drag). Faster fade to maintenance ~1% so CapEx converges near D&amp;A by Y4–Y5.
SOURCE: SEC 10-K FY2025 — PP&amp;E purchases + capitalized software
LINK: https://www.sec.gov/Archives/edgar/data/814547/000081454725000030/fico-20250930.htm</t>
        </r>
      </text>
    </comment>
    <comment ref="U18" authorId="0" shapeId="0" xr:uid="{00000000-0006-0000-0100-000059000000}">
      <text>
        <r>
          <rPr>
            <sz val="11"/>
            <color theme="1"/>
            <rFont val="Calibri"/>
            <family val="2"/>
            <scheme val="minor"/>
          </rPr>
          <t>CapEx % of Revenue
HOW: Equation: fade from I68/I24 toward 1.0% steady. MODEL7 weights 40%→20%→10%→0%→0% on the peak (faster fade).
WHY: MODEL7 audit: prior path left CapEx ≫ D&amp;A (~$80M cumulative drag). Faster fade to maintenance ~1% so CapEx converges near D&amp;A by Y4–Y5.
SOURCE: SEC 10-K FY2025 — PP&amp;E purchases + capitalized software
LINK: https://www.sec.gov/Archives/edgar/data/814547/000081454725000030/fico-20250930.htm</t>
        </r>
      </text>
    </comment>
    <comment ref="B19" authorId="0" shapeId="0" xr:uid="{00000000-0006-0000-0100-00005A000000}">
      <text>
        <r>
          <rPr>
            <sz val="11"/>
            <color theme="1"/>
            <rFont val="Calibri"/>
            <family val="2"/>
            <scheme val="minor"/>
          </rPr>
          <t>Debt Issuance (Repayment)
HOW: POLICY input = 0 every year.
WHY: Hold debt stock flat at FY25 level for the explicit period; interest follows. Net debt for DCF equity bridge uses the later 10-Q amount separately.
SOURCE: SEC 10-Q Q3 FY2026 — debt stock (financing excluded from FCFF)
LINK: https://www.sec.gov/Archives/edgar/data/814547/000081454726000030/fico-20260630.htm</t>
        </r>
      </text>
    </comment>
    <comment ref="J19" authorId="0" shapeId="0" xr:uid="{00000000-0006-0000-0100-00005B000000}">
      <text>
        <r>
          <rPr>
            <sz val="11"/>
            <color theme="1"/>
            <rFont val="Calibri"/>
            <family val="2"/>
            <scheme val="minor"/>
          </rPr>
          <t>Debt Issuance (Repayment)
HOW: POLICY input = 0 every year.
WHY: Hold debt stock flat at FY25 level for the explicit period; interest follows. Net debt for DCF equity bridge uses the later 10-Q amount separately.
SOURCE: SEC 10-Q Q3 FY2026 — debt stock (financing excluded from FCFF)
LINK: https://www.sec.gov/Archives/edgar/data/814547/000081454726000030/fico-20260630.htm</t>
        </r>
      </text>
    </comment>
    <comment ref="K19" authorId="0" shapeId="0" xr:uid="{00000000-0006-0000-0100-00005C000000}">
      <text>
        <r>
          <rPr>
            <sz val="11"/>
            <color theme="1"/>
            <rFont val="Calibri"/>
            <family val="2"/>
            <scheme val="minor"/>
          </rPr>
          <t>Debt Issuance (Repayment)
HOW: POLICY input = 0 every year.
WHY: Hold debt stock flat at FY25 level for the explicit period; interest follows. Net debt for DCF equity bridge uses the later 10-Q amount separately.
SOURCE: SEC 10-Q Q3 FY2026 — debt stock (financing excluded from FCFF)
LINK: https://www.sec.gov/Archives/edgar/data/814547/000081454726000030/fico-20260630.htm</t>
        </r>
      </text>
    </comment>
    <comment ref="L19" authorId="0" shapeId="0" xr:uid="{00000000-0006-0000-0100-00005D000000}">
      <text>
        <r>
          <rPr>
            <sz val="11"/>
            <color theme="1"/>
            <rFont val="Calibri"/>
            <family val="2"/>
            <scheme val="minor"/>
          </rPr>
          <t>Debt Issuance (Repayment)
HOW: POLICY input = 0 every year.
WHY: Hold debt stock flat at FY25 level for the explicit period; interest follows. Net debt for DCF equity bridge uses the later 10-Q amount separately.
SOURCE: SEC 10-Q Q3 FY2026 — debt stock (financing excluded from FCFF)
LINK: https://www.sec.gov/Archives/edgar/data/814547/000081454726000030/fico-20260630.htm</t>
        </r>
      </text>
    </comment>
    <comment ref="M19" authorId="0" shapeId="0" xr:uid="{00000000-0006-0000-0100-00005E000000}">
      <text>
        <r>
          <rPr>
            <sz val="11"/>
            <color theme="1"/>
            <rFont val="Calibri"/>
            <family val="2"/>
            <scheme val="minor"/>
          </rPr>
          <t>Debt Issuance (Repayment)
HOW: POLICY input = 0 every year.
WHY: Hold debt stock flat at FY25 level for the explicit period; interest follows. Net debt for DCF equity bridge uses the later 10-Q amount separately.
SOURCE: SEC 10-Q Q3 FY2026 — debt stock (financing excluded from FCFF)
LINK: https://www.sec.gov/Archives/edgar/data/814547/000081454726000030/fico-20260630.htm</t>
        </r>
      </text>
    </comment>
    <comment ref="N19" authorId="0" shapeId="0" xr:uid="{00000000-0006-0000-0100-00005F000000}">
      <text>
        <r>
          <rPr>
            <sz val="11"/>
            <color theme="1"/>
            <rFont val="Calibri"/>
            <family val="2"/>
            <scheme val="minor"/>
          </rPr>
          <t>Debt Issuance (Repayment)
HOW: POLICY input = 0 every year.
WHY: Hold debt stock flat at FY25 level for the explicit period; interest follows. Net debt for DCF equity bridge uses the later 10-Q amount separately.
SOURCE: SEC 10-Q Q3 FY2026 — debt stock (financing excluded from FCFF)
LINK: https://www.sec.gov/Archives/edgar/data/814547/000081454726000030/fico-20260630.htm</t>
        </r>
      </text>
    </comment>
    <comment ref="U19" authorId="0" shapeId="0" xr:uid="{00000000-0006-0000-0100-000060000000}">
      <text>
        <r>
          <rPr>
            <sz val="11"/>
            <color theme="1"/>
            <rFont val="Calibri"/>
            <family val="2"/>
            <scheme val="minor"/>
          </rPr>
          <t>Debt Issuance (Repayment)
HOW: POLICY input = 0 every year.
WHY: Hold debt stock flat at FY25 level for the explicit period; interest follows. Net debt for DCF equity bridge uses the later 10-Q amount separately.
SOURCE: SEC 10-Q Q3 FY2026 — debt stock (financing excluded from FCFF)
LINK: https://www.sec.gov/Archives/edgar/data/814547/000081454726000030/fico-20260630.htm</t>
        </r>
      </text>
    </comment>
    <comment ref="B20" authorId="0" shapeId="0" xr:uid="{00000000-0006-0000-0100-000061000000}">
      <text>
        <r>
          <rPr>
            <sz val="11"/>
            <color theme="1"/>
            <rFont val="Calibri"/>
            <family val="2"/>
            <scheme val="minor"/>
          </rPr>
          <t>Equity Issued (Repaid)
HOW: POLICY input = 0 every year.
WHY: Buybacks are real historically but are financing — excluded from FCFF. Share count for $/share is the spot shares outstanding assumption.
SOURCE: Damodaran FCFF framework — financing (buybacks) not in FCFF
LINK: https://pages.stern.nyu.edu/~adamodar/New_Home_Page/datafile/histfcff.html</t>
        </r>
      </text>
    </comment>
    <comment ref="J20" authorId="0" shapeId="0" xr:uid="{00000000-0006-0000-0100-000062000000}">
      <text>
        <r>
          <rPr>
            <sz val="11"/>
            <color theme="1"/>
            <rFont val="Calibri"/>
            <family val="2"/>
            <scheme val="minor"/>
          </rPr>
          <t>Equity Issued (Repaid)
HOW: POLICY input = 0 every year.
WHY: Buybacks are real historically but are financing — excluded from FCFF. Share count for $/share is the spot shares outstanding assumption.
SOURCE: Damodaran FCFF framework — financing (buybacks) not in FCFF
LINK: https://pages.stern.nyu.edu/~adamodar/New_Home_Page/datafile/histfcff.html</t>
        </r>
      </text>
    </comment>
    <comment ref="K20" authorId="0" shapeId="0" xr:uid="{00000000-0006-0000-0100-000063000000}">
      <text>
        <r>
          <rPr>
            <sz val="11"/>
            <color theme="1"/>
            <rFont val="Calibri"/>
            <family val="2"/>
            <scheme val="minor"/>
          </rPr>
          <t>Equity Issued (Repaid)
HOW: POLICY input = 0 every year.
WHY: Buybacks are real historically but are financing — excluded from FCFF. Share count for $/share is the spot shares outstanding assumption.
SOURCE: Damodaran FCFF framework — financing (buybacks) not in FCFF
LINK: https://pages.stern.nyu.edu/~adamodar/New_Home_Page/datafile/histfcff.html</t>
        </r>
      </text>
    </comment>
    <comment ref="L20" authorId="0" shapeId="0" xr:uid="{00000000-0006-0000-0100-000064000000}">
      <text>
        <r>
          <rPr>
            <sz val="11"/>
            <color theme="1"/>
            <rFont val="Calibri"/>
            <family val="2"/>
            <scheme val="minor"/>
          </rPr>
          <t>Equity Issued (Repaid)
HOW: POLICY input = 0 every year.
WHY: Buybacks are real historically but are financing — excluded from FCFF. Share count for $/share is the spot shares outstanding assumption.
SOURCE: Damodaran FCFF framework — financing (buybacks) not in FCFF
LINK: https://pages.stern.nyu.edu/~adamodar/New_Home_Page/datafile/histfcff.html</t>
        </r>
      </text>
    </comment>
    <comment ref="M20" authorId="0" shapeId="0" xr:uid="{00000000-0006-0000-0100-000065000000}">
      <text>
        <r>
          <rPr>
            <sz val="11"/>
            <color theme="1"/>
            <rFont val="Calibri"/>
            <family val="2"/>
            <scheme val="minor"/>
          </rPr>
          <t>Equity Issued (Repaid)
HOW: POLICY input = 0 every year.
WHY: Buybacks are real historically but are financing — excluded from FCFF. Share count for $/share is the spot shares outstanding assumption.
SOURCE: Damodaran FCFF framework — financing (buybacks) not in FCFF
LINK: https://pages.stern.nyu.edu/~adamodar/New_Home_Page/datafile/histfcff.html</t>
        </r>
      </text>
    </comment>
    <comment ref="N20" authorId="0" shapeId="0" xr:uid="{00000000-0006-0000-0100-000066000000}">
      <text>
        <r>
          <rPr>
            <sz val="11"/>
            <color theme="1"/>
            <rFont val="Calibri"/>
            <family val="2"/>
            <scheme val="minor"/>
          </rPr>
          <t>Equity Issued (Repaid)
HOW: POLICY input = 0 every year.
WHY: Buybacks are real historically but are financing — excluded from FCFF. Share count for $/share is the spot shares outstanding assumption.
SOURCE: Damodaran FCFF framework — financing (buybacks) not in FCFF
LINK: https://pages.stern.nyu.edu/~adamodar/New_Home_Page/datafile/histfcff.html</t>
        </r>
      </text>
    </comment>
    <comment ref="U20" authorId="0" shapeId="0" xr:uid="{00000000-0006-0000-0100-000067000000}">
      <text>
        <r>
          <rPr>
            <sz val="11"/>
            <color theme="1"/>
            <rFont val="Calibri"/>
            <family val="2"/>
            <scheme val="minor"/>
          </rPr>
          <t>Equity Issued (Repaid)
HOW: POLICY input = 0 every year.
WHY: Buybacks are real historically but are financing — excluded from FCFF. Share count for $/share is the spot shares outstanding assumption.
SOURCE: Damodaran FCFF framework — financing (buybacks) not in FCFF
LINK: https://pages.stern.nyu.edu/~adamodar/New_Home_Page/datafile/histfcff.html</t>
        </r>
      </text>
    </comment>
    <comment ref="B24" authorId="0" shapeId="0" xr:uid="{00000000-0006-0000-0100-000068000000}">
      <text>
        <r>
          <rPr>
            <sz val="11"/>
            <color theme="1"/>
            <rFont val="Calibri"/>
            <family val="2"/>
            <scheme val="minor"/>
          </rPr>
          <t>Revenue
WHY: Prior-year revenue grown by this year’s policy growth rate; top-line driver of the model.
PATTERN: ={p}24*(1+{c}7)
LINK: https://www.sec.gov/Archives/edgar/data/814547/000081454726000031/exhibit991erq32026.htm</t>
        </r>
      </text>
    </comment>
    <comment ref="J24" authorId="0" shapeId="0" xr:uid="{00000000-0006-0000-0100-000069000000}">
      <text>
        <r>
          <rPr>
            <sz val="11"/>
            <color theme="1"/>
            <rFont val="Calibri"/>
            <family val="2"/>
            <scheme val="minor"/>
          </rPr>
          <t>Revenue
FORMULA: =I24*(1+J7)
WHY: Prior-year revenue grown by this year’s policy growth rate; top-line driver of the model.
LINK: https://www.sec.gov/Archives/edgar/data/814547/000081454726000031/exhibit991erq32026.htm</t>
        </r>
      </text>
    </comment>
    <comment ref="K24" authorId="0" shapeId="0" xr:uid="{00000000-0006-0000-0100-00006A000000}">
      <text>
        <r>
          <rPr>
            <sz val="11"/>
            <color theme="1"/>
            <rFont val="Calibri"/>
            <family val="2"/>
            <scheme val="minor"/>
          </rPr>
          <t>Revenue
FORMULA: =J24*(1+K7)
WHY: Prior-year revenue grown by this year’s policy growth rate; top-line driver of the model.
LINK: https://www.sec.gov/Archives/edgar/data/814547/000081454726000031/exhibit991erq32026.htm</t>
        </r>
      </text>
    </comment>
    <comment ref="L24" authorId="0" shapeId="0" xr:uid="{00000000-0006-0000-0100-00006B000000}">
      <text>
        <r>
          <rPr>
            <sz val="11"/>
            <color theme="1"/>
            <rFont val="Calibri"/>
            <family val="2"/>
            <scheme val="minor"/>
          </rPr>
          <t>Revenue
FORMULA: =K24*(1+L7)
WHY: Prior-year revenue grown by this year’s policy growth rate; top-line driver of the model.
LINK: https://www.sec.gov/Archives/edgar/data/814547/000081454726000031/exhibit991erq32026.htm</t>
        </r>
      </text>
    </comment>
    <comment ref="M24" authorId="0" shapeId="0" xr:uid="{00000000-0006-0000-0100-00006C000000}">
      <text>
        <r>
          <rPr>
            <sz val="11"/>
            <color theme="1"/>
            <rFont val="Calibri"/>
            <family val="2"/>
            <scheme val="minor"/>
          </rPr>
          <t>Revenue
FORMULA: =L24*(1+M7)
WHY: Prior-year revenue grown by this year’s policy growth rate; top-line driver of the model.
LINK: https://www.sec.gov/Archives/edgar/data/814547/000081454726000031/exhibit991erq32026.htm</t>
        </r>
      </text>
    </comment>
    <comment ref="N24" authorId="0" shapeId="0" xr:uid="{00000000-0006-0000-0100-00006D000000}">
      <text>
        <r>
          <rPr>
            <sz val="11"/>
            <color theme="1"/>
            <rFont val="Calibri"/>
            <family val="2"/>
            <scheme val="minor"/>
          </rPr>
          <t>Revenue
FORMULA: =M24*(1+N7)
WHY: Prior-year revenue grown by this year’s policy growth rate; top-line driver of the model.
LINK: https://www.sec.gov/Archives/edgar/data/814547/000081454726000031/exhibit991erq32026.htm</t>
        </r>
      </text>
    </comment>
    <comment ref="B25" authorId="0" shapeId="0" xr:uid="{00000000-0006-0000-0100-00006E000000}">
      <text>
        <r>
          <rPr>
            <sz val="11"/>
            <color theme="1"/>
            <rFont val="Calibri"/>
            <family val="2"/>
            <scheme val="minor"/>
          </rPr>
          <t>COGS $
WHY: Revenue times COGS%; converts the held margin assumption into dollar cost of sales.
PATTERN: ={c}24*{c}8
LINK: https://www.sec.gov/Archives/edgar/data/814547/000081454725000030/fico-20250930.htm</t>
        </r>
      </text>
    </comment>
    <comment ref="J25" authorId="0" shapeId="0" xr:uid="{00000000-0006-0000-0100-00006F000000}">
      <text>
        <r>
          <rPr>
            <sz val="11"/>
            <color theme="1"/>
            <rFont val="Calibri"/>
            <family val="2"/>
            <scheme val="minor"/>
          </rPr>
          <t>COGS $
FORMULA: =J24*J8
WHY: Revenue times COGS%; converts the held margin assumption into dollar cost of sales.
LINK: https://www.sec.gov/Archives/edgar/data/814547/000081454725000030/fico-20250930.htm</t>
        </r>
      </text>
    </comment>
    <comment ref="K25" authorId="0" shapeId="0" xr:uid="{00000000-0006-0000-0100-000070000000}">
      <text>
        <r>
          <rPr>
            <sz val="11"/>
            <color theme="1"/>
            <rFont val="Calibri"/>
            <family val="2"/>
            <scheme val="minor"/>
          </rPr>
          <t>COGS $
FORMULA: =K24*K8
WHY: Revenue times COGS%; converts the held margin assumption into dollar cost of sales.
LINK: https://www.sec.gov/Archives/edgar/data/814547/000081454725000030/fico-20250930.htm</t>
        </r>
      </text>
    </comment>
    <comment ref="L25" authorId="0" shapeId="0" xr:uid="{00000000-0006-0000-0100-000071000000}">
      <text>
        <r>
          <rPr>
            <sz val="11"/>
            <color theme="1"/>
            <rFont val="Calibri"/>
            <family val="2"/>
            <scheme val="minor"/>
          </rPr>
          <t>COGS $
FORMULA: =L24*L8
WHY: Revenue times COGS%; converts the held margin assumption into dollar cost of sales.
LINK: https://www.sec.gov/Archives/edgar/data/814547/000081454725000030/fico-20250930.htm</t>
        </r>
      </text>
    </comment>
    <comment ref="M25" authorId="0" shapeId="0" xr:uid="{00000000-0006-0000-0100-000072000000}">
      <text>
        <r>
          <rPr>
            <sz val="11"/>
            <color theme="1"/>
            <rFont val="Calibri"/>
            <family val="2"/>
            <scheme val="minor"/>
          </rPr>
          <t>COGS $
FORMULA: =M24*M8
WHY: Revenue times COGS%; converts the held margin assumption into dollar cost of sales.
LINK: https://www.sec.gov/Archives/edgar/data/814547/000081454725000030/fico-20250930.htm</t>
        </r>
      </text>
    </comment>
    <comment ref="N25" authorId="0" shapeId="0" xr:uid="{00000000-0006-0000-0100-000073000000}">
      <text>
        <r>
          <rPr>
            <sz val="11"/>
            <color theme="1"/>
            <rFont val="Calibri"/>
            <family val="2"/>
            <scheme val="minor"/>
          </rPr>
          <t>COGS $
FORMULA: =N24*N8
WHY: Revenue times COGS%; converts the held margin assumption into dollar cost of sales.
LINK: https://www.sec.gov/Archives/edgar/data/814547/000081454725000030/fico-20250930.htm</t>
        </r>
      </text>
    </comment>
    <comment ref="B26" authorId="0" shapeId="0" xr:uid="{00000000-0006-0000-0100-000074000000}">
      <text>
        <r>
          <rPr>
            <sz val="11"/>
            <color theme="1"/>
            <rFont val="Calibri"/>
            <family val="2"/>
            <scheme val="minor"/>
          </rPr>
          <t>Gross profit
WHY: Revenue minus COGS; contribution after direct cost of revenues before operating expenses.
PATTERN: ={c}24-{c}25
LINK: https://www.sec.gov/Archives/edgar/data/814547/000081454725000030/fico-20250930.htm</t>
        </r>
      </text>
    </comment>
    <comment ref="J26" authorId="0" shapeId="0" xr:uid="{00000000-0006-0000-0100-000075000000}">
      <text>
        <r>
          <rPr>
            <sz val="11"/>
            <color theme="1"/>
            <rFont val="Calibri"/>
            <family val="2"/>
            <scheme val="minor"/>
          </rPr>
          <t>Gross profit
FORMULA: =J24-J25
WHY: Revenue minus COGS; contribution after direct cost of revenues before operating expenses.
LINK: https://www.sec.gov/Archives/edgar/data/814547/000081454725000030/fico-20250930.htm</t>
        </r>
      </text>
    </comment>
    <comment ref="K26" authorId="0" shapeId="0" xr:uid="{00000000-0006-0000-0100-000076000000}">
      <text>
        <r>
          <rPr>
            <sz val="11"/>
            <color theme="1"/>
            <rFont val="Calibri"/>
            <family val="2"/>
            <scheme val="minor"/>
          </rPr>
          <t>Gross profit
FORMULA: =K24-K25
WHY: Revenue minus COGS; contribution after direct cost of revenues before operating expenses.
LINK: https://www.sec.gov/Archives/edgar/data/814547/000081454725000030/fico-20250930.htm</t>
        </r>
      </text>
    </comment>
    <comment ref="L26" authorId="0" shapeId="0" xr:uid="{00000000-0006-0000-0100-000077000000}">
      <text>
        <r>
          <rPr>
            <sz val="11"/>
            <color theme="1"/>
            <rFont val="Calibri"/>
            <family val="2"/>
            <scheme val="minor"/>
          </rPr>
          <t>Gross profit
FORMULA: =L24-L25
WHY: Revenue minus COGS; contribution after direct cost of revenues before operating expenses.
LINK: https://www.sec.gov/Archives/edgar/data/814547/000081454725000030/fico-20250930.htm</t>
        </r>
      </text>
    </comment>
    <comment ref="M26" authorId="0" shapeId="0" xr:uid="{00000000-0006-0000-0100-000078000000}">
      <text>
        <r>
          <rPr>
            <sz val="11"/>
            <color theme="1"/>
            <rFont val="Calibri"/>
            <family val="2"/>
            <scheme val="minor"/>
          </rPr>
          <t>Gross profit
FORMULA: =M24-M25
WHY: Revenue minus COGS; contribution after direct cost of revenues before operating expenses.
LINK: https://www.sec.gov/Archives/edgar/data/814547/000081454725000030/fico-20250930.htm</t>
        </r>
      </text>
    </comment>
    <comment ref="N26" authorId="0" shapeId="0" xr:uid="{00000000-0006-0000-0100-000079000000}">
      <text>
        <r>
          <rPr>
            <sz val="11"/>
            <color theme="1"/>
            <rFont val="Calibri"/>
            <family val="2"/>
            <scheme val="minor"/>
          </rPr>
          <t>Gross profit
FORMULA: =N24-N25
WHY: Revenue minus COGS; contribution after direct cost of revenues before operating expenses.
LINK: https://www.sec.gov/Archives/edgar/data/814547/000081454725000030/fico-20250930.htm</t>
        </r>
      </text>
    </comment>
    <comment ref="B28" authorId="0" shapeId="0" xr:uid="{00000000-0006-0000-0100-00007A000000}">
      <text>
        <r>
          <rPr>
            <sz val="11"/>
            <color theme="1"/>
            <rFont val="Calibri"/>
            <family val="2"/>
            <scheme val="minor"/>
          </rPr>
          <t>SGA $
WHY: Revenue times SGA%; salaries/benefits dollars after the efficiency grind on the rate.
PATTERN: ={c}24*{c}9
LINK: https://www.sec.gov/Archives/edgar/data/814547/000081454725000030/fico-20250930.htm</t>
        </r>
      </text>
    </comment>
    <comment ref="J28" authorId="0" shapeId="0" xr:uid="{00000000-0006-0000-0100-00007B000000}">
      <text>
        <r>
          <rPr>
            <sz val="11"/>
            <color theme="1"/>
            <rFont val="Calibri"/>
            <family val="2"/>
            <scheme val="minor"/>
          </rPr>
          <t>SGA $
FORMULA: =J24*J9
WHY: Revenue times SGA%; salaries/benefits dollars after the efficiency grind on the rate.
LINK: https://www.sec.gov/Archives/edgar/data/814547/000081454725000030/fico-20250930.htm</t>
        </r>
      </text>
    </comment>
    <comment ref="K28" authorId="0" shapeId="0" xr:uid="{00000000-0006-0000-0100-00007C000000}">
      <text>
        <r>
          <rPr>
            <sz val="11"/>
            <color theme="1"/>
            <rFont val="Calibri"/>
            <family val="2"/>
            <scheme val="minor"/>
          </rPr>
          <t>SGA $
FORMULA: =K24*K9
WHY: Revenue times SGA%; salaries/benefits dollars after the efficiency grind on the rate.
LINK: https://www.sec.gov/Archives/edgar/data/814547/000081454725000030/fico-20250930.htm</t>
        </r>
      </text>
    </comment>
    <comment ref="L28" authorId="0" shapeId="0" xr:uid="{00000000-0006-0000-0100-00007D000000}">
      <text>
        <r>
          <rPr>
            <sz val="11"/>
            <color theme="1"/>
            <rFont val="Calibri"/>
            <family val="2"/>
            <scheme val="minor"/>
          </rPr>
          <t>SGA $
FORMULA: =L24*L9
WHY: Revenue times SGA%; salaries/benefits dollars after the efficiency grind on the rate.
LINK: https://www.sec.gov/Archives/edgar/data/814547/000081454725000030/fico-20250930.htm</t>
        </r>
      </text>
    </comment>
    <comment ref="M28" authorId="0" shapeId="0" xr:uid="{00000000-0006-0000-0100-00007E000000}">
      <text>
        <r>
          <rPr>
            <sz val="11"/>
            <color theme="1"/>
            <rFont val="Calibri"/>
            <family val="2"/>
            <scheme val="minor"/>
          </rPr>
          <t>SGA $
FORMULA: =M24*M9
WHY: Revenue times SGA%; salaries/benefits dollars after the efficiency grind on the rate.
LINK: https://www.sec.gov/Archives/edgar/data/814547/000081454725000030/fico-20250930.htm</t>
        </r>
      </text>
    </comment>
    <comment ref="N28" authorId="0" shapeId="0" xr:uid="{00000000-0006-0000-0100-00007F000000}">
      <text>
        <r>
          <rPr>
            <sz val="11"/>
            <color theme="1"/>
            <rFont val="Calibri"/>
            <family val="2"/>
            <scheme val="minor"/>
          </rPr>
          <t>SGA $
FORMULA: =N24*N9
WHY: Revenue times SGA%; salaries/benefits dollars after the efficiency grind on the rate.
LINK: https://www.sec.gov/Archives/edgar/data/814547/000081454725000030/fico-20250930.htm</t>
        </r>
      </text>
    </comment>
    <comment ref="B29" authorId="0" shapeId="0" xr:uid="{00000000-0006-0000-0100-000080000000}">
      <text>
        <r>
          <rPr>
            <sz val="11"/>
            <color theme="1"/>
            <rFont val="Calibri"/>
            <family val="2"/>
            <scheme val="minor"/>
          </rPr>
          <t>R&amp;D $
WHY: Revenue times R&amp;D%; research spend scales with sales at the FY25 reinvestment rate.
PATTERN: ={c}24*{c}10
LINK: https://www.sec.gov/Archives/edgar/data/814547/000081454725000030/fico-20250930.htm</t>
        </r>
      </text>
    </comment>
    <comment ref="J29" authorId="0" shapeId="0" xr:uid="{00000000-0006-0000-0100-000081000000}">
      <text>
        <r>
          <rPr>
            <sz val="11"/>
            <color theme="1"/>
            <rFont val="Calibri"/>
            <family val="2"/>
            <scheme val="minor"/>
          </rPr>
          <t>R&amp;D $
FORMULA: =J24*J10
WHY: Revenue times R&amp;D%; research spend scales with sales at the FY25 reinvestment rate.
LINK: https://www.sec.gov/Archives/edgar/data/814547/000081454725000030/fico-20250930.htm</t>
        </r>
      </text>
    </comment>
    <comment ref="K29" authorId="0" shapeId="0" xr:uid="{00000000-0006-0000-0100-000082000000}">
      <text>
        <r>
          <rPr>
            <sz val="11"/>
            <color theme="1"/>
            <rFont val="Calibri"/>
            <family val="2"/>
            <scheme val="minor"/>
          </rPr>
          <t>R&amp;D $
FORMULA: =K24*K10
WHY: Revenue times R&amp;D%; research spend scales with sales at the FY25 reinvestment rate.
LINK: https://www.sec.gov/Archives/edgar/data/814547/000081454725000030/fico-20250930.htm</t>
        </r>
      </text>
    </comment>
    <comment ref="L29" authorId="0" shapeId="0" xr:uid="{00000000-0006-0000-0100-000083000000}">
      <text>
        <r>
          <rPr>
            <sz val="11"/>
            <color theme="1"/>
            <rFont val="Calibri"/>
            <family val="2"/>
            <scheme val="minor"/>
          </rPr>
          <t>R&amp;D $
FORMULA: =L24*L10
WHY: Revenue times R&amp;D%; research spend scales with sales at the FY25 reinvestment rate.
LINK: https://www.sec.gov/Archives/edgar/data/814547/000081454725000030/fico-20250930.htm</t>
        </r>
      </text>
    </comment>
    <comment ref="M29" authorId="0" shapeId="0" xr:uid="{00000000-0006-0000-0100-000084000000}">
      <text>
        <r>
          <rPr>
            <sz val="11"/>
            <color theme="1"/>
            <rFont val="Calibri"/>
            <family val="2"/>
            <scheme val="minor"/>
          </rPr>
          <t>R&amp;D $
FORMULA: =M24*M10
WHY: Revenue times R&amp;D%; research spend scales with sales at the FY25 reinvestment rate.
LINK: https://www.sec.gov/Archives/edgar/data/814547/000081454725000030/fico-20250930.htm</t>
        </r>
      </text>
    </comment>
    <comment ref="N29" authorId="0" shapeId="0" xr:uid="{00000000-0006-0000-0100-000085000000}">
      <text>
        <r>
          <rPr>
            <sz val="11"/>
            <color theme="1"/>
            <rFont val="Calibri"/>
            <family val="2"/>
            <scheme val="minor"/>
          </rPr>
          <t>R&amp;D $
FORMULA: =N24*N10
WHY: Revenue times R&amp;D%; research spend scales with sales at the FY25 reinvestment rate.
LINK: https://www.sec.gov/Archives/edgar/data/814547/000081454725000030/fico-20250930.htm</t>
        </r>
      </text>
    </comment>
    <comment ref="B30" authorId="0" shapeId="0" xr:uid="{00000000-0006-0000-0100-000086000000}">
      <text>
        <r>
          <rPr>
            <sz val="11"/>
            <color theme="1"/>
            <rFont val="Calibri"/>
            <family val="2"/>
            <scheme val="minor"/>
          </rPr>
          <t>D&amp;A $
WHY: Average PP&amp;E times DA% so new CapEx is depreciated in the year added.
PATTERN: =((Open+Open+CapEx)/2)×DA%
LINK: https://www.sec.gov/Archives/edgar/data/814547/000081454725000030/fico-20250930.htm</t>
        </r>
      </text>
    </comment>
    <comment ref="J30" authorId="0" shapeId="0" xr:uid="{00000000-0006-0000-0100-000087000000}">
      <text>
        <r>
          <rPr>
            <sz val="11"/>
            <color theme="1"/>
            <rFont val="Calibri"/>
            <family val="2"/>
            <scheme val="minor"/>
          </rPr>
          <t>D&amp;A $
FORMULA: =((Open+Open+CapEx)/2)×DA%
WHY: Average PP&amp;E times DA% so new CapEx is depreciated in the year added.
LINK: https://www.sec.gov/Archives/edgar/data/814547/000081454725000030/fico-20250930.htm</t>
        </r>
      </text>
    </comment>
    <comment ref="K30" authorId="0" shapeId="0" xr:uid="{00000000-0006-0000-0100-000088000000}">
      <text>
        <r>
          <rPr>
            <sz val="11"/>
            <color theme="1"/>
            <rFont val="Calibri"/>
            <family val="2"/>
            <scheme val="minor"/>
          </rPr>
          <t>D&amp;A $
FORMULA: =((Open+Open+CapEx)/2)×DA%
WHY: Average PP&amp;E times DA% so new CapEx is depreciated in the year added.
LINK: https://www.sec.gov/Archives/edgar/data/814547/000081454725000030/fico-20250930.htm</t>
        </r>
      </text>
    </comment>
    <comment ref="L30" authorId="0" shapeId="0" xr:uid="{00000000-0006-0000-0100-000089000000}">
      <text>
        <r>
          <rPr>
            <sz val="11"/>
            <color theme="1"/>
            <rFont val="Calibri"/>
            <family val="2"/>
            <scheme val="minor"/>
          </rPr>
          <t>D&amp;A $
FORMULA: =((Open+Open+CapEx)/2)×DA%
WHY: Average PP&amp;E times DA% so new CapEx is depreciated in the year added.
LINK: https://www.sec.gov/Archives/edgar/data/814547/000081454725000030/fico-20250930.htm</t>
        </r>
      </text>
    </comment>
    <comment ref="M30" authorId="0" shapeId="0" xr:uid="{00000000-0006-0000-0100-00008A000000}">
      <text>
        <r>
          <rPr>
            <sz val="11"/>
            <color theme="1"/>
            <rFont val="Calibri"/>
            <family val="2"/>
            <scheme val="minor"/>
          </rPr>
          <t>D&amp;A $
FORMULA: =((Open+Open+CapEx)/2)×DA%
WHY: Average PP&amp;E times DA% so new CapEx is depreciated in the year added.
LINK: https://www.sec.gov/Archives/edgar/data/814547/000081454725000030/fico-20250930.htm</t>
        </r>
      </text>
    </comment>
    <comment ref="N30" authorId="0" shapeId="0" xr:uid="{00000000-0006-0000-0100-00008B000000}">
      <text>
        <r>
          <rPr>
            <sz val="11"/>
            <color theme="1"/>
            <rFont val="Calibri"/>
            <family val="2"/>
            <scheme val="minor"/>
          </rPr>
          <t>D&amp;A $
FORMULA: =((Open+Open+CapEx)/2)×DA%
WHY: Average PP&amp;E times DA% so new CapEx is depreciated in the year added.
LINK: https://www.sec.gov/Archives/edgar/data/814547/000081454725000030/fico-20250930.htm</t>
        </r>
      </text>
    </comment>
    <comment ref="B31" authorId="0" shapeId="0" xr:uid="{00000000-0006-0000-0100-00008C000000}">
      <text>
        <r>
          <rPr>
            <sz val="11"/>
            <color theme="1"/>
            <rFont val="Calibri"/>
            <family val="2"/>
            <scheme val="minor"/>
          </rPr>
          <t>Interest $
WHY: Opening debt times interest%; coupon on the debt stock while issuance policy is zero.
PATTERN: ={c}98*{c}12
LINK: https://www.sec.gov/Archives/edgar/data/814547/000081454725000030/fico-20250930.htm</t>
        </r>
      </text>
    </comment>
    <comment ref="J31" authorId="0" shapeId="0" xr:uid="{00000000-0006-0000-0100-00008D000000}">
      <text>
        <r>
          <rPr>
            <sz val="11"/>
            <color theme="1"/>
            <rFont val="Calibri"/>
            <family val="2"/>
            <scheme val="minor"/>
          </rPr>
          <t>Interest $
FORMULA: =J98*J12
WHY: Opening debt times interest%; coupon on the debt stock while issuance policy is zero.
LINK: https://www.sec.gov/Archives/edgar/data/814547/000081454725000030/fico-20250930.htm</t>
        </r>
      </text>
    </comment>
    <comment ref="K31" authorId="0" shapeId="0" xr:uid="{00000000-0006-0000-0100-00008E000000}">
      <text>
        <r>
          <rPr>
            <sz val="11"/>
            <color theme="1"/>
            <rFont val="Calibri"/>
            <family val="2"/>
            <scheme val="minor"/>
          </rPr>
          <t>Interest $
FORMULA: =K98*K12
WHY: Opening debt times interest%; coupon on the debt stock while issuance policy is zero.
LINK: https://www.sec.gov/Archives/edgar/data/814547/000081454725000030/fico-20250930.htm</t>
        </r>
      </text>
    </comment>
    <comment ref="L31" authorId="0" shapeId="0" xr:uid="{00000000-0006-0000-0100-00008F000000}">
      <text>
        <r>
          <rPr>
            <sz val="11"/>
            <color theme="1"/>
            <rFont val="Calibri"/>
            <family val="2"/>
            <scheme val="minor"/>
          </rPr>
          <t>Interest $
FORMULA: =L98*L12
WHY: Opening debt times interest%; coupon on the debt stock while issuance policy is zero.
LINK: https://www.sec.gov/Archives/edgar/data/814547/000081454725000030/fico-20250930.htm</t>
        </r>
      </text>
    </comment>
    <comment ref="M31" authorId="0" shapeId="0" xr:uid="{00000000-0006-0000-0100-000090000000}">
      <text>
        <r>
          <rPr>
            <sz val="11"/>
            <color theme="1"/>
            <rFont val="Calibri"/>
            <family val="2"/>
            <scheme val="minor"/>
          </rPr>
          <t>Interest $
FORMULA: =M98*M12
WHY: Opening debt times interest%; coupon on the debt stock while issuance policy is zero.
LINK: https://www.sec.gov/Archives/edgar/data/814547/000081454725000030/fico-20250930.htm</t>
        </r>
      </text>
    </comment>
    <comment ref="N31" authorId="0" shapeId="0" xr:uid="{00000000-0006-0000-0100-000091000000}">
      <text>
        <r>
          <rPr>
            <sz val="11"/>
            <color theme="1"/>
            <rFont val="Calibri"/>
            <family val="2"/>
            <scheme val="minor"/>
          </rPr>
          <t>Interest $
FORMULA: =N98*N12
WHY: Opening debt times interest%; coupon on the debt stock while issuance policy is zero.
LINK: https://www.sec.gov/Archives/edgar/data/814547/000081454725000030/fico-20250930.htm</t>
        </r>
      </text>
    </comment>
    <comment ref="B32" authorId="0" shapeId="0" xr:uid="{00000000-0006-0000-0100-000092000000}">
      <text>
        <r>
          <rPr>
            <sz val="11"/>
            <color theme="1"/>
            <rFont val="Calibri"/>
            <family val="2"/>
            <scheme val="minor"/>
          </rPr>
          <t>Total expenses
WHY: Sum of SGA, R&amp;D, D&amp;A, and interest; all operating and financing costs above EBT.
PATTERN: =SUM({c}28:{c}31)
LINK: https://www.sec.gov/Archives/edgar/data/814547/000081454725000030/fico-20250930.htm</t>
        </r>
      </text>
    </comment>
    <comment ref="J32" authorId="0" shapeId="0" xr:uid="{00000000-0006-0000-0100-000093000000}">
      <text>
        <r>
          <rPr>
            <sz val="11"/>
            <color theme="1"/>
            <rFont val="Calibri"/>
            <family val="2"/>
            <scheme val="minor"/>
          </rPr>
          <t>Total expenses
FORMULA: =SUM(J28:J31)
WHY: Sum of SGA, R&amp;D, D&amp;A, and interest; all operating and financing costs above EBT.
LINK: https://www.sec.gov/Archives/edgar/data/814547/000081454725000030/fico-20250930.htm</t>
        </r>
      </text>
    </comment>
    <comment ref="K32" authorId="0" shapeId="0" xr:uid="{00000000-0006-0000-0100-000094000000}">
      <text>
        <r>
          <rPr>
            <sz val="11"/>
            <color theme="1"/>
            <rFont val="Calibri"/>
            <family val="2"/>
            <scheme val="minor"/>
          </rPr>
          <t>Total expenses
FORMULA: =SUM(K28:K31)
WHY: Sum of SGA, R&amp;D, D&amp;A, and interest; all operating and financing costs above EBT.
LINK: https://www.sec.gov/Archives/edgar/data/814547/000081454725000030/fico-20250930.htm</t>
        </r>
      </text>
    </comment>
    <comment ref="L32" authorId="0" shapeId="0" xr:uid="{00000000-0006-0000-0100-000095000000}">
      <text>
        <r>
          <rPr>
            <sz val="11"/>
            <color theme="1"/>
            <rFont val="Calibri"/>
            <family val="2"/>
            <scheme val="minor"/>
          </rPr>
          <t>Total expenses
FORMULA: =SUM(L28:L31)
WHY: Sum of SGA, R&amp;D, D&amp;A, and interest; all operating and financing costs above EBT.
LINK: https://www.sec.gov/Archives/edgar/data/814547/000081454725000030/fico-20250930.htm</t>
        </r>
      </text>
    </comment>
    <comment ref="M32" authorId="0" shapeId="0" xr:uid="{00000000-0006-0000-0100-000096000000}">
      <text>
        <r>
          <rPr>
            <sz val="11"/>
            <color theme="1"/>
            <rFont val="Calibri"/>
            <family val="2"/>
            <scheme val="minor"/>
          </rPr>
          <t>Total expenses
FORMULA: =SUM(M28:M31)
WHY: Sum of SGA, R&amp;D, D&amp;A, and interest; all operating and financing costs above EBT.
LINK: https://www.sec.gov/Archives/edgar/data/814547/000081454725000030/fico-20250930.htm</t>
        </r>
      </text>
    </comment>
    <comment ref="N32" authorId="0" shapeId="0" xr:uid="{00000000-0006-0000-0100-000097000000}">
      <text>
        <r>
          <rPr>
            <sz val="11"/>
            <color theme="1"/>
            <rFont val="Calibri"/>
            <family val="2"/>
            <scheme val="minor"/>
          </rPr>
          <t>Total expenses
FORMULA: =SUM(N28:N31)
WHY: Sum of SGA, R&amp;D, D&amp;A, and interest; all operating and financing costs above EBT.
LINK: https://www.sec.gov/Archives/edgar/data/814547/000081454725000030/fico-20250930.htm</t>
        </r>
      </text>
    </comment>
    <comment ref="B33" authorId="0" shapeId="0" xr:uid="{00000000-0006-0000-0100-000098000000}">
      <text>
        <r>
          <rPr>
            <sz val="11"/>
            <color theme="1"/>
            <rFont val="Calibri"/>
            <family val="2"/>
            <scheme val="minor"/>
          </rPr>
          <t>EBT
WHY: Gross profit minus total expenses; earnings before tax in this simplified template.
PATTERN: ={c}26-{c}32
LINK: https://www.sec.gov/Archives/edgar/data/814547/000081454725000030/fico-20250930.htm</t>
        </r>
      </text>
    </comment>
    <comment ref="J33" authorId="0" shapeId="0" xr:uid="{00000000-0006-0000-0100-000099000000}">
      <text>
        <r>
          <rPr>
            <sz val="11"/>
            <color theme="1"/>
            <rFont val="Calibri"/>
            <family val="2"/>
            <scheme val="minor"/>
          </rPr>
          <t>EBT
FORMULA: =J26-J32
WHY: Gross profit minus total expenses; earnings before tax in this simplified template.
LINK: https://www.sec.gov/Archives/edgar/data/814547/000081454725000030/fico-20250930.htm</t>
        </r>
      </text>
    </comment>
    <comment ref="K33" authorId="0" shapeId="0" xr:uid="{00000000-0006-0000-0100-00009A000000}">
      <text>
        <r>
          <rPr>
            <sz val="11"/>
            <color theme="1"/>
            <rFont val="Calibri"/>
            <family val="2"/>
            <scheme val="minor"/>
          </rPr>
          <t>EBT
FORMULA: =K26-K32
WHY: Gross profit minus total expenses; earnings before tax in this simplified template.
LINK: https://www.sec.gov/Archives/edgar/data/814547/000081454725000030/fico-20250930.htm</t>
        </r>
      </text>
    </comment>
    <comment ref="L33" authorId="0" shapeId="0" xr:uid="{00000000-0006-0000-0100-00009B000000}">
      <text>
        <r>
          <rPr>
            <sz val="11"/>
            <color theme="1"/>
            <rFont val="Calibri"/>
            <family val="2"/>
            <scheme val="minor"/>
          </rPr>
          <t>EBT
FORMULA: =L26-L32
WHY: Gross profit minus total expenses; earnings before tax in this simplified template.
LINK: https://www.sec.gov/Archives/edgar/data/814547/000081454725000030/fico-20250930.htm</t>
        </r>
      </text>
    </comment>
    <comment ref="M33" authorId="0" shapeId="0" xr:uid="{00000000-0006-0000-0100-00009C000000}">
      <text>
        <r>
          <rPr>
            <sz val="11"/>
            <color theme="1"/>
            <rFont val="Calibri"/>
            <family val="2"/>
            <scheme val="minor"/>
          </rPr>
          <t>EBT
FORMULA: =M26-M32
WHY: Gross profit minus total expenses; earnings before tax in this simplified template.
LINK: https://www.sec.gov/Archives/edgar/data/814547/000081454725000030/fico-20250930.htm</t>
        </r>
      </text>
    </comment>
    <comment ref="N33" authorId="0" shapeId="0" xr:uid="{00000000-0006-0000-0100-00009D000000}">
      <text>
        <r>
          <rPr>
            <sz val="11"/>
            <color theme="1"/>
            <rFont val="Calibri"/>
            <family val="2"/>
            <scheme val="minor"/>
          </rPr>
          <t>EBT
FORMULA: =N26-N32
WHY: Gross profit minus total expenses; earnings before tax in this simplified template.
LINK: https://www.sec.gov/Archives/edgar/data/814547/000081454725000030/fico-20250930.htm</t>
        </r>
      </text>
    </comment>
    <comment ref="B35" authorId="0" shapeId="0" xr:uid="{00000000-0006-0000-0100-00009E000000}">
      <text>
        <r>
          <rPr>
            <sz val="11"/>
            <color theme="1"/>
            <rFont val="Calibri"/>
            <family val="2"/>
            <scheme val="minor"/>
          </rPr>
          <t>Taxes $
WHY: EBT times effective tax rate; book tax expense for the income statement.
PATTERN: ={c}33*{c}13
LINK: https://www.sec.gov/Archives/edgar/data/814547/000081454725000030/fico-20250930.htm</t>
        </r>
      </text>
    </comment>
    <comment ref="J35" authorId="0" shapeId="0" xr:uid="{00000000-0006-0000-0100-00009F000000}">
      <text>
        <r>
          <rPr>
            <sz val="11"/>
            <color theme="1"/>
            <rFont val="Calibri"/>
            <family val="2"/>
            <scheme val="minor"/>
          </rPr>
          <t>Taxes $
FORMULA: =J33*J13
WHY: EBT times effective tax rate; book tax expense for the income statement.
LINK: https://www.sec.gov/Archives/edgar/data/814547/000081454725000030/fico-20250930.htm</t>
        </r>
      </text>
    </comment>
    <comment ref="K35" authorId="0" shapeId="0" xr:uid="{00000000-0006-0000-0100-0000A0000000}">
      <text>
        <r>
          <rPr>
            <sz val="11"/>
            <color theme="1"/>
            <rFont val="Calibri"/>
            <family val="2"/>
            <scheme val="minor"/>
          </rPr>
          <t>Taxes $
FORMULA: =K33*K13
WHY: EBT times effective tax rate; book tax expense for the income statement.
LINK: https://www.sec.gov/Archives/edgar/data/814547/000081454725000030/fico-20250930.htm</t>
        </r>
      </text>
    </comment>
    <comment ref="L35" authorId="0" shapeId="0" xr:uid="{00000000-0006-0000-0100-0000A1000000}">
      <text>
        <r>
          <rPr>
            <sz val="11"/>
            <color theme="1"/>
            <rFont val="Calibri"/>
            <family val="2"/>
            <scheme val="minor"/>
          </rPr>
          <t>Taxes $
FORMULA: =L33*L13
WHY: EBT times effective tax rate; book tax expense for the income statement.
LINK: https://www.sec.gov/Archives/edgar/data/814547/000081454725000030/fico-20250930.htm</t>
        </r>
      </text>
    </comment>
    <comment ref="M35" authorId="0" shapeId="0" xr:uid="{00000000-0006-0000-0100-0000A2000000}">
      <text>
        <r>
          <rPr>
            <sz val="11"/>
            <color theme="1"/>
            <rFont val="Calibri"/>
            <family val="2"/>
            <scheme val="minor"/>
          </rPr>
          <t>Taxes $
FORMULA: =M33*M13
WHY: EBT times effective tax rate; book tax expense for the income statement.
LINK: https://www.sec.gov/Archives/edgar/data/814547/000081454725000030/fico-20250930.htm</t>
        </r>
      </text>
    </comment>
    <comment ref="N35" authorId="0" shapeId="0" xr:uid="{00000000-0006-0000-0100-0000A3000000}">
      <text>
        <r>
          <rPr>
            <sz val="11"/>
            <color theme="1"/>
            <rFont val="Calibri"/>
            <family val="2"/>
            <scheme val="minor"/>
          </rPr>
          <t>Taxes $
FORMULA: =N33*N13
WHY: EBT times effective tax rate; book tax expense for the income statement.
LINK: https://www.sec.gov/Archives/edgar/data/814547/000081454725000030/fico-20250930.htm</t>
        </r>
      </text>
    </comment>
    <comment ref="B36" authorId="0" shapeId="0" xr:uid="{00000000-0006-0000-0100-0000A4000000}">
      <text>
        <r>
          <rPr>
            <sz val="11"/>
            <color theme="1"/>
            <rFont val="Calibri"/>
            <family val="2"/>
            <scheme val="minor"/>
          </rPr>
          <t>Net earnings
WHY: EBT kept after tax; full equation, not a pointer, so NI tracks the tax rate driver.
PATTERN: ={c}33*(1-{c}13)
LINK: https://www.sec.gov/Archives/edgar/data/814547/000081454725000030/fico-20250930.htm</t>
        </r>
      </text>
    </comment>
    <comment ref="J36" authorId="0" shapeId="0" xr:uid="{00000000-0006-0000-0100-0000A5000000}">
      <text>
        <r>
          <rPr>
            <sz val="11"/>
            <color theme="1"/>
            <rFont val="Calibri"/>
            <family val="2"/>
            <scheme val="minor"/>
          </rPr>
          <t>Net earnings
FORMULA: =J33*(1-J13)
WHY: EBT kept after tax; full equation, not a pointer, so NI tracks the tax rate driver.
LINK: https://www.sec.gov/Archives/edgar/data/814547/000081454725000030/fico-20250930.htm</t>
        </r>
      </text>
    </comment>
    <comment ref="K36" authorId="0" shapeId="0" xr:uid="{00000000-0006-0000-0100-0000A6000000}">
      <text>
        <r>
          <rPr>
            <sz val="11"/>
            <color theme="1"/>
            <rFont val="Calibri"/>
            <family val="2"/>
            <scheme val="minor"/>
          </rPr>
          <t>Net earnings
FORMULA: =K33*(1-K13)
WHY: EBT kept after tax; full equation, not a pointer, so NI tracks the tax rate driver.
LINK: https://www.sec.gov/Archives/edgar/data/814547/000081454725000030/fico-20250930.htm</t>
        </r>
      </text>
    </comment>
    <comment ref="L36" authorId="0" shapeId="0" xr:uid="{00000000-0006-0000-0100-0000A7000000}">
      <text>
        <r>
          <rPr>
            <sz val="11"/>
            <color theme="1"/>
            <rFont val="Calibri"/>
            <family val="2"/>
            <scheme val="minor"/>
          </rPr>
          <t>Net earnings
FORMULA: =L33*(1-L13)
WHY: EBT kept after tax; full equation, not a pointer, so NI tracks the tax rate driver.
LINK: https://www.sec.gov/Archives/edgar/data/814547/000081454725000030/fico-20250930.htm</t>
        </r>
      </text>
    </comment>
    <comment ref="M36" authorId="0" shapeId="0" xr:uid="{00000000-0006-0000-0100-0000A8000000}">
      <text>
        <r>
          <rPr>
            <sz val="11"/>
            <color theme="1"/>
            <rFont val="Calibri"/>
            <family val="2"/>
            <scheme val="minor"/>
          </rPr>
          <t>Net earnings
FORMULA: =M33*(1-M13)
WHY: EBT kept after tax; full equation, not a pointer, so NI tracks the tax rate driver.
LINK: https://www.sec.gov/Archives/edgar/data/814547/000081454725000030/fico-20250930.htm</t>
        </r>
      </text>
    </comment>
    <comment ref="N36" authorId="0" shapeId="0" xr:uid="{00000000-0006-0000-0100-0000A9000000}">
      <text>
        <r>
          <rPr>
            <sz val="11"/>
            <color theme="1"/>
            <rFont val="Calibri"/>
            <family val="2"/>
            <scheme val="minor"/>
          </rPr>
          <t>Net earnings
FORMULA: =N33*(1-N13)
WHY: EBT kept after tax; full equation, not a pointer, so NI tracks the tax rate driver.
LINK: https://www.sec.gov/Archives/edgar/data/814547/000081454725000030/fico-20250930.htm</t>
        </r>
      </text>
    </comment>
    <comment ref="B41" authorId="0" shapeId="0" xr:uid="{00000000-0006-0000-0100-0000AA000000}">
      <text>
        <r>
          <rPr>
            <sz val="11"/>
            <color theme="1"/>
            <rFont val="Calibri"/>
            <family val="2"/>
            <scheme val="minor"/>
          </rPr>
          <t>Cash (BS)
WHY: Balance-sheet cash equals cash-flow closing cash so the three statements stay linked.
PATTERN: ={c}78
LINK: https://www.sec.gov/Archives/edgar/data/814547/000081454725000030/fico-20250930.htm</t>
        </r>
      </text>
    </comment>
    <comment ref="J41" authorId="0" shapeId="0" xr:uid="{00000000-0006-0000-0100-0000AB000000}">
      <text>
        <r>
          <rPr>
            <sz val="11"/>
            <color theme="1"/>
            <rFont val="Calibri"/>
            <family val="2"/>
            <scheme val="minor"/>
          </rPr>
          <t>Cash (BS)
FORMULA: =J78
WHY: Balance-sheet cash equals cash-flow closing cash so the three statements stay linked.
LINK: https://www.sec.gov/Archives/edgar/data/814547/000081454725000030/fico-20250930.htm</t>
        </r>
      </text>
    </comment>
    <comment ref="K41" authorId="0" shapeId="0" xr:uid="{00000000-0006-0000-0100-0000AC000000}">
      <text>
        <r>
          <rPr>
            <sz val="11"/>
            <color theme="1"/>
            <rFont val="Calibri"/>
            <family val="2"/>
            <scheme val="minor"/>
          </rPr>
          <t>Cash (BS)
FORMULA: =K78
WHY: Balance-sheet cash equals cash-flow closing cash so the three statements stay linked.
LINK: https://www.sec.gov/Archives/edgar/data/814547/000081454725000030/fico-20250930.htm</t>
        </r>
      </text>
    </comment>
    <comment ref="L41" authorId="0" shapeId="0" xr:uid="{00000000-0006-0000-0100-0000AD000000}">
      <text>
        <r>
          <rPr>
            <sz val="11"/>
            <color theme="1"/>
            <rFont val="Calibri"/>
            <family val="2"/>
            <scheme val="minor"/>
          </rPr>
          <t>Cash (BS)
FORMULA: =L78
WHY: Balance-sheet cash equals cash-flow closing cash so the three statements stay linked.
LINK: https://www.sec.gov/Archives/edgar/data/814547/000081454725000030/fico-20250930.htm</t>
        </r>
      </text>
    </comment>
    <comment ref="M41" authorId="0" shapeId="0" xr:uid="{00000000-0006-0000-0100-0000AE000000}">
      <text>
        <r>
          <rPr>
            <sz val="11"/>
            <color theme="1"/>
            <rFont val="Calibri"/>
            <family val="2"/>
            <scheme val="minor"/>
          </rPr>
          <t>Cash (BS)
FORMULA: =M78
WHY: Balance-sheet cash equals cash-flow closing cash so the three statements stay linked.
LINK: https://www.sec.gov/Archives/edgar/data/814547/000081454725000030/fico-20250930.htm</t>
        </r>
      </text>
    </comment>
    <comment ref="N41" authorId="0" shapeId="0" xr:uid="{00000000-0006-0000-0100-0000AF000000}">
      <text>
        <r>
          <rPr>
            <sz val="11"/>
            <color theme="1"/>
            <rFont val="Calibri"/>
            <family val="2"/>
            <scheme val="minor"/>
          </rPr>
          <t>Cash (BS)
FORMULA: =N78
WHY: Balance-sheet cash equals cash-flow closing cash so the three statements stay linked.
LINK: https://www.sec.gov/Archives/edgar/data/814547/000081454725000030/fico-20250930.htm</t>
        </r>
      </text>
    </comment>
    <comment ref="B42" authorId="0" shapeId="0" xr:uid="{00000000-0006-0000-0100-0000B0000000}">
      <text>
        <r>
          <rPr>
            <sz val="11"/>
            <color theme="1"/>
            <rFont val="Calibri"/>
            <family val="2"/>
            <scheme val="minor"/>
          </rPr>
          <t>AR $
WHY: Revenue × AR days / 365; receivables from the days-sales-outstanding assumption.
PATTERN: ={c}24*{c}15/365
LINK: https://data.sec.gov/api/xbrl/companyfacts/CIK0000814547.json</t>
        </r>
      </text>
    </comment>
    <comment ref="J42" authorId="0" shapeId="0" xr:uid="{00000000-0006-0000-0100-0000B1000000}">
      <text>
        <r>
          <rPr>
            <sz val="11"/>
            <color theme="1"/>
            <rFont val="Calibri"/>
            <family val="2"/>
            <scheme val="minor"/>
          </rPr>
          <t>AR $
FORMULA: =J24*J15/365
WHY: Revenue × AR days / 365; receivables from the days-sales-outstanding assumption.
LINK: https://data.sec.gov/api/xbrl/companyfacts/CIK0000814547.json</t>
        </r>
      </text>
    </comment>
    <comment ref="K42" authorId="0" shapeId="0" xr:uid="{00000000-0006-0000-0100-0000B2000000}">
      <text>
        <r>
          <rPr>
            <sz val="11"/>
            <color theme="1"/>
            <rFont val="Calibri"/>
            <family val="2"/>
            <scheme val="minor"/>
          </rPr>
          <t>AR $
FORMULA: =K24*K15/365
WHY: Revenue × AR days / 365; receivables from the days-sales-outstanding assumption.
LINK: https://data.sec.gov/api/xbrl/companyfacts/CIK0000814547.json</t>
        </r>
      </text>
    </comment>
    <comment ref="L42" authorId="0" shapeId="0" xr:uid="{00000000-0006-0000-0100-0000B3000000}">
      <text>
        <r>
          <rPr>
            <sz val="11"/>
            <color theme="1"/>
            <rFont val="Calibri"/>
            <family val="2"/>
            <scheme val="minor"/>
          </rPr>
          <t>AR $
FORMULA: =L24*L15/365
WHY: Revenue × AR days / 365; receivables from the days-sales-outstanding assumption.
LINK: https://data.sec.gov/api/xbrl/companyfacts/CIK0000814547.json</t>
        </r>
      </text>
    </comment>
    <comment ref="M42" authorId="0" shapeId="0" xr:uid="{00000000-0006-0000-0100-0000B4000000}">
      <text>
        <r>
          <rPr>
            <sz val="11"/>
            <color theme="1"/>
            <rFont val="Calibri"/>
            <family val="2"/>
            <scheme val="minor"/>
          </rPr>
          <t>AR $
FORMULA: =M24*M15/365
WHY: Revenue × AR days / 365; receivables from the days-sales-outstanding assumption.
LINK: https://data.sec.gov/api/xbrl/companyfacts/CIK0000814547.json</t>
        </r>
      </text>
    </comment>
    <comment ref="N42" authorId="0" shapeId="0" xr:uid="{00000000-0006-0000-0100-0000B5000000}">
      <text>
        <r>
          <rPr>
            <sz val="11"/>
            <color theme="1"/>
            <rFont val="Calibri"/>
            <family val="2"/>
            <scheme val="minor"/>
          </rPr>
          <t>AR $
FORMULA: =N24*N15/365
WHY: Revenue × AR days / 365; receivables from the days-sales-outstanding assumption.
LINK: https://data.sec.gov/api/xbrl/companyfacts/CIK0000814547.json</t>
        </r>
      </text>
    </comment>
    <comment ref="B43" authorId="0" shapeId="0" xr:uid="{00000000-0006-0000-0100-0000B6000000}">
      <text>
        <r>
          <rPr>
            <sz val="11"/>
            <color theme="1"/>
            <rFont val="Calibri"/>
            <family val="2"/>
            <scheme val="minor"/>
          </rPr>
          <t>Inventory $
WHY: COGS × inventory days / 365; stays zero because inventory days are policy zero.
PATTERN: ={c}25*{c}16/365
LINK: https://www.sec.gov/Archives/edgar/data/814547/000081454725000030/fico-20250930.htm</t>
        </r>
      </text>
    </comment>
    <comment ref="J43" authorId="0" shapeId="0" xr:uid="{00000000-0006-0000-0100-0000B7000000}">
      <text>
        <r>
          <rPr>
            <sz val="11"/>
            <color theme="1"/>
            <rFont val="Calibri"/>
            <family val="2"/>
            <scheme val="minor"/>
          </rPr>
          <t>Inventory $
FORMULA: =J25*J16/365
WHY: COGS × inventory days / 365; stays zero because inventory days are policy zero.
LINK: https://www.sec.gov/Archives/edgar/data/814547/000081454725000030/fico-20250930.htm</t>
        </r>
      </text>
    </comment>
    <comment ref="K43" authorId="0" shapeId="0" xr:uid="{00000000-0006-0000-0100-0000B8000000}">
      <text>
        <r>
          <rPr>
            <sz val="11"/>
            <color theme="1"/>
            <rFont val="Calibri"/>
            <family val="2"/>
            <scheme val="minor"/>
          </rPr>
          <t>Inventory $
FORMULA: =K25*K16/365
WHY: COGS × inventory days / 365; stays zero because inventory days are policy zero.
LINK: https://www.sec.gov/Archives/edgar/data/814547/000081454725000030/fico-20250930.htm</t>
        </r>
      </text>
    </comment>
    <comment ref="L43" authorId="0" shapeId="0" xr:uid="{00000000-0006-0000-0100-0000B9000000}">
      <text>
        <r>
          <rPr>
            <sz val="11"/>
            <color theme="1"/>
            <rFont val="Calibri"/>
            <family val="2"/>
            <scheme val="minor"/>
          </rPr>
          <t>Inventory $
FORMULA: =L25*L16/365
WHY: COGS × inventory days / 365; stays zero because inventory days are policy zero.
LINK: https://www.sec.gov/Archives/edgar/data/814547/000081454725000030/fico-20250930.htm</t>
        </r>
      </text>
    </comment>
    <comment ref="M43" authorId="0" shapeId="0" xr:uid="{00000000-0006-0000-0100-0000BA000000}">
      <text>
        <r>
          <rPr>
            <sz val="11"/>
            <color theme="1"/>
            <rFont val="Calibri"/>
            <family val="2"/>
            <scheme val="minor"/>
          </rPr>
          <t>Inventory $
FORMULA: =M25*M16/365
WHY: COGS × inventory days / 365; stays zero because inventory days are policy zero.
LINK: https://www.sec.gov/Archives/edgar/data/814547/000081454725000030/fico-20250930.htm</t>
        </r>
      </text>
    </comment>
    <comment ref="N43" authorId="0" shapeId="0" xr:uid="{00000000-0006-0000-0100-0000BB000000}">
      <text>
        <r>
          <rPr>
            <sz val="11"/>
            <color theme="1"/>
            <rFont val="Calibri"/>
            <family val="2"/>
            <scheme val="minor"/>
          </rPr>
          <t>Inventory $
FORMULA: =N25*N16/365
WHY: COGS × inventory days / 365; stays zero because inventory days are policy zero.
LINK: https://www.sec.gov/Archives/edgar/data/814547/000081454725000030/fico-20250930.htm</t>
        </r>
      </text>
    </comment>
    <comment ref="B44" authorId="0" shapeId="0" xr:uid="{00000000-0006-0000-0100-0000BC000000}">
      <text>
        <r>
          <rPr>
            <sz val="11"/>
            <color theme="1"/>
            <rFont val="Calibri"/>
            <family val="2"/>
            <scheme val="minor"/>
          </rPr>
          <t>PP&amp;E (BS)
WHY: Net PP&amp;E equals the PPE schedule closing balance after CapEx and depreciation.
PATTERN: ={c}95
LINK: https://www.sec.gov/Archives/edgar/data/814547/000081454725000030/fico-20250930.htm</t>
        </r>
      </text>
    </comment>
    <comment ref="J44" authorId="0" shapeId="0" xr:uid="{00000000-0006-0000-0100-0000BD000000}">
      <text>
        <r>
          <rPr>
            <sz val="11"/>
            <color theme="1"/>
            <rFont val="Calibri"/>
            <family val="2"/>
            <scheme val="minor"/>
          </rPr>
          <t>PP&amp;E (BS)
FORMULA: =J95
WHY: Net PP&amp;E equals the PPE schedule closing balance after CapEx and depreciation.
LINK: https://www.sec.gov/Archives/edgar/data/814547/000081454725000030/fico-20250930.htm</t>
        </r>
      </text>
    </comment>
    <comment ref="K44" authorId="0" shapeId="0" xr:uid="{00000000-0006-0000-0100-0000BE000000}">
      <text>
        <r>
          <rPr>
            <sz val="11"/>
            <color theme="1"/>
            <rFont val="Calibri"/>
            <family val="2"/>
            <scheme val="minor"/>
          </rPr>
          <t>PP&amp;E (BS)
FORMULA: =K95
WHY: Net PP&amp;E equals the PPE schedule closing balance after CapEx and depreciation.
LINK: https://www.sec.gov/Archives/edgar/data/814547/000081454725000030/fico-20250930.htm</t>
        </r>
      </text>
    </comment>
    <comment ref="L44" authorId="0" shapeId="0" xr:uid="{00000000-0006-0000-0100-0000BF000000}">
      <text>
        <r>
          <rPr>
            <sz val="11"/>
            <color theme="1"/>
            <rFont val="Calibri"/>
            <family val="2"/>
            <scheme val="minor"/>
          </rPr>
          <t>PP&amp;E (BS)
FORMULA: =L95
WHY: Net PP&amp;E equals the PPE schedule closing balance after CapEx and depreciation.
LINK: https://www.sec.gov/Archives/edgar/data/814547/000081454725000030/fico-20250930.htm</t>
        </r>
      </text>
    </comment>
    <comment ref="M44" authorId="0" shapeId="0" xr:uid="{00000000-0006-0000-0100-0000C0000000}">
      <text>
        <r>
          <rPr>
            <sz val="11"/>
            <color theme="1"/>
            <rFont val="Calibri"/>
            <family val="2"/>
            <scheme val="minor"/>
          </rPr>
          <t>PP&amp;E (BS)
FORMULA: =M95
WHY: Net PP&amp;E equals the PPE schedule closing balance after CapEx and depreciation.
LINK: https://www.sec.gov/Archives/edgar/data/814547/000081454725000030/fico-20250930.htm</t>
        </r>
      </text>
    </comment>
    <comment ref="N44" authorId="0" shapeId="0" xr:uid="{00000000-0006-0000-0100-0000C1000000}">
      <text>
        <r>
          <rPr>
            <sz val="11"/>
            <color theme="1"/>
            <rFont val="Calibri"/>
            <family val="2"/>
            <scheme val="minor"/>
          </rPr>
          <t>PP&amp;E (BS)
FORMULA: =N95
WHY: Net PP&amp;E equals the PPE schedule closing balance after CapEx and depreciation.
LINK: https://www.sec.gov/Archives/edgar/data/814547/000081454725000030/fico-20250930.htm</t>
        </r>
      </text>
    </comment>
    <comment ref="B45" authorId="0" shapeId="0" xr:uid="{00000000-0006-0000-0100-0000C2000000}">
      <text>
        <r>
          <rPr>
            <sz val="11"/>
            <color theme="1"/>
            <rFont val="Calibri"/>
            <family val="2"/>
            <scheme val="minor"/>
          </rPr>
          <t>Total assets
WHY: Cash + AR + inventory + PP&amp;E; simplified asset base used for the balance-sheet check.
PATTERN: =SUM({c}41:{c}44)
LINK: https://www.sec.gov/Archives/edgar/data/814547/000081454725000030/fico-20250930.htm</t>
        </r>
      </text>
    </comment>
    <comment ref="J45" authorId="0" shapeId="0" xr:uid="{00000000-0006-0000-0100-0000C3000000}">
      <text>
        <r>
          <rPr>
            <sz val="11"/>
            <color theme="1"/>
            <rFont val="Calibri"/>
            <family val="2"/>
            <scheme val="minor"/>
          </rPr>
          <t>Total assets
FORMULA: =SUM(J41:J44)
WHY: Cash + AR + inventory + PP&amp;E; simplified asset base used for the balance-sheet check.
LINK: https://www.sec.gov/Archives/edgar/data/814547/000081454725000030/fico-20250930.htm</t>
        </r>
      </text>
    </comment>
    <comment ref="K45" authorId="0" shapeId="0" xr:uid="{00000000-0006-0000-0100-0000C4000000}">
      <text>
        <r>
          <rPr>
            <sz val="11"/>
            <color theme="1"/>
            <rFont val="Calibri"/>
            <family val="2"/>
            <scheme val="minor"/>
          </rPr>
          <t>Total assets
FORMULA: =SUM(K41:K44)
WHY: Cash + AR + inventory + PP&amp;E; simplified asset base used for the balance-sheet check.
LINK: https://www.sec.gov/Archives/edgar/data/814547/000081454725000030/fico-20250930.htm</t>
        </r>
      </text>
    </comment>
    <comment ref="L45" authorId="0" shapeId="0" xr:uid="{00000000-0006-0000-0100-0000C5000000}">
      <text>
        <r>
          <rPr>
            <sz val="11"/>
            <color theme="1"/>
            <rFont val="Calibri"/>
            <family val="2"/>
            <scheme val="minor"/>
          </rPr>
          <t>Total assets
FORMULA: =SUM(L41:L44)
WHY: Cash + AR + inventory + PP&amp;E; simplified asset base used for the balance-sheet check.
LINK: https://www.sec.gov/Archives/edgar/data/814547/000081454725000030/fico-20250930.htm</t>
        </r>
      </text>
    </comment>
    <comment ref="M45" authorId="0" shapeId="0" xr:uid="{00000000-0006-0000-0100-0000C6000000}">
      <text>
        <r>
          <rPr>
            <sz val="11"/>
            <color theme="1"/>
            <rFont val="Calibri"/>
            <family val="2"/>
            <scheme val="minor"/>
          </rPr>
          <t>Total assets
FORMULA: =SUM(M41:M44)
WHY: Cash + AR + inventory + PP&amp;E; simplified asset base used for the balance-sheet check.
LINK: https://www.sec.gov/Archives/edgar/data/814547/000081454725000030/fico-20250930.htm</t>
        </r>
      </text>
    </comment>
    <comment ref="N45" authorId="0" shapeId="0" xr:uid="{00000000-0006-0000-0100-0000C7000000}">
      <text>
        <r>
          <rPr>
            <sz val="11"/>
            <color theme="1"/>
            <rFont val="Calibri"/>
            <family val="2"/>
            <scheme val="minor"/>
          </rPr>
          <t>Total assets
FORMULA: =SUM(N41:N44)
WHY: Cash + AR + inventory + PP&amp;E; simplified asset base used for the balance-sheet check.
LINK: https://www.sec.gov/Archives/edgar/data/814547/000081454725000030/fico-20250930.htm</t>
        </r>
      </text>
    </comment>
    <comment ref="B48" authorId="0" shapeId="0" xr:uid="{00000000-0006-0000-0100-0000C8000000}">
      <text>
        <r>
          <rPr>
            <sz val="11"/>
            <color theme="1"/>
            <rFont val="Calibri"/>
            <family val="2"/>
            <scheme val="minor"/>
          </rPr>
          <t>AP $
WHY: COGS × AP days / 365; payables funded by the payable-days assumption.
PATTERN: ={c}25*{c}17/365
LINK: https://www.sec.gov/Archives/edgar/data/814547/000081454725000030/fico-20250930.htm</t>
        </r>
      </text>
    </comment>
    <comment ref="J48" authorId="0" shapeId="0" xr:uid="{00000000-0006-0000-0100-0000C9000000}">
      <text>
        <r>
          <rPr>
            <sz val="11"/>
            <color theme="1"/>
            <rFont val="Calibri"/>
            <family val="2"/>
            <scheme val="minor"/>
          </rPr>
          <t>AP $
FORMULA: =J25*J17/365
WHY: COGS × AP days / 365; payables funded by the payable-days assumption.
LINK: https://www.sec.gov/Archives/edgar/data/814547/000081454725000030/fico-20250930.htm</t>
        </r>
      </text>
    </comment>
    <comment ref="K48" authorId="0" shapeId="0" xr:uid="{00000000-0006-0000-0100-0000CA000000}">
      <text>
        <r>
          <rPr>
            <sz val="11"/>
            <color theme="1"/>
            <rFont val="Calibri"/>
            <family val="2"/>
            <scheme val="minor"/>
          </rPr>
          <t>AP $
FORMULA: =K25*K17/365
WHY: COGS × AP days / 365; payables funded by the payable-days assumption.
LINK: https://www.sec.gov/Archives/edgar/data/814547/000081454725000030/fico-20250930.htm</t>
        </r>
      </text>
    </comment>
    <comment ref="L48" authorId="0" shapeId="0" xr:uid="{00000000-0006-0000-0100-0000CB000000}">
      <text>
        <r>
          <rPr>
            <sz val="11"/>
            <color theme="1"/>
            <rFont val="Calibri"/>
            <family val="2"/>
            <scheme val="minor"/>
          </rPr>
          <t>AP $
FORMULA: =L25*L17/365
WHY: COGS × AP days / 365; payables funded by the payable-days assumption.
LINK: https://www.sec.gov/Archives/edgar/data/814547/000081454725000030/fico-20250930.htm</t>
        </r>
      </text>
    </comment>
    <comment ref="M48" authorId="0" shapeId="0" xr:uid="{00000000-0006-0000-0100-0000CC000000}">
      <text>
        <r>
          <rPr>
            <sz val="11"/>
            <color theme="1"/>
            <rFont val="Calibri"/>
            <family val="2"/>
            <scheme val="minor"/>
          </rPr>
          <t>AP $
FORMULA: =M25*M17/365
WHY: COGS × AP days / 365; payables funded by the payable-days assumption.
LINK: https://www.sec.gov/Archives/edgar/data/814547/000081454725000030/fico-20250930.htm</t>
        </r>
      </text>
    </comment>
    <comment ref="N48" authorId="0" shapeId="0" xr:uid="{00000000-0006-0000-0100-0000CD000000}">
      <text>
        <r>
          <rPr>
            <sz val="11"/>
            <color theme="1"/>
            <rFont val="Calibri"/>
            <family val="2"/>
            <scheme val="minor"/>
          </rPr>
          <t>AP $
FORMULA: =N25*N17/365
WHY: COGS × AP days / 365; payables funded by the payable-days assumption.
LINK: https://www.sec.gov/Archives/edgar/data/814547/000081454725000030/fico-20250930.htm</t>
        </r>
      </text>
    </comment>
    <comment ref="B49" authorId="0" shapeId="0" xr:uid="{00000000-0006-0000-0100-0000CE000000}">
      <text>
        <r>
          <rPr>
            <sz val="11"/>
            <color theme="1"/>
            <rFont val="Calibri"/>
            <family val="2"/>
            <scheme val="minor"/>
          </rPr>
          <t>Debt (BS)
WHY: Debt equals the debt-schedule closing balance (open + issuance, issuance usually 0).
PATTERN: ={c}100
LINK: https://www.sec.gov/Archives/edgar/data/814547/000081454725000030/fico-20250930.htm</t>
        </r>
      </text>
    </comment>
    <comment ref="J49" authorId="0" shapeId="0" xr:uid="{00000000-0006-0000-0100-0000CF000000}">
      <text>
        <r>
          <rPr>
            <sz val="11"/>
            <color theme="1"/>
            <rFont val="Calibri"/>
            <family val="2"/>
            <scheme val="minor"/>
          </rPr>
          <t>Debt (BS)
FORMULA: =J100
WHY: Debt equals the debt-schedule closing balance (open + issuance, issuance usually 0).
LINK: https://www.sec.gov/Archives/edgar/data/814547/000081454725000030/fico-20250930.htm</t>
        </r>
      </text>
    </comment>
    <comment ref="K49" authorId="0" shapeId="0" xr:uid="{00000000-0006-0000-0100-0000D0000000}">
      <text>
        <r>
          <rPr>
            <sz val="11"/>
            <color theme="1"/>
            <rFont val="Calibri"/>
            <family val="2"/>
            <scheme val="minor"/>
          </rPr>
          <t>Debt (BS)
FORMULA: =K100
WHY: Debt equals the debt-schedule closing balance (open + issuance, issuance usually 0).
LINK: https://www.sec.gov/Archives/edgar/data/814547/000081454725000030/fico-20250930.htm</t>
        </r>
      </text>
    </comment>
    <comment ref="L49" authorId="0" shapeId="0" xr:uid="{00000000-0006-0000-0100-0000D1000000}">
      <text>
        <r>
          <rPr>
            <sz val="11"/>
            <color theme="1"/>
            <rFont val="Calibri"/>
            <family val="2"/>
            <scheme val="minor"/>
          </rPr>
          <t>Debt (BS)
FORMULA: =L100
WHY: Debt equals the debt-schedule closing balance (open + issuance, issuance usually 0).
LINK: https://www.sec.gov/Archives/edgar/data/814547/000081454725000030/fico-20250930.htm</t>
        </r>
      </text>
    </comment>
    <comment ref="M49" authorId="0" shapeId="0" xr:uid="{00000000-0006-0000-0100-0000D2000000}">
      <text>
        <r>
          <rPr>
            <sz val="11"/>
            <color theme="1"/>
            <rFont val="Calibri"/>
            <family val="2"/>
            <scheme val="minor"/>
          </rPr>
          <t>Debt (BS)
FORMULA: =M100
WHY: Debt equals the debt-schedule closing balance (open + issuance, issuance usually 0).
LINK: https://www.sec.gov/Archives/edgar/data/814547/000081454725000030/fico-20250930.htm</t>
        </r>
      </text>
    </comment>
    <comment ref="N49" authorId="0" shapeId="0" xr:uid="{00000000-0006-0000-0100-0000D3000000}">
      <text>
        <r>
          <rPr>
            <sz val="11"/>
            <color theme="1"/>
            <rFont val="Calibri"/>
            <family val="2"/>
            <scheme val="minor"/>
          </rPr>
          <t>Debt (BS)
FORMULA: =N100
WHY: Debt equals the debt-schedule closing balance (open + issuance, issuance usually 0).
LINK: https://www.sec.gov/Archives/edgar/data/814547/000081454725000030/fico-20250930.htm</t>
        </r>
      </text>
    </comment>
    <comment ref="B50" authorId="0" shapeId="0" xr:uid="{00000000-0006-0000-0100-0000D4000000}">
      <text>
        <r>
          <rPr>
            <sz val="11"/>
            <color theme="1"/>
            <rFont val="Calibri"/>
            <family val="2"/>
            <scheme val="minor"/>
          </rPr>
          <t>Total liabilities
WHY: Accounts payable plus debt; simplified liability total in this teaching template.
PATTERN: =SUM({c}48:{c}49)
LINK: https://www.sec.gov/Archives/edgar/data/814547/000081454725000030/fico-20250930.htm</t>
        </r>
      </text>
    </comment>
    <comment ref="J50" authorId="0" shapeId="0" xr:uid="{00000000-0006-0000-0100-0000D5000000}">
      <text>
        <r>
          <rPr>
            <sz val="11"/>
            <color theme="1"/>
            <rFont val="Calibri"/>
            <family val="2"/>
            <scheme val="minor"/>
          </rPr>
          <t>Total liabilities
FORMULA: =SUM(J48:J49)
WHY: Accounts payable plus debt; simplified liability total in this teaching template.
LINK: https://www.sec.gov/Archives/edgar/data/814547/000081454725000030/fico-20250930.htm</t>
        </r>
      </text>
    </comment>
    <comment ref="K50" authorId="0" shapeId="0" xr:uid="{00000000-0006-0000-0100-0000D6000000}">
      <text>
        <r>
          <rPr>
            <sz val="11"/>
            <color theme="1"/>
            <rFont val="Calibri"/>
            <family val="2"/>
            <scheme val="minor"/>
          </rPr>
          <t>Total liabilities
FORMULA: =SUM(K48:K49)
WHY: Accounts payable plus debt; simplified liability total in this teaching template.
LINK: https://www.sec.gov/Archives/edgar/data/814547/000081454725000030/fico-20250930.htm</t>
        </r>
      </text>
    </comment>
    <comment ref="L50" authorId="0" shapeId="0" xr:uid="{00000000-0006-0000-0100-0000D7000000}">
      <text>
        <r>
          <rPr>
            <sz val="11"/>
            <color theme="1"/>
            <rFont val="Calibri"/>
            <family val="2"/>
            <scheme val="minor"/>
          </rPr>
          <t>Total liabilities
FORMULA: =SUM(L48:L49)
WHY: Accounts payable plus debt; simplified liability total in this teaching template.
LINK: https://www.sec.gov/Archives/edgar/data/814547/000081454725000030/fico-20250930.htm</t>
        </r>
      </text>
    </comment>
    <comment ref="M50" authorId="0" shapeId="0" xr:uid="{00000000-0006-0000-0100-0000D8000000}">
      <text>
        <r>
          <rPr>
            <sz val="11"/>
            <color theme="1"/>
            <rFont val="Calibri"/>
            <family val="2"/>
            <scheme val="minor"/>
          </rPr>
          <t>Total liabilities
FORMULA: =SUM(M48:M49)
WHY: Accounts payable plus debt; simplified liability total in this teaching template.
LINK: https://www.sec.gov/Archives/edgar/data/814547/000081454725000030/fico-20250930.htm</t>
        </r>
      </text>
    </comment>
    <comment ref="N50" authorId="0" shapeId="0" xr:uid="{00000000-0006-0000-0100-0000D9000000}">
      <text>
        <r>
          <rPr>
            <sz val="11"/>
            <color theme="1"/>
            <rFont val="Calibri"/>
            <family val="2"/>
            <scheme val="minor"/>
          </rPr>
          <t>Total liabilities
FORMULA: =SUM(N48:N49)
WHY: Accounts payable plus debt; simplified liability total in this teaching template.
LINK: https://www.sec.gov/Archives/edgar/data/814547/000081454725000030/fico-20250930.htm</t>
        </r>
      </text>
    </comment>
    <comment ref="B52" authorId="0" shapeId="0" xr:uid="{00000000-0006-0000-0100-0000DA000000}">
      <text>
        <r>
          <rPr>
            <sz val="11"/>
            <color theme="1"/>
            <rFont val="Calibri"/>
            <family val="2"/>
            <scheme val="minor"/>
          </rPr>
          <t>Equity capital
WHY: Prior equity capital plus equity issued/(repurchased); policy keeps issuance at zero.
PATTERN: ={p}52+{c}20
LINK: https://www.sec.gov/Archives/edgar/data/814547/000081454725000030/fico-20250930.htm</t>
        </r>
      </text>
    </comment>
    <comment ref="J52" authorId="0" shapeId="0" xr:uid="{00000000-0006-0000-0100-0000DB000000}">
      <text>
        <r>
          <rPr>
            <sz val="11"/>
            <color theme="1"/>
            <rFont val="Calibri"/>
            <family val="2"/>
            <scheme val="minor"/>
          </rPr>
          <t>Equity capital
FORMULA: =I52+J20
WHY: Prior equity capital plus equity issued/(repurchased); policy keeps issuance at zero.
LINK: https://www.sec.gov/Archives/edgar/data/814547/000081454725000030/fico-20250930.htm</t>
        </r>
      </text>
    </comment>
    <comment ref="K52" authorId="0" shapeId="0" xr:uid="{00000000-0006-0000-0100-0000DC000000}">
      <text>
        <r>
          <rPr>
            <sz val="11"/>
            <color theme="1"/>
            <rFont val="Calibri"/>
            <family val="2"/>
            <scheme val="minor"/>
          </rPr>
          <t>Equity capital
FORMULA: =J52+K20
WHY: Prior equity capital plus equity issued/(repurchased); policy keeps issuance at zero.
LINK: https://www.sec.gov/Archives/edgar/data/814547/000081454725000030/fico-20250930.htm</t>
        </r>
      </text>
    </comment>
    <comment ref="L52" authorId="0" shapeId="0" xr:uid="{00000000-0006-0000-0100-0000DD000000}">
      <text>
        <r>
          <rPr>
            <sz val="11"/>
            <color theme="1"/>
            <rFont val="Calibri"/>
            <family val="2"/>
            <scheme val="minor"/>
          </rPr>
          <t>Equity capital
FORMULA: =K52+L20
WHY: Prior equity capital plus equity issued/(repurchased); policy keeps issuance at zero.
LINK: https://www.sec.gov/Archives/edgar/data/814547/000081454725000030/fico-20250930.htm</t>
        </r>
      </text>
    </comment>
    <comment ref="M52" authorId="0" shapeId="0" xr:uid="{00000000-0006-0000-0100-0000DE000000}">
      <text>
        <r>
          <rPr>
            <sz val="11"/>
            <color theme="1"/>
            <rFont val="Calibri"/>
            <family val="2"/>
            <scheme val="minor"/>
          </rPr>
          <t>Equity capital
FORMULA: =L52+M20
WHY: Prior equity capital plus equity issued/(repurchased); policy keeps issuance at zero.
LINK: https://www.sec.gov/Archives/edgar/data/814547/000081454725000030/fico-20250930.htm</t>
        </r>
      </text>
    </comment>
    <comment ref="N52" authorId="0" shapeId="0" xr:uid="{00000000-0006-0000-0100-0000DF000000}">
      <text>
        <r>
          <rPr>
            <sz val="11"/>
            <color theme="1"/>
            <rFont val="Calibri"/>
            <family val="2"/>
            <scheme val="minor"/>
          </rPr>
          <t>Equity capital
FORMULA: =M52+N20
WHY: Prior equity capital plus equity issued/(repurchased); policy keeps issuance at zero.
LINK: https://www.sec.gov/Archives/edgar/data/814547/000081454725000030/fico-20250930.htm</t>
        </r>
      </text>
    </comment>
    <comment ref="B53" authorId="0" shapeId="0" xr:uid="{00000000-0006-0000-0100-0000E0000000}">
      <text>
        <r>
          <rPr>
            <sz val="11"/>
            <color theme="1"/>
            <rFont val="Calibri"/>
            <family val="2"/>
            <scheme val="minor"/>
          </rPr>
          <t>Retained earnings
WHY: Prior RE plus this year’s net earnings; accumulates NI into equity without dividends.
PATTERN: ={p}53+{c}33*(1-{c}13)
LINK: https://www.sec.gov/Archives/edgar/data/814547/000081454725000030/fico-20250930.htm</t>
        </r>
      </text>
    </comment>
    <comment ref="J53" authorId="0" shapeId="0" xr:uid="{00000000-0006-0000-0100-0000E1000000}">
      <text>
        <r>
          <rPr>
            <sz val="11"/>
            <color theme="1"/>
            <rFont val="Calibri"/>
            <family val="2"/>
            <scheme val="minor"/>
          </rPr>
          <t>Retained earnings
FORMULA: =I53+J33*(1-J13)
WHY: Prior RE plus this year’s net earnings; accumulates NI into equity without dividends.
LINK: https://www.sec.gov/Archives/edgar/data/814547/000081454725000030/fico-20250930.htm</t>
        </r>
      </text>
    </comment>
    <comment ref="K53" authorId="0" shapeId="0" xr:uid="{00000000-0006-0000-0100-0000E2000000}">
      <text>
        <r>
          <rPr>
            <sz val="11"/>
            <color theme="1"/>
            <rFont val="Calibri"/>
            <family val="2"/>
            <scheme val="minor"/>
          </rPr>
          <t>Retained earnings
FORMULA: =J53+K33*(1-K13)
WHY: Prior RE plus this year’s net earnings; accumulates NI into equity without dividends.
LINK: https://www.sec.gov/Archives/edgar/data/814547/000081454725000030/fico-20250930.htm</t>
        </r>
      </text>
    </comment>
    <comment ref="L53" authorId="0" shapeId="0" xr:uid="{00000000-0006-0000-0100-0000E3000000}">
      <text>
        <r>
          <rPr>
            <sz val="11"/>
            <color theme="1"/>
            <rFont val="Calibri"/>
            <family val="2"/>
            <scheme val="minor"/>
          </rPr>
          <t>Retained earnings
FORMULA: =K53+L33*(1-L13)
WHY: Prior RE plus this year’s net earnings; accumulates NI into equity without dividends.
LINK: https://www.sec.gov/Archives/edgar/data/814547/000081454725000030/fico-20250930.htm</t>
        </r>
      </text>
    </comment>
    <comment ref="M53" authorId="0" shapeId="0" xr:uid="{00000000-0006-0000-0100-0000E4000000}">
      <text>
        <r>
          <rPr>
            <sz val="11"/>
            <color theme="1"/>
            <rFont val="Calibri"/>
            <family val="2"/>
            <scheme val="minor"/>
          </rPr>
          <t>Retained earnings
FORMULA: =L53+M33*(1-M13)
WHY: Prior RE plus this year’s net earnings; accumulates NI into equity without dividends.
LINK: https://www.sec.gov/Archives/edgar/data/814547/000081454725000030/fico-20250930.htm</t>
        </r>
      </text>
    </comment>
    <comment ref="N53" authorId="0" shapeId="0" xr:uid="{00000000-0006-0000-0100-0000E5000000}">
      <text>
        <r>
          <rPr>
            <sz val="11"/>
            <color theme="1"/>
            <rFont val="Calibri"/>
            <family val="2"/>
            <scheme val="minor"/>
          </rPr>
          <t>Retained earnings
FORMULA: =M53+N33*(1-N13)
WHY: Prior RE plus this year’s net earnings; accumulates NI into equity without dividends.
LINK: https://www.sec.gov/Archives/edgar/data/814547/000081454725000030/fico-20250930.htm</t>
        </r>
      </text>
    </comment>
    <comment ref="B54" authorId="0" shapeId="0" xr:uid="{00000000-0006-0000-0100-0000E6000000}">
      <text>
        <r>
          <rPr>
            <sz val="11"/>
            <color theme="1"/>
            <rFont val="Calibri"/>
            <family val="2"/>
            <scheme val="minor"/>
          </rPr>
          <t>Shareholders’ equity
WHY: Equity capital plus retained earnings; book equity for the L+E side of the check.
PATTERN: =SUM({c}52:{c}53)
LINK: https://www.sec.gov/Archives/edgar/data/814547/000081454725000030/fico-20250930.htm</t>
        </r>
      </text>
    </comment>
    <comment ref="J54" authorId="0" shapeId="0" xr:uid="{00000000-0006-0000-0100-0000E7000000}">
      <text>
        <r>
          <rPr>
            <sz val="11"/>
            <color theme="1"/>
            <rFont val="Calibri"/>
            <family val="2"/>
            <scheme val="minor"/>
          </rPr>
          <t>Shareholders’ equity
FORMULA: =SUM(J52:J53)
WHY: Equity capital plus retained earnings; book equity for the L+E side of the check.
LINK: https://www.sec.gov/Archives/edgar/data/814547/000081454725000030/fico-20250930.htm</t>
        </r>
      </text>
    </comment>
    <comment ref="K54" authorId="0" shapeId="0" xr:uid="{00000000-0006-0000-0100-0000E8000000}">
      <text>
        <r>
          <rPr>
            <sz val="11"/>
            <color theme="1"/>
            <rFont val="Calibri"/>
            <family val="2"/>
            <scheme val="minor"/>
          </rPr>
          <t>Shareholders’ equity
FORMULA: =SUM(K52:K53)
WHY: Equity capital plus retained earnings; book equity for the L+E side of the check.
LINK: https://www.sec.gov/Archives/edgar/data/814547/000081454725000030/fico-20250930.htm</t>
        </r>
      </text>
    </comment>
    <comment ref="L54" authorId="0" shapeId="0" xr:uid="{00000000-0006-0000-0100-0000E9000000}">
      <text>
        <r>
          <rPr>
            <sz val="11"/>
            <color theme="1"/>
            <rFont val="Calibri"/>
            <family val="2"/>
            <scheme val="minor"/>
          </rPr>
          <t>Shareholders’ equity
FORMULA: =SUM(L52:L53)
WHY: Equity capital plus retained earnings; book equity for the L+E side of the check.
LINK: https://www.sec.gov/Archives/edgar/data/814547/000081454725000030/fico-20250930.htm</t>
        </r>
      </text>
    </comment>
    <comment ref="M54" authorId="0" shapeId="0" xr:uid="{00000000-0006-0000-0100-0000EA000000}">
      <text>
        <r>
          <rPr>
            <sz val="11"/>
            <color theme="1"/>
            <rFont val="Calibri"/>
            <family val="2"/>
            <scheme val="minor"/>
          </rPr>
          <t>Shareholders’ equity
FORMULA: =SUM(M52:M53)
WHY: Equity capital plus retained earnings; book equity for the L+E side of the check.
LINK: https://www.sec.gov/Archives/edgar/data/814547/000081454725000030/fico-20250930.htm</t>
        </r>
      </text>
    </comment>
    <comment ref="N54" authorId="0" shapeId="0" xr:uid="{00000000-0006-0000-0100-0000EB000000}">
      <text>
        <r>
          <rPr>
            <sz val="11"/>
            <color theme="1"/>
            <rFont val="Calibri"/>
            <family val="2"/>
            <scheme val="minor"/>
          </rPr>
          <t>Shareholders’ equity
FORMULA: =SUM(N52:N53)
WHY: Equity capital plus retained earnings; book equity for the L+E side of the check.
LINK: https://www.sec.gov/Archives/edgar/data/814547/000081454725000030/fico-20250930.htm</t>
        </r>
      </text>
    </comment>
    <comment ref="B55" authorId="0" shapeId="0" xr:uid="{00000000-0006-0000-0100-0000EC000000}">
      <text>
        <r>
          <rPr>
            <sz val="11"/>
            <color theme="1"/>
            <rFont val="Calibri"/>
            <family val="2"/>
            <scheme val="minor"/>
          </rPr>
          <t>Total L+E
WHY: Liabilities plus equity; must equal total assets when the model is in balance.
PATTERN: ={c}50+{c}54
LINK: https://www.sec.gov/Archives/edgar/data/814547/000081454725000030/fico-20250930.htm</t>
        </r>
      </text>
    </comment>
    <comment ref="J55" authorId="0" shapeId="0" xr:uid="{00000000-0006-0000-0100-0000ED000000}">
      <text>
        <r>
          <rPr>
            <sz val="11"/>
            <color theme="1"/>
            <rFont val="Calibri"/>
            <family val="2"/>
            <scheme val="minor"/>
          </rPr>
          <t>Total L+E
FORMULA: =J50+J54
WHY: Liabilities plus equity; must equal total assets when the model is in balance.
LINK: https://www.sec.gov/Archives/edgar/data/814547/000081454725000030/fico-20250930.htm</t>
        </r>
      </text>
    </comment>
    <comment ref="K55" authorId="0" shapeId="0" xr:uid="{00000000-0006-0000-0100-0000EE000000}">
      <text>
        <r>
          <rPr>
            <sz val="11"/>
            <color theme="1"/>
            <rFont val="Calibri"/>
            <family val="2"/>
            <scheme val="minor"/>
          </rPr>
          <t>Total L+E
FORMULA: =K50+K54
WHY: Liabilities plus equity; must equal total assets when the model is in balance.
LINK: https://www.sec.gov/Archives/edgar/data/814547/000081454725000030/fico-20250930.htm</t>
        </r>
      </text>
    </comment>
    <comment ref="L55" authorId="0" shapeId="0" xr:uid="{00000000-0006-0000-0100-0000EF000000}">
      <text>
        <r>
          <rPr>
            <sz val="11"/>
            <color theme="1"/>
            <rFont val="Calibri"/>
            <family val="2"/>
            <scheme val="minor"/>
          </rPr>
          <t>Total L+E
FORMULA: =L50+L54
WHY: Liabilities plus equity; must equal total assets when the model is in balance.
LINK: https://www.sec.gov/Archives/edgar/data/814547/000081454725000030/fico-20250930.htm</t>
        </r>
      </text>
    </comment>
    <comment ref="M55" authorId="0" shapeId="0" xr:uid="{00000000-0006-0000-0100-0000F0000000}">
      <text>
        <r>
          <rPr>
            <sz val="11"/>
            <color theme="1"/>
            <rFont val="Calibri"/>
            <family val="2"/>
            <scheme val="minor"/>
          </rPr>
          <t>Total L+E
FORMULA: =M50+M54
WHY: Liabilities plus equity; must equal total assets when the model is in balance.
LINK: https://www.sec.gov/Archives/edgar/data/814547/000081454725000030/fico-20250930.htm</t>
        </r>
      </text>
    </comment>
    <comment ref="N55" authorId="0" shapeId="0" xr:uid="{00000000-0006-0000-0100-0000F1000000}">
      <text>
        <r>
          <rPr>
            <sz val="11"/>
            <color theme="1"/>
            <rFont val="Calibri"/>
            <family val="2"/>
            <scheme val="minor"/>
          </rPr>
          <t>Total L+E
FORMULA: =N50+N54
WHY: Liabilities plus equity; must equal total assets when the model is in balance.
LINK: https://www.sec.gov/Archives/edgar/data/814547/000081454725000030/fico-20250930.htm</t>
        </r>
      </text>
    </comment>
    <comment ref="B57" authorId="0" shapeId="0" xr:uid="{00000000-0006-0000-0100-0000F2000000}">
      <text>
        <r>
          <rPr>
            <sz val="11"/>
            <color theme="1"/>
            <rFont val="Calibri"/>
            <family val="2"/>
            <scheme val="minor"/>
          </rPr>
          <t>BS imbalance
WHY: L+E minus assets; should be ~0. Nonzero means a link or plug is broken.
PATTERN: ={c}55-{c}45
LINK: https://www.sec.gov/Archives/edgar/data/814547/000081454725000030/fico-20250930.htm</t>
        </r>
      </text>
    </comment>
    <comment ref="J57" authorId="0" shapeId="0" xr:uid="{00000000-0006-0000-0100-0000F3000000}">
      <text>
        <r>
          <rPr>
            <sz val="11"/>
            <color theme="1"/>
            <rFont val="Calibri"/>
            <family val="2"/>
            <scheme val="minor"/>
          </rPr>
          <t>BS imbalance
FORMULA: =J55-J45
WHY: L+E minus assets; should be ~0. Nonzero means a link or plug is broken.
LINK: https://www.sec.gov/Archives/edgar/data/814547/000081454725000030/fico-20250930.htm</t>
        </r>
      </text>
    </comment>
    <comment ref="K57" authorId="0" shapeId="0" xr:uid="{00000000-0006-0000-0100-0000F4000000}">
      <text>
        <r>
          <rPr>
            <sz val="11"/>
            <color theme="1"/>
            <rFont val="Calibri"/>
            <family val="2"/>
            <scheme val="minor"/>
          </rPr>
          <t>BS imbalance
FORMULA: =K55-K45
WHY: L+E minus assets; should be ~0. Nonzero means a link or plug is broken.
LINK: https://www.sec.gov/Archives/edgar/data/814547/000081454725000030/fico-20250930.htm</t>
        </r>
      </text>
    </comment>
    <comment ref="L57" authorId="0" shapeId="0" xr:uid="{00000000-0006-0000-0100-0000F5000000}">
      <text>
        <r>
          <rPr>
            <sz val="11"/>
            <color theme="1"/>
            <rFont val="Calibri"/>
            <family val="2"/>
            <scheme val="minor"/>
          </rPr>
          <t>BS imbalance
FORMULA: =L55-L45
WHY: L+E minus assets; should be ~0. Nonzero means a link or plug is broken.
LINK: https://www.sec.gov/Archives/edgar/data/814547/000081454725000030/fico-20250930.htm</t>
        </r>
      </text>
    </comment>
    <comment ref="M57" authorId="0" shapeId="0" xr:uid="{00000000-0006-0000-0100-0000F6000000}">
      <text>
        <r>
          <rPr>
            <sz val="11"/>
            <color theme="1"/>
            <rFont val="Calibri"/>
            <family val="2"/>
            <scheme val="minor"/>
          </rPr>
          <t>BS imbalance
FORMULA: =M55-M45
WHY: L+E minus assets; should be ~0. Nonzero means a link or plug is broken.
LINK: https://www.sec.gov/Archives/edgar/data/814547/000081454725000030/fico-20250930.htm</t>
        </r>
      </text>
    </comment>
    <comment ref="N57" authorId="0" shapeId="0" xr:uid="{00000000-0006-0000-0100-0000F7000000}">
      <text>
        <r>
          <rPr>
            <sz val="11"/>
            <color theme="1"/>
            <rFont val="Calibri"/>
            <family val="2"/>
            <scheme val="minor"/>
          </rPr>
          <t>BS imbalance
FORMULA: =N55-N45
WHY: L+E minus assets; should be ~0. Nonzero means a link or plug is broken.
LINK: https://www.sec.gov/Archives/edgar/data/814547/000081454725000030/fico-20250930.htm</t>
        </r>
      </text>
    </comment>
    <comment ref="B62" authorId="0" shapeId="0" xr:uid="{00000000-0006-0000-0100-0000F8000000}">
      <text>
        <r>
          <rPr>
            <sz val="11"/>
            <color theme="1"/>
            <rFont val="Calibri"/>
            <family val="2"/>
            <scheme val="minor"/>
          </rPr>
          <t>CF net earnings
WHY: Same NI equation as the IS, written out so CFO does not hide behind a bare pointer.
PATTERN: ={c}33*(1-{c}13)
LINK: https://www.sec.gov/Archives/edgar/data/814547/000081454725000030/fico-20250930.htm</t>
        </r>
      </text>
    </comment>
    <comment ref="J62" authorId="0" shapeId="0" xr:uid="{00000000-0006-0000-0100-0000F9000000}">
      <text>
        <r>
          <rPr>
            <sz val="11"/>
            <color theme="1"/>
            <rFont val="Calibri"/>
            <family val="2"/>
            <scheme val="minor"/>
          </rPr>
          <t>CF net earnings
FORMULA: =J33*(1-J13)
WHY: Same NI equation as the IS, written out so CFO does not hide behind a bare pointer.
LINK: https://www.sec.gov/Archives/edgar/data/814547/000081454725000030/fico-20250930.htm</t>
        </r>
      </text>
    </comment>
    <comment ref="K62" authorId="0" shapeId="0" xr:uid="{00000000-0006-0000-0100-0000FA000000}">
      <text>
        <r>
          <rPr>
            <sz val="11"/>
            <color theme="1"/>
            <rFont val="Calibri"/>
            <family val="2"/>
            <scheme val="minor"/>
          </rPr>
          <t>CF net earnings
FORMULA: =K33*(1-K13)
WHY: Same NI equation as the IS, written out so CFO does not hide behind a bare pointer.
LINK: https://www.sec.gov/Archives/edgar/data/814547/000081454725000030/fico-20250930.htm</t>
        </r>
      </text>
    </comment>
    <comment ref="L62" authorId="0" shapeId="0" xr:uid="{00000000-0006-0000-0100-0000FB000000}">
      <text>
        <r>
          <rPr>
            <sz val="11"/>
            <color theme="1"/>
            <rFont val="Calibri"/>
            <family val="2"/>
            <scheme val="minor"/>
          </rPr>
          <t>CF net earnings
FORMULA: =L33*(1-L13)
WHY: Same NI equation as the IS, written out so CFO does not hide behind a bare pointer.
LINK: https://www.sec.gov/Archives/edgar/data/814547/000081454725000030/fico-20250930.htm</t>
        </r>
      </text>
    </comment>
    <comment ref="M62" authorId="0" shapeId="0" xr:uid="{00000000-0006-0000-0100-0000FC000000}">
      <text>
        <r>
          <rPr>
            <sz val="11"/>
            <color theme="1"/>
            <rFont val="Calibri"/>
            <family val="2"/>
            <scheme val="minor"/>
          </rPr>
          <t>CF net earnings
FORMULA: =M33*(1-M13)
WHY: Same NI equation as the IS, written out so CFO does not hide behind a bare pointer.
LINK: https://www.sec.gov/Archives/edgar/data/814547/000081454725000030/fico-20250930.htm</t>
        </r>
      </text>
    </comment>
    <comment ref="N62" authorId="0" shapeId="0" xr:uid="{00000000-0006-0000-0100-0000FD000000}">
      <text>
        <r>
          <rPr>
            <sz val="11"/>
            <color theme="1"/>
            <rFont val="Calibri"/>
            <family val="2"/>
            <scheme val="minor"/>
          </rPr>
          <t>CF net earnings
FORMULA: =N33*(1-N13)
WHY: Same NI equation as the IS, written out so CFO does not hide behind a bare pointer.
LINK: https://www.sec.gov/Archives/edgar/data/814547/000081454725000030/fico-20250930.htm</t>
        </r>
      </text>
    </comment>
    <comment ref="B63" authorId="0" shapeId="0" xr:uid="{00000000-0006-0000-0100-0000FE000000}">
      <text>
        <r>
          <rPr>
            <sz val="11"/>
            <color theme="1"/>
            <rFont val="Calibri"/>
            <family val="2"/>
            <scheme val="minor"/>
          </rPr>
          <t>CF + D&amp;A
WHY: Adds back non-cash D&amp;A on average PP&amp;E in the cash-from-operations bridge.
PATTERN: =AvgPPE×DA%
LINK: https://www.sec.gov/Archives/edgar/data/814547/000081454725000030/fico-20250930.htm</t>
        </r>
      </text>
    </comment>
    <comment ref="J63" authorId="0" shapeId="0" xr:uid="{00000000-0006-0000-0100-0000FF000000}">
      <text>
        <r>
          <rPr>
            <sz val="11"/>
            <color theme="1"/>
            <rFont val="Calibri"/>
            <family val="2"/>
            <scheme val="minor"/>
          </rPr>
          <t>CF + D&amp;A
FORMULA: =AvgPPE×DA%
WHY: Adds back non-cash D&amp;A on average PP&amp;E in the cash-from-operations bridge.
LINK: https://www.sec.gov/Archives/edgar/data/814547/000081454725000030/fico-20250930.htm</t>
        </r>
      </text>
    </comment>
    <comment ref="K63" authorId="0" shapeId="0" xr:uid="{00000000-0006-0000-0100-000000010000}">
      <text>
        <r>
          <rPr>
            <sz val="11"/>
            <color theme="1"/>
            <rFont val="Calibri"/>
            <family val="2"/>
            <scheme val="minor"/>
          </rPr>
          <t>CF + D&amp;A
FORMULA: =AvgPPE×DA%
WHY: Adds back non-cash D&amp;A on average PP&amp;E in the cash-from-operations bridge.
LINK: https://www.sec.gov/Archives/edgar/data/814547/000081454725000030/fico-20250930.htm</t>
        </r>
      </text>
    </comment>
    <comment ref="L63" authorId="0" shapeId="0" xr:uid="{00000000-0006-0000-0100-000001010000}">
      <text>
        <r>
          <rPr>
            <sz val="11"/>
            <color theme="1"/>
            <rFont val="Calibri"/>
            <family val="2"/>
            <scheme val="minor"/>
          </rPr>
          <t>CF + D&amp;A
FORMULA: =AvgPPE×DA%
WHY: Adds back non-cash D&amp;A on average PP&amp;E in the cash-from-operations bridge.
LINK: https://www.sec.gov/Archives/edgar/data/814547/000081454725000030/fico-20250930.htm</t>
        </r>
      </text>
    </comment>
    <comment ref="M63" authorId="0" shapeId="0" xr:uid="{00000000-0006-0000-0100-000002010000}">
      <text>
        <r>
          <rPr>
            <sz val="11"/>
            <color theme="1"/>
            <rFont val="Calibri"/>
            <family val="2"/>
            <scheme val="minor"/>
          </rPr>
          <t>CF + D&amp;A
FORMULA: =AvgPPE×DA%
WHY: Adds back non-cash D&amp;A on average PP&amp;E in the cash-from-operations bridge.
LINK: https://www.sec.gov/Archives/edgar/data/814547/000081454725000030/fico-20250930.htm</t>
        </r>
      </text>
    </comment>
    <comment ref="N63" authorId="0" shapeId="0" xr:uid="{00000000-0006-0000-0100-000003010000}">
      <text>
        <r>
          <rPr>
            <sz val="11"/>
            <color theme="1"/>
            <rFont val="Calibri"/>
            <family val="2"/>
            <scheme val="minor"/>
          </rPr>
          <t>CF + D&amp;A
FORMULA: =AvgPPE×DA%
WHY: Adds back non-cash D&amp;A on average PP&amp;E in the cash-from-operations bridge.
LINK: https://www.sec.gov/Archives/edgar/data/814547/000081454725000030/fico-20250930.htm</t>
        </r>
      </text>
    </comment>
    <comment ref="B64" authorId="0" shapeId="0" xr:uid="{00000000-0006-0000-0100-000004010000}">
      <text>
        <r>
          <rPr>
            <sz val="11"/>
            <color theme="1"/>
            <rFont val="Calibri"/>
            <family val="2"/>
            <scheme val="minor"/>
          </rPr>
          <t>CF − ΔNWC
WHY: ΔNWC from GrossAR+Inv−AP−Deferred; increase uses cash in the CFO build.
PATTERN: ={c}90
LINK: https://www.sec.gov/Archives/edgar/data/814547/000081454725000030/fico-20250930.htm</t>
        </r>
      </text>
    </comment>
    <comment ref="J64" authorId="0" shapeId="0" xr:uid="{00000000-0006-0000-0100-000005010000}">
      <text>
        <r>
          <rPr>
            <sz val="11"/>
            <color theme="1"/>
            <rFont val="Calibri"/>
            <family val="2"/>
            <scheme val="minor"/>
          </rPr>
          <t>CF − ΔNWC
FORMULA: =J90
WHY: ΔNWC from GrossAR+Inv−AP−Deferred; increase uses cash in the CFO build.
LINK: https://www.sec.gov/Archives/edgar/data/814547/000081454725000030/fico-20250930.htm</t>
        </r>
      </text>
    </comment>
    <comment ref="K64" authorId="0" shapeId="0" xr:uid="{00000000-0006-0000-0100-000006010000}">
      <text>
        <r>
          <rPr>
            <sz val="11"/>
            <color theme="1"/>
            <rFont val="Calibri"/>
            <family val="2"/>
            <scheme val="minor"/>
          </rPr>
          <t>CF − ΔNWC
FORMULA: =K90
WHY: ΔNWC from GrossAR+Inv−AP−Deferred; increase uses cash in the CFO build.
LINK: https://www.sec.gov/Archives/edgar/data/814547/000081454725000030/fico-20250930.htm</t>
        </r>
      </text>
    </comment>
    <comment ref="L64" authorId="0" shapeId="0" xr:uid="{00000000-0006-0000-0100-000007010000}">
      <text>
        <r>
          <rPr>
            <sz val="11"/>
            <color theme="1"/>
            <rFont val="Calibri"/>
            <family val="2"/>
            <scheme val="minor"/>
          </rPr>
          <t>CF − ΔNWC
FORMULA: =L90
WHY: ΔNWC from GrossAR+Inv−AP−Deferred; increase uses cash in the CFO build.
LINK: https://www.sec.gov/Archives/edgar/data/814547/000081454725000030/fico-20250930.htm</t>
        </r>
      </text>
    </comment>
    <comment ref="M64" authorId="0" shapeId="0" xr:uid="{00000000-0006-0000-0100-000008010000}">
      <text>
        <r>
          <rPr>
            <sz val="11"/>
            <color theme="1"/>
            <rFont val="Calibri"/>
            <family val="2"/>
            <scheme val="minor"/>
          </rPr>
          <t>CF − ΔNWC
FORMULA: =M90
WHY: ΔNWC from GrossAR+Inv−AP−Deferred; increase uses cash in the CFO build.
LINK: https://www.sec.gov/Archives/edgar/data/814547/000081454725000030/fico-20250930.htm</t>
        </r>
      </text>
    </comment>
    <comment ref="N64" authorId="0" shapeId="0" xr:uid="{00000000-0006-0000-0100-000009010000}">
      <text>
        <r>
          <rPr>
            <sz val="11"/>
            <color theme="1"/>
            <rFont val="Calibri"/>
            <family val="2"/>
            <scheme val="minor"/>
          </rPr>
          <t>CF − ΔNWC
FORMULA: =N90
WHY: ΔNWC from GrossAR+Inv−AP−Deferred; increase uses cash in the CFO build.
LINK: https://www.sec.gov/Archives/edgar/data/814547/000081454725000030/fico-20250930.htm</t>
        </r>
      </text>
    </comment>
    <comment ref="B65" authorId="0" shapeId="0" xr:uid="{00000000-0006-0000-0100-00000A010000}">
      <text>
        <r>
          <rPr>
            <sz val="11"/>
            <color theme="1"/>
            <rFont val="Calibri"/>
            <family val="2"/>
            <scheme val="minor"/>
          </rPr>
          <t>Cash from operations
WHY: Full CFO: NI + avg-PPE D&amp;A − ΔNWC written as one equation.
PATTERN: =NI+DA−ΔNWC
LINK: https://www.sec.gov/Archives/edgar/data/814547/000081454725000030/fico-20250930.htm</t>
        </r>
      </text>
    </comment>
    <comment ref="J65" authorId="0" shapeId="0" xr:uid="{00000000-0006-0000-0100-00000B010000}">
      <text>
        <r>
          <rPr>
            <sz val="11"/>
            <color theme="1"/>
            <rFont val="Calibri"/>
            <family val="2"/>
            <scheme val="minor"/>
          </rPr>
          <t>Cash from operations
FORMULA: =NI+DA−ΔNWC
WHY: Full CFO: NI + avg-PPE D&amp;A − ΔNWC written as one equation.
LINK: https://www.sec.gov/Archives/edgar/data/814547/000081454725000030/fico-20250930.htm</t>
        </r>
      </text>
    </comment>
    <comment ref="K65" authorId="0" shapeId="0" xr:uid="{00000000-0006-0000-0100-00000C010000}">
      <text>
        <r>
          <rPr>
            <sz val="11"/>
            <color theme="1"/>
            <rFont val="Calibri"/>
            <family val="2"/>
            <scheme val="minor"/>
          </rPr>
          <t>Cash from operations
FORMULA: =NI+DA−ΔNWC
WHY: Full CFO: NI + avg-PPE D&amp;A − ΔNWC written as one equation.
LINK: https://www.sec.gov/Archives/edgar/data/814547/000081454725000030/fico-20250930.htm</t>
        </r>
      </text>
    </comment>
    <comment ref="L65" authorId="0" shapeId="0" xr:uid="{00000000-0006-0000-0100-00000D010000}">
      <text>
        <r>
          <rPr>
            <sz val="11"/>
            <color theme="1"/>
            <rFont val="Calibri"/>
            <family val="2"/>
            <scheme val="minor"/>
          </rPr>
          <t>Cash from operations
FORMULA: =NI+DA−ΔNWC
WHY: Full CFO: NI + avg-PPE D&amp;A − ΔNWC written as one equation.
LINK: https://www.sec.gov/Archives/edgar/data/814547/000081454725000030/fico-20250930.htm</t>
        </r>
      </text>
    </comment>
    <comment ref="M65" authorId="0" shapeId="0" xr:uid="{00000000-0006-0000-0100-00000E010000}">
      <text>
        <r>
          <rPr>
            <sz val="11"/>
            <color theme="1"/>
            <rFont val="Calibri"/>
            <family val="2"/>
            <scheme val="minor"/>
          </rPr>
          <t>Cash from operations
FORMULA: =NI+DA−ΔNWC
WHY: Full CFO: NI + avg-PPE D&amp;A − ΔNWC written as one equation.
LINK: https://www.sec.gov/Archives/edgar/data/814547/000081454725000030/fico-20250930.htm</t>
        </r>
      </text>
    </comment>
    <comment ref="N65" authorId="0" shapeId="0" xr:uid="{00000000-0006-0000-0100-00000F010000}">
      <text>
        <r>
          <rPr>
            <sz val="11"/>
            <color theme="1"/>
            <rFont val="Calibri"/>
            <family val="2"/>
            <scheme val="minor"/>
          </rPr>
          <t>Cash from operations
FORMULA: =NI+DA−ΔNWC
WHY: Full CFO: NI + avg-PPE D&amp;A − ΔNWC written as one equation.
LINK: https://www.sec.gov/Archives/edgar/data/814547/000081454725000030/fico-20250930.htm</t>
        </r>
      </text>
    </comment>
    <comment ref="B68" authorId="0" shapeId="0" xr:uid="{00000000-0006-0000-0100-000010010000}">
      <text>
        <r>
          <rPr>
            <sz val="11"/>
            <color theme="1"/>
            <rFont val="Calibri"/>
            <family val="2"/>
            <scheme val="minor"/>
          </rPr>
          <t>CapEx $
WHY: Revenue times CapEx%; investing outflow used in CF and the PPE roll-forward.
PATTERN: ={c}24*{c}18
LINK: https://www.sec.gov/Archives/edgar/data/814547/000081454725000030/fico-20250930.htm</t>
        </r>
      </text>
    </comment>
    <comment ref="J68" authorId="0" shapeId="0" xr:uid="{00000000-0006-0000-0100-000011010000}">
      <text>
        <r>
          <rPr>
            <sz val="11"/>
            <color theme="1"/>
            <rFont val="Calibri"/>
            <family val="2"/>
            <scheme val="minor"/>
          </rPr>
          <t>CapEx $
FORMULA: =J24*J18
WHY: Revenue times CapEx%; investing outflow used in CF and the PPE roll-forward.
LINK: https://www.sec.gov/Archives/edgar/data/814547/000081454725000030/fico-20250930.htm</t>
        </r>
      </text>
    </comment>
    <comment ref="K68" authorId="0" shapeId="0" xr:uid="{00000000-0006-0000-0100-000012010000}">
      <text>
        <r>
          <rPr>
            <sz val="11"/>
            <color theme="1"/>
            <rFont val="Calibri"/>
            <family val="2"/>
            <scheme val="minor"/>
          </rPr>
          <t>CapEx $
FORMULA: =K24*K18
WHY: Revenue times CapEx%; investing outflow used in CF and the PPE roll-forward.
LINK: https://www.sec.gov/Archives/edgar/data/814547/000081454725000030/fico-20250930.htm</t>
        </r>
      </text>
    </comment>
    <comment ref="L68" authorId="0" shapeId="0" xr:uid="{00000000-0006-0000-0100-000013010000}">
      <text>
        <r>
          <rPr>
            <sz val="11"/>
            <color theme="1"/>
            <rFont val="Calibri"/>
            <family val="2"/>
            <scheme val="minor"/>
          </rPr>
          <t>CapEx $
FORMULA: =L24*L18
WHY: Revenue times CapEx%; investing outflow used in CF and the PPE roll-forward.
LINK: https://www.sec.gov/Archives/edgar/data/814547/000081454725000030/fico-20250930.htm</t>
        </r>
      </text>
    </comment>
    <comment ref="M68" authorId="0" shapeId="0" xr:uid="{00000000-0006-0000-0100-000014010000}">
      <text>
        <r>
          <rPr>
            <sz val="11"/>
            <color theme="1"/>
            <rFont val="Calibri"/>
            <family val="2"/>
            <scheme val="minor"/>
          </rPr>
          <t>CapEx $
FORMULA: =M24*M18
WHY: Revenue times CapEx%; investing outflow used in CF and the PPE roll-forward.
LINK: https://www.sec.gov/Archives/edgar/data/814547/000081454725000030/fico-20250930.htm</t>
        </r>
      </text>
    </comment>
    <comment ref="N68" authorId="0" shapeId="0" xr:uid="{00000000-0006-0000-0100-000015010000}">
      <text>
        <r>
          <rPr>
            <sz val="11"/>
            <color theme="1"/>
            <rFont val="Calibri"/>
            <family val="2"/>
            <scheme val="minor"/>
          </rPr>
          <t>CapEx $
FORMULA: =N24*N18
WHY: Revenue times CapEx%; investing outflow used in CF and the PPE roll-forward.
LINK: https://www.sec.gov/Archives/edgar/data/814547/000081454725000030/fico-20250930.htm</t>
        </r>
      </text>
    </comment>
    <comment ref="B69" authorId="0" shapeId="0" xr:uid="{00000000-0006-0000-0100-000016010000}">
      <text>
        <r>
          <rPr>
            <sz val="11"/>
            <color theme="1"/>
            <rFont val="Calibri"/>
            <family val="2"/>
            <scheme val="minor"/>
          </rPr>
          <t>Cash from investing
WHY: In this template CFI is CapEx only; equals the CapEx dollar line above.
PATTERN: ={c}68
LINK: https://www.sec.gov/Archives/edgar/data/814547/000081454725000030/fico-20250930.htm</t>
        </r>
      </text>
    </comment>
    <comment ref="J69" authorId="0" shapeId="0" xr:uid="{00000000-0006-0000-0100-000017010000}">
      <text>
        <r>
          <rPr>
            <sz val="11"/>
            <color theme="1"/>
            <rFont val="Calibri"/>
            <family val="2"/>
            <scheme val="minor"/>
          </rPr>
          <t>Cash from investing
FORMULA: =J68
WHY: In this template CFI is CapEx only; equals the CapEx dollar line above.
LINK: https://www.sec.gov/Archives/edgar/data/814547/000081454725000030/fico-20250930.htm</t>
        </r>
      </text>
    </comment>
    <comment ref="K69" authorId="0" shapeId="0" xr:uid="{00000000-0006-0000-0100-000018010000}">
      <text>
        <r>
          <rPr>
            <sz val="11"/>
            <color theme="1"/>
            <rFont val="Calibri"/>
            <family val="2"/>
            <scheme val="minor"/>
          </rPr>
          <t>Cash from investing
FORMULA: =K68
WHY: In this template CFI is CapEx only; equals the CapEx dollar line above.
LINK: https://www.sec.gov/Archives/edgar/data/814547/000081454725000030/fico-20250930.htm</t>
        </r>
      </text>
    </comment>
    <comment ref="L69" authorId="0" shapeId="0" xr:uid="{00000000-0006-0000-0100-000019010000}">
      <text>
        <r>
          <rPr>
            <sz val="11"/>
            <color theme="1"/>
            <rFont val="Calibri"/>
            <family val="2"/>
            <scheme val="minor"/>
          </rPr>
          <t>Cash from investing
FORMULA: =L68
WHY: In this template CFI is CapEx only; equals the CapEx dollar line above.
LINK: https://www.sec.gov/Archives/edgar/data/814547/000081454725000030/fico-20250930.htm</t>
        </r>
      </text>
    </comment>
    <comment ref="M69" authorId="0" shapeId="0" xr:uid="{00000000-0006-0000-0100-00001A010000}">
      <text>
        <r>
          <rPr>
            <sz val="11"/>
            <color theme="1"/>
            <rFont val="Calibri"/>
            <family val="2"/>
            <scheme val="minor"/>
          </rPr>
          <t>Cash from investing
FORMULA: =M68
WHY: In this template CFI is CapEx only; equals the CapEx dollar line above.
LINK: https://www.sec.gov/Archives/edgar/data/814547/000081454725000030/fico-20250930.htm</t>
        </r>
      </text>
    </comment>
    <comment ref="N69" authorId="0" shapeId="0" xr:uid="{00000000-0006-0000-0100-00001B010000}">
      <text>
        <r>
          <rPr>
            <sz val="11"/>
            <color theme="1"/>
            <rFont val="Calibri"/>
            <family val="2"/>
            <scheme val="minor"/>
          </rPr>
          <t>Cash from investing
FORMULA: =N68
WHY: In this template CFI is CapEx only; equals the CapEx dollar line above.
LINK: https://www.sec.gov/Archives/edgar/data/814547/000081454725000030/fico-20250930.htm</t>
        </r>
      </text>
    </comment>
    <comment ref="B72" authorId="0" shapeId="0" xr:uid="{00000000-0006-0000-0100-00001C010000}">
      <text>
        <r>
          <rPr>
            <sz val="11"/>
            <color theme="1"/>
            <rFont val="Calibri"/>
            <family val="2"/>
            <scheme val="minor"/>
          </rPr>
          <t>Debt issuance CF
WHY: Pulls the debt issuance/(repayment) policy into financing cash flow.
PATTERN: ={c}19
LINK: https://www.sec.gov/Archives/edgar/data/814547/000081454725000030/fico-20250930.htm</t>
        </r>
      </text>
    </comment>
    <comment ref="J72" authorId="0" shapeId="0" xr:uid="{00000000-0006-0000-0100-00001D010000}">
      <text>
        <r>
          <rPr>
            <sz val="11"/>
            <color theme="1"/>
            <rFont val="Calibri"/>
            <family val="2"/>
            <scheme val="minor"/>
          </rPr>
          <t>Debt issuance CF
FORMULA: =J19
WHY: Pulls the debt issuance/(repayment) policy into financing cash flow.
LINK: https://www.sec.gov/Archives/edgar/data/814547/000081454725000030/fico-20250930.htm</t>
        </r>
      </text>
    </comment>
    <comment ref="K72" authorId="0" shapeId="0" xr:uid="{00000000-0006-0000-0100-00001E010000}">
      <text>
        <r>
          <rPr>
            <sz val="11"/>
            <color theme="1"/>
            <rFont val="Calibri"/>
            <family val="2"/>
            <scheme val="minor"/>
          </rPr>
          <t>Debt issuance CF
FORMULA: =K19
WHY: Pulls the debt issuance/(repayment) policy into financing cash flow.
LINK: https://www.sec.gov/Archives/edgar/data/814547/000081454725000030/fico-20250930.htm</t>
        </r>
      </text>
    </comment>
    <comment ref="L72" authorId="0" shapeId="0" xr:uid="{00000000-0006-0000-0100-00001F010000}">
      <text>
        <r>
          <rPr>
            <sz val="11"/>
            <color theme="1"/>
            <rFont val="Calibri"/>
            <family val="2"/>
            <scheme val="minor"/>
          </rPr>
          <t>Debt issuance CF
FORMULA: =L19
WHY: Pulls the debt issuance/(repayment) policy into financing cash flow.
LINK: https://www.sec.gov/Archives/edgar/data/814547/000081454725000030/fico-20250930.htm</t>
        </r>
      </text>
    </comment>
    <comment ref="M72" authorId="0" shapeId="0" xr:uid="{00000000-0006-0000-0100-000020010000}">
      <text>
        <r>
          <rPr>
            <sz val="11"/>
            <color theme="1"/>
            <rFont val="Calibri"/>
            <family val="2"/>
            <scheme val="minor"/>
          </rPr>
          <t>Debt issuance CF
FORMULA: =M19
WHY: Pulls the debt issuance/(repayment) policy into financing cash flow.
LINK: https://www.sec.gov/Archives/edgar/data/814547/000081454725000030/fico-20250930.htm</t>
        </r>
      </text>
    </comment>
    <comment ref="N72" authorId="0" shapeId="0" xr:uid="{00000000-0006-0000-0100-000021010000}">
      <text>
        <r>
          <rPr>
            <sz val="11"/>
            <color theme="1"/>
            <rFont val="Calibri"/>
            <family val="2"/>
            <scheme val="minor"/>
          </rPr>
          <t>Debt issuance CF
FORMULA: =N19
WHY: Pulls the debt issuance/(repayment) policy into financing cash flow.
LINK: https://www.sec.gov/Archives/edgar/data/814547/000081454725000030/fico-20250930.htm</t>
        </r>
      </text>
    </comment>
    <comment ref="B73" authorId="0" shapeId="0" xr:uid="{00000000-0006-0000-0100-000022010000}">
      <text>
        <r>
          <rPr>
            <sz val="11"/>
            <color theme="1"/>
            <rFont val="Calibri"/>
            <family val="2"/>
            <scheme val="minor"/>
          </rPr>
          <t>Equity issuance CF
WHY: Pulls the equity issuance/(buyback) policy into financing cash flow.
PATTERN: ={c}20
LINK: https://www.sec.gov/Archives/edgar/data/814547/000081454725000030/fico-20250930.htm</t>
        </r>
      </text>
    </comment>
    <comment ref="J73" authorId="0" shapeId="0" xr:uid="{00000000-0006-0000-0100-000023010000}">
      <text>
        <r>
          <rPr>
            <sz val="11"/>
            <color theme="1"/>
            <rFont val="Calibri"/>
            <family val="2"/>
            <scheme val="minor"/>
          </rPr>
          <t>Equity issuance CF
FORMULA: =J20
WHY: Pulls the equity issuance/(buyback) policy into financing cash flow.
LINK: https://www.sec.gov/Archives/edgar/data/814547/000081454725000030/fico-20250930.htm</t>
        </r>
      </text>
    </comment>
    <comment ref="K73" authorId="0" shapeId="0" xr:uid="{00000000-0006-0000-0100-000024010000}">
      <text>
        <r>
          <rPr>
            <sz val="11"/>
            <color theme="1"/>
            <rFont val="Calibri"/>
            <family val="2"/>
            <scheme val="minor"/>
          </rPr>
          <t>Equity issuance CF
FORMULA: =K20
WHY: Pulls the equity issuance/(buyback) policy into financing cash flow.
LINK: https://www.sec.gov/Archives/edgar/data/814547/000081454725000030/fico-20250930.htm</t>
        </r>
      </text>
    </comment>
    <comment ref="L73" authorId="0" shapeId="0" xr:uid="{00000000-0006-0000-0100-000025010000}">
      <text>
        <r>
          <rPr>
            <sz val="11"/>
            <color theme="1"/>
            <rFont val="Calibri"/>
            <family val="2"/>
            <scheme val="minor"/>
          </rPr>
          <t>Equity issuance CF
FORMULA: =L20
WHY: Pulls the equity issuance/(buyback) policy into financing cash flow.
LINK: https://www.sec.gov/Archives/edgar/data/814547/000081454725000030/fico-20250930.htm</t>
        </r>
      </text>
    </comment>
    <comment ref="M73" authorId="0" shapeId="0" xr:uid="{00000000-0006-0000-0100-000026010000}">
      <text>
        <r>
          <rPr>
            <sz val="11"/>
            <color theme="1"/>
            <rFont val="Calibri"/>
            <family val="2"/>
            <scheme val="minor"/>
          </rPr>
          <t>Equity issuance CF
FORMULA: =M20
WHY: Pulls the equity issuance/(buyback) policy into financing cash flow.
LINK: https://www.sec.gov/Archives/edgar/data/814547/000081454725000030/fico-20250930.htm</t>
        </r>
      </text>
    </comment>
    <comment ref="N73" authorId="0" shapeId="0" xr:uid="{00000000-0006-0000-0100-000027010000}">
      <text>
        <r>
          <rPr>
            <sz val="11"/>
            <color theme="1"/>
            <rFont val="Calibri"/>
            <family val="2"/>
            <scheme val="minor"/>
          </rPr>
          <t>Equity issuance CF
FORMULA: =N20
WHY: Pulls the equity issuance/(buyback) policy into financing cash flow.
LINK: https://www.sec.gov/Archives/edgar/data/814547/000081454725000030/fico-20250930.htm</t>
        </r>
      </text>
    </comment>
    <comment ref="B74" authorId="0" shapeId="0" xr:uid="{00000000-0006-0000-0100-000028010000}">
      <text>
        <r>
          <rPr>
            <sz val="11"/>
            <color theme="1"/>
            <rFont val="Calibri"/>
            <family val="2"/>
            <scheme val="minor"/>
          </rPr>
          <t>Cash from financing
WHY: Debt plus equity financing cash; both policies are zero in the base case.
PATTERN: ={c}19+{c}20
LINK: https://www.sec.gov/Archives/edgar/data/814547/000081454725000030/fico-20250930.htm</t>
        </r>
      </text>
    </comment>
    <comment ref="J74" authorId="0" shapeId="0" xr:uid="{00000000-0006-0000-0100-000029010000}">
      <text>
        <r>
          <rPr>
            <sz val="11"/>
            <color theme="1"/>
            <rFont val="Calibri"/>
            <family val="2"/>
            <scheme val="minor"/>
          </rPr>
          <t>Cash from financing
FORMULA: =J19+J20
WHY: Debt plus equity financing cash; both policies are zero in the base case.
LINK: https://www.sec.gov/Archives/edgar/data/814547/000081454725000030/fico-20250930.htm</t>
        </r>
      </text>
    </comment>
    <comment ref="K74" authorId="0" shapeId="0" xr:uid="{00000000-0006-0000-0100-00002A010000}">
      <text>
        <r>
          <rPr>
            <sz val="11"/>
            <color theme="1"/>
            <rFont val="Calibri"/>
            <family val="2"/>
            <scheme val="minor"/>
          </rPr>
          <t>Cash from financing
FORMULA: =K19+K20
WHY: Debt plus equity financing cash; both policies are zero in the base case.
LINK: https://www.sec.gov/Archives/edgar/data/814547/000081454725000030/fico-20250930.htm</t>
        </r>
      </text>
    </comment>
    <comment ref="L74" authorId="0" shapeId="0" xr:uid="{00000000-0006-0000-0100-00002B010000}">
      <text>
        <r>
          <rPr>
            <sz val="11"/>
            <color theme="1"/>
            <rFont val="Calibri"/>
            <family val="2"/>
            <scheme val="minor"/>
          </rPr>
          <t>Cash from financing
FORMULA: =L19+L20
WHY: Debt plus equity financing cash; both policies are zero in the base case.
LINK: https://www.sec.gov/Archives/edgar/data/814547/000081454725000030/fico-20250930.htm</t>
        </r>
      </text>
    </comment>
    <comment ref="M74" authorId="0" shapeId="0" xr:uid="{00000000-0006-0000-0100-00002C010000}">
      <text>
        <r>
          <rPr>
            <sz val="11"/>
            <color theme="1"/>
            <rFont val="Calibri"/>
            <family val="2"/>
            <scheme val="minor"/>
          </rPr>
          <t>Cash from financing
FORMULA: =M19+M20
WHY: Debt plus equity financing cash; both policies are zero in the base case.
LINK: https://www.sec.gov/Archives/edgar/data/814547/000081454725000030/fico-20250930.htm</t>
        </r>
      </text>
    </comment>
    <comment ref="N74" authorId="0" shapeId="0" xr:uid="{00000000-0006-0000-0100-00002D010000}">
      <text>
        <r>
          <rPr>
            <sz val="11"/>
            <color theme="1"/>
            <rFont val="Calibri"/>
            <family val="2"/>
            <scheme val="minor"/>
          </rPr>
          <t>Cash from financing
FORMULA: =N19+N20
WHY: Debt plus equity financing cash; both policies are zero in the base case.
LINK: https://www.sec.gov/Archives/edgar/data/814547/000081454725000030/fico-20250930.htm</t>
        </r>
      </text>
    </comment>
    <comment ref="B76" authorId="0" shapeId="0" xr:uid="{00000000-0006-0000-0100-00002E010000}">
      <text>
        <r>
          <rPr>
            <sz val="11"/>
            <color theme="1"/>
            <rFont val="Calibri"/>
            <family val="2"/>
            <scheme val="minor"/>
          </rPr>
          <t>Δ Cash
WHY: CFO minus CapEx plus financing; net change that rolls opening cash to closing.
PATTERN: ={c}65-{c}69+{c}74
LINK: https://www.sec.gov/Archives/edgar/data/814547/000081454725000030/fico-20250930.htm</t>
        </r>
      </text>
    </comment>
    <comment ref="J76" authorId="0" shapeId="0" xr:uid="{00000000-0006-0000-0100-00002F010000}">
      <text>
        <r>
          <rPr>
            <sz val="11"/>
            <color theme="1"/>
            <rFont val="Calibri"/>
            <family val="2"/>
            <scheme val="minor"/>
          </rPr>
          <t>Δ Cash
FORMULA: =J65-J69+J74
WHY: CFO minus CapEx plus financing; net change that rolls opening cash to closing.
LINK: https://www.sec.gov/Archives/edgar/data/814547/000081454725000030/fico-20250930.htm</t>
        </r>
      </text>
    </comment>
    <comment ref="K76" authorId="0" shapeId="0" xr:uid="{00000000-0006-0000-0100-000030010000}">
      <text>
        <r>
          <rPr>
            <sz val="11"/>
            <color theme="1"/>
            <rFont val="Calibri"/>
            <family val="2"/>
            <scheme val="minor"/>
          </rPr>
          <t>Δ Cash
FORMULA: =K65-K69+K74
WHY: CFO minus CapEx plus financing; net change that rolls opening cash to closing.
LINK: https://www.sec.gov/Archives/edgar/data/814547/000081454725000030/fico-20250930.htm</t>
        </r>
      </text>
    </comment>
    <comment ref="L76" authorId="0" shapeId="0" xr:uid="{00000000-0006-0000-0100-000031010000}">
      <text>
        <r>
          <rPr>
            <sz val="11"/>
            <color theme="1"/>
            <rFont val="Calibri"/>
            <family val="2"/>
            <scheme val="minor"/>
          </rPr>
          <t>Δ Cash
FORMULA: =L65-L69+L74
WHY: CFO minus CapEx plus financing; net change that rolls opening cash to closing.
LINK: https://www.sec.gov/Archives/edgar/data/814547/000081454725000030/fico-20250930.htm</t>
        </r>
      </text>
    </comment>
    <comment ref="M76" authorId="0" shapeId="0" xr:uid="{00000000-0006-0000-0100-000032010000}">
      <text>
        <r>
          <rPr>
            <sz val="11"/>
            <color theme="1"/>
            <rFont val="Calibri"/>
            <family val="2"/>
            <scheme val="minor"/>
          </rPr>
          <t>Δ Cash
FORMULA: =M65-M69+M74
WHY: CFO minus CapEx plus financing; net change that rolls opening cash to closing.
LINK: https://www.sec.gov/Archives/edgar/data/814547/000081454725000030/fico-20250930.htm</t>
        </r>
      </text>
    </comment>
    <comment ref="N76" authorId="0" shapeId="0" xr:uid="{00000000-0006-0000-0100-000033010000}">
      <text>
        <r>
          <rPr>
            <sz val="11"/>
            <color theme="1"/>
            <rFont val="Calibri"/>
            <family val="2"/>
            <scheme val="minor"/>
          </rPr>
          <t>Δ Cash
FORMULA: =N65-N69+N74
WHY: CFO minus CapEx plus financing; net change that rolls opening cash to closing.
LINK: https://www.sec.gov/Archives/edgar/data/814547/000081454725000030/fico-20250930.htm</t>
        </r>
      </text>
    </comment>
    <comment ref="B77" authorId="0" shapeId="0" xr:uid="{00000000-0006-0000-0100-000034010000}">
      <text>
        <r>
          <rPr>
            <sz val="11"/>
            <color theme="1"/>
            <rFont val="Calibri"/>
            <family val="2"/>
            <scheme val="minor"/>
          </rPr>
          <t>Opening cash
WHY: Starts at prior balance-sheet cash so the cash roll-forward matches history.
PATTERN: ={p}41
LINK: https://www.sec.gov/Archives/edgar/data/814547/000081454725000030/fico-20250930.htm</t>
        </r>
      </text>
    </comment>
    <comment ref="J77" authorId="0" shapeId="0" xr:uid="{00000000-0006-0000-0100-000035010000}">
      <text>
        <r>
          <rPr>
            <sz val="11"/>
            <color theme="1"/>
            <rFont val="Calibri"/>
            <family val="2"/>
            <scheme val="minor"/>
          </rPr>
          <t>Opening cash
FORMULA: =I41
WHY: Starts at prior balance-sheet cash so the cash roll-forward matches history.
LINK: https://www.sec.gov/Archives/edgar/data/814547/000081454725000030/fico-20250930.htm</t>
        </r>
      </text>
    </comment>
    <comment ref="K77" authorId="0" shapeId="0" xr:uid="{00000000-0006-0000-0100-000036010000}">
      <text>
        <r>
          <rPr>
            <sz val="11"/>
            <color theme="1"/>
            <rFont val="Calibri"/>
            <family val="2"/>
            <scheme val="minor"/>
          </rPr>
          <t>Opening cash
FORMULA: =J41
WHY: Starts at prior balance-sheet cash so the cash roll-forward matches history.
LINK: https://www.sec.gov/Archives/edgar/data/814547/000081454725000030/fico-20250930.htm</t>
        </r>
      </text>
    </comment>
    <comment ref="L77" authorId="0" shapeId="0" xr:uid="{00000000-0006-0000-0100-000037010000}">
      <text>
        <r>
          <rPr>
            <sz val="11"/>
            <color theme="1"/>
            <rFont val="Calibri"/>
            <family val="2"/>
            <scheme val="minor"/>
          </rPr>
          <t>Opening cash
FORMULA: =K41
WHY: Starts at prior balance-sheet cash so the cash roll-forward matches history.
LINK: https://www.sec.gov/Archives/edgar/data/814547/000081454725000030/fico-20250930.htm</t>
        </r>
      </text>
    </comment>
    <comment ref="M77" authorId="0" shapeId="0" xr:uid="{00000000-0006-0000-0100-000038010000}">
      <text>
        <r>
          <rPr>
            <sz val="11"/>
            <color theme="1"/>
            <rFont val="Calibri"/>
            <family val="2"/>
            <scheme val="minor"/>
          </rPr>
          <t>Opening cash
FORMULA: =L41
WHY: Starts at prior balance-sheet cash so the cash roll-forward matches history.
LINK: https://www.sec.gov/Archives/edgar/data/814547/000081454725000030/fico-20250930.htm</t>
        </r>
      </text>
    </comment>
    <comment ref="N77" authorId="0" shapeId="0" xr:uid="{00000000-0006-0000-0100-000039010000}">
      <text>
        <r>
          <rPr>
            <sz val="11"/>
            <color theme="1"/>
            <rFont val="Calibri"/>
            <family val="2"/>
            <scheme val="minor"/>
          </rPr>
          <t>Opening cash
FORMULA: =M41
WHY: Starts at prior balance-sheet cash so the cash roll-forward matches history.
LINK: https://www.sec.gov/Archives/edgar/data/814547/000081454725000030/fico-20250930.htm</t>
        </r>
      </text>
    </comment>
    <comment ref="B78" authorId="0" shapeId="0" xr:uid="{00000000-0006-0000-0100-00003A010000}">
      <text>
        <r>
          <rPr>
            <sz val="11"/>
            <color theme="1"/>
            <rFont val="Calibri"/>
            <family val="2"/>
            <scheme val="minor"/>
          </rPr>
          <t>Closing cash
WHY: Opening cash plus Δ cash; feeds BS cash and the cash-flow check.
PATTERN: ={c}77+{c}76
LINK: https://www.sec.gov/Archives/edgar/data/814547/000081454725000030/fico-20250930.htm</t>
        </r>
      </text>
    </comment>
    <comment ref="J78" authorId="0" shapeId="0" xr:uid="{00000000-0006-0000-0100-00003B010000}">
      <text>
        <r>
          <rPr>
            <sz val="11"/>
            <color theme="1"/>
            <rFont val="Calibri"/>
            <family val="2"/>
            <scheme val="minor"/>
          </rPr>
          <t>Closing cash
FORMULA: =J77+J76
WHY: Opening cash plus Δ cash; feeds BS cash and the cash-flow check.
LINK: https://www.sec.gov/Archives/edgar/data/814547/000081454725000030/fico-20250930.htm</t>
        </r>
      </text>
    </comment>
    <comment ref="K78" authorId="0" shapeId="0" xr:uid="{00000000-0006-0000-0100-00003C010000}">
      <text>
        <r>
          <rPr>
            <sz val="11"/>
            <color theme="1"/>
            <rFont val="Calibri"/>
            <family val="2"/>
            <scheme val="minor"/>
          </rPr>
          <t>Closing cash
FORMULA: =K77+K76
WHY: Opening cash plus Δ cash; feeds BS cash and the cash-flow check.
LINK: https://www.sec.gov/Archives/edgar/data/814547/000081454725000030/fico-20250930.htm</t>
        </r>
      </text>
    </comment>
    <comment ref="L78" authorId="0" shapeId="0" xr:uid="{00000000-0006-0000-0100-00003D010000}">
      <text>
        <r>
          <rPr>
            <sz val="11"/>
            <color theme="1"/>
            <rFont val="Calibri"/>
            <family val="2"/>
            <scheme val="minor"/>
          </rPr>
          <t>Closing cash
FORMULA: =L77+L76
WHY: Opening cash plus Δ cash; feeds BS cash and the cash-flow check.
LINK: https://www.sec.gov/Archives/edgar/data/814547/000081454725000030/fico-20250930.htm</t>
        </r>
      </text>
    </comment>
    <comment ref="M78" authorId="0" shapeId="0" xr:uid="{00000000-0006-0000-0100-00003E010000}">
      <text>
        <r>
          <rPr>
            <sz val="11"/>
            <color theme="1"/>
            <rFont val="Calibri"/>
            <family val="2"/>
            <scheme val="minor"/>
          </rPr>
          <t>Closing cash
FORMULA: =M77+M76
WHY: Opening cash plus Δ cash; feeds BS cash and the cash-flow check.
LINK: https://www.sec.gov/Archives/edgar/data/814547/000081454725000030/fico-20250930.htm</t>
        </r>
      </text>
    </comment>
    <comment ref="N78" authorId="0" shapeId="0" xr:uid="{00000000-0006-0000-0100-00003F010000}">
      <text>
        <r>
          <rPr>
            <sz val="11"/>
            <color theme="1"/>
            <rFont val="Calibri"/>
            <family val="2"/>
            <scheme val="minor"/>
          </rPr>
          <t>Closing cash
FORMULA: =N77+N76
WHY: Opening cash plus Δ cash; feeds BS cash and the cash-flow check.
LINK: https://www.sec.gov/Archives/edgar/data/814547/000081454725000030/fico-20250930.htm</t>
        </r>
      </text>
    </comment>
    <comment ref="B80" authorId="0" shapeId="0" xr:uid="{00000000-0006-0000-0100-000040010000}">
      <text>
        <r>
          <rPr>
            <sz val="11"/>
            <color theme="1"/>
            <rFont val="Calibri"/>
            <family val="2"/>
            <scheme val="minor"/>
          </rPr>
          <t>Cash check
WHY: Closing CF cash minus BS cash; must be zero when statements are linked.
PATTERN: ={c}78-{c}41
LINK: https://www.sec.gov/Archives/edgar/data/814547/000081454725000030/fico-20250930.htm</t>
        </r>
      </text>
    </comment>
    <comment ref="J80" authorId="0" shapeId="0" xr:uid="{00000000-0006-0000-0100-000041010000}">
      <text>
        <r>
          <rPr>
            <sz val="11"/>
            <color theme="1"/>
            <rFont val="Calibri"/>
            <family val="2"/>
            <scheme val="minor"/>
          </rPr>
          <t>Cash check
FORMULA: =J78-J41
WHY: Closing CF cash minus BS cash; must be zero when statements are linked.
LINK: https://www.sec.gov/Archives/edgar/data/814547/000081454725000030/fico-20250930.htm</t>
        </r>
      </text>
    </comment>
    <comment ref="K80" authorId="0" shapeId="0" xr:uid="{00000000-0006-0000-0100-000042010000}">
      <text>
        <r>
          <rPr>
            <sz val="11"/>
            <color theme="1"/>
            <rFont val="Calibri"/>
            <family val="2"/>
            <scheme val="minor"/>
          </rPr>
          <t>Cash check
FORMULA: =K78-K41
WHY: Closing CF cash minus BS cash; must be zero when statements are linked.
LINK: https://www.sec.gov/Archives/edgar/data/814547/000081454725000030/fico-20250930.htm</t>
        </r>
      </text>
    </comment>
    <comment ref="L80" authorId="0" shapeId="0" xr:uid="{00000000-0006-0000-0100-000043010000}">
      <text>
        <r>
          <rPr>
            <sz val="11"/>
            <color theme="1"/>
            <rFont val="Calibri"/>
            <family val="2"/>
            <scheme val="minor"/>
          </rPr>
          <t>Cash check
FORMULA: =L78-L41
WHY: Closing CF cash minus BS cash; must be zero when statements are linked.
LINK: https://www.sec.gov/Archives/edgar/data/814547/000081454725000030/fico-20250930.htm</t>
        </r>
      </text>
    </comment>
    <comment ref="M80" authorId="0" shapeId="0" xr:uid="{00000000-0006-0000-0100-000044010000}">
      <text>
        <r>
          <rPr>
            <sz val="11"/>
            <color theme="1"/>
            <rFont val="Calibri"/>
            <family val="2"/>
            <scheme val="minor"/>
          </rPr>
          <t>Cash check
FORMULA: =M78-M41
WHY: Closing CF cash minus BS cash; must be zero when statements are linked.
LINK: https://www.sec.gov/Archives/edgar/data/814547/000081454725000030/fico-20250930.htm</t>
        </r>
      </text>
    </comment>
    <comment ref="N80" authorId="0" shapeId="0" xr:uid="{00000000-0006-0000-0100-000045010000}">
      <text>
        <r>
          <rPr>
            <sz val="11"/>
            <color theme="1"/>
            <rFont val="Calibri"/>
            <family val="2"/>
            <scheme val="minor"/>
          </rPr>
          <t>Cash check
FORMULA: =N78-N41
WHY: Closing CF cash minus BS cash; must be zero when statements are linked.
LINK: https://www.sec.gov/Archives/edgar/data/814547/000081454725000030/fico-20250930.htm</t>
        </r>
      </text>
    </comment>
    <comment ref="B85" authorId="0" shapeId="0" xr:uid="{00000000-0006-0000-0100-000046010000}">
      <text>
        <r>
          <rPr>
            <sz val="11"/>
            <color theme="1"/>
            <rFont val="Calibri"/>
            <family val="2"/>
            <scheme val="minor"/>
          </rPr>
          <t>WC: Gross AR
WHY: WC gross AR mirrors BS gross AR used in standard DSO.
PATTERN: ={c}42
LINK: https://www.sec.gov/Archives/edgar/data/814547/000081454725000030/fico-20250930.htm</t>
        </r>
      </text>
    </comment>
    <comment ref="J85" authorId="0" shapeId="0" xr:uid="{00000000-0006-0000-0100-000047010000}">
      <text>
        <r>
          <rPr>
            <sz val="11"/>
            <color theme="1"/>
            <rFont val="Calibri"/>
            <family val="2"/>
            <scheme val="minor"/>
          </rPr>
          <t>WC: Gross AR
FORMULA: =J42
WHY: WC gross AR mirrors BS gross AR used in standard DSO.
LINK: https://www.sec.gov/Archives/edgar/data/814547/000081454725000030/fico-20250930.htm</t>
        </r>
      </text>
    </comment>
    <comment ref="K85" authorId="0" shapeId="0" xr:uid="{00000000-0006-0000-0100-000048010000}">
      <text>
        <r>
          <rPr>
            <sz val="11"/>
            <color theme="1"/>
            <rFont val="Calibri"/>
            <family val="2"/>
            <scheme val="minor"/>
          </rPr>
          <t>WC: Gross AR
FORMULA: =K42
WHY: WC gross AR mirrors BS gross AR used in standard DSO.
LINK: https://www.sec.gov/Archives/edgar/data/814547/000081454725000030/fico-20250930.htm</t>
        </r>
      </text>
    </comment>
    <comment ref="L85" authorId="0" shapeId="0" xr:uid="{00000000-0006-0000-0100-000049010000}">
      <text>
        <r>
          <rPr>
            <sz val="11"/>
            <color theme="1"/>
            <rFont val="Calibri"/>
            <family val="2"/>
            <scheme val="minor"/>
          </rPr>
          <t>WC: Gross AR
FORMULA: =L42
WHY: WC gross AR mirrors BS gross AR used in standard DSO.
LINK: https://www.sec.gov/Archives/edgar/data/814547/000081454725000030/fico-20250930.htm</t>
        </r>
      </text>
    </comment>
    <comment ref="M85" authorId="0" shapeId="0" xr:uid="{00000000-0006-0000-0100-00004A010000}">
      <text>
        <r>
          <rPr>
            <sz val="11"/>
            <color theme="1"/>
            <rFont val="Calibri"/>
            <family val="2"/>
            <scheme val="minor"/>
          </rPr>
          <t>WC: Gross AR
FORMULA: =M42
WHY: WC gross AR mirrors BS gross AR used in standard DSO.
LINK: https://www.sec.gov/Archives/edgar/data/814547/000081454725000030/fico-20250930.htm</t>
        </r>
      </text>
    </comment>
    <comment ref="N85" authorId="0" shapeId="0" xr:uid="{00000000-0006-0000-0100-00004B010000}">
      <text>
        <r>
          <rPr>
            <sz val="11"/>
            <color theme="1"/>
            <rFont val="Calibri"/>
            <family val="2"/>
            <scheme val="minor"/>
          </rPr>
          <t>WC: Gross AR
FORMULA: =N42
WHY: WC gross AR mirrors BS gross AR used in standard DSO.
LINK: https://www.sec.gov/Archives/edgar/data/814547/000081454725000030/fico-20250930.htm</t>
        </r>
      </text>
    </comment>
    <comment ref="B86" authorId="0" shapeId="0" xr:uid="{00000000-0006-0000-0100-00004C010000}">
      <text>
        <r>
          <rPr>
            <sz val="11"/>
            <color theme="1"/>
            <rFont val="Calibri"/>
            <family val="2"/>
            <scheme val="minor"/>
          </rPr>
          <t>WC: Inventory
WHY: Working-capital inventory mirrors BS inventory (zero for this software business).
PATTERN: ={c}43
LINK: https://www.sec.gov/Archives/edgar/data/814547/000081454725000030/fico-20250930.htm</t>
        </r>
      </text>
    </comment>
    <comment ref="J86" authorId="0" shapeId="0" xr:uid="{00000000-0006-0000-0100-00004D010000}">
      <text>
        <r>
          <rPr>
            <sz val="11"/>
            <color theme="1"/>
            <rFont val="Calibri"/>
            <family val="2"/>
            <scheme val="minor"/>
          </rPr>
          <t>WC: Inventory
FORMULA: =J43
WHY: Working-capital inventory mirrors BS inventory (zero for this software business).
LINK: https://www.sec.gov/Archives/edgar/data/814547/000081454725000030/fico-20250930.htm</t>
        </r>
      </text>
    </comment>
    <comment ref="K86" authorId="0" shapeId="0" xr:uid="{00000000-0006-0000-0100-00004E010000}">
      <text>
        <r>
          <rPr>
            <sz val="11"/>
            <color theme="1"/>
            <rFont val="Calibri"/>
            <family val="2"/>
            <scheme val="minor"/>
          </rPr>
          <t>WC: Inventory
FORMULA: =K43
WHY: Working-capital inventory mirrors BS inventory (zero for this software business).
LINK: https://www.sec.gov/Archives/edgar/data/814547/000081454725000030/fico-20250930.htm</t>
        </r>
      </text>
    </comment>
    <comment ref="L86" authorId="0" shapeId="0" xr:uid="{00000000-0006-0000-0100-00004F010000}">
      <text>
        <r>
          <rPr>
            <sz val="11"/>
            <color theme="1"/>
            <rFont val="Calibri"/>
            <family val="2"/>
            <scheme val="minor"/>
          </rPr>
          <t>WC: Inventory
FORMULA: =L43
WHY: Working-capital inventory mirrors BS inventory (zero for this software business).
LINK: https://www.sec.gov/Archives/edgar/data/814547/000081454725000030/fico-20250930.htm</t>
        </r>
      </text>
    </comment>
    <comment ref="M86" authorId="0" shapeId="0" xr:uid="{00000000-0006-0000-0100-000050010000}">
      <text>
        <r>
          <rPr>
            <sz val="11"/>
            <color theme="1"/>
            <rFont val="Calibri"/>
            <family val="2"/>
            <scheme val="minor"/>
          </rPr>
          <t>WC: Inventory
FORMULA: =M43
WHY: Working-capital inventory mirrors BS inventory (zero for this software business).
LINK: https://www.sec.gov/Archives/edgar/data/814547/000081454725000030/fico-20250930.htm</t>
        </r>
      </text>
    </comment>
    <comment ref="N86" authorId="0" shapeId="0" xr:uid="{00000000-0006-0000-0100-000051010000}">
      <text>
        <r>
          <rPr>
            <sz val="11"/>
            <color theme="1"/>
            <rFont val="Calibri"/>
            <family val="2"/>
            <scheme val="minor"/>
          </rPr>
          <t>WC: Inventory
FORMULA: =N43
WHY: Working-capital inventory mirrors BS inventory (zero for this software business).
LINK: https://www.sec.gov/Archives/edgar/data/814547/000081454725000030/fico-20250930.htm</t>
        </r>
      </text>
    </comment>
    <comment ref="B87" authorId="0" shapeId="0" xr:uid="{00000000-0006-0000-0100-000052010000}">
      <text>
        <r>
          <rPr>
            <sz val="11"/>
            <color theme="1"/>
            <rFont val="Calibri"/>
            <family val="2"/>
            <scheme val="minor"/>
          </rPr>
          <t>WC: AP
WHY: Working-capital AP mirrors BS AP so NWC uses the same operating balances.
PATTERN: ={c}48
LINK: https://www.sec.gov/Archives/edgar/data/814547/000081454725000030/fico-20250930.htm</t>
        </r>
      </text>
    </comment>
    <comment ref="J87" authorId="0" shapeId="0" xr:uid="{00000000-0006-0000-0100-000053010000}">
      <text>
        <r>
          <rPr>
            <sz val="11"/>
            <color theme="1"/>
            <rFont val="Calibri"/>
            <family val="2"/>
            <scheme val="minor"/>
          </rPr>
          <t>WC: AP
FORMULA: =J48
WHY: Working-capital AP mirrors BS AP so NWC uses the same operating balances.
LINK: https://www.sec.gov/Archives/edgar/data/814547/000081454725000030/fico-20250930.htm</t>
        </r>
      </text>
    </comment>
    <comment ref="K87" authorId="0" shapeId="0" xr:uid="{00000000-0006-0000-0100-000054010000}">
      <text>
        <r>
          <rPr>
            <sz val="11"/>
            <color theme="1"/>
            <rFont val="Calibri"/>
            <family val="2"/>
            <scheme val="minor"/>
          </rPr>
          <t>WC: AP
FORMULA: =K48
WHY: Working-capital AP mirrors BS AP so NWC uses the same operating balances.
LINK: https://www.sec.gov/Archives/edgar/data/814547/000081454725000030/fico-20250930.htm</t>
        </r>
      </text>
    </comment>
    <comment ref="L87" authorId="0" shapeId="0" xr:uid="{00000000-0006-0000-0100-000055010000}">
      <text>
        <r>
          <rPr>
            <sz val="11"/>
            <color theme="1"/>
            <rFont val="Calibri"/>
            <family val="2"/>
            <scheme val="minor"/>
          </rPr>
          <t>WC: AP
FORMULA: =L48
WHY: Working-capital AP mirrors BS AP so NWC uses the same operating balances.
LINK: https://www.sec.gov/Archives/edgar/data/814547/000081454725000030/fico-20250930.htm</t>
        </r>
      </text>
    </comment>
    <comment ref="M87" authorId="0" shapeId="0" xr:uid="{00000000-0006-0000-0100-000056010000}">
      <text>
        <r>
          <rPr>
            <sz val="11"/>
            <color theme="1"/>
            <rFont val="Calibri"/>
            <family val="2"/>
            <scheme val="minor"/>
          </rPr>
          <t>WC: AP
FORMULA: =M48
WHY: Working-capital AP mirrors BS AP so NWC uses the same operating balances.
LINK: https://www.sec.gov/Archives/edgar/data/814547/000081454725000030/fico-20250930.htm</t>
        </r>
      </text>
    </comment>
    <comment ref="N87" authorId="0" shapeId="0" xr:uid="{00000000-0006-0000-0100-000057010000}">
      <text>
        <r>
          <rPr>
            <sz val="11"/>
            <color theme="1"/>
            <rFont val="Calibri"/>
            <family val="2"/>
            <scheme val="minor"/>
          </rPr>
          <t>WC: AP
FORMULA: =N48
WHY: Working-capital AP mirrors BS AP so NWC uses the same operating balances.
LINK: https://www.sec.gov/Archives/edgar/data/814547/000081454725000030/fico-20250930.htm</t>
        </r>
      </text>
    </comment>
    <comment ref="B88" authorId="0" shapeId="0" xr:uid="{00000000-0006-0000-0100-000058010000}">
      <text>
        <r>
          <rPr>
            <sz val="11"/>
            <color theme="1"/>
            <rFont val="Calibri"/>
            <family val="2"/>
            <scheme val="minor"/>
          </rPr>
          <t>WC: Deferred Revenue
WHY: Contract liability projected at FY25 deferred/sales; separate from AR.
PATTERN: ={c}24×(I88/I24)
LINK: https://www.sec.gov/Archives/edgar/data/814547/000081454725000030/fico-20250930.htm</t>
        </r>
      </text>
    </comment>
    <comment ref="J88" authorId="0" shapeId="0" xr:uid="{00000000-0006-0000-0100-000059010000}">
      <text>
        <r>
          <rPr>
            <sz val="11"/>
            <color theme="1"/>
            <rFont val="Calibri"/>
            <family val="2"/>
            <scheme val="minor"/>
          </rPr>
          <t>WC: Deferred Revenue
FORMULA: =J24×(I88/I24)
WHY: Contract liability projected at FY25 deferred/sales; separate from AR.
LINK: https://www.sec.gov/Archives/edgar/data/814547/000081454725000030/fico-20250930.htm</t>
        </r>
      </text>
    </comment>
    <comment ref="K88" authorId="0" shapeId="0" xr:uid="{00000000-0006-0000-0100-00005A010000}">
      <text>
        <r>
          <rPr>
            <sz val="11"/>
            <color theme="1"/>
            <rFont val="Calibri"/>
            <family val="2"/>
            <scheme val="minor"/>
          </rPr>
          <t>WC: Deferred Revenue
FORMULA: =K24×(I88/I24)
WHY: Contract liability projected at FY25 deferred/sales; separate from AR.
LINK: https://www.sec.gov/Archives/edgar/data/814547/000081454725000030/fico-20250930.htm</t>
        </r>
      </text>
    </comment>
    <comment ref="L88" authorId="0" shapeId="0" xr:uid="{00000000-0006-0000-0100-00005B010000}">
      <text>
        <r>
          <rPr>
            <sz val="11"/>
            <color theme="1"/>
            <rFont val="Calibri"/>
            <family val="2"/>
            <scheme val="minor"/>
          </rPr>
          <t>WC: Deferred Revenue
FORMULA: =L24×(I88/I24)
WHY: Contract liability projected at FY25 deferred/sales; separate from AR.
LINK: https://www.sec.gov/Archives/edgar/data/814547/000081454725000030/fico-20250930.htm</t>
        </r>
      </text>
    </comment>
    <comment ref="M88" authorId="0" shapeId="0" xr:uid="{00000000-0006-0000-0100-00005C010000}">
      <text>
        <r>
          <rPr>
            <sz val="11"/>
            <color theme="1"/>
            <rFont val="Calibri"/>
            <family val="2"/>
            <scheme val="minor"/>
          </rPr>
          <t>WC: Deferred Revenue
FORMULA: =M24×(I88/I24)
WHY: Contract liability projected at FY25 deferred/sales; separate from AR.
LINK: https://www.sec.gov/Archives/edgar/data/814547/000081454725000030/fico-20250930.htm</t>
        </r>
      </text>
    </comment>
    <comment ref="N88" authorId="0" shapeId="0" xr:uid="{00000000-0006-0000-0100-00005D010000}">
      <text>
        <r>
          <rPr>
            <sz val="11"/>
            <color theme="1"/>
            <rFont val="Calibri"/>
            <family val="2"/>
            <scheme val="minor"/>
          </rPr>
          <t>WC: Deferred Revenue
FORMULA: =N24×(I88/I24)
WHY: Contract liability projected at FY25 deferred/sales; separate from AR.
LINK: https://www.sec.gov/Archives/edgar/data/814547/000081454725000030/fico-20250930.htm</t>
        </r>
      </text>
    </comment>
    <comment ref="B89" authorId="0" shapeId="0" xr:uid="{00000000-0006-0000-0100-00005E010000}">
      <text>
        <r>
          <rPr>
            <sz val="11"/>
            <color theme="1"/>
            <rFont val="Calibri"/>
            <family val="2"/>
            <scheme val="minor"/>
          </rPr>
          <t>Net working capital
WHY: GrossAR + inventory − AP − Deferred; standard operating NWC.
PATTERN: ={c}85+{c}86-{c}87-{c}88
LINK: https://www.sec.gov/Archives/edgar/data/814547/000081454725000030/fico-20250930.htm</t>
        </r>
      </text>
    </comment>
    <comment ref="J89" authorId="0" shapeId="0" xr:uid="{00000000-0006-0000-0100-00005F010000}">
      <text>
        <r>
          <rPr>
            <sz val="11"/>
            <color theme="1"/>
            <rFont val="Calibri"/>
            <family val="2"/>
            <scheme val="minor"/>
          </rPr>
          <t>Net working capital
FORMULA: =J85+J86-J87-J88
WHY: GrossAR + inventory − AP − Deferred; standard operating NWC.
LINK: https://www.sec.gov/Archives/edgar/data/814547/000081454725000030/fico-20250930.htm</t>
        </r>
      </text>
    </comment>
    <comment ref="K89" authorId="0" shapeId="0" xr:uid="{00000000-0006-0000-0100-000060010000}">
      <text>
        <r>
          <rPr>
            <sz val="11"/>
            <color theme="1"/>
            <rFont val="Calibri"/>
            <family val="2"/>
            <scheme val="minor"/>
          </rPr>
          <t>Net working capital
FORMULA: =K85+K86-K87-K88
WHY: GrossAR + inventory − AP − Deferred; standard operating NWC.
LINK: https://www.sec.gov/Archives/edgar/data/814547/000081454725000030/fico-20250930.htm</t>
        </r>
      </text>
    </comment>
    <comment ref="L89" authorId="0" shapeId="0" xr:uid="{00000000-0006-0000-0100-000061010000}">
      <text>
        <r>
          <rPr>
            <sz val="11"/>
            <color theme="1"/>
            <rFont val="Calibri"/>
            <family val="2"/>
            <scheme val="minor"/>
          </rPr>
          <t>Net working capital
FORMULA: =L85+L86-L87-L88
WHY: GrossAR + inventory − AP − Deferred; standard operating NWC.
LINK: https://www.sec.gov/Archives/edgar/data/814547/000081454725000030/fico-20250930.htm</t>
        </r>
      </text>
    </comment>
    <comment ref="M89" authorId="0" shapeId="0" xr:uid="{00000000-0006-0000-0100-000062010000}">
      <text>
        <r>
          <rPr>
            <sz val="11"/>
            <color theme="1"/>
            <rFont val="Calibri"/>
            <family val="2"/>
            <scheme val="minor"/>
          </rPr>
          <t>Net working capital
FORMULA: =M85+M86-M87-M88
WHY: GrossAR + inventory − AP − Deferred; standard operating NWC.
LINK: https://www.sec.gov/Archives/edgar/data/814547/000081454725000030/fico-20250930.htm</t>
        </r>
      </text>
    </comment>
    <comment ref="N89" authorId="0" shapeId="0" xr:uid="{00000000-0006-0000-0100-000063010000}">
      <text>
        <r>
          <rPr>
            <sz val="11"/>
            <color theme="1"/>
            <rFont val="Calibri"/>
            <family val="2"/>
            <scheme val="minor"/>
          </rPr>
          <t>Net working capital
FORMULA: =N85+N86-N87-N88
WHY: GrossAR + inventory − AP − Deferred; standard operating NWC.
LINK: https://www.sec.gov/Archives/edgar/data/814547/000081454725000030/fico-20250930.htm</t>
        </r>
      </text>
    </comment>
    <comment ref="B90" authorId="0" shapeId="0" xr:uid="{00000000-0006-0000-0100-000064010000}">
      <text>
        <r>
          <rPr>
            <sz val="11"/>
            <color theme="1"/>
            <rFont val="Calibri"/>
            <family val="2"/>
            <scheme val="minor"/>
          </rPr>
          <t>Change in NWC
WHY: Year-over-year NWC change; the cash investment/(release) used in CFO and FCFF.
PATTERN: ={c}89-{p}89
LINK: https://www.sec.gov/Archives/edgar/data/814547/000081454725000030/fico-20250930.htm</t>
        </r>
      </text>
    </comment>
    <comment ref="J90" authorId="0" shapeId="0" xr:uid="{00000000-0006-0000-0100-000065010000}">
      <text>
        <r>
          <rPr>
            <sz val="11"/>
            <color theme="1"/>
            <rFont val="Calibri"/>
            <family val="2"/>
            <scheme val="minor"/>
          </rPr>
          <t>Change in NWC
FORMULA: =J89-I89
WHY: Year-over-year NWC change; the cash investment/(release) used in CFO and FCFF.
LINK: https://www.sec.gov/Archives/edgar/data/814547/000081454725000030/fico-20250930.htm</t>
        </r>
      </text>
    </comment>
    <comment ref="K90" authorId="0" shapeId="0" xr:uid="{00000000-0006-0000-0100-000066010000}">
      <text>
        <r>
          <rPr>
            <sz val="11"/>
            <color theme="1"/>
            <rFont val="Calibri"/>
            <family val="2"/>
            <scheme val="minor"/>
          </rPr>
          <t>Change in NWC
FORMULA: =K89-J89
WHY: Year-over-year NWC change; the cash investment/(release) used in CFO and FCFF.
LINK: https://www.sec.gov/Archives/edgar/data/814547/000081454725000030/fico-20250930.htm</t>
        </r>
      </text>
    </comment>
    <comment ref="L90" authorId="0" shapeId="0" xr:uid="{00000000-0006-0000-0100-000067010000}">
      <text>
        <r>
          <rPr>
            <sz val="11"/>
            <color theme="1"/>
            <rFont val="Calibri"/>
            <family val="2"/>
            <scheme val="minor"/>
          </rPr>
          <t>Change in NWC
FORMULA: =L89-K89
WHY: Year-over-year NWC change; the cash investment/(release) used in CFO and FCFF.
LINK: https://www.sec.gov/Archives/edgar/data/814547/000081454725000030/fico-20250930.htm</t>
        </r>
      </text>
    </comment>
    <comment ref="M90" authorId="0" shapeId="0" xr:uid="{00000000-0006-0000-0100-000068010000}">
      <text>
        <r>
          <rPr>
            <sz val="11"/>
            <color theme="1"/>
            <rFont val="Calibri"/>
            <family val="2"/>
            <scheme val="minor"/>
          </rPr>
          <t>Change in NWC
FORMULA: =M89-L89
WHY: Year-over-year NWC change; the cash investment/(release) used in CFO and FCFF.
LINK: https://www.sec.gov/Archives/edgar/data/814547/000081454725000030/fico-20250930.htm</t>
        </r>
      </text>
    </comment>
    <comment ref="N90" authorId="0" shapeId="0" xr:uid="{00000000-0006-0000-0100-000069010000}">
      <text>
        <r>
          <rPr>
            <sz val="11"/>
            <color theme="1"/>
            <rFont val="Calibri"/>
            <family val="2"/>
            <scheme val="minor"/>
          </rPr>
          <t>Change in NWC
FORMULA: =N89-M89
WHY: Year-over-year NWC change; the cash investment/(release) used in CFO and FCFF.
LINK: https://www.sec.gov/Archives/edgar/data/814547/000081454725000030/fico-20250930.htm</t>
        </r>
      </text>
    </comment>
    <comment ref="B92" authorId="0" shapeId="0" xr:uid="{00000000-0006-0000-0100-00006A010000}">
      <text>
        <r>
          <rPr>
            <sz val="11"/>
            <color theme="1"/>
            <rFont val="Calibri"/>
            <family val="2"/>
            <scheme val="minor"/>
          </rPr>
          <t>PPE opening
WHY: Prior closing PP&amp;E (FY1 opens at last historical I44); base for CapEx and D&amp;A.
PATTERN: ={p}95 or I44
LINK: https://www.sec.gov/Archives/edgar/data/814547/000081454725000030/fico-20250930.htm</t>
        </r>
      </text>
    </comment>
    <comment ref="J92" authorId="0" shapeId="0" xr:uid="{00000000-0006-0000-0100-00006B010000}">
      <text>
        <r>
          <rPr>
            <sz val="11"/>
            <color theme="1"/>
            <rFont val="Calibri"/>
            <family val="2"/>
            <scheme val="minor"/>
          </rPr>
          <t>PPE opening
FORMULA: =I95 or I44
WHY: Prior closing PP&amp;E (FY1 opens at last historical I44); base for CapEx and D&amp;A.
LINK: https://www.sec.gov/Archives/edgar/data/814547/000081454725000030/fico-20250930.htm</t>
        </r>
      </text>
    </comment>
    <comment ref="K92" authorId="0" shapeId="0" xr:uid="{00000000-0006-0000-0100-00006C010000}">
      <text>
        <r>
          <rPr>
            <sz val="11"/>
            <color theme="1"/>
            <rFont val="Calibri"/>
            <family val="2"/>
            <scheme val="minor"/>
          </rPr>
          <t>PPE opening
FORMULA: =J95 or I44
WHY: Prior closing PP&amp;E (FY1 opens at last historical I44); base for CapEx and D&amp;A.
LINK: https://www.sec.gov/Archives/edgar/data/814547/000081454725000030/fico-20250930.htm</t>
        </r>
      </text>
    </comment>
    <comment ref="L92" authorId="0" shapeId="0" xr:uid="{00000000-0006-0000-0100-00006D010000}">
      <text>
        <r>
          <rPr>
            <sz val="11"/>
            <color theme="1"/>
            <rFont val="Calibri"/>
            <family val="2"/>
            <scheme val="minor"/>
          </rPr>
          <t>PPE opening
FORMULA: =K95 or I44
WHY: Prior closing PP&amp;E (FY1 opens at last historical I44); base for CapEx and D&amp;A.
LINK: https://www.sec.gov/Archives/edgar/data/814547/000081454725000030/fico-20250930.htm</t>
        </r>
      </text>
    </comment>
    <comment ref="M92" authorId="0" shapeId="0" xr:uid="{00000000-0006-0000-0100-00006E010000}">
      <text>
        <r>
          <rPr>
            <sz val="11"/>
            <color theme="1"/>
            <rFont val="Calibri"/>
            <family val="2"/>
            <scheme val="minor"/>
          </rPr>
          <t>PPE opening
FORMULA: =L95 or I44
WHY: Prior closing PP&amp;E (FY1 opens at last historical I44); base for CapEx and D&amp;A.
LINK: https://www.sec.gov/Archives/edgar/data/814547/000081454725000030/fico-20250930.htm</t>
        </r>
      </text>
    </comment>
    <comment ref="N92" authorId="0" shapeId="0" xr:uid="{00000000-0006-0000-0100-00006F010000}">
      <text>
        <r>
          <rPr>
            <sz val="11"/>
            <color theme="1"/>
            <rFont val="Calibri"/>
            <family val="2"/>
            <scheme val="minor"/>
          </rPr>
          <t>PPE opening
FORMULA: =M95 or I44
WHY: Prior closing PP&amp;E (FY1 opens at last historical I44); base for CapEx and D&amp;A.
LINK: https://www.sec.gov/Archives/edgar/data/814547/000081454725000030/fico-20250930.htm</t>
        </r>
      </text>
    </comment>
    <comment ref="B93" authorId="0" shapeId="0" xr:uid="{00000000-0006-0000-0100-000070010000}">
      <text>
        <r>
          <rPr>
            <sz val="11"/>
            <color theme="1"/>
            <rFont val="Calibri"/>
            <family val="2"/>
            <scheme val="minor"/>
          </rPr>
          <t>PPE + CapEx
WHY: Same CapEx dollars as CF; additions that grow the gross PP&amp;E stock.
PATTERN: ={c}24*{c}18
LINK: https://www.sec.gov/Archives/edgar/data/814547/000081454725000030/fico-20250930.htm</t>
        </r>
      </text>
    </comment>
    <comment ref="J93" authorId="0" shapeId="0" xr:uid="{00000000-0006-0000-0100-000071010000}">
      <text>
        <r>
          <rPr>
            <sz val="11"/>
            <color theme="1"/>
            <rFont val="Calibri"/>
            <family val="2"/>
            <scheme val="minor"/>
          </rPr>
          <t>PPE + CapEx
FORMULA: =J24*J18
WHY: Same CapEx dollars as CF; additions that grow the gross PP&amp;E stock.
LINK: https://www.sec.gov/Archives/edgar/data/814547/000081454725000030/fico-20250930.htm</t>
        </r>
      </text>
    </comment>
    <comment ref="K93" authorId="0" shapeId="0" xr:uid="{00000000-0006-0000-0100-000072010000}">
      <text>
        <r>
          <rPr>
            <sz val="11"/>
            <color theme="1"/>
            <rFont val="Calibri"/>
            <family val="2"/>
            <scheme val="minor"/>
          </rPr>
          <t>PPE + CapEx
FORMULA: =K24*K18
WHY: Same CapEx dollars as CF; additions that grow the gross PP&amp;E stock.
LINK: https://www.sec.gov/Archives/edgar/data/814547/000081454725000030/fico-20250930.htm</t>
        </r>
      </text>
    </comment>
    <comment ref="L93" authorId="0" shapeId="0" xr:uid="{00000000-0006-0000-0100-000073010000}">
      <text>
        <r>
          <rPr>
            <sz val="11"/>
            <color theme="1"/>
            <rFont val="Calibri"/>
            <family val="2"/>
            <scheme val="minor"/>
          </rPr>
          <t>PPE + CapEx
FORMULA: =L24*L18
WHY: Same CapEx dollars as CF; additions that grow the gross PP&amp;E stock.
LINK: https://www.sec.gov/Archives/edgar/data/814547/000081454725000030/fico-20250930.htm</t>
        </r>
      </text>
    </comment>
    <comment ref="M93" authorId="0" shapeId="0" xr:uid="{00000000-0006-0000-0100-000074010000}">
      <text>
        <r>
          <rPr>
            <sz val="11"/>
            <color theme="1"/>
            <rFont val="Calibri"/>
            <family val="2"/>
            <scheme val="minor"/>
          </rPr>
          <t>PPE + CapEx
FORMULA: =M24*M18
WHY: Same CapEx dollars as CF; additions that grow the gross PP&amp;E stock.
LINK: https://www.sec.gov/Archives/edgar/data/814547/000081454725000030/fico-20250930.htm</t>
        </r>
      </text>
    </comment>
    <comment ref="N93" authorId="0" shapeId="0" xr:uid="{00000000-0006-0000-0100-000075010000}">
      <text>
        <r>
          <rPr>
            <sz val="11"/>
            <color theme="1"/>
            <rFont val="Calibri"/>
            <family val="2"/>
            <scheme val="minor"/>
          </rPr>
          <t>PPE + CapEx
FORMULA: =N24*N18
WHY: Same CapEx dollars as CF; additions that grow the gross PP&amp;E stock.
LINK: https://www.sec.gov/Archives/edgar/data/814547/000081454725000030/fico-20250930.htm</t>
        </r>
      </text>
    </comment>
    <comment ref="B94" authorId="0" shapeId="0" xr:uid="{00000000-0006-0000-0100-000076010000}">
      <text>
        <r>
          <rPr>
            <sz val="11"/>
            <color theme="1"/>
            <rFont val="Calibri"/>
            <family val="2"/>
            <scheme val="minor"/>
          </rPr>
          <t>PPE − D&amp;A
WHY: Depreciation on average PP&amp;E; reduces net PP&amp;E and adds back in FCFF.
PATTERN: =((Open+Open+CapEx)/2)×DA%
LINK: https://www.sec.gov/Archives/edgar/data/814547/000081454725000030/fico-20250930.htm</t>
        </r>
      </text>
    </comment>
    <comment ref="J94" authorId="0" shapeId="0" xr:uid="{00000000-0006-0000-0100-000077010000}">
      <text>
        <r>
          <rPr>
            <sz val="11"/>
            <color theme="1"/>
            <rFont val="Calibri"/>
            <family val="2"/>
            <scheme val="minor"/>
          </rPr>
          <t>PPE − D&amp;A
FORMULA: =((Open+Open+CapEx)/2)×DA%
WHY: Depreciation on average PP&amp;E; reduces net PP&amp;E and adds back in FCFF.
LINK: https://www.sec.gov/Archives/edgar/data/814547/000081454725000030/fico-20250930.htm</t>
        </r>
      </text>
    </comment>
    <comment ref="K94" authorId="0" shapeId="0" xr:uid="{00000000-0006-0000-0100-000078010000}">
      <text>
        <r>
          <rPr>
            <sz val="11"/>
            <color theme="1"/>
            <rFont val="Calibri"/>
            <family val="2"/>
            <scheme val="minor"/>
          </rPr>
          <t>PPE − D&amp;A
FORMULA: =((Open+Open+CapEx)/2)×DA%
WHY: Depreciation on average PP&amp;E; reduces net PP&amp;E and adds back in FCFF.
LINK: https://www.sec.gov/Archives/edgar/data/814547/000081454725000030/fico-20250930.htm</t>
        </r>
      </text>
    </comment>
    <comment ref="L94" authorId="0" shapeId="0" xr:uid="{00000000-0006-0000-0100-000079010000}">
      <text>
        <r>
          <rPr>
            <sz val="11"/>
            <color theme="1"/>
            <rFont val="Calibri"/>
            <family val="2"/>
            <scheme val="minor"/>
          </rPr>
          <t>PPE − D&amp;A
FORMULA: =((Open+Open+CapEx)/2)×DA%
WHY: Depreciation on average PP&amp;E; reduces net PP&amp;E and adds back in FCFF.
LINK: https://www.sec.gov/Archives/edgar/data/814547/000081454725000030/fico-20250930.htm</t>
        </r>
      </text>
    </comment>
    <comment ref="M94" authorId="0" shapeId="0" xr:uid="{00000000-0006-0000-0100-00007A010000}">
      <text>
        <r>
          <rPr>
            <sz val="11"/>
            <color theme="1"/>
            <rFont val="Calibri"/>
            <family val="2"/>
            <scheme val="minor"/>
          </rPr>
          <t>PPE − D&amp;A
FORMULA: =((Open+Open+CapEx)/2)×DA%
WHY: Depreciation on average PP&amp;E; reduces net PP&amp;E and adds back in FCFF.
LINK: https://www.sec.gov/Archives/edgar/data/814547/000081454725000030/fico-20250930.htm</t>
        </r>
      </text>
    </comment>
    <comment ref="N94" authorId="0" shapeId="0" xr:uid="{00000000-0006-0000-0100-00007B010000}">
      <text>
        <r>
          <rPr>
            <sz val="11"/>
            <color theme="1"/>
            <rFont val="Calibri"/>
            <family val="2"/>
            <scheme val="minor"/>
          </rPr>
          <t>PPE − D&amp;A
FORMULA: =((Open+Open+CapEx)/2)×DA%
WHY: Depreciation on average PP&amp;E; reduces net PP&amp;E and adds back in FCFF.
LINK: https://www.sec.gov/Archives/edgar/data/814547/000081454725000030/fico-20250930.htm</t>
        </r>
      </text>
    </comment>
    <comment ref="B95" authorId="0" shapeId="0" xr:uid="{00000000-0006-0000-0100-00007C010000}">
      <text>
        <r>
          <rPr>
            <sz val="11"/>
            <color theme="1"/>
            <rFont val="Calibri"/>
            <family val="2"/>
            <scheme val="minor"/>
          </rPr>
          <t>PPE closing
WHY: Open + CapEx − D&amp;A; closing net PP&amp;E posted to the balance sheet.
PATTERN: ={c}92+{c}93-{c}94
LINK: https://www.sec.gov/Archives/edgar/data/814547/000081454725000030/fico-20250930.htm</t>
        </r>
      </text>
    </comment>
    <comment ref="J95" authorId="0" shapeId="0" xr:uid="{00000000-0006-0000-0100-00007D010000}">
      <text>
        <r>
          <rPr>
            <sz val="11"/>
            <color theme="1"/>
            <rFont val="Calibri"/>
            <family val="2"/>
            <scheme val="minor"/>
          </rPr>
          <t>PPE closing
FORMULA: =J92+J93-J94
WHY: Open + CapEx − D&amp;A; closing net PP&amp;E posted to the balance sheet.
LINK: https://www.sec.gov/Archives/edgar/data/814547/000081454725000030/fico-20250930.htm</t>
        </r>
      </text>
    </comment>
    <comment ref="K95" authorId="0" shapeId="0" xr:uid="{00000000-0006-0000-0100-00007E010000}">
      <text>
        <r>
          <rPr>
            <sz val="11"/>
            <color theme="1"/>
            <rFont val="Calibri"/>
            <family val="2"/>
            <scheme val="minor"/>
          </rPr>
          <t>PPE closing
FORMULA: =K92+K93-K94
WHY: Open + CapEx − D&amp;A; closing net PP&amp;E posted to the balance sheet.
LINK: https://www.sec.gov/Archives/edgar/data/814547/000081454725000030/fico-20250930.htm</t>
        </r>
      </text>
    </comment>
    <comment ref="L95" authorId="0" shapeId="0" xr:uid="{00000000-0006-0000-0100-00007F010000}">
      <text>
        <r>
          <rPr>
            <sz val="11"/>
            <color theme="1"/>
            <rFont val="Calibri"/>
            <family val="2"/>
            <scheme val="minor"/>
          </rPr>
          <t>PPE closing
FORMULA: =L92+L93-L94
WHY: Open + CapEx − D&amp;A; closing net PP&amp;E posted to the balance sheet.
LINK: https://www.sec.gov/Archives/edgar/data/814547/000081454725000030/fico-20250930.htm</t>
        </r>
      </text>
    </comment>
    <comment ref="M95" authorId="0" shapeId="0" xr:uid="{00000000-0006-0000-0100-000080010000}">
      <text>
        <r>
          <rPr>
            <sz val="11"/>
            <color theme="1"/>
            <rFont val="Calibri"/>
            <family val="2"/>
            <scheme val="minor"/>
          </rPr>
          <t>PPE closing
FORMULA: =M92+M93-M94
WHY: Open + CapEx − D&amp;A; closing net PP&amp;E posted to the balance sheet.
LINK: https://www.sec.gov/Archives/edgar/data/814547/000081454725000030/fico-20250930.htm</t>
        </r>
      </text>
    </comment>
    <comment ref="N95" authorId="0" shapeId="0" xr:uid="{00000000-0006-0000-0100-000081010000}">
      <text>
        <r>
          <rPr>
            <sz val="11"/>
            <color theme="1"/>
            <rFont val="Calibri"/>
            <family val="2"/>
            <scheme val="minor"/>
          </rPr>
          <t>PPE closing
FORMULA: =N92+N93-N94
WHY: Open + CapEx − D&amp;A; closing net PP&amp;E posted to the balance sheet.
LINK: https://www.sec.gov/Archives/edgar/data/814547/000081454725000030/fico-20250930.htm</t>
        </r>
      </text>
    </comment>
    <comment ref="B98" authorId="0" shapeId="0" xr:uid="{00000000-0006-0000-0100-000082010000}">
      <text>
        <r>
          <rPr>
            <sz val="11"/>
            <color theme="1"/>
            <rFont val="Calibri"/>
            <family val="2"/>
            <scheme val="minor"/>
          </rPr>
          <t>Debt opening
WHY: Prior closing debt (FY1 opens at historical I49); base for interest and issuance.
PATTERN: ={p}100 or I49
LINK: https://www.sec.gov/Archives/edgar/data/814547/000081454726000030/fico-20260630.htm</t>
        </r>
      </text>
    </comment>
    <comment ref="J98" authorId="0" shapeId="0" xr:uid="{00000000-0006-0000-0100-000083010000}">
      <text>
        <r>
          <rPr>
            <sz val="11"/>
            <color theme="1"/>
            <rFont val="Calibri"/>
            <family val="2"/>
            <scheme val="minor"/>
          </rPr>
          <t>Debt opening
FORMULA: =I100 or I49
WHY: Prior closing debt (FY1 opens at historical I49); base for interest and issuance.
LINK: https://www.sec.gov/Archives/edgar/data/814547/000081454726000030/fico-20260630.htm</t>
        </r>
      </text>
    </comment>
    <comment ref="K98" authorId="0" shapeId="0" xr:uid="{00000000-0006-0000-0100-000084010000}">
      <text>
        <r>
          <rPr>
            <sz val="11"/>
            <color theme="1"/>
            <rFont val="Calibri"/>
            <family val="2"/>
            <scheme val="minor"/>
          </rPr>
          <t>Debt opening
FORMULA: =J100 or I49
WHY: Prior closing debt (FY1 opens at historical I49); base for interest and issuance.
LINK: https://www.sec.gov/Archives/edgar/data/814547/000081454726000030/fico-20260630.htm</t>
        </r>
      </text>
    </comment>
    <comment ref="L98" authorId="0" shapeId="0" xr:uid="{00000000-0006-0000-0100-000085010000}">
      <text>
        <r>
          <rPr>
            <sz val="11"/>
            <color theme="1"/>
            <rFont val="Calibri"/>
            <family val="2"/>
            <scheme val="minor"/>
          </rPr>
          <t>Debt opening
FORMULA: =K100 or I49
WHY: Prior closing debt (FY1 opens at historical I49); base for interest and issuance.
LINK: https://www.sec.gov/Archives/edgar/data/814547/000081454726000030/fico-20260630.htm</t>
        </r>
      </text>
    </comment>
    <comment ref="M98" authorId="0" shapeId="0" xr:uid="{00000000-0006-0000-0100-000086010000}">
      <text>
        <r>
          <rPr>
            <sz val="11"/>
            <color theme="1"/>
            <rFont val="Calibri"/>
            <family val="2"/>
            <scheme val="minor"/>
          </rPr>
          <t>Debt opening
FORMULA: =L100 or I49
WHY: Prior closing debt (FY1 opens at historical I49); base for interest and issuance.
LINK: https://www.sec.gov/Archives/edgar/data/814547/000081454726000030/fico-20260630.htm</t>
        </r>
      </text>
    </comment>
    <comment ref="N98" authorId="0" shapeId="0" xr:uid="{00000000-0006-0000-0100-000087010000}">
      <text>
        <r>
          <rPr>
            <sz val="11"/>
            <color theme="1"/>
            <rFont val="Calibri"/>
            <family val="2"/>
            <scheme val="minor"/>
          </rPr>
          <t>Debt opening
FORMULA: =M100 or I49
WHY: Prior closing debt (FY1 opens at historical I49); base for interest and issuance.
LINK: https://www.sec.gov/Archives/edgar/data/814547/000081454726000030/fico-20260630.htm</t>
        </r>
      </text>
    </comment>
    <comment ref="B99" authorId="0" shapeId="0" xr:uid="{00000000-0006-0000-0100-000088010000}">
      <text>
        <r>
          <rPr>
            <sz val="11"/>
            <color theme="1"/>
            <rFont val="Calibri"/>
            <family val="2"/>
            <scheme val="minor"/>
          </rPr>
          <t>Debt issuance
WHY: Links the debt policy row into the schedule; base case keeps this at zero.
PATTERN: ={c}19
LINK: https://www.sec.gov/Archives/edgar/data/814547/000081454725000030/fico-20250930.htm</t>
        </r>
      </text>
    </comment>
    <comment ref="J99" authorId="0" shapeId="0" xr:uid="{00000000-0006-0000-0100-000089010000}">
      <text>
        <r>
          <rPr>
            <sz val="11"/>
            <color theme="1"/>
            <rFont val="Calibri"/>
            <family val="2"/>
            <scheme val="minor"/>
          </rPr>
          <t>Debt issuance
FORMULA: =J19
WHY: Links the debt policy row into the schedule; base case keeps this at zero.
LINK: https://www.sec.gov/Archives/edgar/data/814547/000081454725000030/fico-20250930.htm</t>
        </r>
      </text>
    </comment>
    <comment ref="K99" authorId="0" shapeId="0" xr:uid="{00000000-0006-0000-0100-00008A010000}">
      <text>
        <r>
          <rPr>
            <sz val="11"/>
            <color theme="1"/>
            <rFont val="Calibri"/>
            <family val="2"/>
            <scheme val="minor"/>
          </rPr>
          <t>Debt issuance
FORMULA: =K19
WHY: Links the debt policy row into the schedule; base case keeps this at zero.
LINK: https://www.sec.gov/Archives/edgar/data/814547/000081454725000030/fico-20250930.htm</t>
        </r>
      </text>
    </comment>
    <comment ref="L99" authorId="0" shapeId="0" xr:uid="{00000000-0006-0000-0100-00008B010000}">
      <text>
        <r>
          <rPr>
            <sz val="11"/>
            <color theme="1"/>
            <rFont val="Calibri"/>
            <family val="2"/>
            <scheme val="minor"/>
          </rPr>
          <t>Debt issuance
FORMULA: =L19
WHY: Links the debt policy row into the schedule; base case keeps this at zero.
LINK: https://www.sec.gov/Archives/edgar/data/814547/000081454725000030/fico-20250930.htm</t>
        </r>
      </text>
    </comment>
    <comment ref="M99" authorId="0" shapeId="0" xr:uid="{00000000-0006-0000-0100-00008C010000}">
      <text>
        <r>
          <rPr>
            <sz val="11"/>
            <color theme="1"/>
            <rFont val="Calibri"/>
            <family val="2"/>
            <scheme val="minor"/>
          </rPr>
          <t>Debt issuance
FORMULA: =M19
WHY: Links the debt policy row into the schedule; base case keeps this at zero.
LINK: https://www.sec.gov/Archives/edgar/data/814547/000081454725000030/fico-20250930.htm</t>
        </r>
      </text>
    </comment>
    <comment ref="N99" authorId="0" shapeId="0" xr:uid="{00000000-0006-0000-0100-00008D010000}">
      <text>
        <r>
          <rPr>
            <sz val="11"/>
            <color theme="1"/>
            <rFont val="Calibri"/>
            <family val="2"/>
            <scheme val="minor"/>
          </rPr>
          <t>Debt issuance
FORMULA: =N19
WHY: Links the debt policy row into the schedule; base case keeps this at zero.
LINK: https://www.sec.gov/Archives/edgar/data/814547/000081454725000030/fico-20250930.htm</t>
        </r>
      </text>
    </comment>
    <comment ref="B100" authorId="0" shapeId="0" xr:uid="{00000000-0006-0000-0100-00008E010000}">
      <text>
        <r>
          <rPr>
            <sz val="11"/>
            <color theme="1"/>
            <rFont val="Calibri"/>
            <family val="2"/>
            <scheme val="minor"/>
          </rPr>
          <t>Debt closing
WHY: Open plus issuance/(repayment); closing debt posted to the balance sheet.
PATTERN: ={c}98+{c}99
LINK: https://www.sec.gov/Archives/edgar/data/814547/000081454725000030/fico-20250930.htm</t>
        </r>
      </text>
    </comment>
    <comment ref="J100" authorId="0" shapeId="0" xr:uid="{00000000-0006-0000-0100-00008F010000}">
      <text>
        <r>
          <rPr>
            <sz val="11"/>
            <color theme="1"/>
            <rFont val="Calibri"/>
            <family val="2"/>
            <scheme val="minor"/>
          </rPr>
          <t>Debt closing
FORMULA: =J98+J99
WHY: Open plus issuance/(repayment); closing debt posted to the balance sheet.
LINK: https://www.sec.gov/Archives/edgar/data/814547/000081454725000030/fico-20250930.htm</t>
        </r>
      </text>
    </comment>
    <comment ref="K100" authorId="0" shapeId="0" xr:uid="{00000000-0006-0000-0100-000090010000}">
      <text>
        <r>
          <rPr>
            <sz val="11"/>
            <color theme="1"/>
            <rFont val="Calibri"/>
            <family val="2"/>
            <scheme val="minor"/>
          </rPr>
          <t>Debt closing
FORMULA: =K98+K99
WHY: Open plus issuance/(repayment); closing debt posted to the balance sheet.
LINK: https://www.sec.gov/Archives/edgar/data/814547/000081454725000030/fico-20250930.htm</t>
        </r>
      </text>
    </comment>
    <comment ref="L100" authorId="0" shapeId="0" xr:uid="{00000000-0006-0000-0100-000091010000}">
      <text>
        <r>
          <rPr>
            <sz val="11"/>
            <color theme="1"/>
            <rFont val="Calibri"/>
            <family val="2"/>
            <scheme val="minor"/>
          </rPr>
          <t>Debt closing
FORMULA: =L98+L99
WHY: Open plus issuance/(repayment); closing debt posted to the balance sheet.
LINK: https://www.sec.gov/Archives/edgar/data/814547/000081454725000030/fico-20250930.htm</t>
        </r>
      </text>
    </comment>
    <comment ref="M100" authorId="0" shapeId="0" xr:uid="{00000000-0006-0000-0100-000092010000}">
      <text>
        <r>
          <rPr>
            <sz val="11"/>
            <color theme="1"/>
            <rFont val="Calibri"/>
            <family val="2"/>
            <scheme val="minor"/>
          </rPr>
          <t>Debt closing
FORMULA: =M98+M99
WHY: Open plus issuance/(repayment); closing debt posted to the balance sheet.
LINK: https://www.sec.gov/Archives/edgar/data/814547/000081454725000030/fico-20250930.htm</t>
        </r>
      </text>
    </comment>
    <comment ref="N100" authorId="0" shapeId="0" xr:uid="{00000000-0006-0000-0100-000093010000}">
      <text>
        <r>
          <rPr>
            <sz val="11"/>
            <color theme="1"/>
            <rFont val="Calibri"/>
            <family val="2"/>
            <scheme val="minor"/>
          </rPr>
          <t>Debt closing
FORMULA: =N98+N99
WHY: Open plus issuance/(repayment); closing debt posted to the balance sheet.
LINK: https://www.sec.gov/Archives/edgar/data/814547/000081454725000030/fico-20250930.htm</t>
        </r>
      </text>
    </comment>
    <comment ref="B101" authorId="0" shapeId="0" xr:uid="{00000000-0006-0000-0100-000094010000}">
      <text>
        <r>
          <rPr>
            <sz val="11"/>
            <color theme="1"/>
            <rFont val="Calibri"/>
            <family val="2"/>
            <scheme val="minor"/>
          </rPr>
          <t>Interest (schedule)
WHY: Opening debt × interest%; same economics as IS interest, from the debt schedule.
PATTERN: ={c}98*{c}12
LINK: https://www.sec.gov/Archives/edgar/data/814547/000081454725000030/fico-20250930.htm</t>
        </r>
      </text>
    </comment>
    <comment ref="J101" authorId="0" shapeId="0" xr:uid="{00000000-0006-0000-0100-000095010000}">
      <text>
        <r>
          <rPr>
            <sz val="11"/>
            <color theme="1"/>
            <rFont val="Calibri"/>
            <family val="2"/>
            <scheme val="minor"/>
          </rPr>
          <t>Interest (schedule)
FORMULA: =J98*J12
WHY: Opening debt × interest%; same economics as IS interest, from the debt schedule.
LINK: https://www.sec.gov/Archives/edgar/data/814547/000081454725000030/fico-20250930.htm</t>
        </r>
      </text>
    </comment>
    <comment ref="K101" authorId="0" shapeId="0" xr:uid="{00000000-0006-0000-0100-000096010000}">
      <text>
        <r>
          <rPr>
            <sz val="11"/>
            <color theme="1"/>
            <rFont val="Calibri"/>
            <family val="2"/>
            <scheme val="minor"/>
          </rPr>
          <t>Interest (schedule)
FORMULA: =K98*K12
WHY: Opening debt × interest%; same economics as IS interest, from the debt schedule.
LINK: https://www.sec.gov/Archives/edgar/data/814547/000081454725000030/fico-20250930.htm</t>
        </r>
      </text>
    </comment>
    <comment ref="L101" authorId="0" shapeId="0" xr:uid="{00000000-0006-0000-0100-000097010000}">
      <text>
        <r>
          <rPr>
            <sz val="11"/>
            <color theme="1"/>
            <rFont val="Calibri"/>
            <family val="2"/>
            <scheme val="minor"/>
          </rPr>
          <t>Interest (schedule)
FORMULA: =L98*L12
WHY: Opening debt × interest%; same economics as IS interest, from the debt schedule.
LINK: https://www.sec.gov/Archives/edgar/data/814547/000081454725000030/fico-20250930.htm</t>
        </r>
      </text>
    </comment>
    <comment ref="M101" authorId="0" shapeId="0" xr:uid="{00000000-0006-0000-0100-000098010000}">
      <text>
        <r>
          <rPr>
            <sz val="11"/>
            <color theme="1"/>
            <rFont val="Calibri"/>
            <family val="2"/>
            <scheme val="minor"/>
          </rPr>
          <t>Interest (schedule)
FORMULA: =M98*M12
WHY: Opening debt × interest%; same economics as IS interest, from the debt schedule.
LINK: https://www.sec.gov/Archives/edgar/data/814547/000081454725000030/fico-20250930.htm</t>
        </r>
      </text>
    </comment>
    <comment ref="N101" authorId="0" shapeId="0" xr:uid="{00000000-0006-0000-0100-000099010000}">
      <text>
        <r>
          <rPr>
            <sz val="11"/>
            <color theme="1"/>
            <rFont val="Calibri"/>
            <family val="2"/>
            <scheme val="minor"/>
          </rPr>
          <t>Interest (schedule)
FORMULA: =N98*N12
WHY: Opening debt × interest%; same economics as IS interest, from the debt schedule.
LINK: https://www.sec.gov/Archives/edgar/data/814547/000081454725000030/fico-20250930.htm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vengeanceaiUSCMODEL7</author>
  </authors>
  <commentList>
    <comment ref="D6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WACC
FORMULA: =R15
WHY: Pulls the live CAPM WACC from the baked CAPM block so discounting uses researched Ke/Rd.</t>
        </r>
      </text>
    </comment>
    <comment ref="D8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Exit EV/EBITDA multiple (primary)
HOW: Yellow POLICY input in D8 = 16.0x; TV = Year-5 EBITDA × D8.
WHY: Not from an SEC filing. MODEL7 audit required moving off 25x (which implied ~12.8x under Gordon) to a blended 15x–18x normalized exit. Midpoint 16x is the base case; 25x is bull sensitivity only (M21).
SOURCE: Model policy / audit (15x–18x blend) — judgment, not a market quote.</t>
        </r>
      </text>
    </comment>
    <comment ref="R15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WACC CAPM
FORMULA: =We×Ke+Wd×Rd×(1−t)
WHY: Weighted average cost of capital from CAPM Ke and after-tax cost of debt.</t>
        </r>
      </text>
    </comment>
    <comment ref="E2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EBIT
FORMULA: GP−SGA−R&amp;D−DA
WHY: Operating profit from 3-statement links.</t>
        </r>
      </text>
    </comment>
    <comment ref="F2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EBIT
FORMULA: GP−SGA−R&amp;D−DA
WHY: Operating profit from 3-statement links.</t>
        </r>
      </text>
    </comment>
    <comment ref="G2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EBIT
FORMULA: GP−SGA−R&amp;D−DA
WHY: Operating profit from 3-statement links.</t>
        </r>
      </text>
    </comment>
    <comment ref="H2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EBIT
FORMULA: GP−SGA−R&amp;D−DA
WHY: Operating profit from 3-statement links.</t>
        </r>
      </text>
    </comment>
    <comment ref="I2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EBIT
FORMULA: GP−SGA−R&amp;D−DA
WHY: Operating profit from 3-statement links.</t>
        </r>
      </text>
    </comment>
    <comment ref="E22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Unlevered tax
FORMULA: EBIT×t
WHY: All-equity tax on EBIT for FCFF.</t>
        </r>
      </text>
    </comment>
    <comment ref="F22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Unlevered tax
FORMULA: EBIT×t
WHY: All-equity tax on EBIT for FCFF.</t>
        </r>
      </text>
    </comment>
    <comment ref="G22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Unlevered tax
FORMULA: EBIT×t
WHY: All-equity tax on EBIT for FCFF.</t>
        </r>
      </text>
    </comment>
    <comment ref="H22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Unlevered tax
FORMULA: EBIT×t
WHY: All-equity tax on EBIT for FCFF.</t>
        </r>
      </text>
    </comment>
    <comment ref="I22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Unlevered tax
FORMULA: EBIT×t
WHY: All-equity tax on EBIT for FCFF.</t>
        </r>
      </text>
    </comment>
    <comment ref="E23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D&amp;A
FORMULA: 3S D&amp;A
WHY: Non-cash add-back from 3-statement.</t>
        </r>
      </text>
    </comment>
    <comment ref="F23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D&amp;A
FORMULA: 3S D&amp;A
WHY: Non-cash add-back from 3-statement.</t>
        </r>
      </text>
    </comment>
    <comment ref="G23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D&amp;A
FORMULA: 3S D&amp;A
WHY: Non-cash add-back from 3-statement.</t>
        </r>
      </text>
    </comment>
    <comment ref="H23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D&amp;A
FORMULA: 3S D&amp;A
WHY: Non-cash add-back from 3-statement.</t>
        </r>
      </text>
    </comment>
    <comment ref="I23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D&amp;A
FORMULA: 3S D&amp;A
WHY: Non-cash add-back from 3-statement.</t>
        </r>
      </text>
    </comment>
    <comment ref="E24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CapEx
FORMULA: 3S CapEx
WHY: Reinvestment outflow from 3-statement CF.</t>
        </r>
      </text>
    </comment>
    <comment ref="F24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CapEx
FORMULA: 3S CapEx
WHY: Reinvestment outflow from 3-statement CF.</t>
        </r>
      </text>
    </comment>
    <comment ref="G24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CapEx
FORMULA: 3S CapEx
WHY: Reinvestment outflow from 3-statement CF.</t>
        </r>
      </text>
    </comment>
    <comment ref="H24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CapEx
FORMULA: 3S CapEx
WHY: Reinvestment outflow from 3-statement CF.</t>
        </r>
      </text>
    </comment>
    <comment ref="I24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CapEx
FORMULA: 3S CapEx
WHY: Reinvestment outflow from 3-statement CF.</t>
        </r>
      </text>
    </comment>
    <comment ref="E25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ΔNWC
FORMULA: 3S ΔNWC
WHY: Working-capital investment from 3-statement.</t>
        </r>
      </text>
    </comment>
    <comment ref="F25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ΔNWC
FORMULA: 3S ΔNWC
WHY: Working-capital investment from 3-statement.</t>
        </r>
      </text>
    </comment>
    <comment ref="G25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ΔNWC
FORMULA: 3S ΔNWC
WHY: Working-capital investment from 3-statement.</t>
        </r>
      </text>
    </comment>
    <comment ref="H25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ΔNWC
FORMULA: 3S ΔNWC
WHY: Working-capital investment from 3-statement.</t>
        </r>
      </text>
    </comment>
    <comment ref="I25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ΔNWC
FORMULA: 3S ΔNWC
WHY: Working-capital investment from 3-statement.</t>
        </r>
      </text>
    </comment>
    <comment ref="E26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UFCF
FORMULA: EBIT−tax+DA−CapEx−ΔNWC
WHY: Unlevered free cash flow discounted in DCF.</t>
        </r>
      </text>
    </comment>
    <comment ref="F26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UFCF
FORMULA: EBIT−tax+DA−CapEx−ΔNWC
WHY: Unlevered free cash flow discounted in DCF.</t>
        </r>
      </text>
    </comment>
    <comment ref="G26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UFCF
FORMULA: EBIT−tax+DA−CapEx−ΔNWC
WHY: Unlevered free cash flow discounted in DCF.</t>
        </r>
      </text>
    </comment>
    <comment ref="H26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UFCF
FORMULA: EBIT−tax+DA−CapEx−ΔNWC
WHY: Unlevered free cash flow discounted in DCF.</t>
        </r>
      </text>
    </comment>
    <comment ref="I26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UFCF
FORMULA: EBIT−tax+DA−CapEx−ΔNWC
WHY: Unlevered free cash flow discounted in DCF.</t>
        </r>
      </text>
    </comment>
    <comment ref="J27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Exit TV
FORMULA: =EBITDA_n×exit multiple
WHY: Terminal enterprise value at year 5 using exit EV/EBITDA (primary exit method).</t>
        </r>
      </text>
    </comment>
    <comment ref="E28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Transaction CF
FORMULA: FCFF (+ TV in exit yr)
WHY: Cash flow vector for XNPV.</t>
        </r>
      </text>
    </comment>
    <comment ref="F28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Transaction CF
FORMULA: FCFF (+ TV in exit yr)
WHY: Cash flow vector for XNPV.</t>
        </r>
      </text>
    </comment>
    <comment ref="G28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Transaction CF
FORMULA: FCFF (+ TV in exit yr)
WHY: Cash flow vector for XNPV.</t>
        </r>
      </text>
    </comment>
    <comment ref="H28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Transaction CF
FORMULA: FCFF (+ TV in exit yr)
WHY: Cash flow vector for XNPV.</t>
        </r>
      </text>
    </comment>
    <comment ref="I28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Transaction CF
FORMULA: FCFF (+ TV in exit yr)
WHY: Cash flow vector for XNPV.</t>
        </r>
      </text>
    </comment>
    <comment ref="D32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Enterprise value
FORMULA: =XNPV(WACC, CFs, mid-year dates)
WHY: Present value of FCFF + TV using mid-year dates and the live WACC.</t>
        </r>
      </text>
    </comment>
    <comment ref="D35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Equity value
FORMULA: =EV+Cash−Debt
WHY: Equity bridge: enterprise value plus cash minus gross debt (net debt adjustment).</t>
        </r>
      </text>
    </comment>
    <comment ref="D37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Value / share
FORMULA: =Equity/Shares
WHY: Intrinsic equity value per share using diluted shares outstanding.</t>
        </r>
      </text>
    </comment>
  </commentList>
</comments>
</file>

<file path=xl/sharedStrings.xml><?xml version="1.0" encoding="utf-8"?>
<sst xmlns="http://schemas.openxmlformats.org/spreadsheetml/2006/main" count="471" uniqueCount="408">
  <si>
    <t>FICO — vengeanceaiUSCMODEL7 (3-Statement + DCF)</t>
  </si>
  <si>
    <t>Strictly Confidential</t>
  </si>
  <si>
    <t>Table of Contents</t>
  </si>
  <si>
    <t>3 Statement Model</t>
  </si>
  <si>
    <t>Notes</t>
  </si>
  <si>
    <t>Named Ranges mark INPUT cells only. Formula cells (Gross Profit, NI, UFCF, EV) have NO names and must never be overwritten. Open in Excel to recalculate.</t>
  </si>
  <si>
    <t>vengeanceaiUSCMODEL7: NWC%=fade→3% of sales; SGA floor 15%/−75bps; CapEx fade→1%; primary exit 16x (bull 25x). WACC=9.24%. Click Cover Source Index (cols E–G) or 3S/DCF col U/V for filings.</t>
  </si>
  <si>
    <t>https://corporatefinanceinstitute.com/</t>
  </si>
  <si>
    <t>© 2019 CFI Education Inc.</t>
  </si>
  <si>
    <t>vengeanceaiUSCMODEL7 — SOURCE INDEX (click any link)</t>
  </si>
  <si>
    <t xml:space="preserve">All rights reserved.  The contents of this publication, including but not limited to all written material, content layout, images, formulas, and code, are protected under international copyright and trademark laws.  </t>
  </si>
  <si>
    <t>Every assumption / WACC / filing source used in this workbook. Same links appear on 3-statement col U/V and DCF col U/V.</t>
  </si>
  <si>
    <t xml:space="preserve">No part of this publication may be modified, manipulated, reproduced, distributed, or transmitted in any form by any means, including photocopying, recording, or other electronic or mechanical methods, </t>
  </si>
  <si>
    <t>Source</t>
  </si>
  <si>
    <t>Clickable link</t>
  </si>
  <si>
    <t>URL</t>
  </si>
  <si>
    <t>without prior written permission of the publisher, except in the case of certain noncommercial uses permitted by copyright law.</t>
  </si>
  <si>
    <t>10-K FY2025</t>
  </si>
  <si>
    <t>https://www.sec.gov/Archives/edgar/data/814547/000081454725000030/fico-20250930.htm</t>
  </si>
  <si>
    <t>10-Q Q3 FY2026</t>
  </si>
  <si>
    <t>https://www.sec.gov/Archives/edgar/data/814547/000081454726000030/fico-20260630.htm</t>
  </si>
  <si>
    <t>8-K 6.250% notes</t>
  </si>
  <si>
    <t>https://www.sec.gov/Archives/edgar/data/814547/000119312526117936/d56220d8k.htm</t>
  </si>
  <si>
    <t>Damodaran ERP</t>
  </si>
  <si>
    <t>https://pages.stern.nyu.edu/adamodar/New_Home_Page/home.htm</t>
  </si>
  <si>
    <t>Damodaran FCFF</t>
  </si>
  <si>
    <t>https://pages.stern.nyu.edu/~adamodar/New_Home_Page/datafile/histfcff.html</t>
  </si>
  <si>
    <t>Damodaran implied ERP table</t>
  </si>
  <si>
    <t>https://pages.stern.nyu.edu/~adamodar/New_Home_Page/datafile/histimpl.html</t>
  </si>
  <si>
    <t>FICO IR</t>
  </si>
  <si>
    <t>https://www.fico.com/en/investors</t>
  </si>
  <si>
    <t>FRED DGS10</t>
  </si>
  <si>
    <t>https://fred.stlouisfed.org/series/DGS10</t>
  </si>
  <si>
    <t>FY2026 guidance EX-99.1</t>
  </si>
  <si>
    <t>https://www.sec.gov/Archives/edgar/data/814547/000081454726000031/exhibit991erq32026.htm</t>
  </si>
  <si>
    <t>US Treasury yield curve</t>
  </si>
  <si>
    <t>https://home.treasury.gov/resource-center/data-chart-center/interest-rates/TextView?type=daily_treasury_yield_curve</t>
  </si>
  <si>
    <t>Yahoo FICO</t>
  </si>
  <si>
    <t>https://finance.yahoo.com/quote/FICO/key-statistics/</t>
  </si>
  <si>
    <t>Yahoo FICO quote</t>
  </si>
  <si>
    <t>https://finance.yahoo.com/quote/FICO/</t>
  </si>
  <si>
    <t>companyfacts</t>
  </si>
  <si>
    <t>https://data.sec.gov/api/xbrl/companyfacts/CIK0000814547.json</t>
  </si>
  <si>
    <t>© Corporate Finance Institute®. All rights reserved.</t>
  </si>
  <si>
    <t>Historical Results</t>
  </si>
  <si>
    <t xml:space="preserve"> Forecast Period</t>
  </si>
  <si>
    <t>FINANCIAL STATEMENTS</t>
  </si>
  <si>
    <t>Balance Sheet Check</t>
  </si>
  <si>
    <t>vengeanceaiUSCMODEL7: hover J–N for WHY+SOURCE; click blue Source link in col U (or LINK: URL in col C / V) to open the filing</t>
  </si>
  <si>
    <t>ASSUMPTIONS EXPLAINED — click blue Source (col U) for the filing/data</t>
  </si>
  <si>
    <t>Assumptions</t>
  </si>
  <si>
    <t>Yellow = policy. Green = FY25-linked equations. Col U = clickable hyperlink. Col V = full URL (also clickable).</t>
  </si>
  <si>
    <t>Income statement</t>
  </si>
  <si>
    <t>Row</t>
  </si>
  <si>
    <t>Assumption</t>
  </si>
  <si>
    <t>What it is</t>
  </si>
  <si>
    <t>How set in model</t>
  </si>
  <si>
    <t>Why this choice</t>
  </si>
  <si>
    <t>Source (click)</t>
  </si>
  <si>
    <t>Source URL</t>
  </si>
  <si>
    <t>Revenue Growth (% Change)</t>
  </si>
  <si>
    <t>WHY: Y1 ≈ company FY2026 revenue guidance (~$2.53B / FY25 $1.991B − 1 ≈ 27%). Then fade toward terminal g=3% (not straight… | SOURCE: SEC EX-99.1 Q3 FY2026 — updated FY2026 revenue guidance $2.53B | LINK: https://www.sec.gov/Archives/edgar/data/814547/000081454726000031/exhibit991erq32026.htm | HOW: Yellow POLICY input: 27% / 16% / 13% / 10% / 7%.</t>
  </si>
  <si>
    <t>Revenue Growth</t>
  </si>
  <si>
    <t>Year-over-year % increase in revenue for each forecast year.</t>
  </si>
  <si>
    <t>Yellow POLICY input: 27% / 16% / 13% / 10% / 7%.</t>
  </si>
  <si>
    <t>Y1 ≈ company FY2026 revenue guidance (~$2.53B / FY25 $1.991B − 1 ≈ 27%). Then fade toward terminal g=3% (not straight-lined). This is the main forward-looking judgment; it drives Rev → GP → EBT → Net Earnings → CF.</t>
  </si>
  <si>
    <t>SEC EX-99.1 Q3 FY2026 — updated FY2026 revenue guidance $2.53B</t>
  </si>
  <si>
    <t>Cost of Goods Sold (% of Revenue)</t>
  </si>
  <si>
    <t>WHY: Locks in latest reported cost structure (~17.8%). Scores mix is high-margin; holding FY25 is conservative vs further … | SOURCE: SEC 10-K FY2025 — Cost of revenues / Total revenues | LINK: https://www.sec.gov/Archives/edgar/data/814547/000081454725000030/fico-20250930.htm | HOW: Excel equation: I25/I24 (FY25 COGS ÷ FY25 Revenue) held flat.</t>
  </si>
  <si>
    <t>COGS % of Revenue</t>
  </si>
  <si>
    <t>Cost of revenues as a % of sales (gross margin = 1 − this).</t>
  </si>
  <si>
    <t>Excel equation: I25/I24 (FY25 COGS ÷ FY25 Revenue) held flat.</t>
  </si>
  <si>
    <t>Locks in latest reported cost structure (~17.8%). Scores mix is high-margin; holding FY25 is conservative vs further mix shift.</t>
  </si>
  <si>
    <t>SEC 10-K FY2025 — Cost of revenues / Total revenues</t>
  </si>
  <si>
    <t>SG&amp;A % of Revenue (floor 15%, −75bps×t)</t>
  </si>
  <si>
    <t>WHY: MODEL7 audit: allow software operating leverage. Floor 15%; grind −75 bps so SG&amp;A can scale toward mid-teens as reven… | SOURCE: SEC 10-K FY2025 — SG&amp;A + restructuring note | LINK: https://www.sec.gov/Archives/edgar/data/814547/000081454725000030/fico-20250930.htm | HOW: Equation: MAX(15%, (I28 − 10,922)/I24 − 75bps × year). Strips FY25 restructuring; then −0.75% of sales each year.</t>
  </si>
  <si>
    <t>SG&amp;A % of Revenue</t>
  </si>
  <si>
    <t>Operating opex (SG&amp;A) as % of sales.</t>
  </si>
  <si>
    <t>Equation: MAX(15%, (I28 − 10,922)/I24 − 75bps × year). Strips FY25 restructuring; then −0.75% of sales each year.</t>
  </si>
  <si>
    <t>MODEL7 audit: allow software operating leverage. Floor 15%; grind −75 bps so SG&amp;A can scale toward mid-teens as revenue expands (not stuck ~24–25%).</t>
  </si>
  <si>
    <t>SEC 10-K FY2025 — SG&amp;A + restructuring note</t>
  </si>
  <si>
    <t>R&amp;D % of Revenue (equation)</t>
  </si>
  <si>
    <t>WHY: FICO reinvests steadily in analytics/software. Flat % grows dollars with revenue. | SOURCE: SEC 10-K FY2025 — Research and development | LINK: https://www.sec.gov/Archives/edgar/data/814547/000081454725000030/fico-20250930.htm | HOW: Excel equation: I29/I24 held flat (~9.46%).</t>
  </si>
  <si>
    <t>R&amp;D % of Revenue</t>
  </si>
  <si>
    <t>Research &amp; development (template label may say Rent and Overhead) as % of sales.</t>
  </si>
  <si>
    <t>Excel equation: I29/I24 held flat (~9.46%).</t>
  </si>
  <si>
    <t>FICO reinvests steadily in analytics/software. Flat % grows dollars with revenue.</t>
  </si>
  <si>
    <t>SEC 10-K FY2025 — Research and development</t>
  </si>
  <si>
    <t>D&amp;A % of Avg PP&amp;E (rate=FY25 DA/PPE; $ uses avg base)</t>
  </si>
  <si>
    <t>WHY: MODEL6 fix: prior model depreciated only opening PP&amp;E, so ~$96M of forecast CapEx never hit D&amp;A/FCFF add-back. Averag… | SOURCE: SEC 10-K FY2025 — D&amp;A and PP&amp;E | LINK: https://www.sec.gov/Archives/edgar/data/814547/000081454725000030/fico-20250930.htm | HOW: Rate = I30/I44 (FY25 DA ÷ FY25 PPE). Forecast DA$ = ((Open + Open+CapEx)/2) × rate.</t>
  </si>
  <si>
    <t>D&amp;A % of Avg PP&amp;E</t>
  </si>
  <si>
    <t>Depreciation rate from FY25; dollars applied to average PP&amp;E so new CapEx is depreciated.</t>
  </si>
  <si>
    <t>Rate = I30/I44 (FY25 DA ÷ FY25 PPE). Forecast DA$ = ((Open + Open+CapEx)/2) × rate.</t>
  </si>
  <si>
    <t>MODEL6 fix: prior model depreciated only opening PP&amp;E, so ~$96M of forecast CapEx never hit D&amp;A/FCFF add-back. Average PP&amp;E (Open ↔ pre-DA close) depreciates additions in the year they are placed in service.</t>
  </si>
  <si>
    <t>SEC 10-K FY2025 — D&amp;A and PP&amp;E</t>
  </si>
  <si>
    <t>Interest (% of Debt Open Bal)</t>
  </si>
  <si>
    <t>WHY: Approximates average coupon / cost of debt on the book. Debt held flat (issuance = 0), so interest stays linked to th… | SOURCE: SEC 10-K FY2025 — Interest expense; see also 8-K 6.250% notes | LINK: https://www.sec.gov/Archives/edgar/data/814547/000081454725000030/fico-20250930.htm | HOW: Excel equation: I101/I98 (FY25 interest ÷ FY25 opening debt in schedule).</t>
  </si>
  <si>
    <t>Interest % of Debt Open</t>
  </si>
  <si>
    <t>Interest expense as % of opening debt balance.</t>
  </si>
  <si>
    <t>Excel equation: I101/I98 (FY25 interest ÷ FY25 opening debt in schedule).</t>
  </si>
  <si>
    <t>Approximates average coupon / cost of debt on the book. Debt held flat (issuance = 0), so interest stays linked to that stock.</t>
  </si>
  <si>
    <t>SEC 10-K FY2025 — Interest expense; see also 8-K 6.250% notes</t>
  </si>
  <si>
    <t>Tax Rate (% of Earnings Before Tax)</t>
  </si>
  <si>
    <t>WHY: Uses reported effective rate (~19% on template EBT; ~18.8% on 10-K EBT). UFCF in DCF also uses unlevered EBIT × t. | SOURCE: SEC 10-K FY2025 — Provision for income taxes / Income before taxes | LINK: https://www.sec.gov/Archives/edgar/data/814547/000081454725000030/fico-20250930.htm | HOW: Excel equation: I35/I33 (FY25 tax ÷ simplified FY25 EBT in this template).</t>
  </si>
  <si>
    <t>Tax Rate (% of EBT)</t>
  </si>
  <si>
    <t>Effective book tax rate applied to forecast EBT.</t>
  </si>
  <si>
    <t>Excel equation: I35/I33 (FY25 tax ÷ simplified FY25 EBT in this template).</t>
  </si>
  <si>
    <t>Uses reported effective rate (~19% on template EBT; ~18.8% on 10-K EBT). UFCF in DCF also uses unlevered EBIT × t.</t>
  </si>
  <si>
    <t>SEC 10-K FY2025 — Provision for income taxes / Income before taxes</t>
  </si>
  <si>
    <t>Balance Sheet</t>
  </si>
  <si>
    <t>Operating NWC % of Revenue (fade → 3%)</t>
  </si>
  <si>
    <t>WHY: MODEL7 audit: ends the gross-AR-days + deferred double-count that drained ~$297M of FCFF. Asset-light software WC fad… | SOURCE: SEC companyfacts XBRL — AR / AP / DeferredRevenueCurrent | LINK: https://data.sec.gov/api/xbrl/companyfacts/CIK0000814547.json | HOW: Equation: fade FY25 op. NWC/Sales → 3% steady (weights 70/50/30/15/0).</t>
  </si>
  <si>
    <t>Operating NWC % of Revenue</t>
  </si>
  <si>
    <t>Single consolidated operating working-capital ratio (AR+Inv−AP−Deferred)/Sales.</t>
  </si>
  <si>
    <t>Equation: fade FY25 op. NWC/Sales → 3% steady (weights 70/50/30/15/0).</t>
  </si>
  <si>
    <t>MODEL7 audit: ends the gross-AR-days + deferred double-count that drained ~$297M of FCFF. Asset-light software WC fades toward ~3% of sales; BS AR is plugged so AR−AP−Deferred = NWC.</t>
  </si>
  <si>
    <t>SEC companyfacts XBRL — AR / AP / DeferredRevenueCurrent</t>
  </si>
  <si>
    <t>Inventory (Days)</t>
  </si>
  <si>
    <t>WHY: No inventory cycle to fund. | SOURCE: SEC 10-K FY2025 — Inventory ≈ $0 | LINK: https://www.sec.gov/Archives/edgar/data/814547/000081454725000030/fico-20250930.htm | HOW: Hard zero — FICO is software / scores; inventory is immaterial.</t>
  </si>
  <si>
    <t>Inventory days (Inv = COGS × days/365).</t>
  </si>
  <si>
    <t>Hard zero — FICO is software / scores; inventory is immaterial.</t>
  </si>
  <si>
    <t>No inventory cycle to fund.</t>
  </si>
  <si>
    <t>SEC 10-K FY2025 — Inventory ≈ $0</t>
  </si>
  <si>
    <t>Accounts Payable (Days)</t>
  </si>
  <si>
    <t>WHY: Payable timing offsets AR in operating NWC. | SOURCE: SEC 10-K FY2025 — Accounts payable | LINK: https://www.sec.gov/Archives/edgar/data/814547/000081454725000030/fico-20250930.htm | HOW: Excel equation: ROUND(I48/I25×365, 0) from FY25.</t>
  </si>
  <si>
    <t>AP days used to project AP = COGS × days/365.</t>
  </si>
  <si>
    <t>Excel equation: ROUND(I48/I25×365, 0) from FY25.</t>
  </si>
  <si>
    <t>Payable timing offsets AR in operating NWC.</t>
  </si>
  <si>
    <t>SEC 10-K FY2025 — Accounts payable</t>
  </si>
  <si>
    <t>CapEx % of Revenue (fast fade → 1%)</t>
  </si>
  <si>
    <t>WHY: MODEL7 audit: prior path left CapEx ≫ D&amp;A (~$80M cumulative drag). Faster fade to maintenance ~1% so CapEx converges … | SOURCE: SEC 10-K FY2025 — PP&amp;E purchases + capitalized software | LINK: https://www.sec.gov/Archives/edgar/data/814547/000081454725000030/fico-20250930.htm | HOW: Equation: fade from I68/I24 toward 1.0% steady. MODEL7 weights 40%→20%→10%→0%→0% on the peak (faster fade).</t>
  </si>
  <si>
    <t>CapEx % of Revenue</t>
  </si>
  <si>
    <t>Capital investment (PPE + capitalized software) as % of sales.</t>
  </si>
  <si>
    <t>Equation: fade from I68/I24 toward 1.0% steady. MODEL7 weights 40%→20%→10%→0%→0% on the peak (faster fade).</t>
  </si>
  <si>
    <t>MODEL7 audit: prior path left CapEx ≫ D&amp;A (~$80M cumulative drag). Faster fade to maintenance ~1% so CapEx converges near D&amp;A by Y4–Y5.</t>
  </si>
  <si>
    <t>SEC 10-K FY2025 — PP&amp;E purchases + capitalized software</t>
  </si>
  <si>
    <t>Debt Issuance (Repayment) ($000's)</t>
  </si>
  <si>
    <t>WHY: Hold debt stock flat at FY25 level for the explicit period; interest follows. Net debt for DCF equity bridge uses the… | SOURCE: SEC 10-Q Q3 FY2026 — debt stock (financing excluded from FCFF) | LINK: https://www.sec.gov/Archives/edgar/data/814547/000081454726000030/fico-20260630.htm | HOW: POLICY input = 0 every year.</t>
  </si>
  <si>
    <t>Debt Issuance (Repayment)</t>
  </si>
  <si>
    <t>New borrowing (+) or repayment (−) in the forecast.</t>
  </si>
  <si>
    <t>POLICY input = 0 every year.</t>
  </si>
  <si>
    <t>Hold debt stock flat at FY25 level for the explicit period; interest follows. Net debt for DCF equity bridge uses the later 10-Q amount separately.</t>
  </si>
  <si>
    <t>SEC 10-Q Q3 FY2026 — debt stock (financing excluded from FCFF)</t>
  </si>
  <si>
    <t>Equity Issued (Repaid) ($000's)</t>
  </si>
  <si>
    <t>WHY: Buybacks are real historically but are financing — excluded from FCFF. Share count for $/share is the spot shares out… | SOURCE: Damodaran FCFF framework — financing (buybacks) not in FCFF | LINK: https://pages.stern.nyu.edu/~adamodar/New_Home_Page/datafile/histfcff.html | HOW: POLICY input = 0 every year.</t>
  </si>
  <si>
    <t>Equity Issued (Repaid)</t>
  </si>
  <si>
    <t>New equity issued (+) or buybacks (−) in the forecast BS/CF.</t>
  </si>
  <si>
    <t>Buybacks are real historically but are financing — excluded from FCFF. Share count for $/share is the spot shares outstanding assumption.</t>
  </si>
  <si>
    <t>Damodaran FCFF framework — financing (buybacks) not in FCFF</t>
  </si>
  <si>
    <t>Income Statement</t>
  </si>
  <si>
    <t>Reveneue</t>
  </si>
  <si>
    <t>eqn: PriorRev × (1 + growth)</t>
  </si>
  <si>
    <t>Cost of Goods Sold (COGS)</t>
  </si>
  <si>
    <t>eqn: Rev × COGS%</t>
  </si>
  <si>
    <t>Gross Profit</t>
  </si>
  <si>
    <t>eqn: Rev − COGS</t>
  </si>
  <si>
    <t>Expenses</t>
  </si>
  <si>
    <t>SG&amp;A Expense</t>
  </si>
  <si>
    <t>eqn: Rev × SG&amp;A%</t>
  </si>
  <si>
    <t>Research &amp; Development (R&amp;D)</t>
  </si>
  <si>
    <t>eqn: Rev × R&amp;D%</t>
  </si>
  <si>
    <t>Depreciation &amp; Amortization</t>
  </si>
  <si>
    <t>eqn: AvgPPE × DA%</t>
  </si>
  <si>
    <t>Interest</t>
  </si>
  <si>
    <t>eqn: Debt_open × Int%</t>
  </si>
  <si>
    <t>Total Expenses</t>
  </si>
  <si>
    <t>Earnings Before Tax</t>
  </si>
  <si>
    <t>eqn: GP − Expenses</t>
  </si>
  <si>
    <t>Taxes</t>
  </si>
  <si>
    <t>eqn: EBT × tax%</t>
  </si>
  <si>
    <t>Net Earnings</t>
  </si>
  <si>
    <t>eqn: EBT × (1 − tax%)</t>
  </si>
  <si>
    <t>Assets</t>
  </si>
  <si>
    <t>Cash</t>
  </si>
  <si>
    <t>Accounts Receivable</t>
  </si>
  <si>
    <t>eqn: NWC + AP + Deferred − Inv  (plug to NWC%)</t>
  </si>
  <si>
    <t>Inventory</t>
  </si>
  <si>
    <t>Property &amp; Equipment</t>
  </si>
  <si>
    <t>Total Assets</t>
  </si>
  <si>
    <t>Liabilities</t>
  </si>
  <si>
    <t>Accounts Payable</t>
  </si>
  <si>
    <t>eqn: COGS × AP_days / 365</t>
  </si>
  <si>
    <t>Debt</t>
  </si>
  <si>
    <t>Total Liabilities</t>
  </si>
  <si>
    <t>eqn: AP + Debt + DeferredRev</t>
  </si>
  <si>
    <t>Shareholder's Equity</t>
  </si>
  <si>
    <t>Equity Capital</t>
  </si>
  <si>
    <t>Retained Earnings</t>
  </si>
  <si>
    <t>eqn: PriorRE + EBT×(1−t)</t>
  </si>
  <si>
    <t>Total Liabilities &amp; Shareholder's Equity</t>
  </si>
  <si>
    <t>Check</t>
  </si>
  <si>
    <t>Cash Flow Statement</t>
  </si>
  <si>
    <t>Operating Cash Flow</t>
  </si>
  <si>
    <t>Plus: Depreciation &amp; Amortization</t>
  </si>
  <si>
    <t>Less: Changes in Working Capital</t>
  </si>
  <si>
    <t>eqn: ΔNWC from consolidated NWC% of sales</t>
  </si>
  <si>
    <t>Cash from Operations</t>
  </si>
  <si>
    <t>eqn: NI + DA − ΔNWC</t>
  </si>
  <si>
    <t>Investing Cash Flow</t>
  </si>
  <si>
    <t>Investments in Property &amp; Equipment</t>
  </si>
  <si>
    <t>eqn: Rev × CapEx%</t>
  </si>
  <si>
    <t>Cash from Investing</t>
  </si>
  <si>
    <t>Financing Cash Flow</t>
  </si>
  <si>
    <t>Issuance (repayment) of debt</t>
  </si>
  <si>
    <t>Issuance (repayment) of equity</t>
  </si>
  <si>
    <t>Cash from Financing</t>
  </si>
  <si>
    <t>Net Increase (decrease) in Cash</t>
  </si>
  <si>
    <t>eqn: CFO − CapEx + Financing</t>
  </si>
  <si>
    <t>Opening Cash Balance</t>
  </si>
  <si>
    <t>Closing Cash Balance</t>
  </si>
  <si>
    <t>Supporting Schedules</t>
  </si>
  <si>
    <t>Working Capital Schedule</t>
  </si>
  <si>
    <t>Accounts Receivable (plugged to NWC%)</t>
  </si>
  <si>
    <t>Deferred Revenue (contract liability)</t>
  </si>
  <si>
    <t>eqn: Rev × (FY25 Deferred/FY25 Rev)</t>
  </si>
  <si>
    <t>Net Working Capital (NWC)</t>
  </si>
  <si>
    <t>eqn: Rev × NWC%   (consolidated operating WC)</t>
  </si>
  <si>
    <t>Change in NWC</t>
  </si>
  <si>
    <t>Depreciation Schedule</t>
  </si>
  <si>
    <t>PPE Opening</t>
  </si>
  <si>
    <t>Plus Capex</t>
  </si>
  <si>
    <t>Less Depreciation</t>
  </si>
  <si>
    <t>eqn: ((Open+Open+CapEx)/2) × DA%</t>
  </si>
  <si>
    <t>PPE Closing</t>
  </si>
  <si>
    <t>Debt &amp; Interest Schedule</t>
  </si>
  <si>
    <t>Debt Opening</t>
  </si>
  <si>
    <t>Issuance (repayment)</t>
  </si>
  <si>
    <t>Debt Closing</t>
  </si>
  <si>
    <t>Interest Expense</t>
  </si>
  <si>
    <t>Charts and Graphs</t>
  </si>
  <si>
    <t>Revenue</t>
  </si>
  <si>
    <t>Earning Before Tax</t>
  </si>
  <si>
    <t>This file is for educational purposes only. E&amp;OE</t>
  </si>
  <si>
    <t xml:space="preserve">Corporate Finance Institute® </t>
  </si>
  <si>
    <t>DCF Model</t>
  </si>
  <si>
    <t>vengeanceaiUSCMODEL7 — LIVE EQUATIONS + SOURCE LINKS</t>
  </si>
  <si>
    <t>Yellow = inputs (edit). Green = formulas. Blue underlined = clickable sources.</t>
  </si>
  <si>
    <t>Input</t>
  </si>
  <si>
    <t>Value</t>
  </si>
  <si>
    <t>Description</t>
  </si>
  <si>
    <t>Role</t>
  </si>
  <si>
    <t>Primary source (click)</t>
  </si>
  <si>
    <t>Secondary source (click)</t>
  </si>
  <si>
    <t>Tax Rate (unlevered / on EBIT)</t>
  </si>
  <si>
    <t>Tax source: SEC 10-K</t>
  </si>
  <si>
    <t>1) CAPM → WACC   (D6 = R15)</t>
  </si>
  <si>
    <t>WACC sources → columns U–V</t>
  </si>
  <si>
    <t>Discount Rate (WACC = We×Ke + Wd×Rd(1−t))</t>
  </si>
  <si>
    <t>Sources →</t>
  </si>
  <si>
    <t>WACC sources → scroll to col U (Rf/ERP/β/Rd links)</t>
  </si>
  <si>
    <t>SEC 8-K Rd 6.250%</t>
  </si>
  <si>
    <t>Risk-free rate (Rf)</t>
  </si>
  <si>
    <t>US 10Y Treasury yield</t>
  </si>
  <si>
    <t>CAPM input</t>
  </si>
  <si>
    <t>FRED DGS10 (US 10Y)</t>
  </si>
  <si>
    <t>US Treasury Daily Par Yield Curve</t>
  </si>
  <si>
    <t>Perpetural Growth Rate</t>
  </si>
  <si>
    <t>Equity risk premium (ERP)</t>
  </si>
  <si>
    <t>Damodaran implied ERP</t>
  </si>
  <si>
    <t>Damodaran Online — Implied ERP</t>
  </si>
  <si>
    <t>Damodaran histimpl.xls / table</t>
  </si>
  <si>
    <t>EV/EBITDA Mulltiple</t>
  </si>
  <si>
    <t>POLICY 16x = mid of audit 15–18x blend (25x = bull only). Not from 10-K.</t>
  </si>
  <si>
    <t>Rd source: SEC 8-K 6.250% notes</t>
  </si>
  <si>
    <t>Beta (β)</t>
  </si>
  <si>
    <t>Yahoo 5Y monthly beta</t>
  </si>
  <si>
    <t>Yahoo Finance FICO Key Statistics</t>
  </si>
  <si>
    <t>Yahoo Finance FICO quote</t>
  </si>
  <si>
    <t>Transaction Date</t>
  </si>
  <si>
    <t>Ke = Rf + β × ERP</t>
  </si>
  <si>
    <t>Cost of equity (CAPM)</t>
  </si>
  <si>
    <t>→ WACC</t>
  </si>
  <si>
    <t>Derived: R6 + R8 × R7</t>
  </si>
  <si>
    <t>Fiscal Year End</t>
  </si>
  <si>
    <t>Pre-tax cost of debt (Rd)</t>
  </si>
  <si>
    <t>6.250% Senior Notes due 2034</t>
  </si>
  <si>
    <t>WACC input</t>
  </si>
  <si>
    <t>SEC 8-K — Notes closing (6.250%)</t>
  </si>
  <si>
    <t>SEC EX-99.1 — Notes pricing press release</t>
  </si>
  <si>
    <t>Current Price</t>
  </si>
  <si>
    <t>Tax rate (t)</t>
  </si>
  <si>
    <t>FY25 effective = 150,649 / 802,595</t>
  </si>
  <si>
    <t>Linked D5</t>
  </si>
  <si>
    <t>SEC 10-K FY2025 (tax / EBT)</t>
  </si>
  <si>
    <t>SEC companyfacts XBRL (CIK 0000814547)</t>
  </si>
  <si>
    <t>Shares Outstanding</t>
  </si>
  <si>
    <t>Rd_aftertax = Rd × (1 − t)</t>
  </si>
  <si>
    <t>After-tax cost of debt</t>
  </si>
  <si>
    <t>Derived: R10 × (1 − R11)</t>
  </si>
  <si>
    <t>Equity weight (We)</t>
  </si>
  <si>
    <t>Target ~80% equity at market</t>
  </si>
  <si>
    <t>WACC weight</t>
  </si>
  <si>
    <t>SEC 10-Q Q3 FY2026 (debt / capital)</t>
  </si>
  <si>
    <t>Yahoo market cap for E/(D+E)</t>
  </si>
  <si>
    <t>Debt weight (Wd)</t>
  </si>
  <si>
    <t>Target ~20% debt (We+Wd=100%)</t>
  </si>
  <si>
    <t>SEC 10-Q — total debt $5,582,389k</t>
  </si>
  <si>
    <t>SEC 10-K — senior notes footnote</t>
  </si>
  <si>
    <t>Capex (FY1 forecast, linked)</t>
  </si>
  <si>
    <t>WACC = We×Ke + Wd×Rd_aftertax</t>
  </si>
  <si>
    <t>PRIMARY discount rate → cell D6</t>
  </si>
  <si>
    <t>→ D6</t>
  </si>
  <si>
    <t>SEC filings (tax, debt coupons)</t>
  </si>
  <si>
    <t>Damodaran (ERP methodology)</t>
  </si>
  <si>
    <t>Discounted Cash Flow</t>
  </si>
  <si>
    <t>Entry</t>
  </si>
  <si>
    <t>Exit</t>
  </si>
  <si>
    <t>Terminal value methods (MODEL7)</t>
  </si>
  <si>
    <t>2) Unlevered Free Cash Flow</t>
  </si>
  <si>
    <t>Date (mid-year via EDATE; periods are 0-based)</t>
  </si>
  <si>
    <t>Exit EV/EBITDA @ D8 (primary 16x)</t>
  </si>
  <si>
    <t>← used in XNPV</t>
  </si>
  <si>
    <t>FCFF = EBIT − EBIT×t + D&amp;A − CapEx − ΔNWC</t>
  </si>
  <si>
    <t>Drivers from SEC XBRL → 3-statement</t>
  </si>
  <si>
    <t>SEC 10-K historical IS/CF</t>
  </si>
  <si>
    <t>Time Periods</t>
  </si>
  <si>
    <t>Gordon cross-check</t>
  </si>
  <si>
    <t>← sanity check</t>
  </si>
  <si>
    <t>Excel (col E example)</t>
  </si>
  <si>
    <t>Year Fraction (display only; XNPV uses exact dates below)</t>
  </si>
  <si>
    <t>Implied Gordon exit multiple</t>
  </si>
  <si>
    <t>Tax on EBIT (unlevered)</t>
  </si>
  <si>
    <t>NOT levered IS tax dollars</t>
  </si>
  <si>
    <t>Tax rate from SEC 10-K effective rate</t>
  </si>
  <si>
    <t>EBIT (linked to 3-stmt)</t>
  </si>
  <si>
    <t>EBIT</t>
  </si>
  <si>
    <t>Bull case TV @ 25x (sensitivity only)</t>
  </si>
  <si>
    <t>← not in base case</t>
  </si>
  <si>
    <t>FCFF check (FY5 / col I)</t>
  </si>
  <si>
    <t>Must equal I21−I22+I23−I24−I25</t>
  </si>
  <si>
    <t>Less: Unlevered Cash Taxes (EBIT×t)</t>
  </si>
  <si>
    <t>EBIT×t</t>
  </si>
  <si>
    <t>Plus: D&amp;A (linked to 3-stmt)</t>
  </si>
  <si>
    <t>+D&amp;A</t>
  </si>
  <si>
    <t>3) Terminal Value</t>
  </si>
  <si>
    <t>Less: Capex (linked to 3-stmt CF)</t>
  </si>
  <si>
    <t>−CapEx</t>
  </si>
  <si>
    <t>TV_exit = EBITDA_n × ExitMultiple   [PRIMARY]</t>
  </si>
  <si>
    <t>Less: ΔNWC (linked to 3-stmt CF)</t>
  </si>
  <si>
    <t>−ΔNWC</t>
  </si>
  <si>
    <t>Excel</t>
  </si>
  <si>
    <t>Exit multiple policy vs Yahoo / market multiples</t>
  </si>
  <si>
    <t>Unlevered FCF</t>
  </si>
  <si>
    <t>FCFF=EBIT−tax+DA−CapEx−ΔNWC</t>
  </si>
  <si>
    <t>TV_gordon = FCFF_n×(1+g)/(WACC−g)   [CHECK]</t>
  </si>
  <si>
    <t>(Entry)/Exit TV — Exit EV/EBITDA (primary 16x)</t>
  </si>
  <si>
    <t>Gordon g vs Damodaran long-run growth framing</t>
  </si>
  <si>
    <t>Transaction CF</t>
  </si>
  <si>
    <t>Gordon TV / EBITDA_n</t>
  </si>
  <si>
    <t>4) Enterprise → Equity → $/share</t>
  </si>
  <si>
    <t>Intrinsic Value</t>
  </si>
  <si>
    <t>Market Value</t>
  </si>
  <si>
    <t>Rate of Return</t>
  </si>
  <si>
    <t>EV = XNPV(WACC, TransactionCF, mid-year dates)</t>
  </si>
  <si>
    <t>Enterprise Value (XNPV, mid-year EDATE dates)</t>
  </si>
  <si>
    <t>Market Cap</t>
  </si>
  <si>
    <t>Target Price Upside</t>
  </si>
  <si>
    <t>Plus: Cash</t>
  </si>
  <si>
    <t>Plus: Debt</t>
  </si>
  <si>
    <t>Internal Rate of Return (IRR)</t>
  </si>
  <si>
    <t>Equity = EV + Cash − Debt</t>
  </si>
  <si>
    <t>Net debt from 10-Q bridge</t>
  </si>
  <si>
    <t>SEC 10-Q — cash, mkt secs, total debt</t>
  </si>
  <si>
    <t>SEC 10-K — FY debt footnote</t>
  </si>
  <si>
    <t>Less: Debt</t>
  </si>
  <si>
    <t>Less: Cash</t>
  </si>
  <si>
    <t>$/share = Equity / Shares</t>
  </si>
  <si>
    <t>Shares outstanding (Yahoo)</t>
  </si>
  <si>
    <t>Yahoo Finance — shares outstanding</t>
  </si>
  <si>
    <t>Yahoo FICO quote (price)</t>
  </si>
  <si>
    <t>Equity Value</t>
  </si>
  <si>
    <t>Enterprise Value</t>
  </si>
  <si>
    <t>Market Value vs Intrinsic Value</t>
  </si>
  <si>
    <t>Upside vs market</t>
  </si>
  <si>
    <t>Intrinsic / Current Price − 1</t>
  </si>
  <si>
    <t>Equity Value/Share</t>
  </si>
  <si>
    <t>Upside</t>
  </si>
  <si>
    <t>5) Operating NWC (feeds ΔNWC → FCFF)</t>
  </si>
  <si>
    <t>NWC = AR + Inventory − AP − DeferredRevenue</t>
  </si>
  <si>
    <t>SEC 10-K — AR / AP / deferred revenue</t>
  </si>
  <si>
    <t>XBRL DeferredRevenueCurrent</t>
  </si>
  <si>
    <t>ΔNWC_t = NWC_t − NWC_(t−1)</t>
  </si>
  <si>
    <t>Linked from 3-statement CF row 64</t>
  </si>
  <si>
    <t>Instructions</t>
  </si>
  <si>
    <t>6) Full source index (all clickable)</t>
  </si>
  <si>
    <t>Step 1: Get EBIT and D&amp;A from the income statement</t>
  </si>
  <si>
    <t>SEC 10-K FY2025</t>
  </si>
  <si>
    <t>Tax 18.8%, IS/BS/CF, senior notes</t>
  </si>
  <si>
    <t>Step 2: Calculate the net working capital</t>
  </si>
  <si>
    <t>SEC 10-Q Q3 FY2026</t>
  </si>
  <si>
    <t>Debt $5,582M, cash+mkt secs net-debt bridge</t>
  </si>
  <si>
    <t>There are two ways to find NWC:</t>
  </si>
  <si>
    <t>SEC 8-K 6.250% notes</t>
  </si>
  <si>
    <t>Pre-tax Rd coupon 6.250% due 2034</t>
  </si>
  <si>
    <t>1. NWC = Current Assets (less cash) - Current Liabilities (less debt)</t>
  </si>
  <si>
    <t>SEC EX-99.1 pricing</t>
  </si>
  <si>
    <t>Notes priced at par / offering terms</t>
  </si>
  <si>
    <t>2. NWC = Accounts Receivable + Inventory - Accounts Payable</t>
  </si>
  <si>
    <t>SEC companyfacts XBRL</t>
  </si>
  <si>
    <t>Pipeline data source (CIK 0000814547)</t>
  </si>
  <si>
    <t>Risk-free rate (US 10Y)</t>
  </si>
  <si>
    <t>Official daily par yields</t>
  </si>
  <si>
    <t>Damodaran Implied ERP</t>
  </si>
  <si>
    <t>Equity risk premium</t>
  </si>
  <si>
    <t>Damodaran histimpl</t>
  </si>
  <si>
    <t>Historical implied ERP table</t>
  </si>
  <si>
    <t>Yahoo FICO stats</t>
  </si>
  <si>
    <t>Beta 5Y monthly + shares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</si>
</sst>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-* #,##0_-;\(#,##0\)_-;_-* &quot;-&quot;_-;_-@_-"/>
    <numFmt numFmtId="165" formatCode="0.0000_ ;\-0.0000\ "/>
    <numFmt numFmtId="166" formatCode="0.0%"/>
    <numFmt numFmtId="167" formatCode="_-* #,##0_-;\-* #,##0_-;_-* &quot;-&quot;??_-;_-@_-"/>
    <numFmt numFmtId="168" formatCode="_(* #,##0_);_(* \(#,##0\);_(* &quot;-&quot;??_);_(@_)"/>
    <numFmt numFmtId="170" formatCode="_ * #,##0_ ;_ * \-#,##0_ ;_ * &quot;-&quot;??_ ;_ @_ "/>
    <numFmt numFmtId="173" formatCode="_-* #,##0.00_-;\(#,##0.00\)_-;_-* &quot;-&quot;_-;_-@_-"/>
    <numFmt numFmtId="174" formatCode="#,##0.0"/>
    <numFmt numFmtId="175" formatCode="0.00\x"/>
    <numFmt numFmtId="176" formatCode="\$#,##0.00"/>
    <numFmt numFmtId="177" formatCode="#,##0.0;\(#,##0.0\);\-"/>
    <numFmt numFmtId="178" formatCode="yyyy\-mm\-dd"/>
    <numFmt numFmtId="179" formatCode="0.0"/>
  </numFmts>
  <fonts count="5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4"/>
      <color theme="0"/>
      <name val="Arial Narrow"/>
      <family val="2"/>
    </font>
    <font>
      <b/>
      <sz val="12"/>
      <color theme="1"/>
      <name val="Arial Narrow"/>
      <family val="2"/>
    </font>
    <font>
      <i/>
      <sz val="12"/>
      <color theme="1"/>
      <name val="Arial Narrow"/>
      <family val="2"/>
    </font>
    <font>
      <b/>
      <sz val="12"/>
      <name val="Arial Narrow"/>
      <family val="2"/>
    </font>
    <font>
      <b/>
      <sz val="12"/>
      <color rgb="FF0000FF"/>
      <name val="Arial Narrow"/>
      <family val="2"/>
    </font>
    <font>
      <sz val="12"/>
      <color rgb="FF0000FF"/>
      <name val="Arial Narrow"/>
      <family val="2"/>
    </font>
    <font>
      <sz val="12"/>
      <name val="Arial Narrow"/>
      <family val="2"/>
    </font>
    <font>
      <sz val="12"/>
      <color theme="0"/>
      <name val="Arial Narrow"/>
      <family val="2"/>
    </font>
    <font>
      <sz val="8"/>
      <color theme="0"/>
      <name val="Arial Narrow"/>
      <family val="2"/>
    </font>
    <font>
      <b/>
      <sz val="12"/>
      <color theme="0"/>
      <name val="Arial Narrow"/>
      <family val="2"/>
    </font>
    <font>
      <b/>
      <sz val="16"/>
      <color theme="0"/>
      <name val="Arial Narrow"/>
      <family val="2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rgb="FF0070C0"/>
      <name val="Calibri"/>
      <family val="2"/>
      <scheme val="minor"/>
    </font>
    <font>
      <sz val="11"/>
      <color theme="1"/>
      <name val="Open Sans"/>
      <family val="2"/>
    </font>
    <font>
      <sz val="11"/>
      <color theme="1"/>
      <name val="Arial Narrow"/>
      <family val="2"/>
    </font>
    <font>
      <b/>
      <sz val="22"/>
      <color theme="1"/>
      <name val="Arial Narrow"/>
      <family val="2"/>
    </font>
    <font>
      <b/>
      <sz val="11"/>
      <color theme="1"/>
      <name val="Arial Narrow"/>
      <family val="2"/>
    </font>
    <font>
      <u/>
      <sz val="11"/>
      <color rgb="FF0000FF"/>
      <name val="Arial Narrow"/>
      <family val="2"/>
    </font>
    <font>
      <u/>
      <sz val="10"/>
      <color theme="10"/>
      <name val="Arial"/>
      <family val="2"/>
    </font>
    <font>
      <u/>
      <sz val="10"/>
      <color rgb="FF132E57"/>
      <name val="Arial"/>
      <family val="2"/>
    </font>
    <font>
      <u/>
      <sz val="10"/>
      <color theme="1"/>
      <name val="Arial"/>
      <family val="2"/>
    </font>
    <font>
      <sz val="11"/>
      <color theme="0"/>
      <name val="Arial Narrow"/>
      <family val="2"/>
    </font>
    <font>
      <sz val="8"/>
      <color theme="0"/>
      <name val="Open Sans"/>
      <family val="2"/>
    </font>
    <font>
      <sz val="12"/>
      <color theme="1"/>
      <name val="Open Sans"/>
      <family val="2"/>
    </font>
    <font>
      <b/>
      <sz val="10"/>
      <color theme="0"/>
      <name val="Open Sans"/>
      <family val="2"/>
    </font>
    <font>
      <b/>
      <sz val="11"/>
      <color theme="0"/>
      <name val="Open Sans"/>
      <family val="2"/>
    </font>
    <font>
      <sz val="10"/>
      <color theme="1"/>
      <name val="Open Sans"/>
      <family val="2"/>
    </font>
    <font>
      <b/>
      <sz val="10"/>
      <color theme="1"/>
      <name val="Open Sans"/>
      <family val="2"/>
    </font>
    <font>
      <sz val="10"/>
      <color rgb="FF0000FF"/>
      <name val="Open Sans"/>
      <family val="2"/>
    </font>
    <font>
      <b/>
      <sz val="10"/>
      <name val="Open Sans"/>
      <family val="2"/>
    </font>
    <font>
      <sz val="10"/>
      <name val="Open Sans"/>
      <family val="2"/>
    </font>
    <font>
      <i/>
      <sz val="10"/>
      <color theme="1"/>
      <name val="Open Sans"/>
      <family val="2"/>
    </font>
    <font>
      <i/>
      <sz val="10"/>
      <color rgb="FF0000FF"/>
      <name val="Open Sans"/>
      <family val="2"/>
    </font>
    <font>
      <sz val="11"/>
      <color rgb="FF000000"/>
      <name val="Calibri"/>
    </font>
    <font>
      <i/>
      <sz val="8"/>
      <color rgb="FF595959"/>
      <name val="Calibri"/>
    </font>
    <font>
      <b/>
      <sz val="11"/>
      <color rgb="FF1F4E79"/>
      <name val="Calibri"/>
    </font>
    <font>
      <sz val="11"/>
      <color rgb="FF0000FF"/>
      <name val="Calibri"/>
    </font>
    <font>
      <sz val="9"/>
      <color rgb="FF000000"/>
      <name val="Consolas"/>
    </font>
    <font>
      <b/>
      <sz val="12"/>
      <color rgb="FFC65911"/>
      <name val="Calibri"/>
    </font>
    <font>
      <i/>
      <sz val="9"/>
      <color rgb="FF595959"/>
      <name val="Calibri"/>
    </font>
    <font>
      <b/>
      <sz val="11"/>
      <color rgb="FFFFFFFF"/>
      <name val="Calibri"/>
    </font>
    <font>
      <b/>
      <sz val="9"/>
      <color rgb="FF833C0C"/>
      <name val="Calibri"/>
    </font>
    <font>
      <sz val="9"/>
      <name val="Calibri"/>
    </font>
    <font>
      <u/>
      <sz val="9"/>
      <color rgb="FF0563C1"/>
      <name val="Calibri"/>
    </font>
    <font>
      <b/>
      <sz val="12"/>
      <color rgb="FFFFFFFF"/>
      <name val="Calibri"/>
    </font>
    <font>
      <i/>
      <sz val="11"/>
      <color rgb="FF666666"/>
      <name val="Calibri"/>
    </font>
    <font>
      <u/>
      <sz val="11"/>
      <color rgb="FF0563C1"/>
      <name val="Calibri"/>
    </font>
    <font>
      <sz val="10"/>
      <color rgb="FF000000"/>
      <name val="Consolas"/>
    </font>
    <font>
      <i/>
      <sz val="9"/>
      <color rgb="FF666666"/>
      <name val="Calibri"/>
    </font>
    <font>
      <i/>
      <sz val="9"/>
      <color rgb="FF0563C1"/>
      <name val="Calibri"/>
    </font>
    <font>
      <sz val="8"/>
      <color rgb="FF666666"/>
      <name val="Consolas"/>
    </font>
    <font>
      <i/>
      <sz val="9"/>
      <name val="Calibri"/>
    </font>
    <font>
      <b/>
      <sz val="10"/>
      <color rgb="FFFFFFFF"/>
      <name val="Calibri"/>
    </font>
    <font>
      <b/>
      <sz val="10"/>
      <name val="Calibri"/>
    </font>
    <font>
      <u/>
      <sz val="10"/>
      <color rgb="FF0563C1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32E57"/>
        <bgColor indexed="64"/>
      </patternFill>
    </fill>
    <fill>
      <patternFill patternType="solid">
        <fgColor rgb="FFED942D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6EAF8"/>
      </patternFill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1F4E79"/>
      </patternFill>
    </fill>
    <fill>
      <patternFill patternType="solid">
        <fgColor rgb="FF833C0C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9">
    <xf numFmtId="0" fontId="0" fillId="0" borderId="0"/>
    <xf numFmtId="43" fontId="1" fillId="0" borderId="0"/>
    <xf numFmtId="9" fontId="1" fillId="0" borderId="0"/>
    <xf numFmtId="0" fontId="14" fillId="0" borderId="0"/>
    <xf numFmtId="0" fontId="14" fillId="0" borderId="0"/>
    <xf numFmtId="0" fontId="1" fillId="0" borderId="0"/>
    <xf numFmtId="0" fontId="22" fillId="0" borderId="0"/>
    <xf numFmtId="0" fontId="1" fillId="0" borderId="0"/>
    <xf numFmtId="0" fontId="22" fillId="0" borderId="0"/>
  </cellStyleXfs>
  <cellXfs count="174">
    <xf numFmtId="0" fontId="0" fillId="0" borderId="0" xfId="0"/>
    <xf numFmtId="164" fontId="2" fillId="0" borderId="0" xfId="1" applyNumberFormat="1" applyFont="1"/>
    <xf numFmtId="164" fontId="2" fillId="0" borderId="1" xfId="1" applyNumberFormat="1" applyFont="1" applyBorder="1"/>
    <xf numFmtId="164" fontId="4" fillId="0" borderId="0" xfId="1" applyNumberFormat="1" applyFont="1"/>
    <xf numFmtId="164" fontId="4" fillId="0" borderId="2" xfId="1" applyNumberFormat="1" applyFont="1" applyBorder="1"/>
    <xf numFmtId="164" fontId="2" fillId="0" borderId="2" xfId="1" applyNumberFormat="1" applyFont="1" applyBorder="1"/>
    <xf numFmtId="164" fontId="4" fillId="0" borderId="3" xfId="1" applyNumberFormat="1" applyFont="1" applyBorder="1"/>
    <xf numFmtId="165" fontId="5" fillId="0" borderId="0" xfId="1" applyNumberFormat="1" applyFont="1"/>
    <xf numFmtId="164" fontId="5" fillId="0" borderId="0" xfId="1" applyNumberFormat="1" applyFont="1"/>
    <xf numFmtId="164" fontId="7" fillId="0" borderId="0" xfId="1" applyNumberFormat="1" applyFont="1"/>
    <xf numFmtId="164" fontId="8" fillId="0" borderId="0" xfId="1" applyNumberFormat="1" applyFont="1"/>
    <xf numFmtId="164" fontId="4" fillId="0" borderId="0" xfId="1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  <xf numFmtId="164" fontId="4" fillId="0" borderId="2" xfId="1" applyNumberFormat="1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164" fontId="5" fillId="0" borderId="0" xfId="1" applyNumberFormat="1" applyFont="1" applyAlignment="1">
      <alignment horizontal="center"/>
    </xf>
    <xf numFmtId="164" fontId="4" fillId="0" borderId="3" xfId="1" applyNumberFormat="1" applyFont="1" applyBorder="1" applyAlignment="1">
      <alignment horizontal="center"/>
    </xf>
    <xf numFmtId="165" fontId="5" fillId="0" borderId="0" xfId="1" applyNumberFormat="1" applyFont="1" applyAlignment="1">
      <alignment horizontal="center"/>
    </xf>
    <xf numFmtId="164" fontId="2" fillId="0" borderId="2" xfId="1" applyNumberFormat="1" applyFont="1" applyBorder="1" applyAlignment="1">
      <alignment horizontal="center"/>
    </xf>
    <xf numFmtId="164" fontId="6" fillId="0" borderId="0" xfId="1" applyNumberFormat="1" applyFont="1"/>
    <xf numFmtId="164" fontId="9" fillId="0" borderId="0" xfId="1" applyNumberFormat="1" applyFont="1"/>
    <xf numFmtId="9" fontId="8" fillId="0" borderId="0" xfId="2" applyFont="1" applyAlignment="1">
      <alignment horizontal="center"/>
    </xf>
    <xf numFmtId="166" fontId="9" fillId="0" borderId="0" xfId="2" applyNumberFormat="1" applyFont="1"/>
    <xf numFmtId="166" fontId="8" fillId="0" borderId="0" xfId="2" applyNumberFormat="1" applyFont="1"/>
    <xf numFmtId="164" fontId="4" fillId="0" borderId="4" xfId="1" applyNumberFormat="1" applyFont="1" applyBorder="1"/>
    <xf numFmtId="164" fontId="4" fillId="0" borderId="4" xfId="1" applyNumberFormat="1" applyFont="1" applyBorder="1" applyAlignment="1">
      <alignment horizontal="center"/>
    </xf>
    <xf numFmtId="164" fontId="2" fillId="2" borderId="0" xfId="1" applyNumberFormat="1" applyFont="1" applyFill="1"/>
    <xf numFmtId="164" fontId="11" fillId="2" borderId="0" xfId="1" applyNumberFormat="1" applyFont="1" applyFill="1"/>
    <xf numFmtId="164" fontId="2" fillId="2" borderId="0" xfId="1" applyNumberFormat="1" applyFont="1" applyFill="1" applyAlignment="1">
      <alignment horizontal="center"/>
    </xf>
    <xf numFmtId="164" fontId="12" fillId="2" borderId="0" xfId="1" applyNumberFormat="1" applyFont="1" applyFill="1" applyAlignment="1">
      <alignment horizontal="centerContinuous"/>
    </xf>
    <xf numFmtId="164" fontId="10" fillId="2" borderId="0" xfId="1" applyNumberFormat="1" applyFont="1" applyFill="1" applyAlignment="1">
      <alignment horizontal="centerContinuous"/>
    </xf>
    <xf numFmtId="164" fontId="13" fillId="2" borderId="0" xfId="1" applyNumberFormat="1" applyFont="1" applyFill="1"/>
    <xf numFmtId="164" fontId="3" fillId="2" borderId="0" xfId="1" applyNumberFormat="1" applyFont="1" applyFill="1"/>
    <xf numFmtId="164" fontId="3" fillId="2" borderId="0" xfId="1" applyNumberFormat="1" applyFont="1" applyFill="1" applyAlignment="1">
      <alignment horizontal="center"/>
    </xf>
    <xf numFmtId="37" fontId="3" fillId="3" borderId="0" xfId="0" applyNumberFormat="1" applyFont="1" applyFill="1" applyAlignment="1">
      <alignment vertical="center"/>
    </xf>
    <xf numFmtId="0" fontId="5" fillId="0" borderId="0" xfId="0" applyFont="1"/>
    <xf numFmtId="0" fontId="15" fillId="0" borderId="0" xfId="0" applyFont="1"/>
    <xf numFmtId="170" fontId="15" fillId="0" borderId="0" xfId="1" applyNumberFormat="1" applyFont="1"/>
    <xf numFmtId="0" fontId="16" fillId="0" borderId="0" xfId="3" applyFont="1"/>
    <xf numFmtId="0" fontId="17" fillId="0" borderId="0" xfId="0" applyFont="1"/>
    <xf numFmtId="0" fontId="18" fillId="3" borderId="0" xfId="5" applyFont="1" applyFill="1"/>
    <xf numFmtId="0" fontId="18" fillId="0" borderId="0" xfId="5" applyFont="1"/>
    <xf numFmtId="0" fontId="19" fillId="0" borderId="0" xfId="5" applyFont="1" applyProtection="1">
      <protection locked="0"/>
    </xf>
    <xf numFmtId="0" fontId="20" fillId="0" borderId="0" xfId="5" applyFont="1" applyAlignment="1">
      <alignment horizontal="right"/>
    </xf>
    <xf numFmtId="0" fontId="18" fillId="0" borderId="0" xfId="5" applyFont="1" applyProtection="1">
      <protection locked="0"/>
    </xf>
    <xf numFmtId="0" fontId="20" fillId="0" borderId="0" xfId="5" applyFont="1" applyProtection="1">
      <protection locked="0"/>
    </xf>
    <xf numFmtId="0" fontId="23" fillId="0" borderId="0" xfId="6" applyFont="1" applyProtection="1">
      <protection locked="0"/>
    </xf>
    <xf numFmtId="0" fontId="21" fillId="0" borderId="2" xfId="4" quotePrefix="1" applyFont="1" applyBorder="1" applyProtection="1">
      <protection locked="0"/>
    </xf>
    <xf numFmtId="164" fontId="12" fillId="4" borderId="0" xfId="1" applyNumberFormat="1" applyFont="1" applyFill="1" applyAlignment="1">
      <alignment horizontal="centerContinuous"/>
    </xf>
    <xf numFmtId="164" fontId="10" fillId="4" borderId="0" xfId="1" applyNumberFormat="1" applyFont="1" applyFill="1" applyAlignment="1">
      <alignment horizontal="centerContinuous"/>
    </xf>
    <xf numFmtId="0" fontId="18" fillId="3" borderId="0" xfId="7" applyFont="1" applyFill="1"/>
    <xf numFmtId="0" fontId="18" fillId="0" borderId="0" xfId="7" applyFont="1"/>
    <xf numFmtId="0" fontId="18" fillId="0" borderId="2" xfId="7" applyFont="1" applyBorder="1"/>
    <xf numFmtId="0" fontId="24" fillId="0" borderId="0" xfId="8" applyFont="1"/>
    <xf numFmtId="0" fontId="25" fillId="2" borderId="0" xfId="7" applyFont="1" applyFill="1"/>
    <xf numFmtId="0" fontId="18" fillId="2" borderId="0" xfId="7" applyFont="1" applyFill="1"/>
    <xf numFmtId="0" fontId="18" fillId="5" borderId="0" xfId="7" applyFont="1" applyFill="1"/>
    <xf numFmtId="164" fontId="26" fillId="2" borderId="0" xfId="0" applyNumberFormat="1" applyFont="1" applyFill="1"/>
    <xf numFmtId="164" fontId="27" fillId="2" borderId="0" xfId="0" applyNumberFormat="1" applyFont="1" applyFill="1"/>
    <xf numFmtId="164" fontId="27" fillId="2" borderId="0" xfId="0" applyNumberFormat="1" applyFont="1" applyFill="1" applyAlignment="1">
      <alignment horizontal="center"/>
    </xf>
    <xf numFmtId="0" fontId="28" fillId="2" borderId="0" xfId="0" applyFont="1" applyFill="1" applyAlignment="1">
      <alignment vertical="center"/>
    </xf>
    <xf numFmtId="0" fontId="29" fillId="2" borderId="0" xfId="0" applyFont="1" applyFill="1"/>
    <xf numFmtId="164" fontId="30" fillId="0" borderId="0" xfId="0" applyNumberFormat="1" applyFont="1"/>
    <xf numFmtId="164" fontId="31" fillId="0" borderId="0" xfId="0" applyNumberFormat="1" applyFont="1"/>
    <xf numFmtId="164" fontId="30" fillId="0" borderId="0" xfId="0" applyNumberFormat="1" applyFont="1" applyAlignment="1">
      <alignment horizontal="center"/>
    </xf>
    <xf numFmtId="164" fontId="32" fillId="0" borderId="0" xfId="0" applyNumberFormat="1" applyFont="1"/>
    <xf numFmtId="164" fontId="33" fillId="6" borderId="0" xfId="0" applyNumberFormat="1" applyFont="1" applyFill="1"/>
    <xf numFmtId="164" fontId="32" fillId="6" borderId="0" xfId="0" applyNumberFormat="1" applyFont="1" applyFill="1"/>
    <xf numFmtId="164" fontId="34" fillId="0" borderId="0" xfId="0" applyNumberFormat="1" applyFont="1"/>
    <xf numFmtId="164" fontId="38" fillId="0" borderId="0" xfId="0" applyNumberFormat="1" applyFont="1"/>
    <xf numFmtId="14" fontId="32" fillId="0" borderId="0" xfId="0" applyNumberFormat="1" applyFont="1"/>
    <xf numFmtId="164" fontId="31" fillId="6" borderId="0" xfId="0" applyNumberFormat="1" applyFont="1" applyFill="1"/>
    <xf numFmtId="164" fontId="30" fillId="6" borderId="0" xfId="0" applyNumberFormat="1" applyFont="1" applyFill="1"/>
    <xf numFmtId="164" fontId="31" fillId="6" borderId="0" xfId="0" applyNumberFormat="1" applyFont="1" applyFill="1" applyAlignment="1">
      <alignment horizontal="right"/>
    </xf>
    <xf numFmtId="164" fontId="39" fillId="6" borderId="0" xfId="0" applyNumberFormat="1" applyFont="1" applyFill="1"/>
    <xf numFmtId="164" fontId="35" fillId="0" borderId="0" xfId="0" applyNumberFormat="1" applyFont="1"/>
    <xf numFmtId="14" fontId="35" fillId="0" borderId="0" xfId="0" applyNumberFormat="1" applyFont="1"/>
    <xf numFmtId="168" fontId="30" fillId="0" borderId="0" xfId="0" applyNumberFormat="1" applyFont="1"/>
    <xf numFmtId="164" fontId="30" fillId="0" borderId="2" xfId="0" applyNumberFormat="1" applyFont="1" applyBorder="1"/>
    <xf numFmtId="9" fontId="30" fillId="0" borderId="0" xfId="0" applyNumberFormat="1" applyFont="1"/>
    <xf numFmtId="173" fontId="30" fillId="0" borderId="0" xfId="0" applyNumberFormat="1" applyFont="1"/>
    <xf numFmtId="164" fontId="30" fillId="6" borderId="0" xfId="0" applyNumberFormat="1" applyFont="1" applyFill="1" applyAlignment="1">
      <alignment horizontal="center"/>
    </xf>
    <xf numFmtId="0" fontId="5" fillId="0" borderId="0" xfId="0" applyFont="1" applyAlignment="1">
      <alignment horizontal="right"/>
    </xf>
    <xf numFmtId="164" fontId="30" fillId="0" borderId="0" xfId="0" applyNumberFormat="1" applyFont="1" applyAlignment="1">
      <alignment horizontal="left" indent="5"/>
    </xf>
    <xf numFmtId="0" fontId="15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56" fillId="13" borderId="5" xfId="7" applyFont="1" applyFill="1" applyBorder="1"/>
    <xf numFmtId="0" fontId="57" fillId="2" borderId="5" xfId="7" applyFont="1" applyFill="1" applyBorder="1" applyAlignment="1">
      <alignment vertical="center" wrapText="1"/>
    </xf>
    <xf numFmtId="0" fontId="58" fillId="2" borderId="5" xfId="7" applyFont="1" applyFill="1" applyBorder="1" applyAlignment="1">
      <alignment vertical="center" wrapText="1"/>
    </xf>
    <xf numFmtId="0" fontId="57" fillId="5" borderId="5" xfId="7" applyFont="1" applyFill="1" applyBorder="1" applyAlignment="1">
      <alignment vertical="center" wrapText="1"/>
    </xf>
    <xf numFmtId="0" fontId="58" fillId="5" borderId="5" xfId="7" applyFont="1" applyFill="1" applyBorder="1" applyAlignment="1">
      <alignment vertical="center" wrapText="1"/>
    </xf>
    <xf numFmtId="0" fontId="57" fillId="0" borderId="5" xfId="0" applyFont="1" applyBorder="1" applyAlignment="1">
      <alignment vertical="center" wrapText="1"/>
    </xf>
    <xf numFmtId="0" fontId="58" fillId="0" borderId="5" xfId="0" applyFont="1" applyBorder="1" applyAlignment="1">
      <alignment vertical="center" wrapText="1"/>
    </xf>
    <xf numFmtId="1" fontId="40" fillId="8" borderId="0" xfId="1" applyNumberFormat="1" applyFont="1" applyFill="1"/>
    <xf numFmtId="1" fontId="3" fillId="4" borderId="0" xfId="1" applyNumberFormat="1" applyFont="1" applyFill="1"/>
    <xf numFmtId="1" fontId="13" fillId="2" borderId="0" xfId="0" applyNumberFormat="1" applyFont="1" applyFill="1"/>
    <xf numFmtId="177" fontId="5" fillId="0" borderId="0" xfId="1" applyNumberFormat="1" applyFont="1" applyAlignment="1">
      <alignment horizontal="right"/>
    </xf>
    <xf numFmtId="0" fontId="39" fillId="9" borderId="0" xfId="0" applyFont="1" applyFill="1"/>
    <xf numFmtId="0" fontId="44" fillId="10" borderId="5" xfId="0" applyFont="1" applyFill="1" applyBorder="1" applyAlignment="1">
      <alignment vertical="center"/>
    </xf>
    <xf numFmtId="164" fontId="38" fillId="0" borderId="0" xfId="1" applyNumberFormat="1" applyFont="1" applyAlignment="1">
      <alignment vertical="top" wrapText="1"/>
    </xf>
    <xf numFmtId="166" fontId="40" fillId="8" borderId="5" xfId="2" applyNumberFormat="1" applyFont="1" applyFill="1" applyBorder="1"/>
    <xf numFmtId="0" fontId="45" fillId="11" borderId="5" xfId="0" applyFont="1" applyFill="1" applyBorder="1" applyAlignment="1">
      <alignment vertical="top" wrapText="1"/>
    </xf>
    <xf numFmtId="0" fontId="46" fillId="0" borderId="5" xfId="0" applyFont="1" applyBorder="1" applyAlignment="1">
      <alignment vertical="top" wrapText="1"/>
    </xf>
    <xf numFmtId="0" fontId="47" fillId="0" borderId="5" xfId="0" applyFont="1" applyBorder="1" applyAlignment="1">
      <alignment vertical="top" wrapText="1"/>
    </xf>
    <xf numFmtId="166" fontId="37" fillId="7" borderId="5" xfId="2" applyNumberFormat="1" applyFont="1" applyFill="1" applyBorder="1"/>
    <xf numFmtId="177" fontId="9" fillId="0" borderId="0" xfId="1" applyNumberFormat="1" applyFont="1"/>
    <xf numFmtId="166" fontId="37" fillId="7" borderId="5" xfId="1" applyNumberFormat="1" applyFont="1" applyFill="1" applyBorder="1"/>
    <xf numFmtId="0" fontId="38" fillId="0" borderId="0" xfId="0" applyFont="1" applyAlignment="1">
      <alignment vertical="top" wrapText="1"/>
    </xf>
    <xf numFmtId="177" fontId="40" fillId="8" borderId="5" xfId="1" applyNumberFormat="1" applyFont="1" applyFill="1" applyBorder="1"/>
    <xf numFmtId="177" fontId="37" fillId="7" borderId="5" xfId="1" applyNumberFormat="1" applyFont="1" applyFill="1" applyBorder="1"/>
    <xf numFmtId="166" fontId="40" fillId="8" borderId="5" xfId="1" applyNumberFormat="1" applyFont="1" applyFill="1" applyBorder="1"/>
    <xf numFmtId="164" fontId="41" fillId="0" borderId="0" xfId="1" applyNumberFormat="1" applyFont="1"/>
    <xf numFmtId="177" fontId="40" fillId="8" borderId="0" xfId="1" applyNumberFormat="1" applyFont="1" applyFill="1"/>
    <xf numFmtId="164" fontId="41" fillId="0" borderId="2" xfId="1" applyNumberFormat="1" applyFont="1" applyBorder="1"/>
    <xf numFmtId="177" fontId="6" fillId="0" borderId="2" xfId="1" applyNumberFormat="1" applyFont="1" applyBorder="1"/>
    <xf numFmtId="0" fontId="41" fillId="0" borderId="0" xfId="0" applyFont="1"/>
    <xf numFmtId="164" fontId="41" fillId="0" borderId="1" xfId="1" applyNumberFormat="1" applyFont="1" applyBorder="1"/>
    <xf numFmtId="177" fontId="40" fillId="8" borderId="1" xfId="1" applyNumberFormat="1" applyFont="1" applyFill="1" applyBorder="1"/>
    <xf numFmtId="177" fontId="6" fillId="0" borderId="0" xfId="1" applyNumberFormat="1" applyFont="1"/>
    <xf numFmtId="164" fontId="41" fillId="0" borderId="4" xfId="1" applyNumberFormat="1" applyFont="1" applyBorder="1"/>
    <xf numFmtId="177" fontId="6" fillId="0" borderId="4" xfId="1" applyNumberFormat="1" applyFont="1" applyBorder="1"/>
    <xf numFmtId="177" fontId="37" fillId="7" borderId="2" xfId="1" applyNumberFormat="1" applyFont="1" applyFill="1" applyBorder="1"/>
    <xf numFmtId="177" fontId="6" fillId="0" borderId="3" xfId="1" applyNumberFormat="1" applyFont="1" applyBorder="1"/>
    <xf numFmtId="177" fontId="5" fillId="0" borderId="0" xfId="1" applyNumberFormat="1" applyFont="1"/>
    <xf numFmtId="177" fontId="2" fillId="0" borderId="0" xfId="1" applyNumberFormat="1" applyFont="1"/>
    <xf numFmtId="177" fontId="37" fillId="7" borderId="0" xfId="1" applyNumberFormat="1" applyFont="1" applyFill="1"/>
    <xf numFmtId="177" fontId="40" fillId="8" borderId="2" xfId="1" applyNumberFormat="1" applyFont="1" applyFill="1" applyBorder="1" applyAlignment="1">
      <alignment horizontal="center"/>
    </xf>
    <xf numFmtId="177" fontId="40" fillId="8" borderId="2" xfId="1" applyNumberFormat="1" applyFont="1" applyFill="1" applyBorder="1"/>
    <xf numFmtId="177" fontId="40" fillId="8" borderId="0" xfId="0" applyNumberFormat="1" applyFont="1" applyFill="1"/>
    <xf numFmtId="177" fontId="37" fillId="7" borderId="5" xfId="0" applyNumberFormat="1" applyFont="1" applyFill="1" applyBorder="1"/>
    <xf numFmtId="0" fontId="39" fillId="9" borderId="5" xfId="0" applyFont="1" applyFill="1" applyBorder="1"/>
    <xf numFmtId="166" fontId="40" fillId="8" borderId="0" xfId="0" applyNumberFormat="1" applyFont="1" applyFill="1" applyAlignment="1">
      <alignment horizontal="right"/>
    </xf>
    <xf numFmtId="164" fontId="50" fillId="0" borderId="5" xfId="0" applyNumberFormat="1" applyFont="1" applyBorder="1" applyAlignment="1">
      <alignment vertical="center" wrapText="1"/>
    </xf>
    <xf numFmtId="164" fontId="53" fillId="0" borderId="0" xfId="0" applyNumberFormat="1" applyFont="1"/>
    <xf numFmtId="164" fontId="52" fillId="0" borderId="0" xfId="0" applyNumberFormat="1" applyFont="1"/>
    <xf numFmtId="166" fontId="37" fillId="7" borderId="5" xfId="0" applyNumberFormat="1" applyFont="1" applyFill="1" applyBorder="1" applyAlignment="1">
      <alignment horizontal="right"/>
    </xf>
    <xf numFmtId="0" fontId="37" fillId="0" borderId="0" xfId="0" applyFont="1" applyAlignment="1">
      <alignment vertical="center" wrapText="1"/>
    </xf>
    <xf numFmtId="10" fontId="40" fillId="8" borderId="5" xfId="0" applyNumberFormat="1" applyFont="1" applyFill="1" applyBorder="1"/>
    <xf numFmtId="0" fontId="50" fillId="0" borderId="5" xfId="0" applyFont="1" applyBorder="1" applyAlignment="1">
      <alignment vertical="center" wrapText="1"/>
    </xf>
    <xf numFmtId="179" fontId="40" fillId="8" borderId="0" xfId="0" applyNumberFormat="1" applyFont="1" applyFill="1" applyAlignment="1">
      <alignment horizontal="right"/>
    </xf>
    <xf numFmtId="2" fontId="40" fillId="8" borderId="5" xfId="0" applyNumberFormat="1" applyFont="1" applyFill="1" applyBorder="1"/>
    <xf numFmtId="178" fontId="32" fillId="0" borderId="0" xfId="0" applyNumberFormat="1" applyFont="1"/>
    <xf numFmtId="0" fontId="51" fillId="0" borderId="0" xfId="0" applyFont="1" applyAlignment="1">
      <alignment vertical="center" wrapText="1"/>
    </xf>
    <xf numFmtId="10" fontId="37" fillId="7" borderId="5" xfId="0" applyNumberFormat="1" applyFont="1" applyFill="1" applyBorder="1"/>
    <xf numFmtId="176" fontId="40" fillId="8" borderId="0" xfId="0" applyNumberFormat="1" applyFont="1" applyFill="1" applyAlignment="1">
      <alignment horizontal="right"/>
    </xf>
    <xf numFmtId="167" fontId="40" fillId="8" borderId="0" xfId="0" applyNumberFormat="1" applyFont="1" applyFill="1" applyAlignment="1">
      <alignment horizontal="right"/>
    </xf>
    <xf numFmtId="9" fontId="40" fillId="8" borderId="5" xfId="0" applyNumberFormat="1" applyFont="1" applyFill="1" applyBorder="1"/>
    <xf numFmtId="177" fontId="37" fillId="7" borderId="0" xfId="0" applyNumberFormat="1" applyFont="1" applyFill="1"/>
    <xf numFmtId="1" fontId="31" fillId="6" borderId="0" xfId="0" applyNumberFormat="1" applyFont="1" applyFill="1"/>
    <xf numFmtId="178" fontId="37" fillId="7" borderId="0" xfId="0" applyNumberFormat="1" applyFont="1" applyFill="1"/>
    <xf numFmtId="177" fontId="36" fillId="0" borderId="0" xfId="0" applyNumberFormat="1" applyFont="1"/>
    <xf numFmtId="177" fontId="35" fillId="0" borderId="0" xfId="0" applyNumberFormat="1" applyFont="1"/>
    <xf numFmtId="164" fontId="54" fillId="0" borderId="0" xfId="0" applyNumberFormat="1" applyFont="1"/>
    <xf numFmtId="174" fontId="37" fillId="7" borderId="5" xfId="0" applyNumberFormat="1" applyFont="1" applyFill="1" applyBorder="1"/>
    <xf numFmtId="177" fontId="30" fillId="0" borderId="2" xfId="0" applyNumberFormat="1" applyFont="1" applyBorder="1"/>
    <xf numFmtId="177" fontId="30" fillId="0" borderId="0" xfId="0" applyNumberFormat="1" applyFont="1"/>
    <xf numFmtId="177" fontId="37" fillId="7" borderId="2" xfId="0" applyNumberFormat="1" applyFont="1" applyFill="1" applyBorder="1"/>
    <xf numFmtId="175" fontId="37" fillId="7" borderId="5" xfId="0" applyNumberFormat="1" applyFont="1" applyFill="1" applyBorder="1"/>
    <xf numFmtId="176" fontId="37" fillId="7" borderId="5" xfId="0" applyNumberFormat="1" applyFont="1" applyFill="1" applyBorder="1"/>
    <xf numFmtId="166" fontId="37" fillId="7" borderId="5" xfId="0" applyNumberFormat="1" applyFont="1" applyFill="1" applyBorder="1"/>
    <xf numFmtId="0" fontId="48" fillId="10" borderId="0" xfId="7" applyFont="1" applyFill="1"/>
    <xf numFmtId="0" fontId="18" fillId="3" borderId="0" xfId="7" applyFont="1" applyFill="1"/>
    <xf numFmtId="0" fontId="55" fillId="11" borderId="0" xfId="7" applyFont="1" applyFill="1"/>
    <xf numFmtId="0" fontId="42" fillId="0" borderId="0" xfId="0" applyFont="1"/>
    <xf numFmtId="0" fontId="0" fillId="0" borderId="0" xfId="0"/>
    <xf numFmtId="0" fontId="43" fillId="0" borderId="0" xfId="0" applyFont="1"/>
    <xf numFmtId="0" fontId="37" fillId="0" borderId="0" xfId="0" applyFont="1" applyAlignment="1">
      <alignment vertical="center" wrapText="1"/>
    </xf>
    <xf numFmtId="0" fontId="39" fillId="9" borderId="0" xfId="0" applyFont="1" applyFill="1"/>
    <xf numFmtId="0" fontId="50" fillId="0" borderId="5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51" fillId="0" borderId="0" xfId="0" applyFont="1" applyAlignment="1">
      <alignment vertical="center" wrapText="1"/>
    </xf>
    <xf numFmtId="0" fontId="48" fillId="12" borderId="0" xfId="0" applyFont="1" applyFill="1"/>
    <xf numFmtId="0" fontId="49" fillId="0" borderId="0" xfId="0" applyFont="1"/>
  </cellXfs>
  <cellStyles count="9">
    <cellStyle name="Comma" xfId="1" builtinId="3"/>
    <cellStyle name="Hyperlink" xfId="4" builtinId="8"/>
    <cellStyle name="Hyperlink 2" xfId="6" xr:uid="{00000000-0005-0000-0000-000006000000}"/>
    <cellStyle name="Hyperlink 2 2" xfId="8" xr:uid="{00000000-0005-0000-0000-000008000000}"/>
    <cellStyle name="Hyperlink 3" xfId="3" xr:uid="{00000000-0005-0000-0000-000003000000}"/>
    <cellStyle name="Normal" xfId="0" builtinId="0"/>
    <cellStyle name="Normal 2" xfId="5" xr:uid="{00000000-0005-0000-0000-000005000000}"/>
    <cellStyle name="Normal 2 2 2" xfId="7" xr:uid="{00000000-0005-0000-0000-000007000000}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/>
              <a:t>Earnings (2012 - 2016)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 Statement Model'!$B$121</c:f>
              <c:strCache>
                <c:ptCount val="1"/>
                <c:pt idx="0">
                  <c:v> Revenue 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Model'!$E$121:$I$121</c:f>
            </c:numRef>
          </c:val>
          <c:extLst>
            <c:ext xmlns:c16="http://schemas.microsoft.com/office/drawing/2014/chart" uri="{C3380CC4-5D6E-409C-BE32-E72D297353CC}">
              <c16:uniqueId val="{00000000-2CC9-424D-BB4B-5982D840F276}"/>
            </c:ext>
          </c:extLst>
        </c:ser>
        <c:ser>
          <c:idx val="1"/>
          <c:order val="1"/>
          <c:tx>
            <c:strRef>
              <c:f>'3 Statement Model'!$B$122</c:f>
              <c:strCache>
                <c:ptCount val="1"/>
                <c:pt idx="0">
                  <c:v> Gross Profit 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Model'!$E$122:$I$122</c:f>
            </c:numRef>
          </c:val>
          <c:extLst>
            <c:ext xmlns:c16="http://schemas.microsoft.com/office/drawing/2014/chart" uri="{C3380CC4-5D6E-409C-BE32-E72D297353CC}">
              <c16:uniqueId val="{00000001-2CC9-424D-BB4B-5982D840F276}"/>
            </c:ext>
          </c:extLst>
        </c:ser>
        <c:ser>
          <c:idx val="2"/>
          <c:order val="2"/>
          <c:tx>
            <c:strRef>
              <c:f>'3 Statement Model'!$B$123</c:f>
              <c:strCache>
                <c:ptCount val="1"/>
                <c:pt idx="0">
                  <c:v> Earning Before Tax 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Model'!$E$123:$I$123</c:f>
            </c:numRef>
          </c:val>
          <c:extLst>
            <c:ext xmlns:c16="http://schemas.microsoft.com/office/drawing/2014/chart" uri="{C3380CC4-5D6E-409C-BE32-E72D297353CC}">
              <c16:uniqueId val="{00000002-2CC9-424D-BB4B-5982D840F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626472968"/>
        <c:axId val="626472640"/>
      </c:barChart>
      <c:catAx>
        <c:axId val="626472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26472640"/>
        <c:crosses val="autoZero"/>
        <c:auto val="1"/>
        <c:lblAlgn val="ctr"/>
        <c:lblOffset val="100"/>
        <c:noMultiLvlLbl val="0"/>
      </c:catAx>
      <c:valAx>
        <c:axId val="626472640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2647296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/>
              <a:t>Cash Flows (2012</a:t>
            </a:r>
            <a:r>
              <a:rPr lang="en-US" baseline="0"/>
              <a:t> - 2016)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v>Operating</c:v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Model'!$E$125:$I$125</c:f>
            </c:numRef>
          </c:val>
          <c:extLst>
            <c:ext xmlns:c16="http://schemas.microsoft.com/office/drawing/2014/chart" uri="{C3380CC4-5D6E-409C-BE32-E72D297353CC}">
              <c16:uniqueId val="{00000000-CA6A-4A42-9B7A-B7159C2EC88D}"/>
            </c:ext>
          </c:extLst>
        </c:ser>
        <c:ser>
          <c:idx val="2"/>
          <c:order val="1"/>
          <c:tx>
            <c:v>Investing</c:v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Model'!$E$126:$I$126</c:f>
            </c:numRef>
          </c:val>
          <c:extLst>
            <c:ext xmlns:c16="http://schemas.microsoft.com/office/drawing/2014/chart" uri="{C3380CC4-5D6E-409C-BE32-E72D297353CC}">
              <c16:uniqueId val="{00000001-CA6A-4A42-9B7A-B7159C2EC88D}"/>
            </c:ext>
          </c:extLst>
        </c:ser>
        <c:ser>
          <c:idx val="3"/>
          <c:order val="2"/>
          <c:tx>
            <c:v>FInancing</c:v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Model'!$E$127:$I$127</c:f>
            </c:numRef>
          </c:val>
          <c:extLst>
            <c:ext xmlns:c16="http://schemas.microsoft.com/office/drawing/2014/chart" uri="{C3380CC4-5D6E-409C-BE32-E72D297353CC}">
              <c16:uniqueId val="{00000002-CA6A-4A42-9B7A-B7159C2EC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556256"/>
        <c:axId val="626558224"/>
      </c:barChart>
      <c:catAx>
        <c:axId val="62655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26558224"/>
        <c:crosses val="autoZero"/>
        <c:auto val="1"/>
        <c:lblAlgn val="ctr"/>
        <c:lblOffset val="100"/>
        <c:noMultiLvlLbl val="0"/>
      </c:catAx>
      <c:valAx>
        <c:axId val="626558224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2655625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714374</xdr:colOff>
      <xdr:row>3</xdr:row>
      <xdr:rowOff>19050</xdr:rowOff>
    </xdr:from>
    <xdr:to>
      <xdr:col>4</xdr:col>
      <xdr:colOff>661827</xdr:colOff>
      <xdr:row>9</xdr:row>
      <xdr:rowOff>114300</xdr:rowOff>
    </xdr:to>
    <xdr:pic>
      <xdr:nvPicPr>
        <xdr:cNvPr id="2" name="Picture 1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799" y="762000"/>
          <a:ext cx="3359943" cy="15811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570970</xdr:colOff>
      <xdr:row>105</xdr:row>
      <xdr:rowOff>17991</xdr:rowOff>
    </xdr:from>
    <xdr:to>
      <xdr:col>6</xdr:col>
      <xdr:colOff>485245</xdr:colOff>
      <xdr:row>118</xdr:row>
      <xdr:rowOff>165101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42333</xdr:colOff>
      <xdr:row>105</xdr:row>
      <xdr:rowOff>17991</xdr:rowOff>
    </xdr:from>
    <xdr:to>
      <xdr:col>12</xdr:col>
      <xdr:colOff>413809</xdr:colOff>
      <xdr:row>118</xdr:row>
      <xdr:rowOff>165101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38101</xdr:colOff>
      <xdr:row>131</xdr:row>
      <xdr:rowOff>129314</xdr:rowOff>
    </xdr:from>
    <xdr:to>
      <xdr:col>1</xdr:col>
      <xdr:colOff>783591</xdr:colOff>
      <xdr:row>135</xdr:row>
      <xdr:rowOff>144144</xdr:rowOff>
    </xdr:to>
    <xdr:pic>
      <xdr:nvPicPr>
        <xdr:cNvPr id="4" name="Picture 3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47701" y="5158514"/>
          <a:ext cx="742950" cy="813659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ages.stern.nyu.edu/adamodar/New_Home_Page/home.htm" TargetMode="External"/><Relationship Id="rId13" Type="http://schemas.openxmlformats.org/officeDocument/2006/relationships/hyperlink" Target="https://pages.stern.nyu.edu/~adamodar/New_Home_Page/datafile/histimpl.html" TargetMode="External"/><Relationship Id="rId18" Type="http://schemas.openxmlformats.org/officeDocument/2006/relationships/hyperlink" Target="https://www.sec.gov/Archives/edgar/data/814547/000081454726000031/exhibit991erq32026.htm" TargetMode="External"/><Relationship Id="rId26" Type="http://schemas.openxmlformats.org/officeDocument/2006/relationships/hyperlink" Target="https://data.sec.gov/api/xbrl/companyfacts/CIK0000814547.json" TargetMode="External"/><Relationship Id="rId3" Type="http://schemas.openxmlformats.org/officeDocument/2006/relationships/hyperlink" Target="https://www.sec.gov/Archives/edgar/data/814547/000081454725000030/fico-20250930.htm" TargetMode="External"/><Relationship Id="rId21" Type="http://schemas.openxmlformats.org/officeDocument/2006/relationships/hyperlink" Target="https://home.treasury.gov/resource-center/data-chart-center/interest-rates/TextView?type=daily_treasury_yield_curve" TargetMode="External"/><Relationship Id="rId7" Type="http://schemas.openxmlformats.org/officeDocument/2006/relationships/hyperlink" Target="https://www.sec.gov/Archives/edgar/data/814547/000119312526117936/d56220d8k.htm" TargetMode="External"/><Relationship Id="rId12" Type="http://schemas.openxmlformats.org/officeDocument/2006/relationships/hyperlink" Target="https://pages.stern.nyu.edu/~adamodar/New_Home_Page/datafile/histimpl.html" TargetMode="External"/><Relationship Id="rId17" Type="http://schemas.openxmlformats.org/officeDocument/2006/relationships/hyperlink" Target="https://fred.stlouisfed.org/series/DGS10" TargetMode="External"/><Relationship Id="rId25" Type="http://schemas.openxmlformats.org/officeDocument/2006/relationships/hyperlink" Target="https://finance.yahoo.com/quote/FICO/" TargetMode="External"/><Relationship Id="rId2" Type="http://schemas.openxmlformats.org/officeDocument/2006/relationships/hyperlink" Target="https://www.sec.gov/Archives/edgar/data/814547/000081454725000030/fico-20250930.htm" TargetMode="External"/><Relationship Id="rId16" Type="http://schemas.openxmlformats.org/officeDocument/2006/relationships/hyperlink" Target="https://fred.stlouisfed.org/series/DGS10" TargetMode="External"/><Relationship Id="rId20" Type="http://schemas.openxmlformats.org/officeDocument/2006/relationships/hyperlink" Target="https://home.treasury.gov/resource-center/data-chart-center/interest-rates/TextView?type=daily_treasury_yield_curve" TargetMode="External"/><Relationship Id="rId1" Type="http://schemas.openxmlformats.org/officeDocument/2006/relationships/hyperlink" Target="https://corporatefinanceinstitute.com/" TargetMode="External"/><Relationship Id="rId6" Type="http://schemas.openxmlformats.org/officeDocument/2006/relationships/hyperlink" Target="https://www.sec.gov/Archives/edgar/data/814547/000119312526117936/d56220d8k.htm" TargetMode="External"/><Relationship Id="rId11" Type="http://schemas.openxmlformats.org/officeDocument/2006/relationships/hyperlink" Target="https://pages.stern.nyu.edu/~adamodar/New_Home_Page/datafile/histfcff.html" TargetMode="External"/><Relationship Id="rId24" Type="http://schemas.openxmlformats.org/officeDocument/2006/relationships/hyperlink" Target="https://finance.yahoo.com/quote/FICO/" TargetMode="External"/><Relationship Id="rId5" Type="http://schemas.openxmlformats.org/officeDocument/2006/relationships/hyperlink" Target="https://www.sec.gov/Archives/edgar/data/814547/000081454726000030/fico-20260630.htm" TargetMode="External"/><Relationship Id="rId15" Type="http://schemas.openxmlformats.org/officeDocument/2006/relationships/hyperlink" Target="https://www.fico.com/en/investors" TargetMode="External"/><Relationship Id="rId23" Type="http://schemas.openxmlformats.org/officeDocument/2006/relationships/hyperlink" Target="https://finance.yahoo.com/quote/FICO/key-statistics/" TargetMode="External"/><Relationship Id="rId28" Type="http://schemas.openxmlformats.org/officeDocument/2006/relationships/drawing" Target="../drawings/drawing1.xml"/><Relationship Id="rId10" Type="http://schemas.openxmlformats.org/officeDocument/2006/relationships/hyperlink" Target="https://pages.stern.nyu.edu/~adamodar/New_Home_Page/datafile/histfcff.html" TargetMode="External"/><Relationship Id="rId19" Type="http://schemas.openxmlformats.org/officeDocument/2006/relationships/hyperlink" Target="https://www.sec.gov/Archives/edgar/data/814547/000081454726000031/exhibit991erq32026.htm" TargetMode="External"/><Relationship Id="rId4" Type="http://schemas.openxmlformats.org/officeDocument/2006/relationships/hyperlink" Target="https://www.sec.gov/Archives/edgar/data/814547/000081454726000030/fico-20260630.htm" TargetMode="External"/><Relationship Id="rId9" Type="http://schemas.openxmlformats.org/officeDocument/2006/relationships/hyperlink" Target="https://pages.stern.nyu.edu/adamodar/New_Home_Page/home.htm" TargetMode="External"/><Relationship Id="rId14" Type="http://schemas.openxmlformats.org/officeDocument/2006/relationships/hyperlink" Target="https://www.fico.com/en/investors" TargetMode="External"/><Relationship Id="rId22" Type="http://schemas.openxmlformats.org/officeDocument/2006/relationships/hyperlink" Target="https://finance.yahoo.com/quote/FICO/key-statistics/" TargetMode="External"/><Relationship Id="rId27" Type="http://schemas.openxmlformats.org/officeDocument/2006/relationships/hyperlink" Target="https://data.sec.gov/api/xbrl/companyfacts/CIK0000814547.json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ec.gov/Archives/edgar/data/814547/000081454725000030/fico-20250930.htm" TargetMode="External"/><Relationship Id="rId13" Type="http://schemas.openxmlformats.org/officeDocument/2006/relationships/hyperlink" Target="https://www.sec.gov/Archives/edgar/data/814547/000081454725000030/fico-20250930.htm" TargetMode="External"/><Relationship Id="rId18" Type="http://schemas.openxmlformats.org/officeDocument/2006/relationships/hyperlink" Target="https://www.sec.gov/Archives/edgar/data/814547/000081454725000030/fico-20250930.htm" TargetMode="External"/><Relationship Id="rId26" Type="http://schemas.openxmlformats.org/officeDocument/2006/relationships/hyperlink" Target="https://pages.stern.nyu.edu/~adamodar/New_Home_Page/datafile/histfcff.html" TargetMode="External"/><Relationship Id="rId3" Type="http://schemas.openxmlformats.org/officeDocument/2006/relationships/hyperlink" Target="https://www.sec.gov/Archives/edgar/data/814547/000081454725000030/fico-20250930.htm" TargetMode="External"/><Relationship Id="rId21" Type="http://schemas.openxmlformats.org/officeDocument/2006/relationships/hyperlink" Target="https://www.sec.gov/Archives/edgar/data/814547/000081454725000030/fico-20250930.htm" TargetMode="External"/><Relationship Id="rId7" Type="http://schemas.openxmlformats.org/officeDocument/2006/relationships/hyperlink" Target="https://www.sec.gov/Archives/edgar/data/814547/000081454725000030/fico-20250930.htm" TargetMode="External"/><Relationship Id="rId12" Type="http://schemas.openxmlformats.org/officeDocument/2006/relationships/hyperlink" Target="https://www.sec.gov/Archives/edgar/data/814547/000081454725000030/fico-20250930.htm" TargetMode="External"/><Relationship Id="rId17" Type="http://schemas.openxmlformats.org/officeDocument/2006/relationships/hyperlink" Target="https://www.sec.gov/Archives/edgar/data/814547/000081454725000030/fico-20250930.htm" TargetMode="External"/><Relationship Id="rId25" Type="http://schemas.openxmlformats.org/officeDocument/2006/relationships/hyperlink" Target="https://pages.stern.nyu.edu/~adamodar/New_Home_Page/datafile/histfcff.html" TargetMode="External"/><Relationship Id="rId2" Type="http://schemas.openxmlformats.org/officeDocument/2006/relationships/hyperlink" Target="https://www.sec.gov/Archives/edgar/data/814547/000081454726000031/exhibit991erq32026.htm" TargetMode="External"/><Relationship Id="rId16" Type="http://schemas.openxmlformats.org/officeDocument/2006/relationships/hyperlink" Target="https://data.sec.gov/api/xbrl/companyfacts/CIK0000814547.json" TargetMode="External"/><Relationship Id="rId20" Type="http://schemas.openxmlformats.org/officeDocument/2006/relationships/hyperlink" Target="https://www.sec.gov/Archives/edgar/data/814547/000081454725000030/fico-20250930.htm" TargetMode="External"/><Relationship Id="rId29" Type="http://schemas.openxmlformats.org/officeDocument/2006/relationships/vmlDrawing" Target="../drawings/vmlDrawing1.vml"/><Relationship Id="rId1" Type="http://schemas.openxmlformats.org/officeDocument/2006/relationships/hyperlink" Target="https://www.sec.gov/Archives/edgar/data/814547/000081454726000031/exhibit991erq32026.htm" TargetMode="External"/><Relationship Id="rId6" Type="http://schemas.openxmlformats.org/officeDocument/2006/relationships/hyperlink" Target="https://www.sec.gov/Archives/edgar/data/814547/000081454725000030/fico-20250930.htm" TargetMode="External"/><Relationship Id="rId11" Type="http://schemas.openxmlformats.org/officeDocument/2006/relationships/hyperlink" Target="https://www.sec.gov/Archives/edgar/data/814547/000081454725000030/fico-20250930.htm" TargetMode="External"/><Relationship Id="rId24" Type="http://schemas.openxmlformats.org/officeDocument/2006/relationships/hyperlink" Target="https://www.sec.gov/Archives/edgar/data/814547/000081454726000030/fico-20260630.htm" TargetMode="External"/><Relationship Id="rId5" Type="http://schemas.openxmlformats.org/officeDocument/2006/relationships/hyperlink" Target="https://www.sec.gov/Archives/edgar/data/814547/000081454725000030/fico-20250930.htm" TargetMode="External"/><Relationship Id="rId15" Type="http://schemas.openxmlformats.org/officeDocument/2006/relationships/hyperlink" Target="https://data.sec.gov/api/xbrl/companyfacts/CIK0000814547.json" TargetMode="External"/><Relationship Id="rId23" Type="http://schemas.openxmlformats.org/officeDocument/2006/relationships/hyperlink" Target="https://www.sec.gov/Archives/edgar/data/814547/000081454726000030/fico-20260630.htm" TargetMode="External"/><Relationship Id="rId28" Type="http://schemas.openxmlformats.org/officeDocument/2006/relationships/drawing" Target="../drawings/drawing2.xml"/><Relationship Id="rId10" Type="http://schemas.openxmlformats.org/officeDocument/2006/relationships/hyperlink" Target="https://www.sec.gov/Archives/edgar/data/814547/000081454725000030/fico-20250930.htm" TargetMode="External"/><Relationship Id="rId19" Type="http://schemas.openxmlformats.org/officeDocument/2006/relationships/hyperlink" Target="https://www.sec.gov/Archives/edgar/data/814547/000081454725000030/fico-20250930.htm" TargetMode="External"/><Relationship Id="rId4" Type="http://schemas.openxmlformats.org/officeDocument/2006/relationships/hyperlink" Target="https://www.sec.gov/Archives/edgar/data/814547/000081454725000030/fico-20250930.htm" TargetMode="External"/><Relationship Id="rId9" Type="http://schemas.openxmlformats.org/officeDocument/2006/relationships/hyperlink" Target="https://www.sec.gov/Archives/edgar/data/814547/000081454725000030/fico-20250930.htm" TargetMode="External"/><Relationship Id="rId14" Type="http://schemas.openxmlformats.org/officeDocument/2006/relationships/hyperlink" Target="https://www.sec.gov/Archives/edgar/data/814547/000081454725000030/fico-20250930.htm" TargetMode="External"/><Relationship Id="rId22" Type="http://schemas.openxmlformats.org/officeDocument/2006/relationships/hyperlink" Target="https://www.sec.gov/Archives/edgar/data/814547/000081454725000030/fico-20250930.htm" TargetMode="External"/><Relationship Id="rId27" Type="http://schemas.openxmlformats.org/officeDocument/2006/relationships/hyperlink" Target="https://corporatefinanceinstitute.com/" TargetMode="External"/><Relationship Id="rId30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ec.gov/Archives/edgar/data/814547/000119312526102450/d92566dex991.htm" TargetMode="External"/><Relationship Id="rId18" Type="http://schemas.openxmlformats.org/officeDocument/2006/relationships/hyperlink" Target="https://www.sec.gov/Archives/edgar/data/814547/000081454726000030/fico-20260630.htm" TargetMode="External"/><Relationship Id="rId26" Type="http://schemas.openxmlformats.org/officeDocument/2006/relationships/hyperlink" Target="https://pages.stern.nyu.edu/adamodar/New_Home_Page/home.htm" TargetMode="External"/><Relationship Id="rId39" Type="http://schemas.openxmlformats.org/officeDocument/2006/relationships/hyperlink" Target="https://home.treasury.gov/resource-center/data-chart-center/interest-rates/TextView?type=daily_treasury_yield_curve" TargetMode="External"/><Relationship Id="rId21" Type="http://schemas.openxmlformats.org/officeDocument/2006/relationships/hyperlink" Target="https://pages.stern.nyu.edu/adamodar/New_Home_Page/home.htm" TargetMode="External"/><Relationship Id="rId34" Type="http://schemas.openxmlformats.org/officeDocument/2006/relationships/hyperlink" Target="https://www.sec.gov/Archives/edgar/data/814547/000081454726000030/fico-20260630.htm" TargetMode="External"/><Relationship Id="rId42" Type="http://schemas.openxmlformats.org/officeDocument/2006/relationships/hyperlink" Target="https://finance.yahoo.com/quote/FICO/key-statistics/" TargetMode="External"/><Relationship Id="rId7" Type="http://schemas.openxmlformats.org/officeDocument/2006/relationships/hyperlink" Target="https://pages.stern.nyu.edu/adamodar/New_Home_Page/home.htm" TargetMode="External"/><Relationship Id="rId2" Type="http://schemas.openxmlformats.org/officeDocument/2006/relationships/hyperlink" Target="https://fred.stlouisfed.org/series/DGS10" TargetMode="External"/><Relationship Id="rId16" Type="http://schemas.openxmlformats.org/officeDocument/2006/relationships/hyperlink" Target="https://www.sec.gov/Archives/edgar/data/814547/000081454726000030/fico-20260630.htm" TargetMode="External"/><Relationship Id="rId20" Type="http://schemas.openxmlformats.org/officeDocument/2006/relationships/hyperlink" Target="https://www.sec.gov/Archives/edgar/data/814547/000081454725000030/fico-20250930.htm" TargetMode="External"/><Relationship Id="rId29" Type="http://schemas.openxmlformats.org/officeDocument/2006/relationships/hyperlink" Target="https://finance.yahoo.com/quote/FICO/key-statistics/" TargetMode="External"/><Relationship Id="rId41" Type="http://schemas.openxmlformats.org/officeDocument/2006/relationships/hyperlink" Target="https://pages.stern.nyu.edu/~adamodar/New_Home_Page/datafile/histimpl.html" TargetMode="External"/><Relationship Id="rId1" Type="http://schemas.openxmlformats.org/officeDocument/2006/relationships/hyperlink" Target="https://www.sec.gov/Archives/edgar/data/814547/000081454725000030/fico-20250930.htm" TargetMode="External"/><Relationship Id="rId6" Type="http://schemas.openxmlformats.org/officeDocument/2006/relationships/hyperlink" Target="https://home.treasury.gov/resource-center/data-chart-center/interest-rates/TextView?type=daily_treasury_yield_curve" TargetMode="External"/><Relationship Id="rId11" Type="http://schemas.openxmlformats.org/officeDocument/2006/relationships/hyperlink" Target="https://finance.yahoo.com/quote/FICO/" TargetMode="External"/><Relationship Id="rId24" Type="http://schemas.openxmlformats.org/officeDocument/2006/relationships/hyperlink" Target="https://www.sec.gov/Archives/edgar/data/814547/000081454725000030/fico-20250930.htm" TargetMode="External"/><Relationship Id="rId32" Type="http://schemas.openxmlformats.org/officeDocument/2006/relationships/hyperlink" Target="https://data.sec.gov/api/xbrl/companyfacts/CIK0000814547.json" TargetMode="External"/><Relationship Id="rId37" Type="http://schemas.openxmlformats.org/officeDocument/2006/relationships/hyperlink" Target="https://data.sec.gov/api/xbrl/companyfacts/CIK0000814547.json" TargetMode="External"/><Relationship Id="rId40" Type="http://schemas.openxmlformats.org/officeDocument/2006/relationships/hyperlink" Target="https://pages.stern.nyu.edu/adamodar/New_Home_Page/home.htm" TargetMode="External"/><Relationship Id="rId5" Type="http://schemas.openxmlformats.org/officeDocument/2006/relationships/hyperlink" Target="https://fred.stlouisfed.org/series/DGS10" TargetMode="External"/><Relationship Id="rId15" Type="http://schemas.openxmlformats.org/officeDocument/2006/relationships/hyperlink" Target="https://data.sec.gov/api/xbrl/companyfacts/CIK0000814547.json" TargetMode="External"/><Relationship Id="rId23" Type="http://schemas.openxmlformats.org/officeDocument/2006/relationships/hyperlink" Target="https://www.sec.gov/Archives/edgar/data/814547/000081454725000030/fico-20250930.htm" TargetMode="External"/><Relationship Id="rId28" Type="http://schemas.openxmlformats.org/officeDocument/2006/relationships/hyperlink" Target="https://www.sec.gov/Archives/edgar/data/814547/000081454725000030/fico-20250930.htm" TargetMode="External"/><Relationship Id="rId36" Type="http://schemas.openxmlformats.org/officeDocument/2006/relationships/hyperlink" Target="https://www.sec.gov/Archives/edgar/data/814547/000119312526102450/d92566dex991.htm" TargetMode="External"/><Relationship Id="rId10" Type="http://schemas.openxmlformats.org/officeDocument/2006/relationships/hyperlink" Target="https://finance.yahoo.com/quote/FICO/key-statistics/" TargetMode="External"/><Relationship Id="rId19" Type="http://schemas.openxmlformats.org/officeDocument/2006/relationships/hyperlink" Target="https://www.sec.gov/Archives/edgar/data/814547/000081454725000030/fico-20250930.htm" TargetMode="External"/><Relationship Id="rId31" Type="http://schemas.openxmlformats.org/officeDocument/2006/relationships/hyperlink" Target="https://www.sec.gov/Archives/edgar/data/814547/000081454725000030/fico-20250930.htm" TargetMode="External"/><Relationship Id="rId44" Type="http://schemas.openxmlformats.org/officeDocument/2006/relationships/comments" Target="../comments2.xml"/><Relationship Id="rId4" Type="http://schemas.openxmlformats.org/officeDocument/2006/relationships/hyperlink" Target="https://www.sec.gov/Archives/edgar/data/814547/000119312526117936/d56220d8k.htm" TargetMode="External"/><Relationship Id="rId9" Type="http://schemas.openxmlformats.org/officeDocument/2006/relationships/hyperlink" Target="https://www.sec.gov/Archives/edgar/data/814547/000119312526117936/d56220d8k.htm" TargetMode="External"/><Relationship Id="rId14" Type="http://schemas.openxmlformats.org/officeDocument/2006/relationships/hyperlink" Target="https://www.sec.gov/Archives/edgar/data/814547/000081454725000030/fico-20250930.htm" TargetMode="External"/><Relationship Id="rId22" Type="http://schemas.openxmlformats.org/officeDocument/2006/relationships/hyperlink" Target="https://data.sec.gov/api/xbrl/companyfacts/CIK0000814547.json" TargetMode="External"/><Relationship Id="rId27" Type="http://schemas.openxmlformats.org/officeDocument/2006/relationships/hyperlink" Target="https://www.sec.gov/Archives/edgar/data/814547/000081454726000030/fico-20260630.htm" TargetMode="External"/><Relationship Id="rId30" Type="http://schemas.openxmlformats.org/officeDocument/2006/relationships/hyperlink" Target="https://finance.yahoo.com/quote/FICO/" TargetMode="External"/><Relationship Id="rId35" Type="http://schemas.openxmlformats.org/officeDocument/2006/relationships/hyperlink" Target="https://www.sec.gov/Archives/edgar/data/814547/000119312526117936/d56220d8k.htm" TargetMode="External"/><Relationship Id="rId43" Type="http://schemas.openxmlformats.org/officeDocument/2006/relationships/vmlDrawing" Target="../drawings/vmlDrawing2.vml"/><Relationship Id="rId8" Type="http://schemas.openxmlformats.org/officeDocument/2006/relationships/hyperlink" Target="https://pages.stern.nyu.edu/~adamodar/New_Home_Page/datafile/histimpl.html" TargetMode="External"/><Relationship Id="rId3" Type="http://schemas.openxmlformats.org/officeDocument/2006/relationships/hyperlink" Target="https://pages.stern.nyu.edu/adamodar/New_Home_Page/home.htm" TargetMode="External"/><Relationship Id="rId12" Type="http://schemas.openxmlformats.org/officeDocument/2006/relationships/hyperlink" Target="https://www.sec.gov/Archives/edgar/data/814547/000119312526117936/d56220d8k.htm" TargetMode="External"/><Relationship Id="rId17" Type="http://schemas.openxmlformats.org/officeDocument/2006/relationships/hyperlink" Target="https://finance.yahoo.com/quote/FICO/key-statistics/" TargetMode="External"/><Relationship Id="rId25" Type="http://schemas.openxmlformats.org/officeDocument/2006/relationships/hyperlink" Target="https://finance.yahoo.com/quote/FICO/key-statistics/" TargetMode="External"/><Relationship Id="rId33" Type="http://schemas.openxmlformats.org/officeDocument/2006/relationships/hyperlink" Target="https://www.sec.gov/Archives/edgar/data/814547/000081454725000030/fico-20250930.htm" TargetMode="External"/><Relationship Id="rId38" Type="http://schemas.openxmlformats.org/officeDocument/2006/relationships/hyperlink" Target="https://fred.stlouisfed.org/series/DGS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46"/>
  <sheetViews>
    <sheetView showGridLines="0" zoomScaleNormal="100" workbookViewId="0"/>
  </sheetViews>
  <sheetFormatPr defaultColWidth="9.08984375" defaultRowHeight="14.5" x14ac:dyDescent="0.35"/>
  <cols>
    <col min="1" max="2" width="11" style="40" customWidth="1"/>
    <col min="3" max="3" width="29.08984375" style="40" customWidth="1"/>
    <col min="4" max="4" width="11" style="40" customWidth="1"/>
    <col min="5" max="5" width="28" customWidth="1"/>
    <col min="6" max="6" width="36" customWidth="1"/>
    <col min="7" max="7" width="70" customWidth="1"/>
    <col min="8" max="22" width="11" style="40" customWidth="1"/>
    <col min="23" max="27" width="9.08984375" style="40" customWidth="1"/>
    <col min="28" max="16384" width="9.08984375" style="40"/>
  </cols>
  <sheetData>
    <row r="1" spans="2:15" ht="19.5" customHeight="1" x14ac:dyDescent="0.35"/>
    <row r="2" spans="2:15" ht="19.5" customHeight="1" x14ac:dyDescent="0.35"/>
    <row r="3" spans="2:15" ht="19.5" customHeight="1" x14ac:dyDescent="0.3"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</row>
    <row r="4" spans="2:15" ht="19.5" customHeight="1" x14ac:dyDescent="0.3"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</row>
    <row r="5" spans="2:15" ht="19.5" customHeight="1" x14ac:dyDescent="0.3"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</row>
    <row r="6" spans="2:15" ht="19.5" customHeight="1" x14ac:dyDescent="0.3"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</row>
    <row r="7" spans="2:15" ht="19.5" customHeight="1" x14ac:dyDescent="0.3"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</row>
    <row r="8" spans="2:15" ht="19.5" customHeight="1" x14ac:dyDescent="0.3"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2:15" ht="19.5" customHeight="1" x14ac:dyDescent="0.3"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</row>
    <row r="10" spans="2:15" ht="19.5" customHeight="1" x14ac:dyDescent="0.3"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</row>
    <row r="11" spans="2:15" ht="19.5" customHeight="1" x14ac:dyDescent="0.3"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</row>
    <row r="12" spans="2:15" ht="28.25" customHeight="1" x14ac:dyDescent="0.5">
      <c r="B12" s="41"/>
      <c r="C12" s="42" t="s">
        <v>0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3" t="s">
        <v>1</v>
      </c>
      <c r="O12" s="41"/>
    </row>
    <row r="13" spans="2:15" ht="19.5" customHeight="1" x14ac:dyDescent="0.3">
      <c r="B13" s="41"/>
      <c r="C13" s="44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</row>
    <row r="14" spans="2:15" ht="19.5" customHeight="1" x14ac:dyDescent="0.3">
      <c r="B14" s="41"/>
      <c r="C14" s="45" t="s">
        <v>2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</row>
    <row r="15" spans="2:15" ht="19.5" customHeight="1" x14ac:dyDescent="0.3">
      <c r="B15" s="41"/>
      <c r="C15" s="47" t="s">
        <v>3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</row>
    <row r="16" spans="2:15" ht="19.5" customHeight="1" x14ac:dyDescent="0.3">
      <c r="B16" s="41"/>
      <c r="C16" s="46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</row>
    <row r="17" spans="2:15" ht="19.5" customHeight="1" x14ac:dyDescent="0.3">
      <c r="B17" s="41"/>
      <c r="C17" s="46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</row>
    <row r="18" spans="2:15" ht="19.5" customHeight="1" x14ac:dyDescent="0.3">
      <c r="B18" s="41"/>
      <c r="C18" s="46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</row>
    <row r="19" spans="2:15" s="50" customFormat="1" ht="19.5" customHeight="1" x14ac:dyDescent="0.3">
      <c r="B19" s="51"/>
      <c r="C19" s="51" t="s">
        <v>4</v>
      </c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</row>
    <row r="20" spans="2:15" s="50" customFormat="1" ht="19.5" customHeight="1" x14ac:dyDescent="0.3">
      <c r="B20" s="51"/>
      <c r="C20" s="52" t="s">
        <v>5</v>
      </c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1"/>
    </row>
    <row r="21" spans="2:15" s="50" customFormat="1" ht="19.5" customHeight="1" x14ac:dyDescent="0.3">
      <c r="B21" s="51"/>
      <c r="C21" s="51" t="s">
        <v>6</v>
      </c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</row>
    <row r="22" spans="2:15" s="50" customFormat="1" ht="19.5" customHeight="1" x14ac:dyDescent="0.3">
      <c r="B22" s="51"/>
      <c r="C22" s="53" t="s">
        <v>7</v>
      </c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</row>
    <row r="23" spans="2:15" s="50" customFormat="1" ht="19.5" customHeight="1" x14ac:dyDescent="0.3">
      <c r="B23" s="51"/>
      <c r="C23" s="53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</row>
    <row r="24" spans="2:15" s="50" customFormat="1" ht="19.5" customHeight="1" x14ac:dyDescent="0.35">
      <c r="B24" s="51"/>
      <c r="C24" s="54" t="s">
        <v>8</v>
      </c>
      <c r="D24" s="55"/>
      <c r="E24" s="160" t="s">
        <v>9</v>
      </c>
      <c r="F24" s="161"/>
      <c r="G24" s="161"/>
      <c r="H24" s="55"/>
      <c r="I24" s="55"/>
      <c r="J24" s="55"/>
      <c r="K24" s="55"/>
      <c r="L24" s="55"/>
      <c r="M24" s="55"/>
      <c r="N24" s="55"/>
      <c r="O24" s="51"/>
    </row>
    <row r="25" spans="2:15" s="50" customFormat="1" ht="19.5" customHeight="1" x14ac:dyDescent="0.3">
      <c r="B25" s="56"/>
      <c r="C25" s="54" t="s">
        <v>10</v>
      </c>
      <c r="D25" s="54"/>
      <c r="E25" s="162" t="s">
        <v>11</v>
      </c>
      <c r="F25" s="161"/>
      <c r="G25" s="161"/>
      <c r="H25" s="54"/>
      <c r="I25" s="54"/>
      <c r="J25" s="54"/>
      <c r="K25" s="54"/>
      <c r="L25" s="54"/>
      <c r="M25" s="54"/>
      <c r="N25" s="54"/>
      <c r="O25" s="56"/>
    </row>
    <row r="26" spans="2:15" s="50" customFormat="1" ht="19.5" customHeight="1" x14ac:dyDescent="0.3">
      <c r="B26" s="56"/>
      <c r="C26" s="54" t="s">
        <v>12</v>
      </c>
      <c r="D26" s="54"/>
      <c r="E26" s="86" t="s">
        <v>13</v>
      </c>
      <c r="F26" s="86" t="s">
        <v>14</v>
      </c>
      <c r="G26" s="86" t="s">
        <v>15</v>
      </c>
      <c r="H26" s="54"/>
      <c r="I26" s="54"/>
      <c r="J26" s="54"/>
      <c r="K26" s="54"/>
      <c r="L26" s="54"/>
      <c r="M26" s="54"/>
      <c r="N26" s="54"/>
      <c r="O26" s="56"/>
    </row>
    <row r="27" spans="2:15" s="50" customFormat="1" ht="19.5" customHeight="1" x14ac:dyDescent="0.3">
      <c r="B27" s="56"/>
      <c r="C27" s="54" t="s">
        <v>16</v>
      </c>
      <c r="D27" s="54"/>
      <c r="E27" s="87" t="s">
        <v>17</v>
      </c>
      <c r="F27" s="88" t="s">
        <v>17</v>
      </c>
      <c r="G27" s="88" t="s">
        <v>18</v>
      </c>
      <c r="H27" s="54"/>
      <c r="I27" s="54"/>
      <c r="J27" s="54"/>
      <c r="K27" s="54"/>
      <c r="L27" s="54"/>
      <c r="M27" s="54"/>
      <c r="N27" s="54"/>
      <c r="O27" s="56"/>
    </row>
    <row r="28" spans="2:15" s="50" customFormat="1" ht="19.5" customHeight="1" x14ac:dyDescent="0.3">
      <c r="B28" s="56"/>
      <c r="C28" s="54"/>
      <c r="D28" s="54"/>
      <c r="E28" s="87" t="s">
        <v>19</v>
      </c>
      <c r="F28" s="88" t="s">
        <v>19</v>
      </c>
      <c r="G28" s="88" t="s">
        <v>20</v>
      </c>
      <c r="H28" s="54"/>
      <c r="I28" s="54"/>
      <c r="J28" s="54"/>
      <c r="K28" s="54"/>
      <c r="L28" s="54"/>
      <c r="M28" s="54"/>
      <c r="N28" s="54"/>
      <c r="O28" s="56"/>
    </row>
    <row r="29" spans="2:15" s="50" customFormat="1" ht="19.5" customHeight="1" x14ac:dyDescent="0.3">
      <c r="B29" s="56"/>
      <c r="C29" s="56"/>
      <c r="D29" s="56"/>
      <c r="E29" s="89" t="s">
        <v>21</v>
      </c>
      <c r="F29" s="90" t="s">
        <v>21</v>
      </c>
      <c r="G29" s="90" t="s">
        <v>22</v>
      </c>
      <c r="H29" s="56"/>
      <c r="I29" s="56"/>
      <c r="J29" s="56"/>
      <c r="K29" s="56"/>
      <c r="L29" s="56"/>
      <c r="M29" s="56"/>
      <c r="N29" s="56"/>
      <c r="O29" s="56"/>
    </row>
    <row r="30" spans="2:15" ht="19.5" customHeight="1" x14ac:dyDescent="0.3">
      <c r="E30" s="91" t="s">
        <v>23</v>
      </c>
      <c r="F30" s="92" t="s">
        <v>23</v>
      </c>
      <c r="G30" s="92" t="s">
        <v>24</v>
      </c>
    </row>
    <row r="31" spans="2:15" ht="19.5" customHeight="1" x14ac:dyDescent="0.3">
      <c r="E31" s="91" t="s">
        <v>25</v>
      </c>
      <c r="F31" s="92" t="s">
        <v>25</v>
      </c>
      <c r="G31" s="92" t="s">
        <v>26</v>
      </c>
    </row>
    <row r="32" spans="2:15" ht="19.5" customHeight="1" x14ac:dyDescent="0.3">
      <c r="E32" s="91" t="s">
        <v>27</v>
      </c>
      <c r="F32" s="92" t="s">
        <v>27</v>
      </c>
      <c r="G32" s="92" t="s">
        <v>28</v>
      </c>
    </row>
    <row r="33" spans="5:7" ht="19.5" customHeight="1" x14ac:dyDescent="0.3">
      <c r="E33" s="91" t="s">
        <v>29</v>
      </c>
      <c r="F33" s="92" t="s">
        <v>29</v>
      </c>
      <c r="G33" s="92" t="s">
        <v>30</v>
      </c>
    </row>
    <row r="34" spans="5:7" ht="19.5" customHeight="1" x14ac:dyDescent="0.3">
      <c r="E34" s="91" t="s">
        <v>31</v>
      </c>
      <c r="F34" s="92" t="s">
        <v>31</v>
      </c>
      <c r="G34" s="92" t="s">
        <v>32</v>
      </c>
    </row>
    <row r="35" spans="5:7" ht="19.5" customHeight="1" x14ac:dyDescent="0.3">
      <c r="E35" s="91" t="s">
        <v>33</v>
      </c>
      <c r="F35" s="92" t="s">
        <v>33</v>
      </c>
      <c r="G35" s="92" t="s">
        <v>34</v>
      </c>
    </row>
    <row r="36" spans="5:7" ht="19.5" customHeight="1" x14ac:dyDescent="0.3">
      <c r="E36" s="91" t="s">
        <v>35</v>
      </c>
      <c r="F36" s="92" t="s">
        <v>35</v>
      </c>
      <c r="G36" s="92" t="s">
        <v>36</v>
      </c>
    </row>
    <row r="37" spans="5:7" ht="19.5" customHeight="1" x14ac:dyDescent="0.3">
      <c r="E37" s="91" t="s">
        <v>37</v>
      </c>
      <c r="F37" s="92" t="s">
        <v>37</v>
      </c>
      <c r="G37" s="92" t="s">
        <v>38</v>
      </c>
    </row>
    <row r="38" spans="5:7" ht="19.5" customHeight="1" x14ac:dyDescent="0.3">
      <c r="E38" s="91" t="s">
        <v>39</v>
      </c>
      <c r="F38" s="92" t="s">
        <v>39</v>
      </c>
      <c r="G38" s="92" t="s">
        <v>40</v>
      </c>
    </row>
    <row r="39" spans="5:7" ht="19.5" customHeight="1" x14ac:dyDescent="0.3">
      <c r="E39" s="91" t="s">
        <v>41</v>
      </c>
      <c r="F39" s="92" t="s">
        <v>41</v>
      </c>
      <c r="G39" s="92" t="s">
        <v>42</v>
      </c>
    </row>
    <row r="40" spans="5:7" ht="19.5" customHeight="1" x14ac:dyDescent="0.35"/>
    <row r="41" spans="5:7" ht="19.5" customHeight="1" x14ac:dyDescent="0.35"/>
    <row r="42" spans="5:7" ht="19.5" customHeight="1" x14ac:dyDescent="0.35"/>
    <row r="43" spans="5:7" ht="19.5" customHeight="1" x14ac:dyDescent="0.35"/>
    <row r="44" spans="5:7" ht="19.5" customHeight="1" x14ac:dyDescent="0.35"/>
    <row r="45" spans="5:7" ht="19.5" customHeight="1" x14ac:dyDescent="0.35"/>
    <row r="46" spans="5:7" ht="19.5" customHeight="1" x14ac:dyDescent="0.35"/>
  </sheetData>
  <mergeCells count="2">
    <mergeCell ref="E24:G24"/>
    <mergeCell ref="E25:G25"/>
  </mergeCells>
  <hyperlinks>
    <hyperlink ref="C15" location="'3 Statement Model'!A1" display="3 Statement Model" xr:uid="{00000000-0004-0000-0000-000000000000}"/>
    <hyperlink ref="C22" r:id="rId1" xr:uid="{00000000-0004-0000-0000-000001000000}"/>
    <hyperlink ref="F27" r:id="rId2" xr:uid="{00000000-0004-0000-0000-000002000000}"/>
    <hyperlink ref="G27" r:id="rId3" xr:uid="{00000000-0004-0000-0000-000003000000}"/>
    <hyperlink ref="F28" r:id="rId4" xr:uid="{00000000-0004-0000-0000-000004000000}"/>
    <hyperlink ref="G28" r:id="rId5" xr:uid="{00000000-0004-0000-0000-000005000000}"/>
    <hyperlink ref="F29" r:id="rId6" xr:uid="{00000000-0004-0000-0000-000006000000}"/>
    <hyperlink ref="G29" r:id="rId7" xr:uid="{00000000-0004-0000-0000-000007000000}"/>
    <hyperlink ref="F30" r:id="rId8" xr:uid="{00000000-0004-0000-0000-000008000000}"/>
    <hyperlink ref="G30" r:id="rId9" xr:uid="{00000000-0004-0000-0000-000009000000}"/>
    <hyperlink ref="F31" r:id="rId10" xr:uid="{00000000-0004-0000-0000-00000A000000}"/>
    <hyperlink ref="G31" r:id="rId11" xr:uid="{00000000-0004-0000-0000-00000B000000}"/>
    <hyperlink ref="F32" r:id="rId12" xr:uid="{00000000-0004-0000-0000-00000C000000}"/>
    <hyperlink ref="G32" r:id="rId13" xr:uid="{00000000-0004-0000-0000-00000D000000}"/>
    <hyperlink ref="F33" r:id="rId14" xr:uid="{00000000-0004-0000-0000-00000E000000}"/>
    <hyperlink ref="G33" r:id="rId15" xr:uid="{00000000-0004-0000-0000-00000F000000}"/>
    <hyperlink ref="F34" r:id="rId16" xr:uid="{00000000-0004-0000-0000-000010000000}"/>
    <hyperlink ref="G34" r:id="rId17" xr:uid="{00000000-0004-0000-0000-000011000000}"/>
    <hyperlink ref="F35" r:id="rId18" xr:uid="{00000000-0004-0000-0000-000012000000}"/>
    <hyperlink ref="G35" r:id="rId19" xr:uid="{00000000-0004-0000-0000-000013000000}"/>
    <hyperlink ref="F36" r:id="rId20" xr:uid="{00000000-0004-0000-0000-000014000000}"/>
    <hyperlink ref="G36" r:id="rId21" xr:uid="{00000000-0004-0000-0000-000015000000}"/>
    <hyperlink ref="F37" r:id="rId22" xr:uid="{00000000-0004-0000-0000-000016000000}"/>
    <hyperlink ref="G37" r:id="rId23" xr:uid="{00000000-0004-0000-0000-000017000000}"/>
    <hyperlink ref="F38" r:id="rId24" xr:uid="{00000000-0004-0000-0000-000018000000}"/>
    <hyperlink ref="G38" r:id="rId25" xr:uid="{00000000-0004-0000-0000-000019000000}"/>
    <hyperlink ref="F39" r:id="rId26" xr:uid="{00000000-0004-0000-0000-00001A000000}"/>
    <hyperlink ref="G39" r:id="rId27" xr:uid="{00000000-0004-0000-0000-00001B000000}"/>
  </hyperlinks>
  <pageMargins left="0.7" right="0.7" top="0.75" bottom="0.75" header="0.3" footer="0.3"/>
  <pageSetup scale="64" orientation="landscape"/>
  <drawing r:id="rId2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38"/>
  <sheetViews>
    <sheetView showGridLines="0" tabSelected="1" topLeftCell="D1" zoomScale="83" zoomScaleNormal="90" workbookViewId="0">
      <pane ySplit="3" topLeftCell="A93" activePane="bottomLeft" state="frozen"/>
      <selection pane="bottomLeft" activeCell="D97" sqref="D97"/>
    </sheetView>
  </sheetViews>
  <sheetFormatPr defaultColWidth="9.08984375" defaultRowHeight="15.5" outlineLevelRow="1" x14ac:dyDescent="0.35"/>
  <cols>
    <col min="1" max="1" width="1.90625" style="1" customWidth="1"/>
    <col min="2" max="2" width="42" style="1" customWidth="1"/>
    <col min="3" max="3" width="80" customWidth="1"/>
    <col min="4" max="4" width="16" style="12" customWidth="1"/>
    <col min="5" max="5" width="16" style="1" customWidth="1"/>
    <col min="6" max="9" width="16" customWidth="1"/>
    <col min="10" max="10" width="16" style="1" customWidth="1"/>
    <col min="11" max="14" width="16" customWidth="1"/>
    <col min="15" max="15" width="9.08984375" style="1" customWidth="1"/>
    <col min="16" max="16" width="6" customWidth="1"/>
    <col min="17" max="17" width="22" customWidth="1"/>
    <col min="18" max="18" width="36" customWidth="1"/>
    <col min="19" max="19" width="42" customWidth="1"/>
    <col min="20" max="20" width="48" customWidth="1"/>
    <col min="21" max="21" width="42" customWidth="1"/>
    <col min="22" max="22" width="55" customWidth="1"/>
    <col min="23" max="16384" width="9.08984375" style="1"/>
  </cols>
  <sheetData>
    <row r="1" spans="1:22" x14ac:dyDescent="0.35">
      <c r="A1" s="26"/>
      <c r="B1" s="27" t="s">
        <v>43</v>
      </c>
      <c r="C1" s="26"/>
      <c r="D1" s="28"/>
      <c r="E1" s="48" t="s">
        <v>44</v>
      </c>
      <c r="F1" s="49"/>
      <c r="G1" s="49"/>
      <c r="H1" s="49"/>
      <c r="I1" s="49"/>
      <c r="J1" s="29" t="s">
        <v>45</v>
      </c>
      <c r="K1" s="30"/>
      <c r="L1" s="30"/>
      <c r="M1" s="30"/>
      <c r="N1" s="30"/>
    </row>
    <row r="2" spans="1:22" ht="21" customHeight="1" x14ac:dyDescent="0.4">
      <c r="A2" s="26"/>
      <c r="B2" s="31" t="s">
        <v>46</v>
      </c>
      <c r="C2" s="32"/>
      <c r="D2" s="33"/>
      <c r="E2" s="93">
        <v>2021</v>
      </c>
      <c r="F2" s="94">
        <f t="shared" ref="F2:N2" si="0">+E2+1</f>
        <v>2022</v>
      </c>
      <c r="G2" s="94">
        <f t="shared" si="0"/>
        <v>2023</v>
      </c>
      <c r="H2" s="94">
        <f t="shared" si="0"/>
        <v>2024</v>
      </c>
      <c r="I2" s="94">
        <f t="shared" si="0"/>
        <v>2025</v>
      </c>
      <c r="J2" s="95">
        <f t="shared" si="0"/>
        <v>2026</v>
      </c>
      <c r="K2" s="95">
        <f t="shared" si="0"/>
        <v>2027</v>
      </c>
      <c r="L2" s="95">
        <f t="shared" si="0"/>
        <v>2028</v>
      </c>
      <c r="M2" s="95">
        <f t="shared" si="0"/>
        <v>2029</v>
      </c>
      <c r="N2" s="95">
        <f t="shared" si="0"/>
        <v>2030</v>
      </c>
    </row>
    <row r="3" spans="1:22" x14ac:dyDescent="0.35">
      <c r="B3" s="1" t="s">
        <v>47</v>
      </c>
      <c r="E3" s="96" t="str">
        <f t="shared" ref="E3:N3" si="1">IFERROR(IF(ABS(E57)&gt;1,"ERROR","OK"),"OK")</f>
        <v>OK</v>
      </c>
      <c r="F3" s="96" t="str">
        <f t="shared" si="1"/>
        <v>OK</v>
      </c>
      <c r="G3" s="96" t="str">
        <f t="shared" si="1"/>
        <v>OK</v>
      </c>
      <c r="H3" s="96" t="str">
        <f t="shared" si="1"/>
        <v>OK</v>
      </c>
      <c r="I3" s="96" t="str">
        <f t="shared" si="1"/>
        <v>OK</v>
      </c>
      <c r="J3" s="96" t="str">
        <f t="shared" si="1"/>
        <v>OK</v>
      </c>
      <c r="K3" s="96" t="str">
        <f t="shared" si="1"/>
        <v>OK</v>
      </c>
      <c r="L3" s="96" t="str">
        <f t="shared" si="1"/>
        <v>OK</v>
      </c>
      <c r="M3" s="96" t="str">
        <f t="shared" si="1"/>
        <v>OK</v>
      </c>
      <c r="N3" s="96" t="str">
        <f t="shared" si="1"/>
        <v>OK</v>
      </c>
    </row>
    <row r="4" spans="1:22" x14ac:dyDescent="0.35">
      <c r="B4" s="97" t="s">
        <v>48</v>
      </c>
      <c r="P4" s="163" t="s">
        <v>49</v>
      </c>
      <c r="Q4" s="164"/>
      <c r="R4" s="164"/>
      <c r="S4" s="164"/>
      <c r="T4" s="164"/>
      <c r="U4" s="164"/>
      <c r="V4" s="164"/>
    </row>
    <row r="5" spans="1:22" ht="18" customHeight="1" x14ac:dyDescent="0.35">
      <c r="B5" s="34" t="s">
        <v>50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P5" s="165" t="s">
        <v>51</v>
      </c>
      <c r="Q5" s="164"/>
      <c r="R5" s="164"/>
      <c r="S5" s="164"/>
      <c r="T5" s="164"/>
      <c r="U5" s="164"/>
      <c r="V5" s="164"/>
    </row>
    <row r="6" spans="1:22" outlineLevel="1" x14ac:dyDescent="0.35">
      <c r="B6" s="3" t="s">
        <v>52</v>
      </c>
      <c r="C6" s="1"/>
      <c r="F6" s="1"/>
      <c r="G6" s="1"/>
      <c r="H6" s="1"/>
      <c r="I6" s="1"/>
      <c r="K6" s="1"/>
      <c r="L6" s="1"/>
      <c r="M6" s="1"/>
      <c r="N6" s="1"/>
      <c r="P6" s="98" t="s">
        <v>53</v>
      </c>
      <c r="Q6" s="98" t="s">
        <v>54</v>
      </c>
      <c r="R6" s="98" t="s">
        <v>55</v>
      </c>
      <c r="S6" s="98" t="s">
        <v>56</v>
      </c>
      <c r="T6" s="98" t="s">
        <v>57</v>
      </c>
      <c r="U6" s="98" t="s">
        <v>58</v>
      </c>
      <c r="V6" s="98" t="s">
        <v>59</v>
      </c>
    </row>
    <row r="7" spans="1:22" ht="40" customHeight="1" outlineLevel="1" x14ac:dyDescent="0.35">
      <c r="B7" s="1" t="s">
        <v>60</v>
      </c>
      <c r="C7" s="99" t="s">
        <v>61</v>
      </c>
      <c r="D7" s="11"/>
      <c r="E7" s="19"/>
      <c r="F7" s="22">
        <f>F24/E24-1</f>
        <v>4.6131666737559751E-2</v>
      </c>
      <c r="G7" s="22">
        <f>G24/F24-1</f>
        <v>9.8954453375155182E-2</v>
      </c>
      <c r="H7" s="22">
        <f>H24/G24-1</f>
        <v>0.13476136016020535</v>
      </c>
      <c r="I7" s="22">
        <f>I24/H24-1</f>
        <v>0.15914926469817625</v>
      </c>
      <c r="J7" s="100">
        <v>0.27</v>
      </c>
      <c r="K7" s="100">
        <v>0.16</v>
      </c>
      <c r="L7" s="100">
        <v>0.13</v>
      </c>
      <c r="M7" s="100">
        <v>0.1</v>
      </c>
      <c r="N7" s="100">
        <v>7.0000000000000007E-2</v>
      </c>
      <c r="P7" s="101">
        <v>7</v>
      </c>
      <c r="Q7" s="101" t="s">
        <v>62</v>
      </c>
      <c r="R7" s="102" t="s">
        <v>63</v>
      </c>
      <c r="S7" s="102" t="s">
        <v>64</v>
      </c>
      <c r="T7" s="102" t="s">
        <v>65</v>
      </c>
      <c r="U7" s="103" t="s">
        <v>66</v>
      </c>
      <c r="V7" s="103" t="s">
        <v>34</v>
      </c>
    </row>
    <row r="8" spans="1:22" ht="40" customHeight="1" outlineLevel="1" x14ac:dyDescent="0.35">
      <c r="B8" s="1" t="s">
        <v>67</v>
      </c>
      <c r="C8" s="99" t="s">
        <v>68</v>
      </c>
      <c r="E8" s="22">
        <f>E25/E24</f>
        <v>0.25252784580140614</v>
      </c>
      <c r="F8" s="22">
        <f>F25/F24</f>
        <v>0.21940069848323132</v>
      </c>
      <c r="G8" s="22">
        <f>G25/G24</f>
        <v>0.20551125593552141</v>
      </c>
      <c r="H8" s="22">
        <f>H25/H24</f>
        <v>0.20273696002273037</v>
      </c>
      <c r="I8" s="22">
        <f>I25/I24</f>
        <v>0.17767216225678334</v>
      </c>
      <c r="J8" s="104">
        <f>$I$25/$I$24</f>
        <v>0.17767216225678334</v>
      </c>
      <c r="K8" s="104">
        <f>$I$25/$I$24</f>
        <v>0.17767216225678334</v>
      </c>
      <c r="L8" s="104">
        <f>$I$25/$I$24</f>
        <v>0.17767216225678334</v>
      </c>
      <c r="M8" s="104">
        <f>$I$25/$I$24</f>
        <v>0.17767216225678334</v>
      </c>
      <c r="N8" s="104">
        <f>$I$25/$I$24</f>
        <v>0.17767216225678334</v>
      </c>
      <c r="P8" s="101">
        <v>8</v>
      </c>
      <c r="Q8" s="101" t="s">
        <v>69</v>
      </c>
      <c r="R8" s="102" t="s">
        <v>70</v>
      </c>
      <c r="S8" s="102" t="s">
        <v>71</v>
      </c>
      <c r="T8" s="102" t="s">
        <v>72</v>
      </c>
      <c r="U8" s="103" t="s">
        <v>73</v>
      </c>
      <c r="V8" s="103" t="s">
        <v>18</v>
      </c>
    </row>
    <row r="9" spans="1:22" ht="40" customHeight="1" outlineLevel="1" x14ac:dyDescent="0.35">
      <c r="B9" s="1" t="s">
        <v>74</v>
      </c>
      <c r="C9" s="99" t="s">
        <v>75</v>
      </c>
      <c r="E9" s="105">
        <f t="shared" ref="E9:I10" si="2">E28</f>
        <v>396281</v>
      </c>
      <c r="F9" s="105">
        <f t="shared" si="2"/>
        <v>383863</v>
      </c>
      <c r="G9" s="105">
        <f t="shared" si="2"/>
        <v>400565</v>
      </c>
      <c r="H9" s="105">
        <f t="shared" si="2"/>
        <v>462834</v>
      </c>
      <c r="I9" s="105">
        <f t="shared" si="2"/>
        <v>513028</v>
      </c>
      <c r="J9" s="106">
        <f>MAX(0.15,(($I$28-10922)/$I$24)-0.0075)</f>
        <v>0.24470443936793429</v>
      </c>
      <c r="K9" s="106">
        <f>MAX(0.15,(($I$28-10922)/$I$24)-0.015)</f>
        <v>0.23720443936793428</v>
      </c>
      <c r="L9" s="106">
        <f>MAX(0.15,(($I$28-10922)/$I$24)-0.0225)</f>
        <v>0.2297044393679343</v>
      </c>
      <c r="M9" s="106">
        <f>MAX(0.15,(($I$28-10922)/$I$24)-0.03)</f>
        <v>0.2222044393679343</v>
      </c>
      <c r="N9" s="106">
        <f>MAX(0.15,(($I$28-10922)/$I$24)-0.0375)</f>
        <v>0.21470443936793429</v>
      </c>
      <c r="P9" s="101">
        <v>9</v>
      </c>
      <c r="Q9" s="101" t="s">
        <v>76</v>
      </c>
      <c r="R9" s="102" t="s">
        <v>77</v>
      </c>
      <c r="S9" s="102" t="s">
        <v>78</v>
      </c>
      <c r="T9" s="102" t="s">
        <v>79</v>
      </c>
      <c r="U9" s="103" t="s">
        <v>80</v>
      </c>
      <c r="V9" s="103" t="s">
        <v>18</v>
      </c>
    </row>
    <row r="10" spans="1:22" ht="40" customHeight="1" outlineLevel="1" x14ac:dyDescent="0.35">
      <c r="B10" s="1" t="s">
        <v>81</v>
      </c>
      <c r="C10" s="99" t="s">
        <v>82</v>
      </c>
      <c r="E10" s="105">
        <f t="shared" si="2"/>
        <v>171231</v>
      </c>
      <c r="F10" s="105">
        <f t="shared" si="2"/>
        <v>146758</v>
      </c>
      <c r="G10" s="105">
        <f t="shared" si="2"/>
        <v>159950</v>
      </c>
      <c r="H10" s="105">
        <f t="shared" si="2"/>
        <v>171940</v>
      </c>
      <c r="I10" s="105">
        <f t="shared" si="2"/>
        <v>188347</v>
      </c>
      <c r="J10" s="106">
        <f>$I$29/$I$24</f>
        <v>9.4605421049802879E-2</v>
      </c>
      <c r="K10" s="106">
        <f>$I$29/$I$24</f>
        <v>9.4605421049802879E-2</v>
      </c>
      <c r="L10" s="106">
        <f>$I$29/$I$24</f>
        <v>9.4605421049802879E-2</v>
      </c>
      <c r="M10" s="106">
        <f>$I$29/$I$24</f>
        <v>9.4605421049802879E-2</v>
      </c>
      <c r="N10" s="106">
        <f>$I$29/$I$24</f>
        <v>9.4605421049802879E-2</v>
      </c>
      <c r="P10" s="101">
        <v>10</v>
      </c>
      <c r="Q10" s="101" t="s">
        <v>83</v>
      </c>
      <c r="R10" s="102" t="s">
        <v>84</v>
      </c>
      <c r="S10" s="102" t="s">
        <v>85</v>
      </c>
      <c r="T10" s="102" t="s">
        <v>86</v>
      </c>
      <c r="U10" s="103" t="s">
        <v>87</v>
      </c>
      <c r="V10" s="103" t="s">
        <v>18</v>
      </c>
    </row>
    <row r="11" spans="1:22" ht="40" customHeight="1" outlineLevel="1" x14ac:dyDescent="0.35">
      <c r="B11" s="1" t="s">
        <v>88</v>
      </c>
      <c r="C11" s="99" t="s">
        <v>89</v>
      </c>
      <c r="E11" s="22">
        <f>E30/E92</f>
        <v>0.55132596566061309</v>
      </c>
      <c r="F11" s="22">
        <f>F30/F92</f>
        <v>0.73317092394224914</v>
      </c>
      <c r="G11" s="22">
        <f>G30/G92</f>
        <v>0.832650739476678</v>
      </c>
      <c r="H11" s="22">
        <f>H30/H92</f>
        <v>1.2608973189859567</v>
      </c>
      <c r="I11" s="22">
        <f>I30/I92</f>
        <v>0.38871701546860782</v>
      </c>
      <c r="J11" s="104">
        <f>IF($I$44=0,0.25,$I$30/$I$44)</f>
        <v>0.22081431925922645</v>
      </c>
      <c r="K11" s="104">
        <f>IF($I$44=0,0.25,$I$30/$I$44)</f>
        <v>0.22081431925922645</v>
      </c>
      <c r="L11" s="104">
        <f>IF($I$44=0,0.25,$I$30/$I$44)</f>
        <v>0.22081431925922645</v>
      </c>
      <c r="M11" s="104">
        <f>IF($I$44=0,0.25,$I$30/$I$44)</f>
        <v>0.22081431925922645</v>
      </c>
      <c r="N11" s="104">
        <f>IF($I$44=0,0.25,$I$30/$I$44)</f>
        <v>0.22081431925922645</v>
      </c>
      <c r="P11" s="101">
        <v>11</v>
      </c>
      <c r="Q11" s="101" t="s">
        <v>90</v>
      </c>
      <c r="R11" s="102" t="s">
        <v>91</v>
      </c>
      <c r="S11" s="102" t="s">
        <v>92</v>
      </c>
      <c r="T11" s="102" t="s">
        <v>93</v>
      </c>
      <c r="U11" s="103" t="s">
        <v>94</v>
      </c>
      <c r="V11" s="103" t="s">
        <v>18</v>
      </c>
    </row>
    <row r="12" spans="1:22" ht="40" customHeight="1" outlineLevel="1" x14ac:dyDescent="0.35">
      <c r="B12" s="1" t="s">
        <v>95</v>
      </c>
      <c r="C12" s="99" t="s">
        <v>96</v>
      </c>
      <c r="E12" s="22">
        <f>E101/E98</f>
        <v>5.4219775909985328E-2</v>
      </c>
      <c r="F12" s="22">
        <f>F101/F98</f>
        <v>5.4778406662970666E-2</v>
      </c>
      <c r="G12" s="22">
        <f>G101/G98</f>
        <v>5.1544261677786057E-2</v>
      </c>
      <c r="H12" s="22">
        <f>H101/H98</f>
        <v>5.6744042138781668E-2</v>
      </c>
      <c r="I12" s="22">
        <f>I101/I98</f>
        <v>6.0500556581399634E-2</v>
      </c>
      <c r="J12" s="104">
        <f>IF($I$98=0,0.05,$I$101/$I$98)</f>
        <v>6.0500556581399634E-2</v>
      </c>
      <c r="K12" s="104">
        <f>IF($I$98=0,0.05,$I$101/$I$98)</f>
        <v>6.0500556581399634E-2</v>
      </c>
      <c r="L12" s="104">
        <f>IF($I$98=0,0.05,$I$101/$I$98)</f>
        <v>6.0500556581399634E-2</v>
      </c>
      <c r="M12" s="104">
        <f>IF($I$98=0,0.05,$I$101/$I$98)</f>
        <v>6.0500556581399634E-2</v>
      </c>
      <c r="N12" s="104">
        <f>IF($I$98=0,0.05,$I$101/$I$98)</f>
        <v>6.0500556581399634E-2</v>
      </c>
      <c r="P12" s="101">
        <v>12</v>
      </c>
      <c r="Q12" s="101" t="s">
        <v>97</v>
      </c>
      <c r="R12" s="102" t="s">
        <v>98</v>
      </c>
      <c r="S12" s="102" t="s">
        <v>99</v>
      </c>
      <c r="T12" s="102" t="s">
        <v>100</v>
      </c>
      <c r="U12" s="103" t="s">
        <v>101</v>
      </c>
      <c r="V12" s="103" t="s">
        <v>18</v>
      </c>
    </row>
    <row r="13" spans="1:22" ht="40" customHeight="1" outlineLevel="1" x14ac:dyDescent="0.35">
      <c r="B13" s="1" t="s">
        <v>102</v>
      </c>
      <c r="C13" s="99" t="s">
        <v>103</v>
      </c>
      <c r="D13" s="15"/>
      <c r="E13" s="22">
        <f>E35/E33</f>
        <v>0.23101476866603207</v>
      </c>
      <c r="F13" s="22">
        <f>F35/F33</f>
        <v>0.21485442035148328</v>
      </c>
      <c r="G13" s="22">
        <f>G35/G33</f>
        <v>0.23363638927802485</v>
      </c>
      <c r="H13" s="22">
        <f>H35/H33</f>
        <v>0.21007639644209461</v>
      </c>
      <c r="I13" s="22">
        <f>I35/I33</f>
        <v>0.19137978563797284</v>
      </c>
      <c r="J13" s="104">
        <f>IF($I$33=0,0.21,$I$35/$I$33)</f>
        <v>0.19137978563797284</v>
      </c>
      <c r="K13" s="104">
        <f>IF($I$33=0,0.21,$I$35/$I$33)</f>
        <v>0.19137978563797284</v>
      </c>
      <c r="L13" s="104">
        <f>IF($I$33=0,0.21,$I$35/$I$33)</f>
        <v>0.19137978563797284</v>
      </c>
      <c r="M13" s="104">
        <f>IF($I$33=0,0.21,$I$35/$I$33)</f>
        <v>0.19137978563797284</v>
      </c>
      <c r="N13" s="104">
        <f>IF($I$33=0,0.21,$I$35/$I$33)</f>
        <v>0.19137978563797284</v>
      </c>
      <c r="P13" s="101">
        <v>13</v>
      </c>
      <c r="Q13" s="101" t="s">
        <v>104</v>
      </c>
      <c r="R13" s="102" t="s">
        <v>105</v>
      </c>
      <c r="S13" s="102" t="s">
        <v>106</v>
      </c>
      <c r="T13" s="102" t="s">
        <v>107</v>
      </c>
      <c r="U13" s="103" t="s">
        <v>108</v>
      </c>
      <c r="V13" s="103" t="s">
        <v>18</v>
      </c>
    </row>
    <row r="14" spans="1:22" outlineLevel="1" x14ac:dyDescent="0.35">
      <c r="B14" s="3" t="s">
        <v>109</v>
      </c>
      <c r="C14" s="1"/>
      <c r="F14" s="1"/>
      <c r="G14" s="1"/>
      <c r="H14" s="1"/>
      <c r="I14" s="1"/>
      <c r="K14" s="1"/>
      <c r="L14" s="1"/>
      <c r="M14" s="1"/>
      <c r="N14" s="1"/>
    </row>
    <row r="15" spans="1:22" ht="40" customHeight="1" outlineLevel="1" x14ac:dyDescent="0.35">
      <c r="B15" s="1" t="s">
        <v>110</v>
      </c>
      <c r="C15" s="107" t="s">
        <v>111</v>
      </c>
      <c r="D15" s="21"/>
      <c r="E15" s="105">
        <f t="shared" ref="E15:I16" si="3">E42/E24*365</f>
        <v>86.529388486148505</v>
      </c>
      <c r="F15" s="105">
        <f t="shared" si="3"/>
        <v>85.444139493345531</v>
      </c>
      <c r="G15" s="105">
        <f t="shared" si="3"/>
        <v>93.554887592604715</v>
      </c>
      <c r="H15" s="105">
        <f t="shared" si="3"/>
        <v>90.667815217935569</v>
      </c>
      <c r="I15" s="105">
        <f t="shared" si="3"/>
        <v>97.012420204443387</v>
      </c>
      <c r="J15" s="106">
        <f>MAX(0,(($I$42+$I$43-$I$48-$I$88)/$I$24))*0.7+0.03*(1-0.7)</f>
        <v>0.11780811344191908</v>
      </c>
      <c r="K15" s="106">
        <f>MAX(0,(($I$42+$I$43-$I$48-$I$88)/$I$24))*0.5+0.03*(1-0.5)</f>
        <v>9.2720081029942197E-2</v>
      </c>
      <c r="L15" s="106">
        <f>MAX(0,(($I$42+$I$43-$I$48-$I$88)/$I$24))*0.3+0.03*(1-0.3)</f>
        <v>6.7632048617965318E-2</v>
      </c>
      <c r="M15" s="106">
        <f>MAX(0,(($I$42+$I$43-$I$48-$I$88)/$I$24))*0.15+0.03*(1-0.15)</f>
        <v>4.8816024308982658E-2</v>
      </c>
      <c r="N15" s="106">
        <f>MAX(0,(($I$42+$I$43-$I$48-$I$88)/$I$24))*0+0.03*(1-0)</f>
        <v>0.03</v>
      </c>
      <c r="P15" s="101">
        <v>15</v>
      </c>
      <c r="Q15" s="101" t="s">
        <v>112</v>
      </c>
      <c r="R15" s="102" t="s">
        <v>113</v>
      </c>
      <c r="S15" s="102" t="s">
        <v>114</v>
      </c>
      <c r="T15" s="102" t="s">
        <v>115</v>
      </c>
      <c r="U15" s="103" t="s">
        <v>116</v>
      </c>
      <c r="V15" s="103" t="s">
        <v>42</v>
      </c>
    </row>
    <row r="16" spans="1:22" ht="40" customHeight="1" outlineLevel="1" x14ac:dyDescent="0.35">
      <c r="B16" s="1" t="s">
        <v>117</v>
      </c>
      <c r="C16" s="107" t="s">
        <v>118</v>
      </c>
      <c r="D16" s="21"/>
      <c r="E16" s="105">
        <f t="shared" si="3"/>
        <v>0</v>
      </c>
      <c r="F16" s="105">
        <f t="shared" si="3"/>
        <v>0</v>
      </c>
      <c r="G16" s="105">
        <f t="shared" si="3"/>
        <v>0</v>
      </c>
      <c r="H16" s="105">
        <f t="shared" si="3"/>
        <v>0</v>
      </c>
      <c r="I16" s="105">
        <f t="shared" si="3"/>
        <v>0</v>
      </c>
      <c r="J16" s="108">
        <v>0</v>
      </c>
      <c r="K16" s="108">
        <v>0</v>
      </c>
      <c r="L16" s="108">
        <v>0</v>
      </c>
      <c r="M16" s="108">
        <v>0</v>
      </c>
      <c r="N16" s="108">
        <v>0</v>
      </c>
      <c r="P16" s="101">
        <v>16</v>
      </c>
      <c r="Q16" s="101" t="s">
        <v>117</v>
      </c>
      <c r="R16" s="102" t="s">
        <v>119</v>
      </c>
      <c r="S16" s="102" t="s">
        <v>120</v>
      </c>
      <c r="T16" s="102" t="s">
        <v>121</v>
      </c>
      <c r="U16" s="103" t="s">
        <v>122</v>
      </c>
      <c r="V16" s="103" t="s">
        <v>18</v>
      </c>
    </row>
    <row r="17" spans="2:22" ht="40" customHeight="1" outlineLevel="1" x14ac:dyDescent="0.35">
      <c r="B17" s="1" t="s">
        <v>123</v>
      </c>
      <c r="C17" s="107" t="s">
        <v>124</v>
      </c>
      <c r="D17" s="21"/>
      <c r="E17" s="105">
        <f>E48/E25*365</f>
        <v>22.779701138776762</v>
      </c>
      <c r="F17" s="105">
        <f>F48/F25*365</f>
        <v>20.864286801644088</v>
      </c>
      <c r="G17" s="105">
        <f>G48/G25*365</f>
        <v>22.305796761323631</v>
      </c>
      <c r="H17" s="105">
        <f>H48/H25*365</f>
        <v>23.556874378959581</v>
      </c>
      <c r="I17" s="105">
        <f>I48/I25*365</f>
        <v>33.345324859635532</v>
      </c>
      <c r="J17" s="109">
        <f>IF($I$25=0,0,ROUND($I$48/$I$25*365,0))</f>
        <v>33</v>
      </c>
      <c r="K17" s="109">
        <f>IF($I$25=0,0,ROUND($I$48/$I$25*365,0))</f>
        <v>33</v>
      </c>
      <c r="L17" s="109">
        <f>IF($I$25=0,0,ROUND($I$48/$I$25*365,0))</f>
        <v>33</v>
      </c>
      <c r="M17" s="109">
        <f>IF($I$25=0,0,ROUND($I$48/$I$25*365,0))</f>
        <v>33</v>
      </c>
      <c r="N17" s="109">
        <f>IF($I$25=0,0,ROUND($I$48/$I$25*365,0))</f>
        <v>33</v>
      </c>
      <c r="P17" s="101">
        <v>17</v>
      </c>
      <c r="Q17" s="101" t="s">
        <v>123</v>
      </c>
      <c r="R17" s="102" t="s">
        <v>125</v>
      </c>
      <c r="S17" s="102" t="s">
        <v>126</v>
      </c>
      <c r="T17" s="102" t="s">
        <v>127</v>
      </c>
      <c r="U17" s="103" t="s">
        <v>128</v>
      </c>
      <c r="V17" s="103" t="s">
        <v>18</v>
      </c>
    </row>
    <row r="18" spans="2:22" ht="40" customHeight="1" outlineLevel="1" x14ac:dyDescent="0.35">
      <c r="B18" s="1" t="s">
        <v>129</v>
      </c>
      <c r="C18" s="107" t="s">
        <v>130</v>
      </c>
      <c r="E18" s="105">
        <f>E68</f>
        <v>7569</v>
      </c>
      <c r="F18" s="105">
        <f>F68</f>
        <v>6029</v>
      </c>
      <c r="G18" s="105">
        <f>G68</f>
        <v>4237</v>
      </c>
      <c r="H18" s="105">
        <f>H68</f>
        <v>25551</v>
      </c>
      <c r="I18" s="105">
        <f>I68</f>
        <v>39407</v>
      </c>
      <c r="J18" s="106">
        <f>($I$68/$I$24)*0.4+0.01*(1-0.4)</f>
        <v>1.3917547563400707E-2</v>
      </c>
      <c r="K18" s="106">
        <f>($I$68/$I$24)*0.2+0.01*(1-0.2)</f>
        <v>1.1958773781700353E-2</v>
      </c>
      <c r="L18" s="106">
        <f>($I$68/$I$24)*0.1+0.01*(1-0.1)</f>
        <v>1.0979386890850177E-2</v>
      </c>
      <c r="M18" s="106">
        <f>($I$68/$I$24)*0+0.01*(1-0)</f>
        <v>0.01</v>
      </c>
      <c r="N18" s="106">
        <f>($I$68/$I$24)*0+0.01*(1-0)</f>
        <v>0.01</v>
      </c>
      <c r="P18" s="101">
        <v>18</v>
      </c>
      <c r="Q18" s="101" t="s">
        <v>131</v>
      </c>
      <c r="R18" s="102" t="s">
        <v>132</v>
      </c>
      <c r="S18" s="102" t="s">
        <v>133</v>
      </c>
      <c r="T18" s="102" t="s">
        <v>134</v>
      </c>
      <c r="U18" s="103" t="s">
        <v>135</v>
      </c>
      <c r="V18" s="103" t="s">
        <v>18</v>
      </c>
    </row>
    <row r="19" spans="2:22" ht="40" customHeight="1" outlineLevel="1" x14ac:dyDescent="0.35">
      <c r="B19" s="1" t="s">
        <v>136</v>
      </c>
      <c r="C19" s="107" t="s">
        <v>137</v>
      </c>
      <c r="E19" s="105">
        <f>E99</f>
        <v>519583</v>
      </c>
      <c r="F19" s="105">
        <f>F99</f>
        <v>594651</v>
      </c>
      <c r="G19" s="105">
        <f>G99</f>
        <v>7989</v>
      </c>
      <c r="H19" s="105">
        <f>H99</f>
        <v>347363</v>
      </c>
      <c r="I19" s="105">
        <f>I99</f>
        <v>846670</v>
      </c>
      <c r="J19" s="110">
        <v>0</v>
      </c>
      <c r="K19" s="110">
        <v>0</v>
      </c>
      <c r="L19" s="110">
        <v>0</v>
      </c>
      <c r="M19" s="110">
        <v>0</v>
      </c>
      <c r="N19" s="110">
        <v>0</v>
      </c>
      <c r="P19" s="101">
        <v>19</v>
      </c>
      <c r="Q19" s="101" t="s">
        <v>138</v>
      </c>
      <c r="R19" s="102" t="s">
        <v>139</v>
      </c>
      <c r="S19" s="102" t="s">
        <v>140</v>
      </c>
      <c r="T19" s="102" t="s">
        <v>141</v>
      </c>
      <c r="U19" s="103" t="s">
        <v>142</v>
      </c>
      <c r="V19" s="103" t="s">
        <v>20</v>
      </c>
    </row>
    <row r="20" spans="2:22" ht="40" customHeight="1" outlineLevel="1" x14ac:dyDescent="0.35">
      <c r="B20" s="1" t="s">
        <v>143</v>
      </c>
      <c r="C20" s="107" t="s">
        <v>144</v>
      </c>
      <c r="E20" s="105">
        <f>E73</f>
        <v>0</v>
      </c>
      <c r="F20" s="105">
        <f>F73</f>
        <v>0</v>
      </c>
      <c r="G20" s="105">
        <f>G73</f>
        <v>0</v>
      </c>
      <c r="H20" s="105">
        <f>H73</f>
        <v>0</v>
      </c>
      <c r="I20" s="105">
        <f>I73</f>
        <v>0</v>
      </c>
      <c r="J20" s="110">
        <v>0</v>
      </c>
      <c r="K20" s="110">
        <v>0</v>
      </c>
      <c r="L20" s="110">
        <v>0</v>
      </c>
      <c r="M20" s="110">
        <v>0</v>
      </c>
      <c r="N20" s="110">
        <v>0</v>
      </c>
      <c r="P20" s="101">
        <v>20</v>
      </c>
      <c r="Q20" s="101" t="s">
        <v>145</v>
      </c>
      <c r="R20" s="102" t="s">
        <v>146</v>
      </c>
      <c r="S20" s="102" t="s">
        <v>140</v>
      </c>
      <c r="T20" s="102" t="s">
        <v>147</v>
      </c>
      <c r="U20" s="103" t="s">
        <v>148</v>
      </c>
      <c r="V20" s="103" t="s">
        <v>26</v>
      </c>
    </row>
    <row r="21" spans="2:22" outlineLevel="1" x14ac:dyDescent="0.35">
      <c r="E21" s="20"/>
      <c r="F21" s="20"/>
      <c r="G21" s="20"/>
      <c r="H21" s="20"/>
      <c r="I21" s="20"/>
      <c r="J21" s="10"/>
      <c r="K21" s="10"/>
      <c r="L21" s="10"/>
      <c r="M21" s="10"/>
      <c r="N21" s="10"/>
    </row>
    <row r="22" spans="2:22" x14ac:dyDescent="0.35">
      <c r="E22" s="20"/>
      <c r="F22" s="20"/>
      <c r="G22" s="20"/>
      <c r="H22" s="20"/>
      <c r="I22" s="20"/>
      <c r="J22" s="10"/>
      <c r="K22" s="10"/>
      <c r="L22" s="10"/>
      <c r="M22" s="10"/>
      <c r="N22" s="10"/>
    </row>
    <row r="23" spans="2:22" ht="18" customHeight="1" x14ac:dyDescent="0.35">
      <c r="B23" s="34" t="s">
        <v>149</v>
      </c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</row>
    <row r="24" spans="2:22" outlineLevel="1" x14ac:dyDescent="0.35">
      <c r="B24" s="3" t="s">
        <v>150</v>
      </c>
      <c r="C24" s="111" t="s">
        <v>151</v>
      </c>
      <c r="D24" s="11"/>
      <c r="E24" s="112">
        <v>1316536</v>
      </c>
      <c r="F24" s="112">
        <v>1377270</v>
      </c>
      <c r="G24" s="112">
        <v>1513557</v>
      </c>
      <c r="H24" s="112">
        <v>1717526</v>
      </c>
      <c r="I24" s="112">
        <v>1990869</v>
      </c>
      <c r="J24" s="109">
        <f>I24*(1+J7)</f>
        <v>2528403.63</v>
      </c>
      <c r="K24" s="109">
        <f>J24*(1+K7)</f>
        <v>2932948.2107999995</v>
      </c>
      <c r="L24" s="109">
        <f>K24*(1+L7)</f>
        <v>3314231.4782039993</v>
      </c>
      <c r="M24" s="109">
        <f>L24*(1+M7)</f>
        <v>3645654.6260243994</v>
      </c>
      <c r="N24" s="109">
        <f>M24*(1+N7)</f>
        <v>3900850.4498461075</v>
      </c>
    </row>
    <row r="25" spans="2:22" outlineLevel="1" x14ac:dyDescent="0.35">
      <c r="B25" s="1" t="s">
        <v>152</v>
      </c>
      <c r="C25" s="111" t="s">
        <v>153</v>
      </c>
      <c r="E25" s="112">
        <v>332462</v>
      </c>
      <c r="F25" s="112">
        <v>302174</v>
      </c>
      <c r="G25" s="112">
        <v>311053</v>
      </c>
      <c r="H25" s="112">
        <v>348206</v>
      </c>
      <c r="I25" s="112">
        <v>353722</v>
      </c>
      <c r="J25" s="109">
        <f>J24*J8</f>
        <v>449226.93999999994</v>
      </c>
      <c r="K25" s="109">
        <f>K24*K8</f>
        <v>521103.2503999999</v>
      </c>
      <c r="L25" s="109">
        <f>L24*L8</f>
        <v>588846.67295199982</v>
      </c>
      <c r="M25" s="109">
        <f>M24*M8</f>
        <v>647731.34024719987</v>
      </c>
      <c r="N25" s="109">
        <f>N24*N8</f>
        <v>693072.53406450385</v>
      </c>
    </row>
    <row r="26" spans="2:22" outlineLevel="1" x14ac:dyDescent="0.35">
      <c r="B26" s="4" t="s">
        <v>154</v>
      </c>
      <c r="C26" s="113" t="s">
        <v>155</v>
      </c>
      <c r="D26" s="13"/>
      <c r="E26" s="114">
        <f t="shared" ref="E26:N26" si="4">E24-E25</f>
        <v>984074</v>
      </c>
      <c r="F26" s="114">
        <f t="shared" si="4"/>
        <v>1075096</v>
      </c>
      <c r="G26" s="114">
        <f t="shared" si="4"/>
        <v>1202504</v>
      </c>
      <c r="H26" s="114">
        <f t="shared" si="4"/>
        <v>1369320</v>
      </c>
      <c r="I26" s="114">
        <f t="shared" si="4"/>
        <v>1637147</v>
      </c>
      <c r="J26" s="109">
        <f t="shared" si="4"/>
        <v>2079176.69</v>
      </c>
      <c r="K26" s="109">
        <f t="shared" si="4"/>
        <v>2411844.9603999997</v>
      </c>
      <c r="L26" s="109">
        <f t="shared" si="4"/>
        <v>2725384.8052519998</v>
      </c>
      <c r="M26" s="109">
        <f t="shared" si="4"/>
        <v>2997923.2857771995</v>
      </c>
      <c r="N26" s="109">
        <f t="shared" si="4"/>
        <v>3207777.9157816037</v>
      </c>
    </row>
    <row r="27" spans="2:22" outlineLevel="1" x14ac:dyDescent="0.35">
      <c r="B27" s="3" t="s">
        <v>156</v>
      </c>
      <c r="C27" s="3"/>
      <c r="D27" s="11"/>
      <c r="E27" s="9"/>
      <c r="F27" s="9"/>
      <c r="G27" s="9"/>
      <c r="H27" s="9"/>
      <c r="I27" s="9"/>
      <c r="J27" s="19"/>
      <c r="K27" s="19"/>
      <c r="L27" s="19"/>
      <c r="M27" s="19"/>
      <c r="N27" s="19"/>
    </row>
    <row r="28" spans="2:22" outlineLevel="1" x14ac:dyDescent="0.35">
      <c r="B28" s="1" t="s">
        <v>157</v>
      </c>
      <c r="C28" s="115" t="s">
        <v>158</v>
      </c>
      <c r="E28" s="112">
        <v>396281</v>
      </c>
      <c r="F28" s="112">
        <v>383863</v>
      </c>
      <c r="G28" s="112">
        <v>400565</v>
      </c>
      <c r="H28" s="112">
        <v>462834</v>
      </c>
      <c r="I28" s="112">
        <v>513028</v>
      </c>
      <c r="J28" s="109">
        <f>J24*J9</f>
        <v>618711.59277499991</v>
      </c>
      <c r="K28" s="109">
        <f>K24*K9</f>
        <v>695708.33603799983</v>
      </c>
      <c r="L28" s="109">
        <f>L24*L9</f>
        <v>761293.68363640981</v>
      </c>
      <c r="M28" s="109">
        <f>M24*M9</f>
        <v>810080.64230486786</v>
      </c>
      <c r="N28" s="109">
        <f>N24*N9</f>
        <v>837529.90889236284</v>
      </c>
    </row>
    <row r="29" spans="2:22" outlineLevel="1" x14ac:dyDescent="0.35">
      <c r="B29" s="1" t="s">
        <v>159</v>
      </c>
      <c r="C29" s="115" t="s">
        <v>160</v>
      </c>
      <c r="E29" s="112">
        <v>171231</v>
      </c>
      <c r="F29" s="112">
        <v>146758</v>
      </c>
      <c r="G29" s="112">
        <v>159950</v>
      </c>
      <c r="H29" s="112">
        <v>171940</v>
      </c>
      <c r="I29" s="112">
        <v>188347</v>
      </c>
      <c r="J29" s="109">
        <f>J24*J10</f>
        <v>239200.69</v>
      </c>
      <c r="K29" s="109">
        <f>K24*K10</f>
        <v>277472.80039999995</v>
      </c>
      <c r="L29" s="109">
        <f>L24*L10</f>
        <v>313544.26445199997</v>
      </c>
      <c r="M29" s="109">
        <f>M24*M10</f>
        <v>344898.69089719997</v>
      </c>
      <c r="N29" s="109">
        <f>N24*N10</f>
        <v>369041.59926000395</v>
      </c>
    </row>
    <row r="30" spans="2:22" outlineLevel="1" x14ac:dyDescent="0.35">
      <c r="B30" s="1" t="s">
        <v>161</v>
      </c>
      <c r="C30" s="115" t="s">
        <v>162</v>
      </c>
      <c r="E30" s="112">
        <v>25592</v>
      </c>
      <c r="F30" s="112">
        <v>20465</v>
      </c>
      <c r="G30" s="112">
        <v>14638</v>
      </c>
      <c r="H30" s="112">
        <v>13827</v>
      </c>
      <c r="I30" s="112">
        <v>14952</v>
      </c>
      <c r="J30" s="109">
        <f>((J92+(J92+J93))/2)*J11</f>
        <v>18837.137168391298</v>
      </c>
      <c r="K30" s="109">
        <f>((K92+(K92+K93))/2)*K11</f>
        <v>22435.236680294474</v>
      </c>
      <c r="L30" s="109">
        <f>((L92+(L92+L93))/2)*L11</f>
        <v>25371.208208517011</v>
      </c>
      <c r="M30" s="109">
        <f>((M92+(M92+M93))/2)*M11</f>
        <v>27811.466940726881</v>
      </c>
      <c r="N30" s="109">
        <f>((N92+(N92+N93))/2)*N11</f>
        <v>30002.178706183007</v>
      </c>
    </row>
    <row r="31" spans="2:22" outlineLevel="1" x14ac:dyDescent="0.35">
      <c r="B31" s="2" t="s">
        <v>163</v>
      </c>
      <c r="C31" s="116" t="s">
        <v>164</v>
      </c>
      <c r="D31" s="14"/>
      <c r="E31" s="117">
        <v>40092</v>
      </c>
      <c r="F31" s="117">
        <v>68967</v>
      </c>
      <c r="G31" s="117">
        <v>95546</v>
      </c>
      <c r="H31" s="117">
        <v>105638</v>
      </c>
      <c r="I31" s="117">
        <v>133647</v>
      </c>
      <c r="J31" s="109">
        <f>J98*J12</f>
        <v>184871.00624077363</v>
      </c>
      <c r="K31" s="109">
        <f>K98*K12</f>
        <v>184871.00624077363</v>
      </c>
      <c r="L31" s="109">
        <f>L98*L12</f>
        <v>184871.00624077363</v>
      </c>
      <c r="M31" s="109">
        <f>M98*M12</f>
        <v>184871.00624077363</v>
      </c>
      <c r="N31" s="109">
        <f>N98*N12</f>
        <v>184871.00624077363</v>
      </c>
    </row>
    <row r="32" spans="2:22" outlineLevel="1" x14ac:dyDescent="0.35">
      <c r="B32" s="3" t="s">
        <v>165</v>
      </c>
      <c r="C32" s="1"/>
      <c r="E32" s="118">
        <f t="shared" ref="E32:N32" si="5">SUM(E28:E31)</f>
        <v>633196</v>
      </c>
      <c r="F32" s="118">
        <f t="shared" si="5"/>
        <v>620053</v>
      </c>
      <c r="G32" s="118">
        <f t="shared" si="5"/>
        <v>670699</v>
      </c>
      <c r="H32" s="118">
        <f t="shared" si="5"/>
        <v>754239</v>
      </c>
      <c r="I32" s="118">
        <f t="shared" si="5"/>
        <v>849974</v>
      </c>
      <c r="J32" s="109">
        <f t="shared" si="5"/>
        <v>1061620.4261841648</v>
      </c>
      <c r="K32" s="109">
        <f t="shared" si="5"/>
        <v>1180487.3793590679</v>
      </c>
      <c r="L32" s="109">
        <f t="shared" si="5"/>
        <v>1285080.1625377005</v>
      </c>
      <c r="M32" s="109">
        <f t="shared" si="5"/>
        <v>1367661.8063835683</v>
      </c>
      <c r="N32" s="109">
        <f t="shared" si="5"/>
        <v>1421444.6930993237</v>
      </c>
    </row>
    <row r="33" spans="2:14" outlineLevel="1" x14ac:dyDescent="0.35">
      <c r="B33" s="4" t="s">
        <v>166</v>
      </c>
      <c r="C33" s="113" t="s">
        <v>167</v>
      </c>
      <c r="D33" s="13"/>
      <c r="E33" s="114">
        <f t="shared" ref="E33:N33" si="6">E26-E32</f>
        <v>350878</v>
      </c>
      <c r="F33" s="114">
        <f t="shared" si="6"/>
        <v>455043</v>
      </c>
      <c r="G33" s="114">
        <f t="shared" si="6"/>
        <v>531805</v>
      </c>
      <c r="H33" s="114">
        <f t="shared" si="6"/>
        <v>615081</v>
      </c>
      <c r="I33" s="114">
        <f t="shared" si="6"/>
        <v>787173</v>
      </c>
      <c r="J33" s="109">
        <f t="shared" si="6"/>
        <v>1017556.2638158351</v>
      </c>
      <c r="K33" s="109">
        <f t="shared" si="6"/>
        <v>1231357.5810409319</v>
      </c>
      <c r="L33" s="109">
        <f t="shared" si="6"/>
        <v>1440304.6427142993</v>
      </c>
      <c r="M33" s="109">
        <f t="shared" si="6"/>
        <v>1630261.4793936312</v>
      </c>
      <c r="N33" s="109">
        <f t="shared" si="6"/>
        <v>1786333.22268228</v>
      </c>
    </row>
    <row r="34" spans="2:14" outlineLevel="1" x14ac:dyDescent="0.35">
      <c r="B34" s="3"/>
      <c r="C34" s="3"/>
      <c r="D34" s="11"/>
      <c r="E34" s="9"/>
      <c r="F34" s="9"/>
      <c r="G34" s="9"/>
      <c r="H34" s="9"/>
      <c r="I34" s="9"/>
      <c r="J34" s="19"/>
      <c r="K34" s="19"/>
      <c r="L34" s="19"/>
      <c r="M34" s="19"/>
      <c r="N34" s="19"/>
    </row>
    <row r="35" spans="2:14" outlineLevel="1" x14ac:dyDescent="0.35">
      <c r="B35" s="1" t="s">
        <v>168</v>
      </c>
      <c r="C35" s="111" t="s">
        <v>169</v>
      </c>
      <c r="E35" s="112">
        <v>81058</v>
      </c>
      <c r="F35" s="112">
        <v>97768</v>
      </c>
      <c r="G35" s="112">
        <v>124249</v>
      </c>
      <c r="H35" s="112">
        <v>129214</v>
      </c>
      <c r="I35" s="112">
        <v>150649</v>
      </c>
      <c r="J35" s="109">
        <f>J33*J13</f>
        <v>194739.69964365105</v>
      </c>
      <c r="K35" s="109">
        <f>K33*K13</f>
        <v>235656.94990330632</v>
      </c>
      <c r="L35" s="109">
        <f>L33*L13</f>
        <v>275645.19377603964</v>
      </c>
      <c r="M35" s="109">
        <f>M33*M13</f>
        <v>311999.09246019763</v>
      </c>
      <c r="N35" s="109">
        <f>N33*N13</f>
        <v>341868.06923492393</v>
      </c>
    </row>
    <row r="36" spans="2:14" ht="16.25" customHeight="1" outlineLevel="1" thickBot="1" x14ac:dyDescent="0.4">
      <c r="B36" s="24" t="s">
        <v>170</v>
      </c>
      <c r="C36" s="119" t="s">
        <v>171</v>
      </c>
      <c r="D36" s="25"/>
      <c r="E36" s="120">
        <f>E33-E35</f>
        <v>269820</v>
      </c>
      <c r="F36" s="120">
        <f>F33-F35</f>
        <v>357275</v>
      </c>
      <c r="G36" s="120">
        <f>G33-G35</f>
        <v>407556</v>
      </c>
      <c r="H36" s="120">
        <f>H33-H35</f>
        <v>485867</v>
      </c>
      <c r="I36" s="120">
        <f>I33-I35</f>
        <v>636524</v>
      </c>
      <c r="J36" s="109">
        <f>J33*(1-J13)</f>
        <v>822816.56417218398</v>
      </c>
      <c r="K36" s="109">
        <f>K33*(1-K13)</f>
        <v>995700.63113762555</v>
      </c>
      <c r="L36" s="109">
        <f>L33*(1-L13)</f>
        <v>1164659.4489382596</v>
      </c>
      <c r="M36" s="109">
        <f>M33*(1-M13)</f>
        <v>1318262.3869334336</v>
      </c>
      <c r="N36" s="109">
        <f>N33*(1-N13)</f>
        <v>1444465.1534473561</v>
      </c>
    </row>
    <row r="37" spans="2:14" ht="16.25" customHeight="1" outlineLevel="1" collapsed="1" thickTop="1" x14ac:dyDescent="0.35">
      <c r="E37" s="10"/>
      <c r="F37" s="10"/>
      <c r="G37" s="10"/>
      <c r="H37" s="10"/>
      <c r="I37" s="10"/>
    </row>
    <row r="38" spans="2:14" x14ac:dyDescent="0.35"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spans="2:14" ht="18" customHeight="1" x14ac:dyDescent="0.35">
      <c r="B39" s="34" t="s">
        <v>109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</row>
    <row r="40" spans="2:14" hidden="1" outlineLevel="1" x14ac:dyDescent="0.35">
      <c r="B40" s="3" t="s">
        <v>172</v>
      </c>
      <c r="E40" s="10"/>
      <c r="F40" s="10"/>
      <c r="G40" s="10"/>
      <c r="H40" s="10"/>
      <c r="I40" s="10"/>
    </row>
    <row r="41" spans="2:14" hidden="1" outlineLevel="1" x14ac:dyDescent="0.35">
      <c r="B41" s="1" t="s">
        <v>173</v>
      </c>
      <c r="E41" s="112">
        <v>195354</v>
      </c>
      <c r="F41" s="112">
        <v>133202</v>
      </c>
      <c r="G41" s="112">
        <v>136778</v>
      </c>
      <c r="H41" s="112">
        <v>150667</v>
      </c>
      <c r="I41" s="112">
        <v>134136</v>
      </c>
      <c r="J41" s="109">
        <f>J78</f>
        <v>952195.06189057522</v>
      </c>
      <c r="K41" s="109">
        <f>K78</f>
        <v>1961179.7314500953</v>
      </c>
      <c r="L41" s="109">
        <f>L78</f>
        <v>3162617.0902487519</v>
      </c>
      <c r="M41" s="109">
        <f>M78</f>
        <v>4518416.29748159</v>
      </c>
      <c r="N41" s="109">
        <f>N78</f>
        <v>6014815.9764874466</v>
      </c>
    </row>
    <row r="42" spans="2:14" hidden="1" outlineLevel="1" x14ac:dyDescent="0.35">
      <c r="B42" s="1" t="s">
        <v>174</v>
      </c>
      <c r="C42" s="115" t="s">
        <v>175</v>
      </c>
      <c r="E42" s="112">
        <v>312107</v>
      </c>
      <c r="F42" s="112">
        <v>322410</v>
      </c>
      <c r="G42" s="112">
        <v>387947</v>
      </c>
      <c r="H42" s="112">
        <v>426642</v>
      </c>
      <c r="I42" s="112">
        <v>529148</v>
      </c>
      <c r="J42" s="109">
        <f>J89+J48+J88-J43</f>
        <v>576443.94008095888</v>
      </c>
      <c r="K42" s="109">
        <f>K89+K48+K88-K43</f>
        <v>595093.07071871217</v>
      </c>
      <c r="L42" s="109">
        <f>L89+L48+L88-L43</f>
        <v>589307.62316616881</v>
      </c>
      <c r="M42" s="109">
        <f>M89+M48+M88-M43</f>
        <v>579641.65941735555</v>
      </c>
      <c r="N42" s="109">
        <f>N89+N48+N88-N43</f>
        <v>546818.07868656004</v>
      </c>
    </row>
    <row r="43" spans="2:14" hidden="1" outlineLevel="1" x14ac:dyDescent="0.35">
      <c r="B43" s="1" t="s">
        <v>176</v>
      </c>
      <c r="E43" s="112">
        <v>0</v>
      </c>
      <c r="F43" s="112">
        <v>0</v>
      </c>
      <c r="G43" s="112">
        <v>0</v>
      </c>
      <c r="H43" s="112">
        <v>0</v>
      </c>
      <c r="I43" s="112">
        <v>0</v>
      </c>
      <c r="J43" s="109">
        <f>J25*J16/365</f>
        <v>0</v>
      </c>
      <c r="K43" s="109">
        <f>K25*K16/365</f>
        <v>0</v>
      </c>
      <c r="L43" s="109">
        <f>L25*L16/365</f>
        <v>0</v>
      </c>
      <c r="M43" s="109">
        <f>M25*M16/365</f>
        <v>0</v>
      </c>
      <c r="N43" s="109">
        <f>N25*N16/365</f>
        <v>0</v>
      </c>
    </row>
    <row r="44" spans="2:14" hidden="1" outlineLevel="1" x14ac:dyDescent="0.35">
      <c r="B44" s="1" t="s">
        <v>177</v>
      </c>
      <c r="E44" s="112">
        <v>27913</v>
      </c>
      <c r="F44" s="112">
        <v>17580</v>
      </c>
      <c r="G44" s="112">
        <v>10966</v>
      </c>
      <c r="H44" s="112">
        <v>38465</v>
      </c>
      <c r="I44" s="112">
        <v>67713</v>
      </c>
      <c r="J44" s="109">
        <f>J95</f>
        <v>84065.040611608696</v>
      </c>
      <c r="K44" s="109">
        <f>K95</f>
        <v>96704.268097714215</v>
      </c>
      <c r="L44" s="109">
        <f>L95</f>
        <v>107721.2895342332</v>
      </c>
      <c r="M44" s="109">
        <f>M95</f>
        <v>116366.36885375032</v>
      </c>
      <c r="N44" s="109">
        <f>N95</f>
        <v>125372.69464602839</v>
      </c>
    </row>
    <row r="45" spans="2:14" ht="16.25" hidden="1" customHeight="1" outlineLevel="1" thickBot="1" x14ac:dyDescent="0.4">
      <c r="B45" s="24" t="s">
        <v>178</v>
      </c>
      <c r="C45" s="24"/>
      <c r="D45" s="25"/>
      <c r="E45" s="120">
        <f t="shared" ref="E45:N45" si="7">SUM(E41:E44)</f>
        <v>535374</v>
      </c>
      <c r="F45" s="120">
        <f t="shared" si="7"/>
        <v>473192</v>
      </c>
      <c r="G45" s="120">
        <f t="shared" si="7"/>
        <v>535691</v>
      </c>
      <c r="H45" s="120">
        <f t="shared" si="7"/>
        <v>615774</v>
      </c>
      <c r="I45" s="120">
        <f t="shared" si="7"/>
        <v>730997</v>
      </c>
      <c r="J45" s="109">
        <f t="shared" si="7"/>
        <v>1612704.0425831426</v>
      </c>
      <c r="K45" s="109">
        <f t="shared" si="7"/>
        <v>2652977.0702665215</v>
      </c>
      <c r="L45" s="109">
        <f t="shared" si="7"/>
        <v>3859646.0029491535</v>
      </c>
      <c r="M45" s="109">
        <f t="shared" si="7"/>
        <v>5214424.325752696</v>
      </c>
      <c r="N45" s="109">
        <f t="shared" si="7"/>
        <v>6687006.749820035</v>
      </c>
    </row>
    <row r="46" spans="2:14" ht="16.25" hidden="1" customHeight="1" outlineLevel="1" thickTop="1" x14ac:dyDescent="0.35">
      <c r="B46" s="3"/>
      <c r="C46" s="3"/>
      <c r="D46" s="11"/>
      <c r="E46" s="9"/>
      <c r="F46" s="9"/>
      <c r="G46" s="9"/>
      <c r="H46" s="9"/>
      <c r="I46" s="9"/>
      <c r="J46" s="3"/>
      <c r="K46" s="3"/>
      <c r="L46" s="3"/>
      <c r="M46" s="3"/>
      <c r="N46" s="3"/>
    </row>
    <row r="47" spans="2:14" hidden="1" outlineLevel="1" x14ac:dyDescent="0.35">
      <c r="B47" s="3" t="s">
        <v>179</v>
      </c>
      <c r="E47" s="10"/>
      <c r="F47" s="10"/>
      <c r="G47" s="10"/>
      <c r="H47" s="10"/>
      <c r="I47" s="10"/>
    </row>
    <row r="48" spans="2:14" hidden="1" outlineLevel="1" x14ac:dyDescent="0.35">
      <c r="B48" s="1" t="s">
        <v>180</v>
      </c>
      <c r="C48" s="115" t="s">
        <v>181</v>
      </c>
      <c r="E48" s="112">
        <v>20749</v>
      </c>
      <c r="F48" s="112">
        <v>17273</v>
      </c>
      <c r="G48" s="112">
        <v>19009</v>
      </c>
      <c r="H48" s="112">
        <v>22473</v>
      </c>
      <c r="I48" s="112">
        <v>32315</v>
      </c>
      <c r="J48" s="109">
        <f>J25*J17/365</f>
        <v>40615.038410958899</v>
      </c>
      <c r="K48" s="109">
        <f>K25*K17/365</f>
        <v>47113.444556712318</v>
      </c>
      <c r="L48" s="109">
        <f>L25*L17/365</f>
        <v>53238.192349084915</v>
      </c>
      <c r="M48" s="109">
        <f>M25*M17/365</f>
        <v>58562.011583993408</v>
      </c>
      <c r="N48" s="109">
        <f>N25*N17/365</f>
        <v>62661.352394872956</v>
      </c>
    </row>
    <row r="49" spans="2:14" hidden="1" outlineLevel="1" x14ac:dyDescent="0.35">
      <c r="B49" s="1" t="s">
        <v>182</v>
      </c>
      <c r="E49" s="112">
        <v>1259018</v>
      </c>
      <c r="F49" s="112">
        <v>1853669</v>
      </c>
      <c r="G49" s="112">
        <v>1861658</v>
      </c>
      <c r="H49" s="112">
        <v>2209021</v>
      </c>
      <c r="I49" s="112">
        <v>3055691</v>
      </c>
      <c r="J49" s="109">
        <f>J100</f>
        <v>3055691</v>
      </c>
      <c r="K49" s="109">
        <f>K100</f>
        <v>3055691</v>
      </c>
      <c r="L49" s="109">
        <f>L100</f>
        <v>3055691</v>
      </c>
      <c r="M49" s="109">
        <f>M100</f>
        <v>3055691</v>
      </c>
      <c r="N49" s="109">
        <f>N100</f>
        <v>3055691</v>
      </c>
    </row>
    <row r="50" spans="2:14" hidden="1" outlineLevel="1" x14ac:dyDescent="0.35">
      <c r="B50" s="4" t="s">
        <v>183</v>
      </c>
      <c r="C50" s="113" t="s">
        <v>184</v>
      </c>
      <c r="D50" s="13"/>
      <c r="E50" s="121">
        <f t="shared" ref="E50:N50" si="8">E48+E49+E88</f>
        <v>1385184</v>
      </c>
      <c r="F50" s="121">
        <f t="shared" si="8"/>
        <v>1990987</v>
      </c>
      <c r="G50" s="121">
        <f t="shared" si="8"/>
        <v>2017397</v>
      </c>
      <c r="H50" s="121">
        <f t="shared" si="8"/>
        <v>2388391</v>
      </c>
      <c r="I50" s="121">
        <f t="shared" si="8"/>
        <v>3275378</v>
      </c>
      <c r="J50" s="109">
        <f t="shared" si="8"/>
        <v>3334268.4784109588</v>
      </c>
      <c r="K50" s="109">
        <f t="shared" si="8"/>
        <v>3378840.8749567121</v>
      </c>
      <c r="L50" s="109">
        <f t="shared" si="8"/>
        <v>3420850.3587010852</v>
      </c>
      <c r="M50" s="109">
        <f t="shared" si="8"/>
        <v>3457366.2945711929</v>
      </c>
      <c r="N50" s="109">
        <f t="shared" si="8"/>
        <v>3485483.5651911767</v>
      </c>
    </row>
    <row r="51" spans="2:14" hidden="1" outlineLevel="1" x14ac:dyDescent="0.35">
      <c r="B51" s="3" t="s">
        <v>185</v>
      </c>
      <c r="E51" s="10"/>
      <c r="F51" s="10"/>
      <c r="G51" s="10"/>
      <c r="H51" s="10"/>
      <c r="I51" s="10"/>
    </row>
    <row r="52" spans="2:14" hidden="1" outlineLevel="1" x14ac:dyDescent="0.35">
      <c r="B52" s="1" t="s">
        <v>186</v>
      </c>
      <c r="E52" s="112">
        <v>-849810</v>
      </c>
      <c r="F52" s="112">
        <v>-1517795</v>
      </c>
      <c r="G52" s="112">
        <v>-1481706</v>
      </c>
      <c r="H52" s="112">
        <v>-1772617</v>
      </c>
      <c r="I52" s="112">
        <v>-2544381</v>
      </c>
      <c r="J52" s="109">
        <f>I52+J20</f>
        <v>-2544381</v>
      </c>
      <c r="K52" s="109">
        <f>J52+K20</f>
        <v>-2544381</v>
      </c>
      <c r="L52" s="109">
        <f>K52+L20</f>
        <v>-2544381</v>
      </c>
      <c r="M52" s="109">
        <f>L52+M20</f>
        <v>-2544381</v>
      </c>
      <c r="N52" s="109">
        <f>M52+N20</f>
        <v>-2544381</v>
      </c>
    </row>
    <row r="53" spans="2:14" hidden="1" outlineLevel="1" x14ac:dyDescent="0.35">
      <c r="B53" s="1" t="s">
        <v>187</v>
      </c>
      <c r="C53" s="115" t="s">
        <v>188</v>
      </c>
      <c r="E53" s="112">
        <v>0</v>
      </c>
      <c r="F53" s="112">
        <v>0</v>
      </c>
      <c r="G53" s="112">
        <v>0</v>
      </c>
      <c r="H53" s="112">
        <v>0</v>
      </c>
      <c r="I53" s="112">
        <v>0</v>
      </c>
      <c r="J53" s="109">
        <f>I53+J33*(1-J13)</f>
        <v>822816.56417218398</v>
      </c>
      <c r="K53" s="109">
        <f>J53+K33*(1-K13)</f>
        <v>1818517.1953098094</v>
      </c>
      <c r="L53" s="109">
        <f>K53+L33*(1-L13)</f>
        <v>2983176.6442480693</v>
      </c>
      <c r="M53" s="109">
        <f>L53+M33*(1-M13)</f>
        <v>4301439.0311815031</v>
      </c>
      <c r="N53" s="109">
        <f>M53+N33*(1-N13)</f>
        <v>5745904.1846288592</v>
      </c>
    </row>
    <row r="54" spans="2:14" hidden="1" outlineLevel="1" x14ac:dyDescent="0.35">
      <c r="B54" s="6" t="s">
        <v>185</v>
      </c>
      <c r="C54" s="6"/>
      <c r="D54" s="16"/>
      <c r="E54" s="122">
        <f t="shared" ref="E54:N54" si="9">SUM(E52:E53)</f>
        <v>-849810</v>
      </c>
      <c r="F54" s="122">
        <f t="shared" si="9"/>
        <v>-1517795</v>
      </c>
      <c r="G54" s="122">
        <f t="shared" si="9"/>
        <v>-1481706</v>
      </c>
      <c r="H54" s="122">
        <f t="shared" si="9"/>
        <v>-1772617</v>
      </c>
      <c r="I54" s="122">
        <f t="shared" si="9"/>
        <v>-2544381</v>
      </c>
      <c r="J54" s="109">
        <f t="shared" si="9"/>
        <v>-1721564.4358278159</v>
      </c>
      <c r="K54" s="109">
        <f t="shared" si="9"/>
        <v>-725863.80469019059</v>
      </c>
      <c r="L54" s="109">
        <f t="shared" si="9"/>
        <v>438795.64424806926</v>
      </c>
      <c r="M54" s="109">
        <f t="shared" si="9"/>
        <v>1757058.0311815031</v>
      </c>
      <c r="N54" s="109">
        <f t="shared" si="9"/>
        <v>3201523.1846288592</v>
      </c>
    </row>
    <row r="55" spans="2:14" ht="16.25" hidden="1" customHeight="1" outlineLevel="1" thickBot="1" x14ac:dyDescent="0.4">
      <c r="B55" s="24" t="s">
        <v>189</v>
      </c>
      <c r="C55" s="24"/>
      <c r="D55" s="25"/>
      <c r="E55" s="120">
        <f t="shared" ref="E55:N55" si="10">E50+E54</f>
        <v>535374</v>
      </c>
      <c r="F55" s="120">
        <f t="shared" si="10"/>
        <v>473192</v>
      </c>
      <c r="G55" s="120">
        <f t="shared" si="10"/>
        <v>535691</v>
      </c>
      <c r="H55" s="120">
        <f t="shared" si="10"/>
        <v>615774</v>
      </c>
      <c r="I55" s="120">
        <f t="shared" si="10"/>
        <v>730997</v>
      </c>
      <c r="J55" s="109">
        <f t="shared" si="10"/>
        <v>1612704.0425831429</v>
      </c>
      <c r="K55" s="109">
        <f t="shared" si="10"/>
        <v>2652977.0702665215</v>
      </c>
      <c r="L55" s="109">
        <f t="shared" si="10"/>
        <v>3859646.0029491545</v>
      </c>
      <c r="M55" s="109">
        <f t="shared" si="10"/>
        <v>5214424.325752696</v>
      </c>
      <c r="N55" s="109">
        <f t="shared" si="10"/>
        <v>6687006.7498200359</v>
      </c>
    </row>
    <row r="56" spans="2:14" ht="16.25" hidden="1" customHeight="1" outlineLevel="1" thickTop="1" x14ac:dyDescent="0.35"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 spans="2:14" hidden="1" outlineLevel="1" x14ac:dyDescent="0.35">
      <c r="B57" s="8" t="s">
        <v>190</v>
      </c>
      <c r="C57" s="7"/>
      <c r="D57" s="17"/>
      <c r="E57" s="123">
        <f t="shared" ref="E57:N57" si="11">E55-E45</f>
        <v>0</v>
      </c>
      <c r="F57" s="123">
        <f t="shared" si="11"/>
        <v>0</v>
      </c>
      <c r="G57" s="123">
        <f t="shared" si="11"/>
        <v>0</v>
      </c>
      <c r="H57" s="123">
        <f t="shared" si="11"/>
        <v>0</v>
      </c>
      <c r="I57" s="123">
        <f t="shared" si="11"/>
        <v>0</v>
      </c>
      <c r="J57" s="109">
        <f t="shared" si="11"/>
        <v>0</v>
      </c>
      <c r="K57" s="109">
        <f t="shared" si="11"/>
        <v>0</v>
      </c>
      <c r="L57" s="109">
        <f t="shared" si="11"/>
        <v>0</v>
      </c>
      <c r="M57" s="109">
        <f t="shared" si="11"/>
        <v>0</v>
      </c>
      <c r="N57" s="109">
        <f t="shared" si="11"/>
        <v>0</v>
      </c>
    </row>
    <row r="58" spans="2:14" hidden="1" outlineLevel="1" x14ac:dyDescent="0.35">
      <c r="B58" s="7"/>
      <c r="C58" s="7"/>
      <c r="D58" s="17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 spans="2:14" collapsed="1" x14ac:dyDescent="0.35">
      <c r="E59" s="10"/>
      <c r="F59" s="10"/>
      <c r="G59" s="10"/>
      <c r="H59" s="10"/>
      <c r="I59" s="10"/>
    </row>
    <row r="60" spans="2:14" ht="18" customHeight="1" x14ac:dyDescent="0.35">
      <c r="B60" s="34" t="s">
        <v>191</v>
      </c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</row>
    <row r="61" spans="2:14" hidden="1" outlineLevel="1" x14ac:dyDescent="0.35">
      <c r="B61" s="3" t="s">
        <v>192</v>
      </c>
      <c r="E61" s="10"/>
      <c r="F61" s="10"/>
      <c r="G61" s="10"/>
      <c r="H61" s="10"/>
      <c r="I61" s="10"/>
    </row>
    <row r="62" spans="2:14" hidden="1" outlineLevel="1" x14ac:dyDescent="0.35">
      <c r="B62" s="1" t="s">
        <v>170</v>
      </c>
      <c r="C62" s="115" t="s">
        <v>171</v>
      </c>
      <c r="E62" s="124">
        <f>E36</f>
        <v>269820</v>
      </c>
      <c r="F62" s="124">
        <f>F36</f>
        <v>357275</v>
      </c>
      <c r="G62" s="124">
        <f>G36</f>
        <v>407556</v>
      </c>
      <c r="H62" s="124">
        <f>H36</f>
        <v>485867</v>
      </c>
      <c r="I62" s="124">
        <f>I36</f>
        <v>636524</v>
      </c>
      <c r="J62" s="109">
        <f>J33*(1-J13)</f>
        <v>822816.56417218398</v>
      </c>
      <c r="K62" s="109">
        <f>K33*(1-K13)</f>
        <v>995700.63113762555</v>
      </c>
      <c r="L62" s="109">
        <f>L33*(1-L13)</f>
        <v>1164659.4489382596</v>
      </c>
      <c r="M62" s="109">
        <f>M33*(1-M13)</f>
        <v>1318262.3869334336</v>
      </c>
      <c r="N62" s="109">
        <f>N33*(1-N13)</f>
        <v>1444465.1534473561</v>
      </c>
    </row>
    <row r="63" spans="2:14" hidden="1" outlineLevel="1" x14ac:dyDescent="0.35">
      <c r="B63" s="1" t="s">
        <v>193</v>
      </c>
      <c r="C63" s="115" t="s">
        <v>162</v>
      </c>
      <c r="E63" s="124">
        <f>+E30</f>
        <v>25592</v>
      </c>
      <c r="F63" s="124">
        <f>+F30</f>
        <v>20465</v>
      </c>
      <c r="G63" s="124">
        <f>+G30</f>
        <v>14638</v>
      </c>
      <c r="H63" s="124">
        <f>+H30</f>
        <v>13827</v>
      </c>
      <c r="I63" s="124">
        <f>+I30</f>
        <v>14952</v>
      </c>
      <c r="J63" s="109">
        <f>((J92+(J92+J93))/2)*J11</f>
        <v>18837.137168391298</v>
      </c>
      <c r="K63" s="109">
        <f>((K92+(K92+K93))/2)*K11</f>
        <v>22435.236680294474</v>
      </c>
      <c r="L63" s="109">
        <f>((L92+(L92+L93))/2)*L11</f>
        <v>25371.208208517011</v>
      </c>
      <c r="M63" s="109">
        <f>((M92+(M92+M93))/2)*M11</f>
        <v>27811.466940726881</v>
      </c>
      <c r="N63" s="109">
        <f>((N92+(N92+N93))/2)*N11</f>
        <v>30002.178706183007</v>
      </c>
    </row>
    <row r="64" spans="2:14" hidden="1" outlineLevel="1" x14ac:dyDescent="0.35">
      <c r="B64" s="1" t="s">
        <v>194</v>
      </c>
      <c r="C64" s="115" t="s">
        <v>195</v>
      </c>
      <c r="E64" s="112">
        <v>0</v>
      </c>
      <c r="F64" s="112">
        <v>-849</v>
      </c>
      <c r="G64" s="112">
        <v>47116</v>
      </c>
      <c r="H64" s="112">
        <v>15064</v>
      </c>
      <c r="I64" s="112">
        <v>62189</v>
      </c>
      <c r="J64" s="109">
        <f>J90</f>
        <v>-11594.53833000001</v>
      </c>
      <c r="K64" s="109">
        <f>K90</f>
        <v>-25923.265908000059</v>
      </c>
      <c r="L64" s="109">
        <f>L90</f>
        <v>-47794.93129691598</v>
      </c>
      <c r="M64" s="109">
        <f>M90</f>
        <v>-46181.899618921772</v>
      </c>
      <c r="N64" s="109">
        <f>N90</f>
        <v>-60940.851350778961</v>
      </c>
    </row>
    <row r="65" spans="2:14" hidden="1" outlineLevel="1" x14ac:dyDescent="0.35">
      <c r="B65" s="4" t="s">
        <v>196</v>
      </c>
      <c r="C65" s="113" t="s">
        <v>197</v>
      </c>
      <c r="D65" s="18"/>
      <c r="E65" s="114">
        <f>E62+E63-E64</f>
        <v>295412</v>
      </c>
      <c r="F65" s="114">
        <f>F62+F63-F64</f>
        <v>378589</v>
      </c>
      <c r="G65" s="114">
        <f>G62+G63-G64</f>
        <v>375078</v>
      </c>
      <c r="H65" s="114">
        <f>H62+H63-H64</f>
        <v>484630</v>
      </c>
      <c r="I65" s="114">
        <f>I62+I63-I64</f>
        <v>589287</v>
      </c>
      <c r="J65" s="109">
        <f>J33*(1-J13)+(((J92+(J92+J93))/2)*J11)-J90</f>
        <v>853248.23967057525</v>
      </c>
      <c r="K65" s="109">
        <f>K33*(1-K13)+(((K92+(K92+K93))/2)*K11)-K90</f>
        <v>1044059.1337259201</v>
      </c>
      <c r="L65" s="109">
        <f>L33*(1-L13)+(((L92+(L92+L93))/2)*L11)-L90</f>
        <v>1237825.5884436925</v>
      </c>
      <c r="M65" s="109">
        <f>M33*(1-M13)+(((M92+(M92+M93))/2)*M11)-M90</f>
        <v>1392255.7534930822</v>
      </c>
      <c r="N65" s="109">
        <f>N33*(1-N13)+(((N92+(N92+N93))/2)*N11)-N90</f>
        <v>1535408.1835043181</v>
      </c>
    </row>
    <row r="66" spans="2:14" hidden="1" outlineLevel="1" x14ac:dyDescent="0.35">
      <c r="B66" s="3"/>
      <c r="C66" s="1"/>
      <c r="E66" s="9"/>
      <c r="F66" s="9"/>
      <c r="G66" s="9"/>
      <c r="H66" s="9"/>
      <c r="I66" s="9"/>
      <c r="J66" s="3"/>
      <c r="K66" s="3"/>
      <c r="L66" s="3"/>
      <c r="M66" s="3"/>
      <c r="N66" s="3"/>
    </row>
    <row r="67" spans="2:14" hidden="1" outlineLevel="1" x14ac:dyDescent="0.35">
      <c r="B67" s="3" t="s">
        <v>198</v>
      </c>
      <c r="E67" s="10"/>
      <c r="F67" s="10"/>
      <c r="G67" s="10"/>
      <c r="H67" s="10"/>
      <c r="I67" s="10"/>
      <c r="K67" s="1"/>
      <c r="L67" s="1"/>
      <c r="M67" s="1"/>
      <c r="N67" s="1"/>
    </row>
    <row r="68" spans="2:14" hidden="1" outlineLevel="1" x14ac:dyDescent="0.35">
      <c r="B68" s="1" t="s">
        <v>199</v>
      </c>
      <c r="C68" s="115" t="s">
        <v>200</v>
      </c>
      <c r="E68" s="112">
        <v>7569</v>
      </c>
      <c r="F68" s="112">
        <v>6029</v>
      </c>
      <c r="G68" s="112">
        <v>4237</v>
      </c>
      <c r="H68" s="112">
        <v>25551</v>
      </c>
      <c r="I68" s="112">
        <v>39407</v>
      </c>
      <c r="J68" s="109">
        <f>J24*J18</f>
        <v>35189.177779999998</v>
      </c>
      <c r="K68" s="109">
        <f>K24*K18</f>
        <v>35074.464166399994</v>
      </c>
      <c r="L68" s="109">
        <f>L24*L18</f>
        <v>36388.229645035994</v>
      </c>
      <c r="M68" s="109">
        <f>M24*M18</f>
        <v>36456.546260243995</v>
      </c>
      <c r="N68" s="109">
        <f>N24*N18</f>
        <v>39008.504498461079</v>
      </c>
    </row>
    <row r="69" spans="2:14" hidden="1" outlineLevel="1" x14ac:dyDescent="0.35">
      <c r="B69" s="4" t="s">
        <v>201</v>
      </c>
      <c r="C69" s="5"/>
      <c r="D69" s="18"/>
      <c r="E69" s="114">
        <f>SUM(E68)</f>
        <v>7569</v>
      </c>
      <c r="F69" s="114">
        <f>SUM(F68)</f>
        <v>6029</v>
      </c>
      <c r="G69" s="114">
        <f>SUM(G68)</f>
        <v>4237</v>
      </c>
      <c r="H69" s="114">
        <f>SUM(H68)</f>
        <v>25551</v>
      </c>
      <c r="I69" s="114">
        <f>SUM(I68)</f>
        <v>39407</v>
      </c>
      <c r="J69" s="109">
        <f>J68</f>
        <v>35189.177779999998</v>
      </c>
      <c r="K69" s="109">
        <f>K68</f>
        <v>35074.464166399994</v>
      </c>
      <c r="L69" s="109">
        <f>L68</f>
        <v>36388.229645035994</v>
      </c>
      <c r="M69" s="109">
        <f>M68</f>
        <v>36456.546260243995</v>
      </c>
      <c r="N69" s="109">
        <f>N68</f>
        <v>39008.504498461079</v>
      </c>
    </row>
    <row r="70" spans="2:14" hidden="1" outlineLevel="1" x14ac:dyDescent="0.35">
      <c r="B70" s="3"/>
      <c r="C70" s="1"/>
      <c r="E70" s="9"/>
      <c r="F70" s="9"/>
      <c r="G70" s="9"/>
      <c r="H70" s="9"/>
      <c r="I70" s="9"/>
      <c r="J70" s="3"/>
      <c r="K70" s="3"/>
      <c r="L70" s="3"/>
      <c r="M70" s="3"/>
      <c r="N70" s="3"/>
    </row>
    <row r="71" spans="2:14" hidden="1" outlineLevel="1" x14ac:dyDescent="0.35">
      <c r="B71" s="3" t="s">
        <v>202</v>
      </c>
      <c r="E71" s="10"/>
      <c r="F71" s="10"/>
      <c r="G71" s="10"/>
      <c r="H71" s="10"/>
      <c r="I71" s="10"/>
      <c r="K71" s="1"/>
      <c r="L71" s="1"/>
      <c r="M71" s="1"/>
      <c r="N71" s="1"/>
    </row>
    <row r="72" spans="2:14" hidden="1" outlineLevel="1" x14ac:dyDescent="0.35">
      <c r="B72" s="1" t="s">
        <v>203</v>
      </c>
      <c r="E72" s="112">
        <v>519583</v>
      </c>
      <c r="F72" s="112">
        <v>594651</v>
      </c>
      <c r="G72" s="112">
        <v>7989</v>
      </c>
      <c r="H72" s="112">
        <v>347363</v>
      </c>
      <c r="I72" s="112">
        <v>846670</v>
      </c>
      <c r="J72" s="109">
        <f t="shared" ref="J72:N73" si="12">J19</f>
        <v>0</v>
      </c>
      <c r="K72" s="109">
        <f t="shared" si="12"/>
        <v>0</v>
      </c>
      <c r="L72" s="109">
        <f t="shared" si="12"/>
        <v>0</v>
      </c>
      <c r="M72" s="109">
        <f t="shared" si="12"/>
        <v>0</v>
      </c>
      <c r="N72" s="109">
        <f t="shared" si="12"/>
        <v>0</v>
      </c>
    </row>
    <row r="73" spans="2:14" hidden="1" outlineLevel="1" x14ac:dyDescent="0.35">
      <c r="B73" s="1" t="s">
        <v>204</v>
      </c>
      <c r="E73" s="112">
        <v>0</v>
      </c>
      <c r="F73" s="112">
        <v>0</v>
      </c>
      <c r="G73" s="112">
        <v>0</v>
      </c>
      <c r="H73" s="112">
        <v>0</v>
      </c>
      <c r="I73" s="112">
        <v>0</v>
      </c>
      <c r="J73" s="109">
        <f t="shared" si="12"/>
        <v>0</v>
      </c>
      <c r="K73" s="109">
        <f t="shared" si="12"/>
        <v>0</v>
      </c>
      <c r="L73" s="109">
        <f t="shared" si="12"/>
        <v>0</v>
      </c>
      <c r="M73" s="109">
        <f t="shared" si="12"/>
        <v>0</v>
      </c>
      <c r="N73" s="109">
        <f t="shared" si="12"/>
        <v>0</v>
      </c>
    </row>
    <row r="74" spans="2:14" hidden="1" outlineLevel="1" x14ac:dyDescent="0.35">
      <c r="B74" s="4" t="s">
        <v>205</v>
      </c>
      <c r="C74" s="5"/>
      <c r="D74" s="18"/>
      <c r="E74" s="114">
        <f>SUM(E72:E73)</f>
        <v>519583</v>
      </c>
      <c r="F74" s="114">
        <f>SUM(F72:F73)</f>
        <v>594651</v>
      </c>
      <c r="G74" s="114">
        <f>SUM(G72:G73)</f>
        <v>7989</v>
      </c>
      <c r="H74" s="114">
        <f>SUM(H72:H73)</f>
        <v>347363</v>
      </c>
      <c r="I74" s="114">
        <f>SUM(I72:I73)</f>
        <v>846670</v>
      </c>
      <c r="J74" s="109">
        <f>J19+J20</f>
        <v>0</v>
      </c>
      <c r="K74" s="109">
        <f>K19+K20</f>
        <v>0</v>
      </c>
      <c r="L74" s="109">
        <f>L19+L20</f>
        <v>0</v>
      </c>
      <c r="M74" s="109">
        <f>M19+M20</f>
        <v>0</v>
      </c>
      <c r="N74" s="109">
        <f>N19+N20</f>
        <v>0</v>
      </c>
    </row>
    <row r="75" spans="2:14" hidden="1" outlineLevel="1" x14ac:dyDescent="0.35">
      <c r="B75" s="3"/>
      <c r="C75" s="1"/>
      <c r="E75" s="9"/>
      <c r="F75" s="9"/>
      <c r="G75" s="9"/>
      <c r="H75" s="9"/>
      <c r="I75" s="9"/>
      <c r="J75" s="3"/>
      <c r="K75" s="3"/>
      <c r="L75" s="3"/>
      <c r="M75" s="3"/>
      <c r="N75" s="3"/>
    </row>
    <row r="76" spans="2:14" hidden="1" outlineLevel="1" x14ac:dyDescent="0.35">
      <c r="B76" s="1" t="s">
        <v>206</v>
      </c>
      <c r="C76" s="115" t="s">
        <v>207</v>
      </c>
      <c r="E76" s="125">
        <f>E41-E77</f>
        <v>37960</v>
      </c>
      <c r="F76" s="125">
        <f>F41-F77</f>
        <v>-62152</v>
      </c>
      <c r="G76" s="125">
        <f>G41-G77</f>
        <v>3576</v>
      </c>
      <c r="H76" s="125">
        <f>H41-H77</f>
        <v>13889</v>
      </c>
      <c r="I76" s="125">
        <f>I41-I77</f>
        <v>-16531</v>
      </c>
      <c r="J76" s="109">
        <f>J65-J69+J74</f>
        <v>818059.06189057522</v>
      </c>
      <c r="K76" s="109">
        <f>K65-K69+K74</f>
        <v>1008984.6695595201</v>
      </c>
      <c r="L76" s="109">
        <f>L65-L69+L74</f>
        <v>1201437.3587986566</v>
      </c>
      <c r="M76" s="109">
        <f>M65-M69+M74</f>
        <v>1355799.2072328383</v>
      </c>
      <c r="N76" s="109">
        <f>N65-N69+N74</f>
        <v>1496399.6790058571</v>
      </c>
    </row>
    <row r="77" spans="2:14" hidden="1" outlineLevel="1" x14ac:dyDescent="0.35">
      <c r="B77" s="1" t="s">
        <v>208</v>
      </c>
      <c r="E77" s="112">
        <v>157394</v>
      </c>
      <c r="F77" s="125">
        <f t="shared" ref="F77:N77" si="13">E41</f>
        <v>195354</v>
      </c>
      <c r="G77" s="125">
        <f t="shared" si="13"/>
        <v>133202</v>
      </c>
      <c r="H77" s="125">
        <f t="shared" si="13"/>
        <v>136778</v>
      </c>
      <c r="I77" s="125">
        <f t="shared" si="13"/>
        <v>150667</v>
      </c>
      <c r="J77" s="109">
        <f t="shared" si="13"/>
        <v>134136</v>
      </c>
      <c r="K77" s="109">
        <f t="shared" si="13"/>
        <v>952195.06189057522</v>
      </c>
      <c r="L77" s="109">
        <f t="shared" si="13"/>
        <v>1961179.7314500953</v>
      </c>
      <c r="M77" s="109">
        <f t="shared" si="13"/>
        <v>3162617.0902487519</v>
      </c>
      <c r="N77" s="109">
        <f t="shared" si="13"/>
        <v>4518416.29748159</v>
      </c>
    </row>
    <row r="78" spans="2:14" hidden="1" outlineLevel="1" x14ac:dyDescent="0.35">
      <c r="B78" s="4" t="s">
        <v>209</v>
      </c>
      <c r="C78" s="5"/>
      <c r="D78" s="126">
        <v>157394</v>
      </c>
      <c r="E78" s="114">
        <f>SUM(E76:E77)</f>
        <v>195354</v>
      </c>
      <c r="F78" s="114">
        <f>SUM(F76:F77)</f>
        <v>133202</v>
      </c>
      <c r="G78" s="114">
        <f>SUM(G76:G77)</f>
        <v>136778</v>
      </c>
      <c r="H78" s="114">
        <f>SUM(H76:H77)</f>
        <v>150667</v>
      </c>
      <c r="I78" s="114">
        <f>SUM(I76:I77)</f>
        <v>134136</v>
      </c>
      <c r="J78" s="109">
        <f>J77+J76</f>
        <v>952195.06189057522</v>
      </c>
      <c r="K78" s="109">
        <f>K77+K76</f>
        <v>1961179.7314500953</v>
      </c>
      <c r="L78" s="109">
        <f>L77+L76</f>
        <v>3162617.0902487519</v>
      </c>
      <c r="M78" s="109">
        <f>M77+M76</f>
        <v>4518416.29748159</v>
      </c>
      <c r="N78" s="109">
        <f>N77+N76</f>
        <v>6014815.9764874466</v>
      </c>
    </row>
    <row r="79" spans="2:14" hidden="1" outlineLevel="1" x14ac:dyDescent="0.35">
      <c r="B79" s="3"/>
      <c r="E79" s="9"/>
      <c r="F79" s="10"/>
      <c r="G79" s="10"/>
      <c r="H79" s="10"/>
      <c r="I79" s="10"/>
    </row>
    <row r="80" spans="2:14" hidden="1" outlineLevel="1" x14ac:dyDescent="0.35">
      <c r="B80" s="8" t="s">
        <v>190</v>
      </c>
      <c r="C80" s="7"/>
      <c r="D80" s="17"/>
      <c r="E80" s="123">
        <f t="shared" ref="E80:N80" si="14">E78-E41</f>
        <v>0</v>
      </c>
      <c r="F80" s="123">
        <f t="shared" si="14"/>
        <v>0</v>
      </c>
      <c r="G80" s="123">
        <f t="shared" si="14"/>
        <v>0</v>
      </c>
      <c r="H80" s="123">
        <f t="shared" si="14"/>
        <v>0</v>
      </c>
      <c r="I80" s="123">
        <f t="shared" si="14"/>
        <v>0</v>
      </c>
      <c r="J80" s="109">
        <f t="shared" si="14"/>
        <v>0</v>
      </c>
      <c r="K80" s="109">
        <f t="shared" si="14"/>
        <v>0</v>
      </c>
      <c r="L80" s="109">
        <f t="shared" si="14"/>
        <v>0</v>
      </c>
      <c r="M80" s="109">
        <f t="shared" si="14"/>
        <v>0</v>
      </c>
      <c r="N80" s="109">
        <f t="shared" si="14"/>
        <v>0</v>
      </c>
    </row>
    <row r="81" spans="2:14" hidden="1" outlineLevel="1" x14ac:dyDescent="0.35">
      <c r="B81" s="3"/>
      <c r="E81" s="9"/>
      <c r="F81" s="10"/>
      <c r="G81" s="10"/>
      <c r="H81" s="10"/>
      <c r="I81" s="10"/>
    </row>
    <row r="82" spans="2:14" collapsed="1" x14ac:dyDescent="0.35">
      <c r="E82" s="10"/>
      <c r="F82" s="10"/>
      <c r="G82" s="10"/>
      <c r="H82" s="10"/>
      <c r="I82" s="10"/>
    </row>
    <row r="83" spans="2:14" ht="18" customHeight="1" x14ac:dyDescent="0.35">
      <c r="B83" s="34" t="s">
        <v>210</v>
      </c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</row>
    <row r="84" spans="2:14" outlineLevel="1" x14ac:dyDescent="0.35">
      <c r="B84" s="3" t="s">
        <v>211</v>
      </c>
      <c r="F84" s="10"/>
      <c r="G84" s="10"/>
      <c r="H84" s="10"/>
      <c r="I84" s="10"/>
    </row>
    <row r="85" spans="2:14" outlineLevel="1" x14ac:dyDescent="0.35">
      <c r="B85" s="1" t="s">
        <v>212</v>
      </c>
      <c r="E85" s="112">
        <v>312107</v>
      </c>
      <c r="F85" s="112">
        <v>322410</v>
      </c>
      <c r="G85" s="112">
        <v>387947</v>
      </c>
      <c r="H85" s="112">
        <v>426642</v>
      </c>
      <c r="I85" s="112">
        <v>529148</v>
      </c>
      <c r="J85" s="109">
        <f t="shared" ref="J85:N86" si="15">J42</f>
        <v>576443.94008095888</v>
      </c>
      <c r="K85" s="109">
        <f t="shared" si="15"/>
        <v>595093.07071871217</v>
      </c>
      <c r="L85" s="109">
        <f t="shared" si="15"/>
        <v>589307.62316616881</v>
      </c>
      <c r="M85" s="109">
        <f t="shared" si="15"/>
        <v>579641.65941735555</v>
      </c>
      <c r="N85" s="109">
        <f t="shared" si="15"/>
        <v>546818.07868656004</v>
      </c>
    </row>
    <row r="86" spans="2:14" outlineLevel="1" x14ac:dyDescent="0.35">
      <c r="B86" s="1" t="s">
        <v>176</v>
      </c>
      <c r="E86" s="112">
        <v>0</v>
      </c>
      <c r="F86" s="112">
        <v>0</v>
      </c>
      <c r="G86" s="112">
        <v>0</v>
      </c>
      <c r="H86" s="112">
        <v>0</v>
      </c>
      <c r="I86" s="112">
        <v>0</v>
      </c>
      <c r="J86" s="109">
        <f t="shared" si="15"/>
        <v>0</v>
      </c>
      <c r="K86" s="109">
        <f t="shared" si="15"/>
        <v>0</v>
      </c>
      <c r="L86" s="109">
        <f t="shared" si="15"/>
        <v>0</v>
      </c>
      <c r="M86" s="109">
        <f t="shared" si="15"/>
        <v>0</v>
      </c>
      <c r="N86" s="109">
        <f t="shared" si="15"/>
        <v>0</v>
      </c>
    </row>
    <row r="87" spans="2:14" outlineLevel="1" x14ac:dyDescent="0.35">
      <c r="B87" s="1" t="s">
        <v>180</v>
      </c>
      <c r="E87" s="112">
        <v>20749</v>
      </c>
      <c r="F87" s="112">
        <v>17273</v>
      </c>
      <c r="G87" s="112">
        <v>19009</v>
      </c>
      <c r="H87" s="112">
        <v>22473</v>
      </c>
      <c r="I87" s="112">
        <v>32315</v>
      </c>
      <c r="J87" s="109">
        <f>J48</f>
        <v>40615.038410958899</v>
      </c>
      <c r="K87" s="109">
        <f>K48</f>
        <v>47113.444556712318</v>
      </c>
      <c r="L87" s="109">
        <f>L48</f>
        <v>53238.192349084915</v>
      </c>
      <c r="M87" s="109">
        <f>M48</f>
        <v>58562.011583993408</v>
      </c>
      <c r="N87" s="109">
        <f>N48</f>
        <v>62661.352394872956</v>
      </c>
    </row>
    <row r="88" spans="2:14" outlineLevel="1" x14ac:dyDescent="0.35">
      <c r="B88" s="5" t="s">
        <v>213</v>
      </c>
      <c r="C88" s="113" t="s">
        <v>214</v>
      </c>
      <c r="D88" s="18"/>
      <c r="E88" s="127">
        <v>105417</v>
      </c>
      <c r="F88" s="127">
        <v>120045</v>
      </c>
      <c r="G88" s="127">
        <v>136730</v>
      </c>
      <c r="H88" s="127">
        <v>156897</v>
      </c>
      <c r="I88" s="127">
        <v>187372</v>
      </c>
      <c r="J88" s="109">
        <f>J24*IF($I$24=0,0,$I$88/$I$24)</f>
        <v>237962.43999999997</v>
      </c>
      <c r="K88" s="109">
        <f>K24*IF($I$24=0,0,$I$88/$I$24)</f>
        <v>276036.43039999995</v>
      </c>
      <c r="L88" s="109">
        <f>L24*IF($I$24=0,0,$I$88/$I$24)</f>
        <v>311921.16635199991</v>
      </c>
      <c r="M88" s="109">
        <f>M24*IF($I$24=0,0,$I$88/$I$24)</f>
        <v>343113.28298719996</v>
      </c>
      <c r="N88" s="109">
        <f>N24*IF($I$24=0,0,$I$88/$I$24)</f>
        <v>367131.21279630391</v>
      </c>
    </row>
    <row r="89" spans="2:14" outlineLevel="1" x14ac:dyDescent="0.35">
      <c r="B89" s="1" t="s">
        <v>215</v>
      </c>
      <c r="C89" s="115" t="s">
        <v>216</v>
      </c>
      <c r="D89" s="128">
        <v>205747</v>
      </c>
      <c r="E89" s="112">
        <v>185941</v>
      </c>
      <c r="F89" s="112">
        <v>185092</v>
      </c>
      <c r="G89" s="112">
        <v>232208</v>
      </c>
      <c r="H89" s="112">
        <v>247272</v>
      </c>
      <c r="I89" s="112">
        <v>309461</v>
      </c>
      <c r="J89" s="109">
        <f>J24*J15</f>
        <v>297866.46166999999</v>
      </c>
      <c r="K89" s="109">
        <f>K24*K15</f>
        <v>271943.19576199993</v>
      </c>
      <c r="L89" s="109">
        <f>L24*L15</f>
        <v>224148.26446508395</v>
      </c>
      <c r="M89" s="109">
        <f>M24*M15</f>
        <v>177966.36484616218</v>
      </c>
      <c r="N89" s="109">
        <f>N24*N15</f>
        <v>117025.51349538322</v>
      </c>
    </row>
    <row r="90" spans="2:14" outlineLevel="1" x14ac:dyDescent="0.35">
      <c r="B90" t="s">
        <v>217</v>
      </c>
      <c r="E90" s="112">
        <v>-19806</v>
      </c>
      <c r="F90" s="112">
        <v>-849</v>
      </c>
      <c r="G90" s="112">
        <v>47116</v>
      </c>
      <c r="H90" s="112">
        <v>15064</v>
      </c>
      <c r="I90" s="112">
        <v>62189</v>
      </c>
      <c r="J90" s="129">
        <f>J89-I89</f>
        <v>-11594.53833000001</v>
      </c>
      <c r="K90" s="129">
        <f>K89-J89</f>
        <v>-25923.265908000059</v>
      </c>
      <c r="L90" s="129">
        <f>L89-K89</f>
        <v>-47794.93129691598</v>
      </c>
      <c r="M90" s="129">
        <f>M89-L89</f>
        <v>-46181.899618921772</v>
      </c>
      <c r="N90" s="129">
        <f>N89-M89</f>
        <v>-60940.851350778961</v>
      </c>
    </row>
    <row r="91" spans="2:14" outlineLevel="1" x14ac:dyDescent="0.35">
      <c r="B91" s="3" t="s">
        <v>218</v>
      </c>
      <c r="E91" s="10"/>
      <c r="F91" s="10"/>
      <c r="G91" s="10"/>
      <c r="H91" s="10"/>
      <c r="I91" s="10"/>
    </row>
    <row r="92" spans="2:14" outlineLevel="1" x14ac:dyDescent="0.35">
      <c r="B92" s="1" t="s">
        <v>219</v>
      </c>
      <c r="E92" s="112">
        <v>46419</v>
      </c>
      <c r="F92" s="125">
        <f>E95</f>
        <v>27913</v>
      </c>
      <c r="G92" s="125">
        <f>F95</f>
        <v>17580</v>
      </c>
      <c r="H92" s="125">
        <f>G95</f>
        <v>10966</v>
      </c>
      <c r="I92" s="125">
        <f>H95</f>
        <v>38465</v>
      </c>
      <c r="J92" s="109">
        <f>I44</f>
        <v>67713</v>
      </c>
      <c r="K92" s="109">
        <f>J95</f>
        <v>84065.040611608696</v>
      </c>
      <c r="L92" s="109">
        <f>K95</f>
        <v>96704.268097714215</v>
      </c>
      <c r="M92" s="109">
        <f>L95</f>
        <v>107721.2895342332</v>
      </c>
      <c r="N92" s="109">
        <f>M95</f>
        <v>116366.36885375032</v>
      </c>
    </row>
    <row r="93" spans="2:14" outlineLevel="1" x14ac:dyDescent="0.35">
      <c r="B93" s="1" t="s">
        <v>220</v>
      </c>
      <c r="E93" s="112">
        <v>7569</v>
      </c>
      <c r="F93" s="112">
        <v>6029</v>
      </c>
      <c r="G93" s="112">
        <v>4237</v>
      </c>
      <c r="H93" s="112">
        <v>25551</v>
      </c>
      <c r="I93" s="112">
        <v>39407</v>
      </c>
      <c r="J93" s="109">
        <f>J24*J18</f>
        <v>35189.177779999998</v>
      </c>
      <c r="K93" s="109">
        <f>K24*K18</f>
        <v>35074.464166399994</v>
      </c>
      <c r="L93" s="109">
        <f>L24*L18</f>
        <v>36388.229645035994</v>
      </c>
      <c r="M93" s="109">
        <f>M24*M18</f>
        <v>36456.546260243995</v>
      </c>
      <c r="N93" s="109">
        <f>N24*N18</f>
        <v>39008.504498461079</v>
      </c>
    </row>
    <row r="94" spans="2:14" outlineLevel="1" x14ac:dyDescent="0.35">
      <c r="B94" s="1" t="s">
        <v>221</v>
      </c>
      <c r="C94" s="115" t="s">
        <v>222</v>
      </c>
      <c r="E94" s="112">
        <v>25592</v>
      </c>
      <c r="F94" s="112">
        <v>20465</v>
      </c>
      <c r="G94" s="112">
        <v>14638</v>
      </c>
      <c r="H94" s="112">
        <v>13827</v>
      </c>
      <c r="I94" s="112">
        <v>14952</v>
      </c>
      <c r="J94" s="109">
        <f>((J92+(J92+J93))/2)*J11</f>
        <v>18837.137168391298</v>
      </c>
      <c r="K94" s="109">
        <f>((K92+(K92+K93))/2)*K11</f>
        <v>22435.236680294474</v>
      </c>
      <c r="L94" s="109">
        <f>((L92+(L92+L93))/2)*L11</f>
        <v>25371.208208517011</v>
      </c>
      <c r="M94" s="109">
        <f>((M92+(M92+M93))/2)*M11</f>
        <v>27811.466940726881</v>
      </c>
      <c r="N94" s="109">
        <f>((N92+(N92+N93))/2)*N11</f>
        <v>30002.178706183007</v>
      </c>
    </row>
    <row r="95" spans="2:14" outlineLevel="1" x14ac:dyDescent="0.35">
      <c r="B95" s="5" t="s">
        <v>223</v>
      </c>
      <c r="C95" s="5"/>
      <c r="D95" s="18"/>
      <c r="E95" s="127">
        <v>27913</v>
      </c>
      <c r="F95" s="127">
        <v>17580</v>
      </c>
      <c r="G95" s="127">
        <v>10966</v>
      </c>
      <c r="H95" s="127">
        <v>38465</v>
      </c>
      <c r="I95" s="127">
        <v>67713</v>
      </c>
      <c r="J95" s="109">
        <f>J92+J93-J94</f>
        <v>84065.040611608696</v>
      </c>
      <c r="K95" s="109">
        <f>K92+K93-K94</f>
        <v>96704.268097714215</v>
      </c>
      <c r="L95" s="109">
        <f>L92+L93-L94</f>
        <v>107721.2895342332</v>
      </c>
      <c r="M95" s="109">
        <f>M92+M93-M94</f>
        <v>116366.36885375032</v>
      </c>
      <c r="N95" s="109">
        <f>N92+N93-N94</f>
        <v>125372.69464602839</v>
      </c>
    </row>
    <row r="96" spans="2:14" outlineLevel="1" x14ac:dyDescent="0.35">
      <c r="E96" s="10"/>
      <c r="F96" s="10"/>
      <c r="G96" s="10"/>
      <c r="H96" s="10"/>
      <c r="I96" s="10"/>
      <c r="J96" s="10"/>
      <c r="K96" s="10"/>
      <c r="L96" s="10"/>
      <c r="M96" s="10"/>
      <c r="N96" s="10"/>
    </row>
    <row r="97" spans="2:14" outlineLevel="1" x14ac:dyDescent="0.35">
      <c r="B97" s="3" t="s">
        <v>224</v>
      </c>
      <c r="E97" s="10"/>
      <c r="F97" s="10"/>
      <c r="G97" s="10"/>
      <c r="H97" s="10"/>
      <c r="I97" s="10"/>
    </row>
    <row r="98" spans="2:14" outlineLevel="1" x14ac:dyDescent="0.35">
      <c r="B98" s="1" t="s">
        <v>225</v>
      </c>
      <c r="E98" s="112">
        <v>739435</v>
      </c>
      <c r="F98" s="125">
        <f>E100</f>
        <v>1259018</v>
      </c>
      <c r="G98" s="125">
        <f>F100</f>
        <v>1853669</v>
      </c>
      <c r="H98" s="125">
        <f>G100</f>
        <v>1861658</v>
      </c>
      <c r="I98" s="125">
        <f>H100</f>
        <v>2209021</v>
      </c>
      <c r="J98" s="109">
        <f>I49</f>
        <v>3055691</v>
      </c>
      <c r="K98" s="109">
        <f>J100</f>
        <v>3055691</v>
      </c>
      <c r="L98" s="109">
        <f>K100</f>
        <v>3055691</v>
      </c>
      <c r="M98" s="109">
        <f>L100</f>
        <v>3055691</v>
      </c>
      <c r="N98" s="109">
        <f>M100</f>
        <v>3055691</v>
      </c>
    </row>
    <row r="99" spans="2:14" outlineLevel="1" x14ac:dyDescent="0.35">
      <c r="B99" s="1" t="s">
        <v>226</v>
      </c>
      <c r="E99" s="112">
        <v>519583</v>
      </c>
      <c r="F99" s="112">
        <v>594651</v>
      </c>
      <c r="G99" s="112">
        <v>7989</v>
      </c>
      <c r="H99" s="112">
        <v>347363</v>
      </c>
      <c r="I99" s="112">
        <v>846670</v>
      </c>
      <c r="J99" s="109">
        <f>J19</f>
        <v>0</v>
      </c>
      <c r="K99" s="109">
        <f>K19</f>
        <v>0</v>
      </c>
      <c r="L99" s="109">
        <f>L19</f>
        <v>0</v>
      </c>
      <c r="M99" s="109">
        <f>M19</f>
        <v>0</v>
      </c>
      <c r="N99" s="109">
        <f>N19</f>
        <v>0</v>
      </c>
    </row>
    <row r="100" spans="2:14" outlineLevel="1" x14ac:dyDescent="0.35">
      <c r="B100" s="5" t="s">
        <v>227</v>
      </c>
      <c r="C100" s="5"/>
      <c r="D100" s="18"/>
      <c r="E100" s="127">
        <v>1259018</v>
      </c>
      <c r="F100" s="127">
        <v>1853669</v>
      </c>
      <c r="G100" s="127">
        <v>1861658</v>
      </c>
      <c r="H100" s="127">
        <v>2209021</v>
      </c>
      <c r="I100" s="127">
        <v>3055691</v>
      </c>
      <c r="J100" s="109">
        <f>J98+J99</f>
        <v>3055691</v>
      </c>
      <c r="K100" s="109">
        <f>K98+K99</f>
        <v>3055691</v>
      </c>
      <c r="L100" s="109">
        <f>L98+L99</f>
        <v>3055691</v>
      </c>
      <c r="M100" s="109">
        <f>M98+M99</f>
        <v>3055691</v>
      </c>
      <c r="N100" s="109">
        <f>N98+N99</f>
        <v>3055691</v>
      </c>
    </row>
    <row r="101" spans="2:14" outlineLevel="1" x14ac:dyDescent="0.35">
      <c r="B101" s="1" t="s">
        <v>228</v>
      </c>
      <c r="E101" s="112">
        <v>40092</v>
      </c>
      <c r="F101" s="112">
        <v>68967</v>
      </c>
      <c r="G101" s="112">
        <v>95546</v>
      </c>
      <c r="H101" s="112">
        <v>105638</v>
      </c>
      <c r="I101" s="112">
        <v>133647</v>
      </c>
      <c r="J101" s="109">
        <f>J98*J12</f>
        <v>184871.00624077363</v>
      </c>
      <c r="K101" s="109">
        <f>K98*K12</f>
        <v>184871.00624077363</v>
      </c>
      <c r="L101" s="109">
        <f>L98*L12</f>
        <v>184871.00624077363</v>
      </c>
      <c r="M101" s="109">
        <f>M98*M12</f>
        <v>184871.00624077363</v>
      </c>
      <c r="N101" s="109">
        <f>N98*N12</f>
        <v>184871.00624077363</v>
      </c>
    </row>
    <row r="102" spans="2:14" outlineLevel="1" x14ac:dyDescent="0.35">
      <c r="E102" s="10"/>
      <c r="F102" s="10"/>
      <c r="G102" s="23"/>
      <c r="H102" s="10"/>
      <c r="I102" s="10"/>
    </row>
    <row r="103" spans="2:14" outlineLevel="1" x14ac:dyDescent="0.35">
      <c r="E103" s="10"/>
      <c r="F103" s="10"/>
      <c r="G103" s="10"/>
      <c r="H103" s="10"/>
      <c r="I103" s="10"/>
    </row>
    <row r="104" spans="2:14" x14ac:dyDescent="0.35">
      <c r="E104" s="10"/>
      <c r="F104" s="10"/>
      <c r="G104" s="10"/>
      <c r="H104" s="10"/>
      <c r="I104" s="10"/>
    </row>
    <row r="105" spans="2:14" ht="18" customHeight="1" x14ac:dyDescent="0.35">
      <c r="B105" s="34" t="s">
        <v>229</v>
      </c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</row>
    <row r="106" spans="2:14" hidden="1" outlineLevel="1" x14ac:dyDescent="0.35"/>
    <row r="107" spans="2:14" hidden="1" outlineLevel="1" x14ac:dyDescent="0.35"/>
    <row r="108" spans="2:14" hidden="1" outlineLevel="1" x14ac:dyDescent="0.35"/>
    <row r="109" spans="2:14" hidden="1" outlineLevel="1" x14ac:dyDescent="0.35"/>
    <row r="110" spans="2:14" hidden="1" outlineLevel="1" x14ac:dyDescent="0.35"/>
    <row r="111" spans="2:14" hidden="1" outlineLevel="1" x14ac:dyDescent="0.35"/>
    <row r="112" spans="2:14" hidden="1" outlineLevel="1" x14ac:dyDescent="0.35"/>
    <row r="113" spans="2:9" hidden="1" outlineLevel="1" x14ac:dyDescent="0.35"/>
    <row r="114" spans="2:9" hidden="1" outlineLevel="1" x14ac:dyDescent="0.35"/>
    <row r="115" spans="2:9" hidden="1" outlineLevel="1" x14ac:dyDescent="0.35"/>
    <row r="116" spans="2:9" hidden="1" outlineLevel="1" x14ac:dyDescent="0.35"/>
    <row r="117" spans="2:9" hidden="1" outlineLevel="1" x14ac:dyDescent="0.35"/>
    <row r="118" spans="2:9" hidden="1" outlineLevel="1" x14ac:dyDescent="0.35">
      <c r="C118" s="36"/>
      <c r="D118" s="36"/>
    </row>
    <row r="119" spans="2:9" hidden="1" outlineLevel="1" x14ac:dyDescent="0.35">
      <c r="B119" s="36"/>
      <c r="C119" s="36"/>
      <c r="D119" s="36"/>
    </row>
    <row r="120" spans="2:9" hidden="1" outlineLevel="1" x14ac:dyDescent="0.35"/>
    <row r="121" spans="2:9" hidden="1" outlineLevel="1" x14ac:dyDescent="0.35">
      <c r="B121" s="1" t="s">
        <v>230</v>
      </c>
      <c r="E121" s="1">
        <f>E24</f>
        <v>1316536</v>
      </c>
      <c r="F121" s="1">
        <f>F24</f>
        <v>1377270</v>
      </c>
      <c r="G121" s="1">
        <f>G24</f>
        <v>1513557</v>
      </c>
      <c r="H121" s="1">
        <f>H24</f>
        <v>1717526</v>
      </c>
      <c r="I121" s="1">
        <f>I24</f>
        <v>1990869</v>
      </c>
    </row>
    <row r="122" spans="2:9" hidden="1" outlineLevel="1" x14ac:dyDescent="0.35">
      <c r="B122" s="1" t="s">
        <v>154</v>
      </c>
      <c r="E122" s="1">
        <f>E26</f>
        <v>984074</v>
      </c>
      <c r="F122" s="1">
        <f>F26</f>
        <v>1075096</v>
      </c>
      <c r="G122" s="1">
        <f>G26</f>
        <v>1202504</v>
      </c>
      <c r="H122" s="1">
        <f>H26</f>
        <v>1369320</v>
      </c>
      <c r="I122" s="1">
        <f>I26</f>
        <v>1637147</v>
      </c>
    </row>
    <row r="123" spans="2:9" hidden="1" outlineLevel="1" x14ac:dyDescent="0.35">
      <c r="B123" s="1" t="s">
        <v>231</v>
      </c>
      <c r="E123" s="1">
        <f>E33</f>
        <v>350878</v>
      </c>
      <c r="F123" s="1">
        <f>F33</f>
        <v>455043</v>
      </c>
      <c r="G123" s="1">
        <f>G33</f>
        <v>531805</v>
      </c>
      <c r="H123" s="1">
        <f>H33</f>
        <v>615081</v>
      </c>
      <c r="I123" s="1">
        <f>I33</f>
        <v>787173</v>
      </c>
    </row>
    <row r="124" spans="2:9" hidden="1" outlineLevel="1" x14ac:dyDescent="0.35"/>
    <row r="125" spans="2:9" hidden="1" outlineLevel="1" x14ac:dyDescent="0.35">
      <c r="B125" s="1" t="s">
        <v>192</v>
      </c>
      <c r="E125" s="1">
        <f>E65</f>
        <v>295412</v>
      </c>
      <c r="F125" s="1">
        <f>F65</f>
        <v>378589</v>
      </c>
      <c r="G125" s="1">
        <f>G65</f>
        <v>375078</v>
      </c>
      <c r="H125" s="1">
        <f>H65</f>
        <v>484630</v>
      </c>
      <c r="I125" s="1">
        <f>I65</f>
        <v>589287</v>
      </c>
    </row>
    <row r="126" spans="2:9" hidden="1" outlineLevel="1" x14ac:dyDescent="0.35">
      <c r="B126" s="1" t="s">
        <v>198</v>
      </c>
      <c r="E126" s="1">
        <f>-E69</f>
        <v>-7569</v>
      </c>
      <c r="F126" s="1">
        <f>-F69</f>
        <v>-6029</v>
      </c>
      <c r="G126" s="1">
        <f>-G69</f>
        <v>-4237</v>
      </c>
      <c r="H126" s="1">
        <f>-H69</f>
        <v>-25551</v>
      </c>
      <c r="I126" s="1">
        <f>-I69</f>
        <v>-39407</v>
      </c>
    </row>
    <row r="127" spans="2:9" hidden="1" outlineLevel="1" x14ac:dyDescent="0.35">
      <c r="B127" s="1" t="s">
        <v>202</v>
      </c>
      <c r="E127" s="1">
        <f>E74</f>
        <v>519583</v>
      </c>
      <c r="F127" s="1">
        <f>F74</f>
        <v>594651</v>
      </c>
      <c r="G127" s="1">
        <f>G74</f>
        <v>7989</v>
      </c>
      <c r="H127" s="1">
        <f>H74</f>
        <v>347363</v>
      </c>
      <c r="I127" s="1">
        <f>I74</f>
        <v>846670</v>
      </c>
    </row>
    <row r="128" spans="2:9" hidden="1" outlineLevel="1" x14ac:dyDescent="0.35"/>
    <row r="129" spans="2:4" collapsed="1" x14ac:dyDescent="0.35"/>
    <row r="131" spans="2:4" x14ac:dyDescent="0.35">
      <c r="B131" s="35" t="s">
        <v>232</v>
      </c>
    </row>
    <row r="132" spans="2:4" x14ac:dyDescent="0.35">
      <c r="B132" s="36"/>
      <c r="C132" s="36"/>
      <c r="D132" s="36"/>
    </row>
    <row r="133" spans="2:4" x14ac:dyDescent="0.35">
      <c r="B133" s="36"/>
      <c r="C133" s="36"/>
      <c r="D133" s="36"/>
    </row>
    <row r="134" spans="2:4" x14ac:dyDescent="0.35">
      <c r="B134" s="36"/>
      <c r="C134" s="36"/>
      <c r="D134" s="36"/>
    </row>
    <row r="135" spans="2:4" x14ac:dyDescent="0.35">
      <c r="B135" s="36"/>
      <c r="C135" s="36"/>
      <c r="D135" s="36"/>
    </row>
    <row r="136" spans="2:4" x14ac:dyDescent="0.35">
      <c r="B136" s="36"/>
      <c r="C136" s="36"/>
      <c r="D136" s="36"/>
    </row>
    <row r="137" spans="2:4" x14ac:dyDescent="0.35">
      <c r="B137" s="36" t="s">
        <v>233</v>
      </c>
      <c r="C137" s="37"/>
      <c r="D137" s="37"/>
    </row>
    <row r="138" spans="2:4" ht="16.25" customHeight="1" x14ac:dyDescent="0.45">
      <c r="B138" s="38" t="s">
        <v>7</v>
      </c>
      <c r="C138" s="39"/>
      <c r="D138" s="39"/>
    </row>
  </sheetData>
  <mergeCells count="2">
    <mergeCell ref="P4:V4"/>
    <mergeCell ref="P5:V5"/>
  </mergeCells>
  <conditionalFormatting sqref="E3:N3">
    <cfRule type="containsText" dxfId="1" priority="1" operator="containsText" text="OK">
      <formula>NOT(ISERROR(SEARCH("OK",E3)))</formula>
    </cfRule>
    <cfRule type="containsText" dxfId="0" priority="2" operator="containsText" text="ERROR">
      <formula>NOT(ISERROR(SEARCH("ERROR",E3)))</formula>
    </cfRule>
  </conditionalFormatting>
  <hyperlinks>
    <hyperlink ref="U7" r:id="rId1" xr:uid="{00000000-0004-0000-0100-000000000000}"/>
    <hyperlink ref="V7" r:id="rId2" xr:uid="{00000000-0004-0000-0100-000001000000}"/>
    <hyperlink ref="U8" r:id="rId3" xr:uid="{00000000-0004-0000-0100-000002000000}"/>
    <hyperlink ref="V8" r:id="rId4" xr:uid="{00000000-0004-0000-0100-000003000000}"/>
    <hyperlink ref="U9" r:id="rId5" xr:uid="{00000000-0004-0000-0100-000004000000}"/>
    <hyperlink ref="V9" r:id="rId6" xr:uid="{00000000-0004-0000-0100-000005000000}"/>
    <hyperlink ref="U10" r:id="rId7" xr:uid="{00000000-0004-0000-0100-000006000000}"/>
    <hyperlink ref="V10" r:id="rId8" xr:uid="{00000000-0004-0000-0100-000007000000}"/>
    <hyperlink ref="U11" r:id="rId9" xr:uid="{00000000-0004-0000-0100-000008000000}"/>
    <hyperlink ref="V11" r:id="rId10" xr:uid="{00000000-0004-0000-0100-000009000000}"/>
    <hyperlink ref="U12" r:id="rId11" xr:uid="{00000000-0004-0000-0100-00000A000000}"/>
    <hyperlink ref="V12" r:id="rId12" xr:uid="{00000000-0004-0000-0100-00000B000000}"/>
    <hyperlink ref="U13" r:id="rId13" xr:uid="{00000000-0004-0000-0100-00000C000000}"/>
    <hyperlink ref="V13" r:id="rId14" xr:uid="{00000000-0004-0000-0100-00000D000000}"/>
    <hyperlink ref="U15" r:id="rId15" xr:uid="{00000000-0004-0000-0100-00000E000000}"/>
    <hyperlink ref="V15" r:id="rId16" xr:uid="{00000000-0004-0000-0100-00000F000000}"/>
    <hyperlink ref="U16" r:id="rId17" xr:uid="{00000000-0004-0000-0100-000010000000}"/>
    <hyperlink ref="V16" r:id="rId18" xr:uid="{00000000-0004-0000-0100-000011000000}"/>
    <hyperlink ref="U17" r:id="rId19" xr:uid="{00000000-0004-0000-0100-000012000000}"/>
    <hyperlink ref="V17" r:id="rId20" xr:uid="{00000000-0004-0000-0100-000013000000}"/>
    <hyperlink ref="U18" r:id="rId21" xr:uid="{00000000-0004-0000-0100-000014000000}"/>
    <hyperlink ref="V18" r:id="rId22" xr:uid="{00000000-0004-0000-0100-000015000000}"/>
    <hyperlink ref="U19" r:id="rId23" xr:uid="{00000000-0004-0000-0100-000016000000}"/>
    <hyperlink ref="V19" r:id="rId24" xr:uid="{00000000-0004-0000-0100-000017000000}"/>
    <hyperlink ref="U20" r:id="rId25" xr:uid="{00000000-0004-0000-0100-000018000000}"/>
    <hyperlink ref="V20" r:id="rId26" xr:uid="{00000000-0004-0000-0100-000019000000}"/>
    <hyperlink ref="B138" r:id="rId27" xr:uid="{00000000-0004-0000-0100-00001A000000}"/>
  </hyperlinks>
  <pageMargins left="0.70866141732283472" right="0.70866141732283472" top="0.74803149606299213" bottom="0.74803149606299213" header="0.31496062992125978" footer="0.31496062992125978"/>
  <pageSetup scale="78" orientation="landscape"/>
  <rowBreaks count="3" manualBreakCount="3">
    <brk id="37" max="13" man="1"/>
    <brk id="58" max="13" man="1"/>
    <brk id="81" max="13" man="1"/>
  </rowBreaks>
  <drawing r:id="rId28"/>
  <legacyDrawing r:id="rId2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61"/>
  <sheetViews>
    <sheetView topLeftCell="A29" zoomScale="104" workbookViewId="0">
      <selection activeCell="M23" sqref="M23"/>
    </sheetView>
  </sheetViews>
  <sheetFormatPr defaultRowHeight="14.5" x14ac:dyDescent="0.35"/>
  <cols>
    <col min="1" max="1" width="3.54296875" customWidth="1"/>
    <col min="2" max="2" width="36" customWidth="1"/>
    <col min="3" max="11" width="16" customWidth="1"/>
    <col min="12" max="12" width="42" customWidth="1"/>
    <col min="13" max="13" width="18" customWidth="1"/>
    <col min="15" max="15" width="9.08984375" customWidth="1"/>
    <col min="17" max="17" width="40" customWidth="1"/>
    <col min="18" max="18" width="14" customWidth="1"/>
    <col min="19" max="19" width="36" customWidth="1"/>
    <col min="20" max="20" width="14" customWidth="1"/>
    <col min="21" max="22" width="52" customWidth="1"/>
  </cols>
  <sheetData>
    <row r="1" spans="1:22" ht="18" customHeight="1" x14ac:dyDescent="0.5">
      <c r="A1" s="57" t="s">
        <v>43</v>
      </c>
      <c r="B1" s="58"/>
      <c r="C1" s="58"/>
      <c r="D1" s="59"/>
      <c r="E1" s="59"/>
      <c r="F1" s="59"/>
      <c r="G1" s="59"/>
      <c r="H1" s="57"/>
      <c r="I1" s="58"/>
      <c r="J1" s="58"/>
      <c r="K1" s="59"/>
      <c r="L1" s="59"/>
      <c r="M1" s="59"/>
      <c r="N1" s="59"/>
    </row>
    <row r="2" spans="1:22" ht="18" customHeight="1" x14ac:dyDescent="0.5">
      <c r="A2" s="58"/>
      <c r="B2" s="60" t="s">
        <v>234</v>
      </c>
      <c r="C2" s="61"/>
      <c r="D2" s="61"/>
      <c r="E2" s="61"/>
      <c r="F2" s="59"/>
      <c r="G2" s="59"/>
      <c r="H2" s="58"/>
      <c r="I2" s="60"/>
      <c r="J2" s="61"/>
      <c r="K2" s="61"/>
      <c r="L2" s="61"/>
      <c r="M2" s="59"/>
      <c r="N2" s="59"/>
      <c r="Q2" s="172" t="s">
        <v>235</v>
      </c>
      <c r="R2" s="164"/>
      <c r="S2" s="164"/>
      <c r="T2" s="164"/>
      <c r="U2" s="164"/>
      <c r="V2" s="164"/>
    </row>
    <row r="3" spans="1:22" ht="16" customHeight="1" x14ac:dyDescent="0.4">
      <c r="A3" s="62"/>
      <c r="B3" s="63"/>
      <c r="C3" s="62"/>
      <c r="D3" s="64"/>
      <c r="E3" s="65"/>
      <c r="F3" s="65"/>
      <c r="G3" s="65"/>
      <c r="H3" s="65"/>
      <c r="I3" s="65"/>
      <c r="J3" s="62"/>
      <c r="K3" s="62"/>
      <c r="L3" s="62"/>
      <c r="M3" s="62"/>
      <c r="N3" s="62"/>
      <c r="O3" s="62"/>
      <c r="Q3" s="173" t="s">
        <v>236</v>
      </c>
      <c r="R3" s="164"/>
      <c r="S3" s="164"/>
      <c r="T3" s="164"/>
      <c r="U3" s="164"/>
      <c r="V3" s="164"/>
    </row>
    <row r="4" spans="1:22" ht="16" customHeight="1" x14ac:dyDescent="0.4">
      <c r="A4" s="62"/>
      <c r="B4" s="66" t="s">
        <v>50</v>
      </c>
      <c r="C4" s="67"/>
      <c r="D4" s="67"/>
      <c r="E4" s="65"/>
      <c r="F4" s="62"/>
      <c r="G4" s="62"/>
      <c r="H4" s="62"/>
      <c r="I4" s="62"/>
      <c r="J4" s="62"/>
      <c r="K4" s="62"/>
      <c r="L4" s="62"/>
      <c r="M4" s="62"/>
      <c r="N4" s="62"/>
      <c r="O4" s="62"/>
      <c r="Q4" s="130" t="s">
        <v>237</v>
      </c>
      <c r="R4" s="130" t="s">
        <v>238</v>
      </c>
      <c r="S4" s="130" t="s">
        <v>239</v>
      </c>
      <c r="T4" s="130" t="s">
        <v>240</v>
      </c>
      <c r="U4" s="130" t="s">
        <v>241</v>
      </c>
      <c r="V4" s="130" t="s">
        <v>242</v>
      </c>
    </row>
    <row r="5" spans="1:22" ht="16" customHeight="1" x14ac:dyDescent="0.4">
      <c r="A5" s="62"/>
      <c r="B5" s="68" t="s">
        <v>243</v>
      </c>
      <c r="C5" s="65"/>
      <c r="D5" s="131">
        <v>0.18770239037123329</v>
      </c>
      <c r="E5" s="132" t="s">
        <v>244</v>
      </c>
      <c r="F5" s="62"/>
      <c r="G5" s="62"/>
      <c r="H5" s="62"/>
      <c r="I5" s="62"/>
      <c r="J5" s="62"/>
      <c r="K5" s="62"/>
      <c r="L5" s="62"/>
      <c r="M5" s="62"/>
      <c r="N5" s="62"/>
      <c r="O5" s="62"/>
      <c r="Q5" s="167" t="s">
        <v>245</v>
      </c>
      <c r="R5" s="164"/>
      <c r="S5" s="164"/>
      <c r="T5" s="164"/>
      <c r="U5" s="164"/>
      <c r="V5" s="164"/>
    </row>
    <row r="6" spans="1:22" ht="16" customHeight="1" x14ac:dyDescent="0.4">
      <c r="A6" s="133" t="s">
        <v>246</v>
      </c>
      <c r="B6" s="68" t="s">
        <v>247</v>
      </c>
      <c r="C6" s="134" t="s">
        <v>248</v>
      </c>
      <c r="D6" s="135">
        <f>R15</f>
        <v>9.2390520120359587E-2</v>
      </c>
      <c r="E6" s="132" t="s">
        <v>249</v>
      </c>
      <c r="F6" s="132" t="s">
        <v>23</v>
      </c>
      <c r="G6" s="132" t="s">
        <v>250</v>
      </c>
      <c r="H6" s="62"/>
      <c r="I6" s="62"/>
      <c r="J6" s="62"/>
      <c r="K6" s="62"/>
      <c r="L6" s="62"/>
      <c r="M6" s="62"/>
      <c r="N6" s="62"/>
      <c r="O6" s="62"/>
      <c r="Q6" s="136" t="s">
        <v>251</v>
      </c>
      <c r="R6" s="137">
        <v>4.6300000000000001E-2</v>
      </c>
      <c r="S6" s="136" t="s">
        <v>252</v>
      </c>
      <c r="T6" s="136" t="s">
        <v>253</v>
      </c>
      <c r="U6" s="138" t="s">
        <v>254</v>
      </c>
      <c r="V6" s="138" t="s">
        <v>255</v>
      </c>
    </row>
    <row r="7" spans="1:22" ht="16" customHeight="1" x14ac:dyDescent="0.4">
      <c r="A7" s="62"/>
      <c r="B7" s="62" t="s">
        <v>256</v>
      </c>
      <c r="C7" s="62"/>
      <c r="D7" s="131">
        <v>0.03</v>
      </c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Q7" s="136" t="s">
        <v>257</v>
      </c>
      <c r="R7" s="137">
        <v>4.2799999999999998E-2</v>
      </c>
      <c r="S7" s="136" t="s">
        <v>258</v>
      </c>
      <c r="T7" s="136" t="s">
        <v>253</v>
      </c>
      <c r="U7" s="138" t="s">
        <v>259</v>
      </c>
      <c r="V7" s="138" t="s">
        <v>260</v>
      </c>
    </row>
    <row r="8" spans="1:22" ht="16" customHeight="1" x14ac:dyDescent="0.4">
      <c r="A8" s="62"/>
      <c r="B8" s="62" t="s">
        <v>261</v>
      </c>
      <c r="C8" s="69" t="s">
        <v>262</v>
      </c>
      <c r="D8" s="139">
        <v>16</v>
      </c>
      <c r="E8" s="132" t="s">
        <v>263</v>
      </c>
      <c r="F8" s="62"/>
      <c r="G8" s="62"/>
      <c r="H8" s="62"/>
      <c r="I8" s="62"/>
      <c r="J8" s="62"/>
      <c r="K8" s="62"/>
      <c r="L8" s="62"/>
      <c r="M8" s="62"/>
      <c r="N8" s="62"/>
      <c r="O8" s="62"/>
      <c r="Q8" s="136" t="s">
        <v>264</v>
      </c>
      <c r="R8" s="140">
        <v>1.32</v>
      </c>
      <c r="S8" s="136" t="s">
        <v>265</v>
      </c>
      <c r="T8" s="136" t="s">
        <v>253</v>
      </c>
      <c r="U8" s="138" t="s">
        <v>266</v>
      </c>
      <c r="V8" s="138" t="s">
        <v>267</v>
      </c>
    </row>
    <row r="9" spans="1:22" ht="16" customHeight="1" x14ac:dyDescent="0.4">
      <c r="A9" s="62"/>
      <c r="B9" s="62" t="s">
        <v>268</v>
      </c>
      <c r="C9" s="62"/>
      <c r="D9" s="141">
        <v>45930</v>
      </c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Q9" s="142" t="s">
        <v>269</v>
      </c>
      <c r="R9" s="143">
        <f>R6+R8*R7</f>
        <v>0.102796</v>
      </c>
      <c r="S9" s="136" t="s">
        <v>270</v>
      </c>
      <c r="T9" s="142" t="s">
        <v>271</v>
      </c>
      <c r="U9" s="136" t="s">
        <v>272</v>
      </c>
      <c r="V9" s="136"/>
    </row>
    <row r="10" spans="1:22" ht="16" customHeight="1" x14ac:dyDescent="0.4">
      <c r="A10" s="62"/>
      <c r="B10" s="62" t="s">
        <v>273</v>
      </c>
      <c r="C10" s="62"/>
      <c r="D10" s="141">
        <v>46295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Q10" s="136" t="s">
        <v>274</v>
      </c>
      <c r="R10" s="137">
        <v>6.25E-2</v>
      </c>
      <c r="S10" s="136" t="s">
        <v>275</v>
      </c>
      <c r="T10" s="136" t="s">
        <v>276</v>
      </c>
      <c r="U10" s="138" t="s">
        <v>277</v>
      </c>
      <c r="V10" s="138" t="s">
        <v>278</v>
      </c>
    </row>
    <row r="11" spans="1:22" ht="16" customHeight="1" x14ac:dyDescent="0.4">
      <c r="A11" s="62"/>
      <c r="B11" s="62" t="s">
        <v>279</v>
      </c>
      <c r="C11" s="62"/>
      <c r="D11" s="144">
        <v>1046.23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Q11" s="136" t="s">
        <v>280</v>
      </c>
      <c r="R11" s="143">
        <f>$D$5</f>
        <v>0.18770239037123329</v>
      </c>
      <c r="S11" s="136" t="s">
        <v>281</v>
      </c>
      <c r="T11" s="136" t="s">
        <v>282</v>
      </c>
      <c r="U11" s="138" t="s">
        <v>283</v>
      </c>
      <c r="V11" s="138" t="s">
        <v>284</v>
      </c>
    </row>
    <row r="12" spans="1:22" ht="16" customHeight="1" x14ac:dyDescent="0.4">
      <c r="A12" s="62"/>
      <c r="B12" s="62" t="s">
        <v>285</v>
      </c>
      <c r="C12" s="62"/>
      <c r="D12" s="145">
        <v>21597.634999999998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Q12" s="142" t="s">
        <v>286</v>
      </c>
      <c r="R12" s="143">
        <f>R10*(1-R11)</f>
        <v>5.0768600601797921E-2</v>
      </c>
      <c r="S12" s="136" t="s">
        <v>287</v>
      </c>
      <c r="T12" s="142" t="s">
        <v>271</v>
      </c>
      <c r="U12" s="136" t="s">
        <v>288</v>
      </c>
      <c r="V12" s="136"/>
    </row>
    <row r="13" spans="1:22" ht="16" customHeight="1" x14ac:dyDescent="0.4">
      <c r="A13" s="62"/>
      <c r="B13" s="62" t="s">
        <v>182</v>
      </c>
      <c r="C13" s="62"/>
      <c r="D13" s="145">
        <v>5582389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Q13" s="136" t="s">
        <v>289</v>
      </c>
      <c r="R13" s="146">
        <v>0.8</v>
      </c>
      <c r="S13" s="136" t="s">
        <v>290</v>
      </c>
      <c r="T13" s="136" t="s">
        <v>291</v>
      </c>
      <c r="U13" s="138" t="s">
        <v>292</v>
      </c>
      <c r="V13" s="138" t="s">
        <v>293</v>
      </c>
    </row>
    <row r="14" spans="1:22" ht="16" customHeight="1" x14ac:dyDescent="0.4">
      <c r="A14" s="62"/>
      <c r="B14" s="62" t="s">
        <v>173</v>
      </c>
      <c r="C14" s="62"/>
      <c r="D14" s="145">
        <v>304537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Q14" s="136" t="s">
        <v>294</v>
      </c>
      <c r="R14" s="146">
        <v>0.2</v>
      </c>
      <c r="S14" s="136" t="s">
        <v>295</v>
      </c>
      <c r="T14" s="136" t="s">
        <v>291</v>
      </c>
      <c r="U14" s="138" t="s">
        <v>296</v>
      </c>
      <c r="V14" s="138" t="s">
        <v>297</v>
      </c>
    </row>
    <row r="15" spans="1:22" ht="16" customHeight="1" x14ac:dyDescent="0.4">
      <c r="A15" s="62"/>
      <c r="B15" s="62" t="s">
        <v>298</v>
      </c>
      <c r="C15" s="62"/>
      <c r="D15" s="147">
        <f>'3 Statement Model'!J68</f>
        <v>35189.177779999998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Q15" s="142" t="s">
        <v>299</v>
      </c>
      <c r="R15" s="143">
        <f>R13*R9+R14*R12</f>
        <v>9.2390520120359587E-2</v>
      </c>
      <c r="S15" s="136" t="s">
        <v>300</v>
      </c>
      <c r="T15" s="142" t="s">
        <v>301</v>
      </c>
      <c r="U15" s="138" t="s">
        <v>302</v>
      </c>
      <c r="V15" s="138" t="s">
        <v>303</v>
      </c>
    </row>
    <row r="16" spans="1:22" ht="16" customHeight="1" x14ac:dyDescent="0.4">
      <c r="A16" s="62"/>
      <c r="B16" s="62"/>
      <c r="C16" s="62"/>
      <c r="D16" s="70"/>
      <c r="J16" s="62"/>
      <c r="K16" s="62"/>
      <c r="L16" s="62"/>
      <c r="M16" s="62"/>
      <c r="N16" s="62"/>
      <c r="O16" s="62"/>
    </row>
    <row r="17" spans="1:22" ht="16" customHeight="1" x14ac:dyDescent="0.4">
      <c r="A17" s="62"/>
      <c r="B17" s="71" t="s">
        <v>304</v>
      </c>
      <c r="C17" s="72"/>
      <c r="D17" s="73" t="s">
        <v>305</v>
      </c>
      <c r="E17" s="148">
        <f>YEAR(E18)</f>
        <v>2026</v>
      </c>
      <c r="F17" s="148">
        <f>YEAR(F18)</f>
        <v>2027</v>
      </c>
      <c r="G17" s="148">
        <f>YEAR(G18)</f>
        <v>2028</v>
      </c>
      <c r="H17" s="148">
        <f>YEAR(H18)</f>
        <v>2029</v>
      </c>
      <c r="I17" s="148">
        <f>YEAR(I18)</f>
        <v>2030</v>
      </c>
      <c r="J17" s="73" t="s">
        <v>306</v>
      </c>
      <c r="K17" s="62"/>
      <c r="L17" s="74" t="s">
        <v>307</v>
      </c>
      <c r="M17" s="72"/>
      <c r="N17" s="72"/>
      <c r="O17" s="62"/>
      <c r="Q17" s="167" t="s">
        <v>308</v>
      </c>
      <c r="R17" s="164"/>
      <c r="S17" s="164"/>
      <c r="T17" s="164"/>
      <c r="U17" s="164"/>
      <c r="V17" s="164"/>
    </row>
    <row r="18" spans="1:22" ht="16" customHeight="1" x14ac:dyDescent="0.4">
      <c r="A18" s="62"/>
      <c r="B18" s="62" t="s">
        <v>309</v>
      </c>
      <c r="C18" s="62"/>
      <c r="D18" s="147">
        <f>$D$9</f>
        <v>45930</v>
      </c>
      <c r="E18" s="149">
        <f>EDATE($D$9,(E19+0.5)*12)</f>
        <v>46111</v>
      </c>
      <c r="F18" s="149">
        <f>EDATE($D$9,(F19+0.5)*12)</f>
        <v>46476</v>
      </c>
      <c r="G18" s="149">
        <f>EDATE($D$9,(G19+0.5)*12)</f>
        <v>46842</v>
      </c>
      <c r="H18" s="149">
        <f>EDATE($D$9,(H19+0.5)*12)</f>
        <v>47207</v>
      </c>
      <c r="I18" s="149">
        <f>EDATE($D$9,(I19+0.5)*12)</f>
        <v>47572</v>
      </c>
      <c r="J18" s="147">
        <f>I18</f>
        <v>47572</v>
      </c>
      <c r="K18" s="62"/>
      <c r="L18" s="62" t="s">
        <v>310</v>
      </c>
      <c r="M18" s="147">
        <f>J27</f>
        <v>32019302.522067789</v>
      </c>
      <c r="N18" s="62" t="s">
        <v>311</v>
      </c>
      <c r="O18" s="62"/>
      <c r="Q18" s="171" t="s">
        <v>312</v>
      </c>
      <c r="R18" s="164"/>
      <c r="S18" s="164"/>
      <c r="U18" s="138" t="s">
        <v>313</v>
      </c>
      <c r="V18" s="138" t="s">
        <v>314</v>
      </c>
    </row>
    <row r="19" spans="1:22" ht="16" customHeight="1" x14ac:dyDescent="0.4">
      <c r="A19" s="62"/>
      <c r="B19" s="75" t="s">
        <v>315</v>
      </c>
      <c r="C19" s="75"/>
      <c r="D19" s="76"/>
      <c r="E19" s="150">
        <v>0</v>
      </c>
      <c r="F19" s="151">
        <f>E19+1</f>
        <v>1</v>
      </c>
      <c r="G19" s="151">
        <f>F19+1</f>
        <v>2</v>
      </c>
      <c r="H19" s="151">
        <f>G19+1</f>
        <v>3</v>
      </c>
      <c r="I19" s="151">
        <f>H19+1</f>
        <v>4</v>
      </c>
      <c r="J19" s="76"/>
      <c r="K19" s="62"/>
      <c r="L19" s="62" t="s">
        <v>316</v>
      </c>
      <c r="M19" s="147">
        <f>IF(($D$6-$D$7)&lt;=0,"WACC must exceed g",$I$26*(1+$D$7)/($D$6-$D$7))</f>
        <v>27291536.851786137</v>
      </c>
      <c r="N19" s="77" t="s">
        <v>317</v>
      </c>
      <c r="O19" s="62"/>
      <c r="Q19" s="136" t="s">
        <v>318</v>
      </c>
      <c r="R19" s="171">
        <f>E21-E22+E23-E24-E25</f>
        <v>971971.29493781808</v>
      </c>
      <c r="S19" s="164"/>
      <c r="T19" s="164"/>
    </row>
    <row r="20" spans="1:22" ht="16" customHeight="1" x14ac:dyDescent="0.4">
      <c r="A20" s="62"/>
      <c r="B20" s="75" t="s">
        <v>319</v>
      </c>
      <c r="C20" s="62"/>
      <c r="D20" s="62"/>
      <c r="E20" s="151">
        <f>YEARFRAC(D18,E18)</f>
        <v>0.5</v>
      </c>
      <c r="F20" s="151">
        <f>YEARFRAC(E18,F18)</f>
        <v>1</v>
      </c>
      <c r="G20" s="151">
        <f>YEARFRAC(F18,G18)</f>
        <v>1</v>
      </c>
      <c r="H20" s="151">
        <f>YEARFRAC(G18,H18)</f>
        <v>1</v>
      </c>
      <c r="I20" s="151">
        <f>YEARFRAC(H18,I18)</f>
        <v>1</v>
      </c>
      <c r="J20" s="62"/>
      <c r="K20" s="62"/>
      <c r="L20" s="62" t="s">
        <v>320</v>
      </c>
      <c r="M20" s="147">
        <f>IF(($I$21+$I$23)=0,0,M19/($I$21+$I$23))</f>
        <v>13.637542208410935</v>
      </c>
      <c r="N20" s="78" t="e">
        <f>AVERAGE(N18:N19)</f>
        <v>#DIV/0!</v>
      </c>
      <c r="O20" s="62"/>
      <c r="Q20" s="136" t="s">
        <v>321</v>
      </c>
      <c r="R20" s="142">
        <f>E21*$D$5</f>
        <v>225698.47283718194</v>
      </c>
      <c r="S20" s="136" t="s">
        <v>322</v>
      </c>
      <c r="U20" s="138" t="s">
        <v>323</v>
      </c>
    </row>
    <row r="21" spans="1:22" ht="16" customHeight="1" x14ac:dyDescent="0.4">
      <c r="A21" s="62"/>
      <c r="B21" s="62" t="s">
        <v>324</v>
      </c>
      <c r="C21" s="152" t="s">
        <v>325</v>
      </c>
      <c r="D21" s="62"/>
      <c r="E21" s="147">
        <f>'3 Statement Model'!J26-'3 Statement Model'!J28-'3 Statement Model'!J29-'3 Statement Model'!J30</f>
        <v>1202427.2700566088</v>
      </c>
      <c r="F21" s="147">
        <f>'3 Statement Model'!K26-'3 Statement Model'!K28-'3 Statement Model'!K29-'3 Statement Model'!K30</f>
        <v>1416228.5872817053</v>
      </c>
      <c r="G21" s="147">
        <f>'3 Statement Model'!L26-'3 Statement Model'!L28-'3 Statement Model'!L29-'3 Statement Model'!L30</f>
        <v>1625175.6489550732</v>
      </c>
      <c r="H21" s="147">
        <f>'3 Statement Model'!M26-'3 Statement Model'!M28-'3 Statement Model'!M29-'3 Statement Model'!M30</f>
        <v>1815132.4856344047</v>
      </c>
      <c r="I21" s="147">
        <f>'3 Statement Model'!N26-'3 Statement Model'!N28-'3 Statement Model'!N29-'3 Statement Model'!N30</f>
        <v>1971204.2289230537</v>
      </c>
      <c r="J21" s="62"/>
      <c r="K21" s="62"/>
      <c r="L21" s="62" t="s">
        <v>326</v>
      </c>
      <c r="M21" s="147">
        <f>($I$21+$I$23)*25</f>
        <v>50030160.190730922</v>
      </c>
      <c r="N21" s="62" t="s">
        <v>327</v>
      </c>
      <c r="O21" s="62"/>
      <c r="Q21" s="136" t="s">
        <v>328</v>
      </c>
      <c r="R21" s="153">
        <f>I26</f>
        <v>1653139.0088028137</v>
      </c>
      <c r="S21" s="136" t="s">
        <v>329</v>
      </c>
    </row>
    <row r="22" spans="1:22" ht="16" customHeight="1" x14ac:dyDescent="0.4">
      <c r="A22" s="62"/>
      <c r="B22" s="62" t="s">
        <v>330</v>
      </c>
      <c r="C22" s="152" t="s">
        <v>331</v>
      </c>
      <c r="D22" s="62"/>
      <c r="E22" s="147">
        <f>E21*$D$5</f>
        <v>225698.47283718194</v>
      </c>
      <c r="F22" s="147">
        <f>F21*$D$5</f>
        <v>265829.49114485091</v>
      </c>
      <c r="G22" s="147">
        <f>G21*$D$5</f>
        <v>305049.35408198752</v>
      </c>
      <c r="H22" s="147">
        <f>H21*$D$5</f>
        <v>340704.70639405603</v>
      </c>
      <c r="I22" s="147">
        <f>I21*$D$5</f>
        <v>369999.74567874096</v>
      </c>
      <c r="J22" s="62"/>
      <c r="K22" s="62"/>
      <c r="L22" s="62"/>
      <c r="M22" s="62"/>
      <c r="N22" s="62"/>
      <c r="O22" s="62"/>
    </row>
    <row r="23" spans="1:22" ht="16" customHeight="1" x14ac:dyDescent="0.4">
      <c r="A23" s="62"/>
      <c r="B23" s="62" t="s">
        <v>332</v>
      </c>
      <c r="C23" s="152" t="s">
        <v>333</v>
      </c>
      <c r="D23" s="62"/>
      <c r="E23" s="147">
        <f>'3 Statement Model'!J30</f>
        <v>18837.137168391298</v>
      </c>
      <c r="F23" s="147">
        <f>'3 Statement Model'!K30</f>
        <v>22435.236680294474</v>
      </c>
      <c r="G23" s="147">
        <f>'3 Statement Model'!L30</f>
        <v>25371.208208517011</v>
      </c>
      <c r="H23" s="147">
        <f>'3 Statement Model'!M30</f>
        <v>27811.466940726881</v>
      </c>
      <c r="I23" s="147">
        <f>'3 Statement Model'!N30</f>
        <v>30002.178706183007</v>
      </c>
      <c r="J23" s="62"/>
      <c r="K23" s="62"/>
      <c r="L23" s="62"/>
      <c r="M23" s="62"/>
      <c r="N23" s="62"/>
      <c r="O23" s="62"/>
      <c r="Q23" s="167" t="s">
        <v>334</v>
      </c>
      <c r="R23" s="164"/>
      <c r="S23" s="164"/>
      <c r="T23" s="164"/>
      <c r="U23" s="164"/>
      <c r="V23" s="164"/>
    </row>
    <row r="24" spans="1:22" ht="16" customHeight="1" x14ac:dyDescent="0.4">
      <c r="A24" s="62"/>
      <c r="B24" s="62" t="s">
        <v>335</v>
      </c>
      <c r="C24" s="152" t="s">
        <v>336</v>
      </c>
      <c r="D24" s="62"/>
      <c r="E24" s="147">
        <f>'3 Statement Model'!J68</f>
        <v>35189.177779999998</v>
      </c>
      <c r="F24" s="147">
        <f>'3 Statement Model'!K68</f>
        <v>35074.464166399994</v>
      </c>
      <c r="G24" s="147">
        <f>'3 Statement Model'!L68</f>
        <v>36388.229645035994</v>
      </c>
      <c r="H24" s="147">
        <f>'3 Statement Model'!M68</f>
        <v>36456.546260243995</v>
      </c>
      <c r="I24" s="147">
        <f>'3 Statement Model'!N68</f>
        <v>39008.504498461079</v>
      </c>
      <c r="J24" s="62"/>
      <c r="K24" s="62"/>
      <c r="L24" s="62"/>
      <c r="M24" s="62"/>
      <c r="N24" s="62"/>
      <c r="O24" s="62"/>
      <c r="Q24" s="171" t="s">
        <v>337</v>
      </c>
      <c r="R24" s="164"/>
      <c r="S24" s="164"/>
    </row>
    <row r="25" spans="1:22" ht="16" customHeight="1" x14ac:dyDescent="0.4">
      <c r="A25" s="62"/>
      <c r="B25" s="62" t="s">
        <v>338</v>
      </c>
      <c r="C25" s="152" t="s">
        <v>339</v>
      </c>
      <c r="D25" s="62"/>
      <c r="E25" s="147">
        <f>'3 Statement Model'!J64</f>
        <v>-11594.53833000001</v>
      </c>
      <c r="F25" s="147">
        <f>'3 Statement Model'!K64</f>
        <v>-25923.265908000059</v>
      </c>
      <c r="G25" s="147">
        <f>'3 Statement Model'!L64</f>
        <v>-47794.93129691598</v>
      </c>
      <c r="H25" s="147">
        <f>'3 Statement Model'!M64</f>
        <v>-46181.899618921772</v>
      </c>
      <c r="I25" s="147">
        <f>'3 Statement Model'!N64</f>
        <v>-60940.851350778961</v>
      </c>
      <c r="J25" s="62"/>
      <c r="K25" s="62"/>
      <c r="L25" s="62"/>
      <c r="M25" s="62"/>
      <c r="N25" s="62"/>
      <c r="O25" s="62"/>
      <c r="Q25" s="136" t="s">
        <v>340</v>
      </c>
      <c r="R25" s="142">
        <f>($I$21+$I$23)*$D$8</f>
        <v>32019302.522067789</v>
      </c>
      <c r="T25" s="153">
        <f>J27</f>
        <v>32019302.522067789</v>
      </c>
      <c r="U25" s="138" t="s">
        <v>341</v>
      </c>
    </row>
    <row r="26" spans="1:22" ht="16" customHeight="1" x14ac:dyDescent="0.4">
      <c r="A26" s="62"/>
      <c r="B26" s="62" t="s">
        <v>342</v>
      </c>
      <c r="C26" s="152" t="s">
        <v>343</v>
      </c>
      <c r="D26" s="62"/>
      <c r="E26" s="154">
        <f>E21-E22+E23-E24-E25</f>
        <v>971971.29493781808</v>
      </c>
      <c r="F26" s="154">
        <f>F21-F22+F23-F24-F25</f>
        <v>1163683.1345587489</v>
      </c>
      <c r="G26" s="154">
        <f>G21-G22+G23-G24-G25</f>
        <v>1356904.2047334828</v>
      </c>
      <c r="H26" s="154">
        <f>H21-H22+H23-H24-H25</f>
        <v>1511964.5995397533</v>
      </c>
      <c r="I26" s="154">
        <f>I21-I22+I23-I24-I25</f>
        <v>1653139.0088028137</v>
      </c>
      <c r="J26" s="62"/>
      <c r="K26" s="62"/>
      <c r="L26" s="62"/>
      <c r="M26" s="62"/>
      <c r="N26" s="62"/>
      <c r="O26" s="62"/>
      <c r="Q26" s="171" t="s">
        <v>344</v>
      </c>
      <c r="R26" s="164"/>
      <c r="S26" s="164"/>
    </row>
    <row r="27" spans="1:22" ht="16" customHeight="1" x14ac:dyDescent="0.4">
      <c r="A27" s="62"/>
      <c r="B27" s="62" t="s">
        <v>345</v>
      </c>
      <c r="C27" s="62"/>
      <c r="D27" s="155">
        <f>-I35</f>
        <v>-27873945.666049998</v>
      </c>
      <c r="E27" s="62"/>
      <c r="F27" s="62"/>
      <c r="G27" s="62"/>
      <c r="H27" s="62"/>
      <c r="I27" s="62"/>
      <c r="J27" s="147">
        <f>($I$21+$I$23)*$D$8</f>
        <v>32019302.522067789</v>
      </c>
      <c r="K27" s="62"/>
      <c r="L27" s="62"/>
      <c r="M27" s="62"/>
      <c r="N27" s="62"/>
      <c r="O27" s="62"/>
      <c r="Q27" s="136" t="s">
        <v>340</v>
      </c>
      <c r="R27" s="142">
        <f>IF(($D$6-$D$7)&lt;=0,"err",$I$26*(1+$D$7)/($D$6-$D$7))</f>
        <v>27291536.851786137</v>
      </c>
      <c r="T27" s="153">
        <f>M19</f>
        <v>27291536.851786137</v>
      </c>
      <c r="U27" s="138" t="s">
        <v>346</v>
      </c>
    </row>
    <row r="28" spans="1:22" ht="16" customHeight="1" x14ac:dyDescent="0.4">
      <c r="A28" s="62"/>
      <c r="B28" s="62" t="s">
        <v>347</v>
      </c>
      <c r="C28" s="62"/>
      <c r="D28" s="154">
        <v>0</v>
      </c>
      <c r="E28" s="156">
        <f t="shared" ref="E28:J28" si="0">E27+E26</f>
        <v>971971.29493781808</v>
      </c>
      <c r="F28" s="156">
        <f t="shared" si="0"/>
        <v>1163683.1345587489</v>
      </c>
      <c r="G28" s="156">
        <f t="shared" si="0"/>
        <v>1356904.2047334828</v>
      </c>
      <c r="H28" s="156">
        <f t="shared" si="0"/>
        <v>1511964.5995397533</v>
      </c>
      <c r="I28" s="156">
        <f t="shared" si="0"/>
        <v>1653139.0088028137</v>
      </c>
      <c r="J28" s="156">
        <f t="shared" si="0"/>
        <v>32019302.522067789</v>
      </c>
      <c r="K28" s="62"/>
      <c r="L28" s="62"/>
      <c r="M28" s="62"/>
      <c r="N28" s="62"/>
      <c r="O28" s="62"/>
      <c r="Q28" s="136" t="s">
        <v>320</v>
      </c>
      <c r="R28" s="157">
        <f>IF(($I$21+$I$23)=0,0,T27/($I$21+$I$23))</f>
        <v>13.637542208410935</v>
      </c>
      <c r="S28" s="136" t="s">
        <v>348</v>
      </c>
    </row>
    <row r="29" spans="1:22" ht="16" customHeight="1" x14ac:dyDescent="0.4">
      <c r="A29" s="62"/>
      <c r="B29" s="62" t="s">
        <v>347</v>
      </c>
      <c r="C29" s="62"/>
      <c r="D29" s="155">
        <f t="shared" ref="D29:I29" si="1">D27+D26</f>
        <v>-27873945.666049998</v>
      </c>
      <c r="E29" s="147">
        <f t="shared" si="1"/>
        <v>971971.29493781808</v>
      </c>
      <c r="F29" s="147">
        <f t="shared" si="1"/>
        <v>1163683.1345587489</v>
      </c>
      <c r="G29" s="147">
        <f t="shared" si="1"/>
        <v>1356904.2047334828</v>
      </c>
      <c r="H29" s="147">
        <f t="shared" si="1"/>
        <v>1511964.5995397533</v>
      </c>
      <c r="I29" s="147">
        <f t="shared" si="1"/>
        <v>1653139.0088028137</v>
      </c>
      <c r="J29" s="147">
        <f>J27</f>
        <v>32019302.522067789</v>
      </c>
      <c r="K29" s="62"/>
      <c r="L29" s="62"/>
      <c r="M29" s="62"/>
      <c r="N29" s="62"/>
      <c r="O29" s="62"/>
    </row>
    <row r="30" spans="1:22" ht="16" customHeight="1" x14ac:dyDescent="0.4">
      <c r="A30" s="62"/>
      <c r="B30" s="62"/>
      <c r="C30" s="62"/>
      <c r="D30" s="64"/>
      <c r="E30" s="62"/>
      <c r="G30" s="62"/>
      <c r="H30" s="62"/>
      <c r="I30" s="62"/>
      <c r="J30" s="62"/>
      <c r="L30" s="62"/>
      <c r="M30" s="62"/>
      <c r="N30" s="62"/>
      <c r="O30" s="62"/>
      <c r="Q30" s="167" t="s">
        <v>349</v>
      </c>
      <c r="R30" s="164"/>
      <c r="S30" s="164"/>
      <c r="T30" s="164"/>
      <c r="U30" s="164"/>
      <c r="V30" s="164"/>
    </row>
    <row r="31" spans="1:22" ht="16" customHeight="1" x14ac:dyDescent="0.4">
      <c r="A31" s="62"/>
      <c r="B31" s="71" t="s">
        <v>350</v>
      </c>
      <c r="C31" s="72"/>
      <c r="D31" s="72"/>
      <c r="E31" s="62"/>
      <c r="G31" s="71" t="s">
        <v>351</v>
      </c>
      <c r="H31" s="72"/>
      <c r="I31" s="72"/>
      <c r="J31" s="62"/>
      <c r="L31" s="71" t="s">
        <v>352</v>
      </c>
      <c r="M31" s="72"/>
      <c r="N31" s="72"/>
      <c r="O31" s="62"/>
      <c r="Q31" s="171" t="s">
        <v>353</v>
      </c>
      <c r="R31" s="164"/>
      <c r="S31" s="164"/>
    </row>
    <row r="32" spans="1:22" ht="16" customHeight="1" x14ac:dyDescent="0.4">
      <c r="A32" s="62"/>
      <c r="B32" s="62" t="s">
        <v>354</v>
      </c>
      <c r="C32" s="62"/>
      <c r="D32" s="147">
        <f>XNPV(D6,D28:J28,D18:J18)</f>
        <v>26774803.51161696</v>
      </c>
      <c r="E32" s="62"/>
      <c r="G32" s="62" t="s">
        <v>355</v>
      </c>
      <c r="H32" s="62"/>
      <c r="I32" s="155">
        <f>D12*D11</f>
        <v>22596093.666049998</v>
      </c>
      <c r="J32" s="62"/>
      <c r="L32" s="62" t="s">
        <v>356</v>
      </c>
      <c r="M32" s="62"/>
      <c r="N32" s="79">
        <f>D37/I37-1</f>
        <v>-4.8643016384928073E-2</v>
      </c>
      <c r="O32" s="62"/>
      <c r="Q32" s="136" t="s">
        <v>340</v>
      </c>
      <c r="R32" s="142">
        <f>XNPV(D6,D28:J28,D18:J18)</f>
        <v>26774803.51161696</v>
      </c>
      <c r="T32" s="153">
        <f>D32</f>
        <v>26774803.51161696</v>
      </c>
    </row>
    <row r="33" spans="1:22" ht="16" customHeight="1" x14ac:dyDescent="0.4">
      <c r="A33" s="62"/>
      <c r="B33" s="62" t="s">
        <v>357</v>
      </c>
      <c r="C33" s="62"/>
      <c r="D33" s="155">
        <f>+D14</f>
        <v>304537</v>
      </c>
      <c r="E33" s="62"/>
      <c r="G33" s="62" t="s">
        <v>358</v>
      </c>
      <c r="H33" s="62"/>
      <c r="I33" s="155">
        <f>D13</f>
        <v>5582389</v>
      </c>
      <c r="J33" s="62"/>
      <c r="L33" s="62" t="s">
        <v>359</v>
      </c>
      <c r="M33" s="62"/>
      <c r="N33" s="79">
        <f>XIRR(D29:J29,D18:J18)</f>
        <v>8.1793674826622031E-2</v>
      </c>
      <c r="O33" s="62"/>
      <c r="Q33" s="142" t="s">
        <v>360</v>
      </c>
      <c r="R33" s="153">
        <f>D35</f>
        <v>21496951.51161696</v>
      </c>
      <c r="S33" s="136" t="s">
        <v>361</v>
      </c>
      <c r="U33" s="138" t="s">
        <v>362</v>
      </c>
      <c r="V33" s="138" t="s">
        <v>363</v>
      </c>
    </row>
    <row r="34" spans="1:22" ht="16" customHeight="1" x14ac:dyDescent="0.4">
      <c r="A34" s="62"/>
      <c r="B34" s="62" t="s">
        <v>364</v>
      </c>
      <c r="C34" s="62"/>
      <c r="D34" s="155">
        <f>+D13</f>
        <v>5582389</v>
      </c>
      <c r="E34" s="62"/>
      <c r="G34" s="62" t="s">
        <v>365</v>
      </c>
      <c r="H34" s="62"/>
      <c r="I34" s="155">
        <f>+D14</f>
        <v>304537</v>
      </c>
      <c r="J34" s="62"/>
      <c r="L34" s="62"/>
      <c r="M34" s="62"/>
      <c r="N34" s="62"/>
      <c r="O34" s="62"/>
      <c r="Q34" s="142" t="s">
        <v>366</v>
      </c>
      <c r="R34" s="158">
        <f>D37</f>
        <v>995.33821696759674</v>
      </c>
      <c r="S34" s="136" t="s">
        <v>367</v>
      </c>
      <c r="U34" s="138" t="s">
        <v>368</v>
      </c>
      <c r="V34" s="138" t="s">
        <v>369</v>
      </c>
    </row>
    <row r="35" spans="1:22" ht="16" customHeight="1" x14ac:dyDescent="0.4">
      <c r="A35" s="62"/>
      <c r="B35" s="62" t="s">
        <v>370</v>
      </c>
      <c r="C35" s="62"/>
      <c r="D35" s="154">
        <f>D32+D33-D34</f>
        <v>21496951.51161696</v>
      </c>
      <c r="E35" s="62"/>
      <c r="G35" s="62" t="s">
        <v>371</v>
      </c>
      <c r="H35" s="62"/>
      <c r="I35" s="154">
        <f>I32+I33-I34</f>
        <v>27873945.666049998</v>
      </c>
      <c r="J35" s="62"/>
      <c r="L35" s="71" t="s">
        <v>372</v>
      </c>
      <c r="M35" s="72"/>
      <c r="N35" s="72"/>
      <c r="O35" s="62"/>
      <c r="Q35" s="136" t="s">
        <v>373</v>
      </c>
      <c r="R35" s="159">
        <f>D37/D11-1</f>
        <v>-4.8643016384928073E-2</v>
      </c>
      <c r="S35" s="136" t="s">
        <v>374</v>
      </c>
    </row>
    <row r="36" spans="1:22" ht="16" customHeight="1" x14ac:dyDescent="0.4">
      <c r="A36" s="62"/>
      <c r="B36" s="62"/>
      <c r="C36" s="62"/>
      <c r="D36" s="62"/>
      <c r="E36" s="62"/>
      <c r="G36" s="62"/>
      <c r="H36" s="62"/>
      <c r="I36" s="80"/>
      <c r="J36" s="62"/>
      <c r="L36" s="62" t="s">
        <v>351</v>
      </c>
      <c r="M36" s="62"/>
      <c r="N36" s="80">
        <f>I37</f>
        <v>1046.23</v>
      </c>
      <c r="O36" s="62"/>
    </row>
    <row r="37" spans="1:22" ht="16" customHeight="1" x14ac:dyDescent="0.4">
      <c r="A37" s="62"/>
      <c r="B37" s="62" t="s">
        <v>375</v>
      </c>
      <c r="C37" s="62"/>
      <c r="D37" s="155">
        <f>D35/D12</f>
        <v>995.33821696759674</v>
      </c>
      <c r="E37" s="62"/>
      <c r="G37" s="62" t="s">
        <v>375</v>
      </c>
      <c r="H37" s="62"/>
      <c r="I37" s="155">
        <f>D11</f>
        <v>1046.23</v>
      </c>
      <c r="J37" s="62"/>
      <c r="L37" s="62" t="s">
        <v>376</v>
      </c>
      <c r="M37" s="62"/>
      <c r="N37" s="80">
        <f>D37-I37</f>
        <v>-50.891783032403282</v>
      </c>
      <c r="O37" s="62"/>
      <c r="Q37" s="167" t="s">
        <v>377</v>
      </c>
      <c r="R37" s="164"/>
      <c r="S37" s="164"/>
      <c r="T37" s="164"/>
      <c r="U37" s="164"/>
      <c r="V37" s="164"/>
    </row>
    <row r="38" spans="1:22" ht="16" customHeight="1" x14ac:dyDescent="0.4">
      <c r="A38" s="62"/>
      <c r="B38" s="62"/>
      <c r="C38" s="62"/>
      <c r="D38" s="62"/>
      <c r="E38" s="62"/>
      <c r="G38" s="62"/>
      <c r="H38" s="62"/>
      <c r="I38" s="62"/>
      <c r="J38" s="62"/>
      <c r="L38" s="62" t="s">
        <v>350</v>
      </c>
      <c r="M38" s="62"/>
      <c r="N38" s="80">
        <f>SUM(N36:N37)</f>
        <v>995.33821696759674</v>
      </c>
      <c r="O38" s="62"/>
      <c r="Q38" s="171" t="s">
        <v>378</v>
      </c>
      <c r="R38" s="164"/>
      <c r="S38" s="164"/>
      <c r="T38" s="164"/>
      <c r="U38" s="138" t="s">
        <v>379</v>
      </c>
      <c r="V38" s="138" t="s">
        <v>380</v>
      </c>
    </row>
    <row r="39" spans="1:22" ht="16" customHeight="1" x14ac:dyDescent="0.4">
      <c r="A39" s="62"/>
      <c r="C39" s="62"/>
      <c r="D39" s="64"/>
      <c r="E39" s="62"/>
      <c r="G39" s="62"/>
      <c r="H39" s="62"/>
      <c r="I39" s="63"/>
      <c r="J39" s="62"/>
      <c r="L39" s="62"/>
      <c r="M39" s="62"/>
      <c r="N39" s="62"/>
      <c r="O39" s="62"/>
      <c r="Q39" s="142" t="s">
        <v>381</v>
      </c>
      <c r="S39" s="136" t="s">
        <v>382</v>
      </c>
      <c r="T39" s="153">
        <f>I25</f>
        <v>-60940.851350778961</v>
      </c>
    </row>
    <row r="40" spans="1:22" ht="16" customHeight="1" x14ac:dyDescent="0.4">
      <c r="A40" s="62"/>
      <c r="C40" s="62"/>
      <c r="D40" s="64"/>
      <c r="E40" s="62"/>
      <c r="F40" s="62"/>
      <c r="G40" s="62"/>
      <c r="H40" s="63"/>
      <c r="I40" s="62"/>
      <c r="K40" s="62"/>
      <c r="L40" s="62"/>
      <c r="M40" s="62"/>
      <c r="N40" s="62"/>
      <c r="O40" s="62"/>
    </row>
    <row r="41" spans="1:22" ht="16" customHeight="1" x14ac:dyDescent="0.4">
      <c r="A41" s="62"/>
      <c r="B41" s="71" t="s">
        <v>383</v>
      </c>
      <c r="C41" s="72"/>
      <c r="D41" s="81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62"/>
      <c r="Q41" s="167" t="s">
        <v>384</v>
      </c>
      <c r="R41" s="164"/>
      <c r="S41" s="164"/>
      <c r="T41" s="164"/>
      <c r="U41" s="164"/>
      <c r="V41" s="164"/>
    </row>
    <row r="42" spans="1:22" ht="16" customHeight="1" x14ac:dyDescent="0.4">
      <c r="A42" s="62"/>
      <c r="B42" s="62" t="s">
        <v>385</v>
      </c>
      <c r="C42" s="62"/>
      <c r="D42" s="64"/>
      <c r="E42" s="62"/>
      <c r="F42" s="62"/>
      <c r="G42" s="62"/>
      <c r="H42" s="62"/>
      <c r="N42" s="82" t="s">
        <v>232</v>
      </c>
      <c r="O42" s="62"/>
      <c r="Q42" s="168" t="s">
        <v>386</v>
      </c>
      <c r="R42" s="169"/>
      <c r="S42" s="170"/>
      <c r="T42" s="166" t="s">
        <v>387</v>
      </c>
      <c r="U42" s="164"/>
      <c r="V42" s="164"/>
    </row>
    <row r="43" spans="1:22" ht="16" customHeight="1" x14ac:dyDescent="0.4">
      <c r="A43" s="62"/>
      <c r="B43" s="62" t="s">
        <v>388</v>
      </c>
      <c r="C43" s="62"/>
      <c r="D43" s="64"/>
      <c r="E43" s="62"/>
      <c r="F43" s="62"/>
      <c r="G43" s="62"/>
      <c r="H43" s="62"/>
      <c r="N43" s="36"/>
      <c r="O43" s="62"/>
      <c r="Q43" s="168" t="s">
        <v>389</v>
      </c>
      <c r="R43" s="169"/>
      <c r="S43" s="170"/>
      <c r="T43" s="166" t="s">
        <v>390</v>
      </c>
      <c r="U43" s="164"/>
      <c r="V43" s="164"/>
    </row>
    <row r="44" spans="1:22" ht="16" customHeight="1" x14ac:dyDescent="0.4">
      <c r="A44" s="62"/>
      <c r="B44" s="83" t="s">
        <v>391</v>
      </c>
      <c r="C44" s="62"/>
      <c r="D44" s="64"/>
      <c r="E44" s="62"/>
      <c r="F44" s="62"/>
      <c r="G44" s="62"/>
      <c r="H44" s="62"/>
      <c r="N44" s="36"/>
      <c r="O44" s="62"/>
      <c r="Q44" s="168" t="s">
        <v>392</v>
      </c>
      <c r="R44" s="169"/>
      <c r="S44" s="170"/>
      <c r="T44" s="166" t="s">
        <v>393</v>
      </c>
      <c r="U44" s="164"/>
      <c r="V44" s="164"/>
    </row>
    <row r="45" spans="1:22" ht="16" customHeight="1" x14ac:dyDescent="0.4">
      <c r="A45" s="62"/>
      <c r="B45" s="83" t="s">
        <v>394</v>
      </c>
      <c r="C45" s="62"/>
      <c r="D45" s="64"/>
      <c r="E45" s="62"/>
      <c r="F45" s="62"/>
      <c r="G45" s="62"/>
      <c r="H45" s="62"/>
      <c r="N45" s="36"/>
      <c r="O45" s="62"/>
      <c r="Q45" s="168" t="s">
        <v>395</v>
      </c>
      <c r="R45" s="169"/>
      <c r="S45" s="170"/>
      <c r="T45" s="166" t="s">
        <v>396</v>
      </c>
      <c r="U45" s="164"/>
      <c r="V45" s="164"/>
    </row>
    <row r="46" spans="1:22" ht="16" customHeight="1" x14ac:dyDescent="0.4">
      <c r="A46" s="62"/>
      <c r="B46" s="83" t="s">
        <v>397</v>
      </c>
      <c r="C46" s="62"/>
      <c r="D46" s="64"/>
      <c r="E46" s="62"/>
      <c r="F46" s="62"/>
      <c r="G46" s="62"/>
      <c r="H46" s="62"/>
      <c r="N46" s="36"/>
      <c r="O46" s="62"/>
      <c r="Q46" s="168" t="s">
        <v>398</v>
      </c>
      <c r="R46" s="169"/>
      <c r="S46" s="170"/>
      <c r="T46" s="166" t="s">
        <v>399</v>
      </c>
      <c r="U46" s="164"/>
      <c r="V46" s="164"/>
    </row>
    <row r="47" spans="1:22" ht="16" customHeight="1" x14ac:dyDescent="0.4">
      <c r="A47" s="62"/>
      <c r="B47" s="62"/>
      <c r="C47" s="62"/>
      <c r="D47" s="64"/>
      <c r="E47" s="62"/>
      <c r="F47" s="62"/>
      <c r="G47" s="62"/>
      <c r="H47" s="62"/>
      <c r="N47" s="36"/>
      <c r="O47" s="62"/>
      <c r="Q47" s="168" t="s">
        <v>31</v>
      </c>
      <c r="R47" s="169"/>
      <c r="S47" s="170"/>
      <c r="T47" s="166" t="s">
        <v>400</v>
      </c>
      <c r="U47" s="164"/>
      <c r="V47" s="164"/>
    </row>
    <row r="48" spans="1:22" ht="16" customHeight="1" x14ac:dyDescent="0.4">
      <c r="A48" s="62"/>
      <c r="B48" s="62"/>
      <c r="C48" s="62"/>
      <c r="D48" s="64"/>
      <c r="E48" s="62"/>
      <c r="F48" s="62"/>
      <c r="G48" s="62"/>
      <c r="H48" s="62"/>
      <c r="N48" s="84" t="s">
        <v>233</v>
      </c>
      <c r="O48" s="62"/>
      <c r="Q48" s="168" t="s">
        <v>35</v>
      </c>
      <c r="R48" s="169"/>
      <c r="S48" s="170"/>
      <c r="T48" s="166" t="s">
        <v>401</v>
      </c>
      <c r="U48" s="164"/>
      <c r="V48" s="164"/>
    </row>
    <row r="49" spans="1:22" ht="16" customHeight="1" x14ac:dyDescent="0.4">
      <c r="A49" s="62"/>
      <c r="B49" s="62"/>
      <c r="C49" s="62"/>
      <c r="D49" s="64"/>
      <c r="E49" s="62"/>
      <c r="F49" s="62"/>
      <c r="G49" s="62"/>
      <c r="H49" s="62"/>
      <c r="N49" s="85" t="s">
        <v>7</v>
      </c>
      <c r="O49" s="62"/>
      <c r="Q49" s="168" t="s">
        <v>402</v>
      </c>
      <c r="R49" s="169"/>
      <c r="S49" s="170"/>
      <c r="T49" s="166" t="s">
        <v>403</v>
      </c>
      <c r="U49" s="164"/>
      <c r="V49" s="164"/>
    </row>
    <row r="50" spans="1:22" ht="16" customHeight="1" x14ac:dyDescent="0.4">
      <c r="A50" s="62"/>
      <c r="B50" s="62"/>
      <c r="C50" s="62"/>
      <c r="D50" s="64"/>
      <c r="E50" s="62"/>
      <c r="F50" s="62"/>
      <c r="G50" s="62"/>
      <c r="H50" s="62"/>
      <c r="O50" s="62"/>
      <c r="Q50" s="168" t="s">
        <v>404</v>
      </c>
      <c r="R50" s="169"/>
      <c r="S50" s="170"/>
      <c r="T50" s="166" t="s">
        <v>405</v>
      </c>
      <c r="U50" s="164"/>
      <c r="V50" s="164"/>
    </row>
    <row r="51" spans="1:22" ht="16" customHeight="1" x14ac:dyDescent="0.4">
      <c r="A51" s="62"/>
      <c r="B51" s="62"/>
      <c r="C51" s="62"/>
      <c r="D51" s="64"/>
      <c r="E51" s="62"/>
      <c r="F51" s="62"/>
      <c r="G51" s="62"/>
      <c r="H51" s="62"/>
      <c r="M51" s="62"/>
      <c r="O51" s="62"/>
      <c r="Q51" s="168" t="s">
        <v>406</v>
      </c>
      <c r="R51" s="169"/>
      <c r="S51" s="170"/>
      <c r="T51" s="166" t="s">
        <v>407</v>
      </c>
      <c r="U51" s="164"/>
      <c r="V51" s="164"/>
    </row>
    <row r="52" spans="1:22" ht="16" customHeight="1" x14ac:dyDescent="0.4">
      <c r="A52" s="62"/>
      <c r="B52" s="62"/>
      <c r="C52" s="62"/>
      <c r="D52" s="64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</row>
    <row r="53" spans="1:22" ht="16" customHeight="1" x14ac:dyDescent="0.4">
      <c r="A53" s="62"/>
      <c r="B53" s="62"/>
      <c r="C53" s="62"/>
      <c r="D53" s="64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</row>
    <row r="54" spans="1:22" ht="16" customHeight="1" x14ac:dyDescent="0.4">
      <c r="A54" s="62"/>
      <c r="B54" s="62"/>
      <c r="C54" s="62"/>
      <c r="D54" s="64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</row>
    <row r="55" spans="1:22" ht="16" customHeight="1" x14ac:dyDescent="0.4">
      <c r="A55" s="62"/>
      <c r="B55" s="62"/>
      <c r="C55" s="62"/>
      <c r="D55" s="64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</row>
    <row r="56" spans="1:22" ht="16" customHeight="1" x14ac:dyDescent="0.4">
      <c r="A56" s="62"/>
      <c r="B56" s="62"/>
      <c r="C56" s="62"/>
      <c r="D56" s="64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</row>
    <row r="57" spans="1:22" ht="16" customHeight="1" x14ac:dyDescent="0.4">
      <c r="A57" s="62"/>
      <c r="B57" s="62"/>
      <c r="C57" s="62"/>
      <c r="D57" s="64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</row>
    <row r="58" spans="1:22" ht="16" customHeight="1" x14ac:dyDescent="0.4">
      <c r="A58" s="62"/>
      <c r="B58" s="62"/>
      <c r="C58" s="62"/>
      <c r="D58" s="64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</row>
    <row r="59" spans="1:22" ht="16" customHeight="1" x14ac:dyDescent="0.4">
      <c r="A59" s="62"/>
      <c r="B59" s="62"/>
      <c r="C59" s="62"/>
      <c r="D59" s="64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</row>
    <row r="60" spans="1:22" ht="16" customHeight="1" x14ac:dyDescent="0.4">
      <c r="A60" s="62"/>
      <c r="B60" s="62"/>
      <c r="C60" s="62"/>
      <c r="D60" s="64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</row>
    <row r="61" spans="1:22" ht="16" customHeight="1" x14ac:dyDescent="0.4">
      <c r="B61" s="62"/>
      <c r="C61" s="62"/>
      <c r="D61" s="64"/>
      <c r="E61" s="62"/>
      <c r="F61" s="62"/>
      <c r="G61" s="62"/>
      <c r="H61" s="62"/>
      <c r="I61" s="62"/>
      <c r="J61" s="62"/>
      <c r="K61" s="62"/>
      <c r="L61" s="62"/>
    </row>
  </sheetData>
  <mergeCells count="34">
    <mergeCell ref="Q2:V2"/>
    <mergeCell ref="T46:V46"/>
    <mergeCell ref="Q45:S45"/>
    <mergeCell ref="Q41:V41"/>
    <mergeCell ref="T48:V48"/>
    <mergeCell ref="Q47:S47"/>
    <mergeCell ref="Q38:T38"/>
    <mergeCell ref="Q43:S43"/>
    <mergeCell ref="Q3:V3"/>
    <mergeCell ref="R19:T19"/>
    <mergeCell ref="Q37:V37"/>
    <mergeCell ref="Q24:S24"/>
    <mergeCell ref="Q42:S42"/>
    <mergeCell ref="T45:V45"/>
    <mergeCell ref="Q18:S18"/>
    <mergeCell ref="T42:V42"/>
    <mergeCell ref="T51:V51"/>
    <mergeCell ref="Q44:S44"/>
    <mergeCell ref="Q49:S49"/>
    <mergeCell ref="Q46:S46"/>
    <mergeCell ref="Q30:V30"/>
    <mergeCell ref="T43:V43"/>
    <mergeCell ref="Q48:S48"/>
    <mergeCell ref="T49:V49"/>
    <mergeCell ref="T47:V47"/>
    <mergeCell ref="Q51:S51"/>
    <mergeCell ref="T50:V50"/>
    <mergeCell ref="T44:V44"/>
    <mergeCell ref="Q5:V5"/>
    <mergeCell ref="Q23:V23"/>
    <mergeCell ref="Q50:S50"/>
    <mergeCell ref="Q26:S26"/>
    <mergeCell ref="Q31:S31"/>
    <mergeCell ref="Q17:V17"/>
  </mergeCells>
  <hyperlinks>
    <hyperlink ref="E5" r:id="rId1" xr:uid="{00000000-0004-0000-0200-000000000000}"/>
    <hyperlink ref="E6" r:id="rId2" xr:uid="{00000000-0004-0000-0200-000001000000}"/>
    <hyperlink ref="F6" r:id="rId3" xr:uid="{00000000-0004-0000-0200-000002000000}"/>
    <hyperlink ref="G6" r:id="rId4" xr:uid="{00000000-0004-0000-0200-000003000000}"/>
    <hyperlink ref="U6" r:id="rId5" xr:uid="{00000000-0004-0000-0200-000004000000}"/>
    <hyperlink ref="V6" r:id="rId6" xr:uid="{00000000-0004-0000-0200-000005000000}"/>
    <hyperlink ref="U7" r:id="rId7" xr:uid="{00000000-0004-0000-0200-000006000000}"/>
    <hyperlink ref="V7" r:id="rId8" xr:uid="{00000000-0004-0000-0200-000007000000}"/>
    <hyperlink ref="E8" r:id="rId9" xr:uid="{00000000-0004-0000-0200-000008000000}"/>
    <hyperlink ref="U8" r:id="rId10" xr:uid="{00000000-0004-0000-0200-000009000000}"/>
    <hyperlink ref="V8" r:id="rId11" xr:uid="{00000000-0004-0000-0200-00000A000000}"/>
    <hyperlink ref="U10" r:id="rId12" xr:uid="{00000000-0004-0000-0200-00000B000000}"/>
    <hyperlink ref="V10" r:id="rId13" xr:uid="{00000000-0004-0000-0200-00000C000000}"/>
    <hyperlink ref="U11" r:id="rId14" xr:uid="{00000000-0004-0000-0200-00000D000000}"/>
    <hyperlink ref="V11" r:id="rId15" xr:uid="{00000000-0004-0000-0200-00000E000000}"/>
    <hyperlink ref="U13" r:id="rId16" xr:uid="{00000000-0004-0000-0200-00000F000000}"/>
    <hyperlink ref="V13" r:id="rId17" xr:uid="{00000000-0004-0000-0200-000010000000}"/>
    <hyperlink ref="U14" r:id="rId18" xr:uid="{00000000-0004-0000-0200-000011000000}"/>
    <hyperlink ref="V14" r:id="rId19" xr:uid="{00000000-0004-0000-0200-000012000000}"/>
    <hyperlink ref="U15" r:id="rId20" xr:uid="{00000000-0004-0000-0200-000013000000}"/>
    <hyperlink ref="V15" r:id="rId21" xr:uid="{00000000-0004-0000-0200-000014000000}"/>
    <hyperlink ref="U18" r:id="rId22" xr:uid="{00000000-0004-0000-0200-000015000000}"/>
    <hyperlink ref="V18" r:id="rId23" xr:uid="{00000000-0004-0000-0200-000016000000}"/>
    <hyperlink ref="U20" r:id="rId24" xr:uid="{00000000-0004-0000-0200-000017000000}"/>
    <hyperlink ref="U25" r:id="rId25" xr:uid="{00000000-0004-0000-0200-000018000000}"/>
    <hyperlink ref="U27" r:id="rId26" xr:uid="{00000000-0004-0000-0200-000019000000}"/>
    <hyperlink ref="U33" r:id="rId27" xr:uid="{00000000-0004-0000-0200-00001A000000}"/>
    <hyperlink ref="V33" r:id="rId28" xr:uid="{00000000-0004-0000-0200-00001B000000}"/>
    <hyperlink ref="U34" r:id="rId29" xr:uid="{00000000-0004-0000-0200-00001C000000}"/>
    <hyperlink ref="V34" r:id="rId30" xr:uid="{00000000-0004-0000-0200-00001D000000}"/>
    <hyperlink ref="U38" r:id="rId31" xr:uid="{00000000-0004-0000-0200-00001E000000}"/>
    <hyperlink ref="V38" r:id="rId32" xr:uid="{00000000-0004-0000-0200-00001F000000}"/>
    <hyperlink ref="Q42" r:id="rId33" xr:uid="{00000000-0004-0000-0200-000020000000}"/>
    <hyperlink ref="Q43" r:id="rId34" xr:uid="{00000000-0004-0000-0200-000021000000}"/>
    <hyperlink ref="Q44" r:id="rId35" xr:uid="{00000000-0004-0000-0200-000022000000}"/>
    <hyperlink ref="Q45" r:id="rId36" xr:uid="{00000000-0004-0000-0200-000023000000}"/>
    <hyperlink ref="Q46" r:id="rId37" xr:uid="{00000000-0004-0000-0200-000024000000}"/>
    <hyperlink ref="Q47" r:id="rId38" xr:uid="{00000000-0004-0000-0200-000025000000}"/>
    <hyperlink ref="Q48" r:id="rId39" xr:uid="{00000000-0004-0000-0200-000026000000}"/>
    <hyperlink ref="Q49" r:id="rId40" xr:uid="{00000000-0004-0000-0200-000027000000}"/>
    <hyperlink ref="Q50" r:id="rId41" xr:uid="{00000000-0004-0000-0200-000028000000}"/>
    <hyperlink ref="Q51" r:id="rId42" xr:uid="{00000000-0004-0000-0200-000029000000}"/>
  </hyperlinks>
  <pageMargins left="0.75" right="0.75" top="1" bottom="1" header="0.5" footer="0.5"/>
  <legacyDrawing r:id="rId4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57</vt:i4>
      </vt:variant>
    </vt:vector>
  </HeadingPairs>
  <TitlesOfParts>
    <vt:vector size="60" baseType="lpstr">
      <vt:lpstr>Cover Page</vt:lpstr>
      <vt:lpstr>3 Statement Model</vt:lpstr>
      <vt:lpstr>DCF Model</vt:lpstr>
      <vt:lpstr>ASSUM_APDays_Start</vt:lpstr>
      <vt:lpstr>ASSUM_ARDays_Start</vt:lpstr>
      <vt:lpstr>ASSUM_Capex_Start</vt:lpstr>
      <vt:lpstr>ASSUM_COGSPct_Start</vt:lpstr>
      <vt:lpstr>ASSUM_DAPctPPE_Start</vt:lpstr>
      <vt:lpstr>ASSUM_DebtIssuance_Start</vt:lpstr>
      <vt:lpstr>ASSUM_EquityIssuance_Start</vt:lpstr>
      <vt:lpstr>ASSUM_IntPct_Start</vt:lpstr>
      <vt:lpstr>ASSUM_InvDays_Start</vt:lpstr>
      <vt:lpstr>ASSUM_RD_Start</vt:lpstr>
      <vt:lpstr>ASSUM_RevGrowth_Start</vt:lpstr>
      <vt:lpstr>ASSUM_SGA_Start</vt:lpstr>
      <vt:lpstr>ASSUM_TaxRate_Start</vt:lpstr>
      <vt:lpstr>BS_AP_Start</vt:lpstr>
      <vt:lpstr>BS_AR_Start</vt:lpstr>
      <vt:lpstr>BS_Cash_Start</vt:lpstr>
      <vt:lpstr>BS_Debt_Start</vt:lpstr>
      <vt:lpstr>BS_EquityCapital_Start</vt:lpstr>
      <vt:lpstr>BS_Inventory_Start</vt:lpstr>
      <vt:lpstr>BS_PPE_Start</vt:lpstr>
      <vt:lpstr>BS_RE_Start</vt:lpstr>
      <vt:lpstr>CF_Capex_Start</vt:lpstr>
      <vt:lpstr>CF_DebtIssuance_Start</vt:lpstr>
      <vt:lpstr>CF_DeltaNWC_Start</vt:lpstr>
      <vt:lpstr>CF_EquityIssuance_Start</vt:lpstr>
      <vt:lpstr>CF_OpeningCash_FY1</vt:lpstr>
      <vt:lpstr>DCF_Cash</vt:lpstr>
      <vt:lpstr>DCF_Debt</vt:lpstr>
      <vt:lpstr>DCF_ExitMultiple</vt:lpstr>
      <vt:lpstr>DCF_FiscalYearEnd</vt:lpstr>
      <vt:lpstr>DCF_PerpetualGrowth</vt:lpstr>
      <vt:lpstr>DCF_SharePrice</vt:lpstr>
      <vt:lpstr>DCF_Shares</vt:lpstr>
      <vt:lpstr>DCF_TaxRate</vt:lpstr>
      <vt:lpstr>DCF_TransactionDate</vt:lpstr>
      <vt:lpstr>DCF_WACC</vt:lpstr>
      <vt:lpstr>IS_BaseYear</vt:lpstr>
      <vt:lpstr>IS_COGS_FY1</vt:lpstr>
      <vt:lpstr>IS_COGS_FY2</vt:lpstr>
      <vt:lpstr>IS_COGS_FY3</vt:lpstr>
      <vt:lpstr>IS_COGS_FY4</vt:lpstr>
      <vt:lpstr>IS_COGS_FY5</vt:lpstr>
      <vt:lpstr>IS_COGS_Start</vt:lpstr>
      <vt:lpstr>IS_DA_Start</vt:lpstr>
      <vt:lpstr>IS_Interest_Start</vt:lpstr>
      <vt:lpstr>IS_RD_Start</vt:lpstr>
      <vt:lpstr>IS_Revenue_FY1</vt:lpstr>
      <vt:lpstr>IS_Revenue_FY2</vt:lpstr>
      <vt:lpstr>IS_Revenue_FY3</vt:lpstr>
      <vt:lpstr>IS_Revenue_FY4</vt:lpstr>
      <vt:lpstr>IS_Revenue_FY5</vt:lpstr>
      <vt:lpstr>IS_Revenue_Start</vt:lpstr>
      <vt:lpstr>IS_SGA_Start</vt:lpstr>
      <vt:lpstr>IS_Tax_Start</vt:lpstr>
      <vt:lpstr>'3 Statement Model'!Print_Area</vt:lpstr>
      <vt:lpstr>'Cover Page'!Print_Area</vt:lpstr>
      <vt:lpstr>'3 Statement Model'!Print_Titles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Vipond</dc:creator>
  <cp:lastModifiedBy>Christian Gardner</cp:lastModifiedBy>
  <cp:lastPrinted>2014-12-13T23:43:21Z</cp:lastPrinted>
  <dcterms:created xsi:type="dcterms:W3CDTF">2014-11-08T22:00:02Z</dcterms:created>
  <dcterms:modified xsi:type="dcterms:W3CDTF">2026-08-05T17:22:48Z</dcterms:modified>
</cp:coreProperties>
</file>