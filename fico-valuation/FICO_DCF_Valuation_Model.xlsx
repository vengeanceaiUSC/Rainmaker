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Template_Links" sheetId="2" state="visible" r:id="rId2"/>
    <sheet name="02_EDGAR_Sources" sheetId="3" state="visible" r:id="rId3"/>
    <sheet name="03_IS_Historical" sheetId="4" state="visible" r:id="rId4"/>
    <sheet name="04_BS_Historical" sheetId="5" state="visible" r:id="rId5"/>
    <sheet name="05_CF_Historical" sheetId="6" state="visible" r:id="rId6"/>
    <sheet name="06_Assumptions" sheetId="7" state="visible" r:id="rId7"/>
    <sheet name="07_DCF" sheetId="8" state="visible" r:id="rId8"/>
    <sheet name="08_WACC" sheetId="9" state="visible" r:id="rId9"/>
    <sheet name="09_Sensitivity" sheetId="10" state="visible" r:id="rId10"/>
    <sheet name="10_Output" sheetId="11" state="visible" r:id="rId11"/>
    <sheet name="11_Input_Checklist" sheetId="12" state="visible" r:id="rId12"/>
    <sheet name="12_XBRL_Extra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color rgb="000563C1"/>
      <sz val="11"/>
      <u val="single"/>
    </font>
    <font>
      <name val="Calibri"/>
      <color rgb="000000FF"/>
      <sz val="11"/>
    </font>
    <font>
      <name val="Calibri"/>
      <b val="1"/>
      <color rgb="000000FF"/>
      <sz val="11"/>
    </font>
    <font>
      <name val="Calibri"/>
      <color rgb="00000000"/>
      <sz val="11"/>
    </font>
    <font>
      <b val="1"/>
    </font>
    <font>
      <b val="1"/>
      <color rgb="00006100"/>
      <sz val="14"/>
    </font>
    <font>
      <b val="1"/>
      <color rgb="00006100"/>
      <sz val="1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AF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0" fillId="0" borderId="1" pivotButton="0" quotePrefix="0" xfId="0"/>
    <xf numFmtId="3" fontId="5" fillId="3" borderId="1" pivotButton="0" quotePrefix="0" xfId="0"/>
    <xf numFmtId="0" fontId="6" fillId="0" borderId="1" pivotButton="0" quotePrefix="0" xfId="0"/>
    <xf numFmtId="3" fontId="6" fillId="3" borderId="1" pivotButton="0" quotePrefix="0" xfId="0"/>
    <xf numFmtId="4" fontId="5" fillId="3" borderId="1" pivotButton="0" quotePrefix="0" xfId="0"/>
    <xf numFmtId="0" fontId="2" fillId="4" borderId="0" pivotButton="0" quotePrefix="0" xfId="0"/>
    <xf numFmtId="164" fontId="5" fillId="3" borderId="1" pivotButton="0" quotePrefix="0" xfId="0"/>
    <xf numFmtId="164" fontId="7" fillId="0" borderId="0" pivotButton="0" quotePrefix="0" xfId="0"/>
    <xf numFmtId="164" fontId="8" fillId="5" borderId="0" pivotButton="0" quotePrefix="0" xfId="0"/>
    <xf numFmtId="0" fontId="5" fillId="3" borderId="1" pivotButton="0" quotePrefix="0" xfId="0"/>
    <xf numFmtId="165" fontId="5" fillId="3" borderId="1" pivotButton="0" quotePrefix="0" xfId="0"/>
    <xf numFmtId="4" fontId="0" fillId="0" borderId="0" pivotButton="0" quotePrefix="0" xfId="0"/>
    <xf numFmtId="164" fontId="0" fillId="0" borderId="0" pivotButton="0" quotePrefix="0" xfId="0"/>
    <xf numFmtId="4" fontId="5" fillId="3" borderId="0" pivotButton="0" quotePrefix="0" xfId="0"/>
    <xf numFmtId="4" fontId="0" fillId="5" borderId="0" pivotButton="0" quotePrefix="0" xfId="0"/>
    <xf numFmtId="4" fontId="8" fillId="5" borderId="0" pivotButton="0" quotePrefix="0" xfId="0"/>
    <xf numFmtId="4" fontId="9" fillId="5" borderId="0" pivotButton="0" quotePrefix="0" xfId="0"/>
    <xf numFmtId="165" fontId="0" fillId="0" borderId="0" pivotButton="0" quotePrefix="0" xfId="0"/>
    <xf numFmtId="164" fontId="5" fillId="3" borderId="0" pivotButton="0" quotePrefix="0" xfId="0"/>
    <xf numFmtId="166" fontId="0" fillId="0" borderId="1" pivotButton="0" quotePrefix="0" xfId="0"/>
    <xf numFmtId="165" fontId="5" fillId="3" borderId="0" pivotButton="0" quotePrefix="0" xfId="0"/>
    <xf numFmtId="166" fontId="10" fillId="5" borderId="0" pivotButton="0" quotePrefix="0" xfId="0"/>
    <xf numFmtId="166" fontId="0" fillId="0" borderId="0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ges.stern.nyu.edu/~adamodar/New_Home_Page/spreadsh.htm" TargetMode="External" Id="rId1" /><Relationship Type="http://schemas.openxmlformats.org/officeDocument/2006/relationships/hyperlink" Target="https://pages.stern.nyu.edu/~adamodar/pc/fcffsimpleginzu.xlsx" TargetMode="External" Id="rId2" /><Relationship Type="http://schemas.openxmlformats.org/officeDocument/2006/relationships/hyperlink" Target="https://pages.stern.nyu.edu/~adamodar/pc/fcffginzu.xls" TargetMode="External" Id="rId3" /><Relationship Type="http://schemas.openxmlformats.org/officeDocument/2006/relationships/hyperlink" Target="https://pages.stern.nyu.edu/~adamodar/New_Home_Page/eqspread.htm" TargetMode="External" Id="rId4" /><Relationship Type="http://schemas.openxmlformats.org/officeDocument/2006/relationships/hyperlink" Target="https://pages.stern.nyu.edu/~adamodar/pc/fcff2st.xls" TargetMode="External" Id="rId5" /><Relationship Type="http://schemas.openxmlformats.org/officeDocument/2006/relationships/hyperlink" Target="https://pages.stern.nyu.edu/~adamodar/pc/fcff3st.xls" TargetMode="External" Id="rId6" /><Relationship Type="http://schemas.openxmlformats.org/officeDocument/2006/relationships/hyperlink" Target="https://pages.stern.nyu.edu/~adamodar/pc/firmmult.xls" TargetMode="External" Id="rId7" /><Relationship Type="http://schemas.openxmlformats.org/officeDocument/2006/relationships/hyperlink" Target="https://corporatefinanceinstitute.com/resources/financial-modeling/dcf-model-template/" TargetMode="External" Id="rId8" /><Relationship Type="http://schemas.openxmlformats.org/officeDocument/2006/relationships/hyperlink" Target="https://corporatefinanceinstitute.com/assets/DCF-Valuation-Compact-Complete.xlsx" TargetMode="External" Id="rId9" /><Relationship Type="http://schemas.openxmlformats.org/officeDocument/2006/relationships/hyperlink" Target="https://ctacquisitions.com/dcf-template-and-excel/" TargetMode="External" Id="rId10" /><Relationship Type="http://schemas.openxmlformats.org/officeDocument/2006/relationships/hyperlink" Target="https://www.golimelight.com/templates/dcf-calculator-template" TargetMode="External" Id="rId11" /><Relationship Type="http://schemas.openxmlformats.org/officeDocument/2006/relationships/hyperlink" Target="https://excelbusinessresource.com/product/free-dcf-model-template-xls/" TargetMode="External" Id="rId12" /><Relationship Type="http://schemas.openxmlformats.org/officeDocument/2006/relationships/hyperlink" Target="https://www.keeneadvisors.com/free-dcf-model-template" TargetMode="External" Id="rId13" /><Relationship Type="http://schemas.openxmlformats.org/officeDocument/2006/relationships/hyperlink" Target="https://macabacus.com/excel/templates/discounted-cash-flow" TargetMode="External" Id="rId14" /><Relationship Type="http://schemas.openxmlformats.org/officeDocument/2006/relationships/hyperlink" Target="https://macabacus.com/excel/templates/operating-model" TargetMode="External" Id="rId15" /><Relationship Type="http://schemas.openxmlformats.org/officeDocument/2006/relationships/hyperlink" Target="https://macabacus.com/lbo-model/templates" TargetMode="External" Id="rId16" /><Relationship Type="http://schemas.openxmlformats.org/officeDocument/2006/relationships/hyperlink" Target="https://www.wallstreetprep.com/knowledge/" TargetMode="External" Id="rId17" /><Relationship Type="http://schemas.openxmlformats.org/officeDocument/2006/relationships/hyperlink" Target="https://breakingintowallstreet.com/kb/financial-modeling/" TargetMode="External" Id="rId18" /><Relationship Type="http://schemas.openxmlformats.org/officeDocument/2006/relationships/hyperlink" Target="https://www.vertex42.com/ExcelTemplates/business-valuation.html" TargetMode="External" Id="rId19" /><Relationship Type="http://schemas.openxmlformats.org/officeDocument/2006/relationships/hyperlink" Target="https://www.sec.gov/cgi-bin/browse-edgar?action=getcompany&amp;CIK=0000814547&amp;type=10-K&amp;dateb=&amp;owner=include&amp;count=40" TargetMode="External" Id="rId20" /><Relationship Type="http://schemas.openxmlformats.org/officeDocument/2006/relationships/hyperlink" Target="https://data.sec.gov/api/xbrl/companyfacts/CIK0000814547.json" TargetMode="External" Id="rId2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c.gov/Archives/edgar/data/814547/000081454725000030/fico-20250930.htm" TargetMode="External" Id="rId1" /><Relationship Type="http://schemas.openxmlformats.org/officeDocument/2006/relationships/hyperlink" Target="https://www.sec.gov/Archives/edgar/data/814547/000081454725000030/0000814547-25-000030-index.html" TargetMode="External" Id="rId2" /><Relationship Type="http://schemas.openxmlformats.org/officeDocument/2006/relationships/hyperlink" Target="https://investors.fico.com/static-files/663245db-39a2-4db7-8f89-284034bbccbf" TargetMode="External" Id="rId3" /><Relationship Type="http://schemas.openxmlformats.org/officeDocument/2006/relationships/hyperlink" Target="https://www.sec.gov/Archives/edgar/data/814547/000081454726000030/fico-20260630.htm" TargetMode="External" Id="rId4" /><Relationship Type="http://schemas.openxmlformats.org/officeDocument/2006/relationships/hyperlink" Target="https://data.sec.gov/api/xbrl/companyfacts/CIK0000814547.json" TargetMode="External" Id="rId5" /><Relationship Type="http://schemas.openxmlformats.org/officeDocument/2006/relationships/hyperlink" Target="https://data.sec.gov/submissions/CIK0000814547.json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FICO (Fair Isaac Corporation) — Investor DCF / Valuation Workbook</t>
        </is>
      </c>
    </row>
    <row r="2">
      <c r="A2" t="inlineStr"/>
    </row>
    <row r="3">
      <c r="A3" s="2" t="inlineStr">
        <is>
          <t>What this file is</t>
        </is>
      </c>
    </row>
    <row r="4">
      <c r="A4" t="inlineStr">
        <is>
          <t>A full investor-style valuation pack for FICO built from SEC EDGAR 10-K / 10-Q fundamentals, with a working 5-year FCFF DCF, WACC, and sensitivity tables.</t>
        </is>
      </c>
    </row>
    <row r="5">
      <c r="A5" t="inlineStr"/>
    </row>
    <row r="6">
      <c r="A6" s="2" t="inlineStr">
        <is>
          <t>Color key</t>
        </is>
      </c>
    </row>
    <row r="7">
      <c r="A7" t="inlineStr">
        <is>
          <t>Yellow cells + blue font = INPUTS you should edit</t>
        </is>
      </c>
    </row>
    <row r="8">
      <c r="A8" t="inlineStr">
        <is>
          <t>Black font = formulas (do not overwrite)</t>
        </is>
      </c>
    </row>
    <row r="9">
      <c r="A9" t="inlineStr"/>
    </row>
    <row r="10">
      <c r="A10" s="2" t="inlineStr">
        <is>
          <t>How to use (guided path)</t>
        </is>
      </c>
    </row>
    <row r="11">
      <c r="A11" t="inlineStr">
        <is>
          <t>1) Read 01_Template_Links for downloadable external DCF / LBO / comps templates (Damodaran, CFI, Macabacus, etc.).</t>
        </is>
      </c>
    </row>
    <row r="12">
      <c r="A12" t="inlineStr">
        <is>
          <t>2) Review 02_EDGAR_Sources for filing links and CIK.</t>
        </is>
      </c>
    </row>
    <row r="13">
      <c r="A13" t="inlineStr">
        <is>
          <t>3) Confirm historical line items on 03_IS / 04_BS / 05_CF (pre-filled from FY2025 10-K; override in yellow if needed).</t>
        </is>
      </c>
    </row>
    <row r="14">
      <c r="A14" t="inlineStr">
        <is>
          <t>4) Set forecast drivers on 06_Assumptions (growth, margins, tax, reinvestment, WACC components).</t>
        </is>
      </c>
    </row>
    <row r="15">
      <c r="A15" t="inlineStr">
        <is>
          <t>5) Read implied value on 07_DCF and 10_Output; stress with 09_Sensitivity.</t>
        </is>
      </c>
    </row>
    <row r="16">
      <c r="A16" t="inlineStr">
        <is>
          <t>6) Use 11_Input_Checklist as a blank checklist of every line item to paste your own case.</t>
        </is>
      </c>
    </row>
    <row r="17">
      <c r="A17" t="inlineStr"/>
    </row>
    <row r="18">
      <c r="A18" s="2" t="inlineStr">
        <is>
          <t>Units</t>
        </is>
      </c>
    </row>
    <row r="19">
      <c r="A19" t="inlineStr">
        <is>
          <t>Historical financial statements are in $ thousands (as reported in the 10-K).</t>
        </is>
      </c>
    </row>
    <row r="20">
      <c r="A20" t="inlineStr">
        <is>
          <t>DCF / WACC / Output tabs work in $ millions for readability.</t>
        </is>
      </c>
    </row>
    <row r="21">
      <c r="A21" t="inlineStr"/>
    </row>
    <row r="22">
      <c r="A22" s="2" t="inlineStr">
        <is>
          <t>As-of market snapshot (Yahoo Finance pull during model build)</t>
        </is>
      </c>
    </row>
    <row r="23">
      <c r="A23" t="inlineStr">
        <is>
          <t>Price: $1,046.23 | Shares out: 21,597.6k | Mkt cap: $22,596.1m | Beta: 1.321</t>
        </is>
      </c>
    </row>
    <row r="24">
      <c r="A24" t="inlineStr">
        <is>
          <t>Net debt bridge uses latest 10-Q (period ended 2026-06-30): Total debt $5,582.4m − Cash $248.4m − Marketable securities $56.1m.</t>
        </is>
      </c>
    </row>
    <row r="25">
      <c r="A25" t="inlineStr"/>
    </row>
    <row r="26">
      <c r="A26" s="2" t="inlineStr">
        <is>
          <t>Disclaimer</t>
        </is>
      </c>
    </row>
    <row r="27">
      <c r="A27" t="inlineStr">
        <is>
          <t>Educational / research model only. Not investment advice. Verify figures against primary SEC filings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70" customWidth="1" min="3" max="3"/>
    <col width="55" customWidth="1" min="4" max="4"/>
  </cols>
  <sheetData>
    <row r="1">
      <c r="A1" s="1" t="inlineStr">
        <is>
          <t>Downloadable valuation / DCF templates (external)</t>
        </is>
      </c>
    </row>
    <row r="2"/>
    <row r="3">
      <c r="A3" s="3" t="inlineStr">
        <is>
          <t>Source</t>
        </is>
      </c>
      <c r="B3" s="3" t="inlineStr">
        <is>
          <t>Template</t>
        </is>
      </c>
      <c r="C3" s="3" t="inlineStr">
        <is>
          <t>Direct / landing URL</t>
        </is>
      </c>
      <c r="D3" s="3" t="inlineStr">
        <is>
          <t>Notes</t>
        </is>
      </c>
    </row>
    <row r="4">
      <c r="A4" t="inlineStr">
        <is>
          <t>Aswath Damodaran (NYU)</t>
        </is>
      </c>
      <c r="B4" t="inlineStr">
        <is>
          <t>All valuation spreadsheets hub</t>
        </is>
      </c>
      <c r="C4" s="4" t="inlineStr">
        <is>
          <t>https://pages.stern.nyu.edu/~adamodar/New_Home_Page/spreadsh.htm</t>
        </is>
      </c>
      <c r="D4" t="inlineStr">
        <is>
          <t>Best free academic suite; FCFF/FCFE/DDM/ginzu models</t>
        </is>
      </c>
    </row>
    <row r="5">
      <c r="A5" t="inlineStr">
        <is>
          <t>Aswath Damodaran</t>
        </is>
      </c>
      <c r="B5" t="inlineStr">
        <is>
          <t>fcffsimpleginzu.xlsx (recommended FCFF)</t>
        </is>
      </c>
      <c r="C5" s="4" t="inlineStr">
        <is>
          <t>https://pages.stern.nyu.edu/~adamodar/pc/fcffsimpleginzu.xlsx</t>
        </is>
      </c>
      <c r="D5" t="inlineStr">
        <is>
          <t>Direct XLSX download — all-in-one firm DCF</t>
        </is>
      </c>
    </row>
    <row r="6">
      <c r="A6" t="inlineStr">
        <is>
          <t>Aswath Damodaran</t>
        </is>
      </c>
      <c r="B6" t="inlineStr">
        <is>
          <t>fcffginzu.xls (full kitchen-sink FCFF)</t>
        </is>
      </c>
      <c r="C6" s="4" t="inlineStr">
        <is>
          <t>https://pages.stern.nyu.edu/~adamodar/pc/fcffginzu.xls</t>
        </is>
      </c>
      <c r="D6" t="inlineStr">
        <is>
          <t>Ratings, R&amp;D capitalize, leases, bottom-up beta</t>
        </is>
      </c>
    </row>
    <row r="7">
      <c r="A7" t="inlineStr">
        <is>
          <t>Aswath Damodaran</t>
        </is>
      </c>
      <c r="B7" t="inlineStr">
        <is>
          <t>Equity valuation spreadsheets page</t>
        </is>
      </c>
      <c r="C7" s="4" t="inlineStr">
        <is>
          <t>https://pages.stern.nyu.edu/~adamodar/New_Home_Page/eqspread.htm</t>
        </is>
      </c>
      <c r="D7" t="inlineStr">
        <is>
          <t>Stable/2-stage/3-stage FCFF &amp; FCFE models</t>
        </is>
      </c>
    </row>
    <row r="8">
      <c r="A8" t="inlineStr">
        <is>
          <t>Aswath Damodaran</t>
        </is>
      </c>
      <c r="B8" t="inlineStr">
        <is>
          <t>fcff2st.xls (two-stage FCFF)</t>
        </is>
      </c>
      <c r="C8" s="4" t="inlineStr">
        <is>
          <t>https://pages.stern.nyu.edu/~adamodar/pc/fcff2st.xls</t>
        </is>
      </c>
      <c r="D8" t="inlineStr">
        <is>
          <t>Direct download</t>
        </is>
      </c>
    </row>
    <row r="9">
      <c r="A9" t="inlineStr">
        <is>
          <t>Aswath Damodaran</t>
        </is>
      </c>
      <c r="B9" t="inlineStr">
        <is>
          <t>fcff3st.xls (three-stage FCFF)</t>
        </is>
      </c>
      <c r="C9" s="4" t="inlineStr">
        <is>
          <t>https://pages.stern.nyu.edu/~adamodar/pc/fcff3st.xls</t>
        </is>
      </c>
      <c r="D9" t="inlineStr">
        <is>
          <t>Direct download</t>
        </is>
      </c>
    </row>
    <row r="10">
      <c r="A10" t="inlineStr">
        <is>
          <t>Aswath Damodaran</t>
        </is>
      </c>
      <c r="B10" t="inlineStr">
        <is>
          <t>firmmult.xls (implied multiples from DCF)</t>
        </is>
      </c>
      <c r="C10" s="4" t="inlineStr">
        <is>
          <t>https://pages.stern.nyu.edu/~adamodar/pc/firmmult.xls</t>
        </is>
      </c>
      <c r="D10" t="inlineStr">
        <is>
          <t>Direct download</t>
        </is>
      </c>
    </row>
    <row r="11">
      <c r="A11" t="inlineStr">
        <is>
          <t>Corporate Finance Institute (CFI)</t>
        </is>
      </c>
      <c r="B11" t="inlineStr">
        <is>
          <t>Free DCF Model Template</t>
        </is>
      </c>
      <c r="C11" s="4" t="inlineStr">
        <is>
          <t>https://corporatefinanceinstitute.com/resources/financial-modeling/dcf-model-template/</t>
        </is>
      </c>
      <c r="D11" t="inlineStr">
        <is>
          <t>3-statement linked + 5yr FCFF; email gate possible</t>
        </is>
      </c>
    </row>
    <row r="12">
      <c r="A12" t="inlineStr">
        <is>
          <t>CFI (direct asset)</t>
        </is>
      </c>
      <c r="B12" t="inlineStr">
        <is>
          <t>DCF-Valuation-Compact-Complete.xlsx</t>
        </is>
      </c>
      <c r="C12" s="4" t="inlineStr">
        <is>
          <t>https://corporatefinanceinstitute.com/assets/DCF-Valuation-Compact-Complete.xlsx</t>
        </is>
      </c>
      <c r="D12" t="inlineStr">
        <is>
          <t>Direct XLSX linked from CFI DCF training</t>
        </is>
      </c>
    </row>
    <row r="13">
      <c r="A13" t="inlineStr">
        <is>
          <t>CT Acquisitions</t>
        </is>
      </c>
      <c r="B13" t="inlineStr">
        <is>
          <t>2026 Free DCF Excel Model</t>
        </is>
      </c>
      <c r="C13" s="4" t="inlineStr">
        <is>
          <t>https://ctacquisitions.com/dcf-template-and-excel/</t>
        </is>
      </c>
      <c r="D13" t="inlineStr">
        <is>
          <t>6-tab PE/IB style DCF walkthrough</t>
        </is>
      </c>
    </row>
    <row r="14">
      <c r="A14" t="inlineStr">
        <is>
          <t>Limelight</t>
        </is>
      </c>
      <c r="B14" t="inlineStr">
        <is>
          <t>Free DCF Calculator Template</t>
        </is>
      </c>
      <c r="C14" s="4" t="inlineStr">
        <is>
          <t>https://www.golimelight.com/templates/dcf-calculator-template</t>
        </is>
      </c>
      <c r="D14" t="inlineStr">
        <is>
          <t>WACC + dual TV + scenario/sensitivity</t>
        </is>
      </c>
    </row>
    <row r="15">
      <c r="A15" t="inlineStr">
        <is>
          <t>Excel Business Resource</t>
        </is>
      </c>
      <c r="B15" t="inlineStr">
        <is>
          <t>Free DCF Model Template</t>
        </is>
      </c>
      <c r="C15" s="4" t="inlineStr">
        <is>
          <t>https://excelbusinessresource.com/product/free-dcf-model-template-xls/</t>
        </is>
      </c>
      <c r="D15" t="inlineStr">
        <is>
          <t>FCFF with perpetuity + exit multiple</t>
        </is>
      </c>
    </row>
    <row r="16">
      <c r="A16" t="inlineStr">
        <is>
          <t>Keene Advisors</t>
        </is>
      </c>
      <c r="B16" t="inlineStr">
        <is>
          <t>Free DCF Model Template</t>
        </is>
      </c>
      <c r="C16" s="4" t="inlineStr">
        <is>
          <t>https://www.keeneadvisors.com/free-dcf-model-template</t>
        </is>
      </c>
      <c r="D16" t="inlineStr">
        <is>
          <t>3yr history + 5yr forecast DCF</t>
        </is>
      </c>
    </row>
    <row r="17">
      <c r="A17" t="inlineStr">
        <is>
          <t>Macabacus</t>
        </is>
      </c>
      <c r="B17" t="inlineStr">
        <is>
          <t>DCF Model Excel Template</t>
        </is>
      </c>
      <c r="C17" s="4" t="inlineStr">
        <is>
          <t>https://macabacus.com/excel/templates/discounted-cash-flow</t>
        </is>
      </c>
      <c r="D17" t="inlineStr">
        <is>
          <t>IB-style; requires free trial for download</t>
        </is>
      </c>
    </row>
    <row r="18">
      <c r="A18" t="inlineStr">
        <is>
          <t>Macabacus</t>
        </is>
      </c>
      <c r="B18" t="inlineStr">
        <is>
          <t>Operating Model Template</t>
        </is>
      </c>
      <c r="C18" s="4" t="inlineStr">
        <is>
          <t>https://macabacus.com/excel/templates/operating-model</t>
        </is>
      </c>
      <c r="D18" t="inlineStr">
        <is>
          <t>3-statement operating model; trial</t>
        </is>
      </c>
    </row>
    <row r="19">
      <c r="A19" t="inlineStr">
        <is>
          <t>Macabacus</t>
        </is>
      </c>
      <c r="B19" t="inlineStr">
        <is>
          <t>LBO Model Templates (long/short form)</t>
        </is>
      </c>
      <c r="C19" s="4" t="inlineStr">
        <is>
          <t>https://macabacus.com/lbo-model/templates</t>
        </is>
      </c>
      <c r="D19" t="inlineStr">
        <is>
          <t>LBO pack; trial</t>
        </is>
      </c>
    </row>
    <row r="20">
      <c r="A20" t="inlineStr">
        <is>
          <t>Wall Street Prep</t>
        </is>
      </c>
      <c r="B20" t="inlineStr">
        <is>
          <t>Free modeling resources / templates hub</t>
        </is>
      </c>
      <c r="C20" s="4" t="inlineStr">
        <is>
          <t>https://www.wallstreetprep.com/knowledge/</t>
        </is>
      </c>
      <c r="D20" t="inlineStr">
        <is>
          <t>Articles + occasional free templates (many paid)</t>
        </is>
      </c>
    </row>
    <row r="21">
      <c r="A21" t="inlineStr">
        <is>
          <t>Breaking Into Wall Street</t>
        </is>
      </c>
      <c r="B21" t="inlineStr">
        <is>
          <t>Free financial modeling lessons / samples</t>
        </is>
      </c>
      <c r="C21" s="4" t="inlineStr">
        <is>
          <t>https://breakingintowallstreet.com/kb/financial-modeling/</t>
        </is>
      </c>
      <c r="D21" t="inlineStr">
        <is>
          <t>Guides; full templates often paid</t>
        </is>
      </c>
    </row>
    <row r="22">
      <c r="A22" t="inlineStr">
        <is>
          <t>Vertex42</t>
        </is>
      </c>
      <c r="B22" t="inlineStr">
        <is>
          <t>Business valuation template (simple)</t>
        </is>
      </c>
      <c r="C22" s="4" t="inlineStr">
        <is>
          <t>https://www.vertex42.com/ExcelTemplates/business-valuation.html</t>
        </is>
      </c>
      <c r="D22" t="inlineStr">
        <is>
          <t>Simple SME valuation workbook</t>
        </is>
      </c>
    </row>
    <row r="23">
      <c r="A23" t="inlineStr">
        <is>
          <t>SEC EDGAR</t>
        </is>
      </c>
      <c r="B23" t="inlineStr">
        <is>
          <t>FICO company filings (raw source)</t>
        </is>
      </c>
      <c r="C23" s="4" t="inlineStr">
        <is>
          <t>https://www.sec.gov/cgi-bin/browse-edgar?action=getcompany&amp;CIK=0000814547&amp;type=10-K&amp;dateb=&amp;owner=include&amp;count=40</t>
        </is>
      </c>
      <c r="D23" t="inlineStr">
        <is>
          <t>Primary filings for FICO</t>
        </is>
      </c>
    </row>
    <row r="24">
      <c r="A24" t="inlineStr">
        <is>
          <t>SEC data API</t>
        </is>
      </c>
      <c r="B24" t="inlineStr">
        <is>
          <t>FICO companyfacts XBRL JSON</t>
        </is>
      </c>
      <c r="C24" s="4" t="inlineStr">
        <is>
          <t>https://data.sec.gov/api/xbrl/companyfacts/CIK0000814547.json</t>
        </is>
      </c>
      <c r="D24" t="inlineStr">
        <is>
          <t>Machine-readable fundamentals used in this repo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3" customWidth="1" min="1" max="1"/>
    <col width="100" customWidth="1" min="2" max="2"/>
  </cols>
  <sheetData>
    <row r="1">
      <c r="A1" s="1" t="inlineStr">
        <is>
          <t>EDGAR source map — Fair Isaac Corp (FICO)</t>
        </is>
      </c>
    </row>
    <row r="2"/>
    <row r="3">
      <c r="A3" s="3" t="inlineStr">
        <is>
          <t>Field</t>
        </is>
      </c>
      <c r="B3" s="3" t="inlineStr">
        <is>
          <t>Value</t>
        </is>
      </c>
    </row>
    <row r="4">
      <c r="A4" t="inlineStr">
        <is>
          <t>CIK</t>
        </is>
      </c>
      <c r="B4" t="inlineStr">
        <is>
          <t>0000814547</t>
        </is>
      </c>
    </row>
    <row r="5">
      <c r="A5" t="inlineStr">
        <is>
          <t>Ticker</t>
        </is>
      </c>
      <c r="B5" t="inlineStr">
        <is>
          <t>FICO</t>
        </is>
      </c>
    </row>
    <row r="6">
      <c r="A6" t="inlineStr">
        <is>
          <t>Fiscal year end</t>
        </is>
      </c>
      <c r="B6" t="inlineStr">
        <is>
          <t>September 30</t>
        </is>
      </c>
    </row>
    <row r="7">
      <c r="A7" t="inlineStr">
        <is>
          <t>Latest 10-K</t>
        </is>
      </c>
      <c r="B7" t="inlineStr">
        <is>
          <t>FY2025 ended 2025-09-30, filed 2025-11-07</t>
        </is>
      </c>
    </row>
    <row r="8">
      <c r="A8" t="inlineStr">
        <is>
          <t>10-K HTML</t>
        </is>
      </c>
      <c r="B8" s="4" t="inlineStr">
        <is>
          <t>https://www.sec.gov/Archives/edgar/data/814547/000081454725000030/fico-20250930.htm</t>
        </is>
      </c>
    </row>
    <row r="9">
      <c r="A9" t="inlineStr">
        <is>
          <t>10-K index</t>
        </is>
      </c>
      <c r="B9" s="4" t="inlineStr">
        <is>
          <t>https://www.sec.gov/Archives/edgar/data/814547/000081454725000030/0000814547-25-000030-index.html</t>
        </is>
      </c>
    </row>
    <row r="10">
      <c r="A10" t="inlineStr">
        <is>
          <t>Investor PDF copy</t>
        </is>
      </c>
      <c r="B10" s="4" t="inlineStr">
        <is>
          <t>https://investors.fico.com/static-files/663245db-39a2-4db7-8f89-284034bbccbf</t>
        </is>
      </c>
    </row>
    <row r="11">
      <c r="A11" t="inlineStr">
        <is>
          <t>Latest 10-Q used</t>
        </is>
      </c>
      <c r="B11" t="inlineStr">
        <is>
          <t>Q3 FY2026 ended 2026-06-30, filed 2026-07-29</t>
        </is>
      </c>
    </row>
    <row r="12">
      <c r="A12" t="inlineStr">
        <is>
          <t>10-Q HTML</t>
        </is>
      </c>
      <c r="B12" s="4" t="inlineStr">
        <is>
          <t>https://www.sec.gov/Archives/edgar/data/814547/000081454726000030/fico-20260630.htm</t>
        </is>
      </c>
    </row>
    <row r="13">
      <c r="A13" t="inlineStr">
        <is>
          <t>Companyfacts API</t>
        </is>
      </c>
      <c r="B13" s="4" t="inlineStr">
        <is>
          <t>https://data.sec.gov/api/xbrl/companyfacts/CIK0000814547.json</t>
        </is>
      </c>
    </row>
    <row r="14">
      <c r="A14" t="inlineStr">
        <is>
          <t>Submissions API</t>
        </is>
      </c>
      <c r="B14" s="4" t="inlineStr">
        <is>
          <t>https://data.sec.gov/submissions/CIK0000814547.json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Consolidated Statements of Income — FICO ($ thousands)</t>
        </is>
      </c>
    </row>
    <row r="2">
      <c r="A2" t="inlineStr">
        <is>
          <t>Source: FY2025 Form 10-K. Yellow/blue = editable inputs. Values in thousands USD except EPS and share counts.</t>
        </is>
      </c>
    </row>
    <row r="3"/>
    <row r="4">
      <c r="A4" s="3" t="inlineStr">
        <is>
          <t>Line item</t>
        </is>
      </c>
      <c r="B4" s="3" t="inlineStr">
        <is>
          <t>2025</t>
        </is>
      </c>
      <c r="C4" s="3" t="inlineStr">
        <is>
          <t>2024</t>
        </is>
      </c>
      <c r="D4" s="3" t="inlineStr">
        <is>
          <t>2023</t>
        </is>
      </c>
    </row>
    <row r="5">
      <c r="A5" s="5" t="inlineStr">
        <is>
          <t>On-premises and SaaS software</t>
        </is>
      </c>
      <c r="B5" s="6" t="n">
        <v>740145</v>
      </c>
      <c r="C5" s="6" t="n">
        <v>711340</v>
      </c>
      <c r="D5" s="6" t="n">
        <v>640182</v>
      </c>
    </row>
    <row r="6">
      <c r="A6" s="5" t="inlineStr">
        <is>
          <t>Professional services</t>
        </is>
      </c>
      <c r="B6" s="6" t="n">
        <v>82149</v>
      </c>
      <c r="C6" s="6" t="n">
        <v>86536</v>
      </c>
      <c r="D6" s="6" t="n">
        <v>99547</v>
      </c>
    </row>
    <row r="7">
      <c r="A7" s="5" t="inlineStr">
        <is>
          <t>Scores</t>
        </is>
      </c>
      <c r="B7" s="6" t="n">
        <v>1168575</v>
      </c>
      <c r="C7" s="6" t="n">
        <v>919650</v>
      </c>
      <c r="D7" s="6" t="n">
        <v>773828</v>
      </c>
    </row>
    <row r="8">
      <c r="A8" s="7" t="inlineStr">
        <is>
          <t>Total revenues</t>
        </is>
      </c>
      <c r="B8" s="8" t="n">
        <v>1990869</v>
      </c>
      <c r="C8" s="8" t="n">
        <v>1717526</v>
      </c>
      <c r="D8" s="8" t="n">
        <v>1513557</v>
      </c>
    </row>
    <row r="9">
      <c r="A9" s="5" t="inlineStr">
        <is>
          <t>Cost of revenues</t>
        </is>
      </c>
      <c r="B9" s="6" t="n">
        <v>353722</v>
      </c>
      <c r="C9" s="6" t="n">
        <v>348206</v>
      </c>
      <c r="D9" s="6" t="n">
        <v>311053</v>
      </c>
    </row>
    <row r="10">
      <c r="A10" s="5" t="inlineStr">
        <is>
          <t>Research and development</t>
        </is>
      </c>
      <c r="B10" s="6" t="n">
        <v>188347</v>
      </c>
      <c r="C10" s="6" t="n">
        <v>171940</v>
      </c>
      <c r="D10" s="6" t="n">
        <v>159950</v>
      </c>
    </row>
    <row r="11">
      <c r="A11" s="5" t="inlineStr">
        <is>
          <t>Selling, general and administrative</t>
        </is>
      </c>
      <c r="B11" s="6" t="n">
        <v>513028</v>
      </c>
      <c r="C11" s="6" t="n">
        <v>462834</v>
      </c>
      <c r="D11" s="6" t="n">
        <v>400565</v>
      </c>
    </row>
    <row r="12">
      <c r="A12" s="5" t="inlineStr">
        <is>
          <t>Amortization of intangible assets</t>
        </is>
      </c>
      <c r="B12" s="6" t="n">
        <v>0</v>
      </c>
      <c r="C12" s="6" t="n">
        <v>917</v>
      </c>
      <c r="D12" s="6" t="n">
        <v>1100</v>
      </c>
    </row>
    <row r="13">
      <c r="A13" s="5" t="inlineStr">
        <is>
          <t>Restructuring charges</t>
        </is>
      </c>
      <c r="B13" s="6" t="n">
        <v>10922</v>
      </c>
      <c r="C13" s="6" t="n">
        <v>0</v>
      </c>
      <c r="D13" s="6" t="n">
        <v>0</v>
      </c>
    </row>
    <row r="14">
      <c r="A14" s="5" t="inlineStr">
        <is>
          <t>Gain on product line asset sale</t>
        </is>
      </c>
      <c r="B14" s="6" t="n">
        <v>0</v>
      </c>
      <c r="C14" s="6" t="n">
        <v>0</v>
      </c>
      <c r="D14" s="6" t="n">
        <v>-1941</v>
      </c>
    </row>
    <row r="15">
      <c r="A15" s="7" t="inlineStr">
        <is>
          <t>Total operating expenses</t>
        </is>
      </c>
      <c r="B15" s="8" t="n">
        <v>1066019</v>
      </c>
      <c r="C15" s="8" t="n">
        <v>983897</v>
      </c>
      <c r="D15" s="8" t="n">
        <v>870727</v>
      </c>
    </row>
    <row r="16">
      <c r="A16" s="7" t="inlineStr">
        <is>
          <t>Operating income</t>
        </is>
      </c>
      <c r="B16" s="8" t="n">
        <v>924850</v>
      </c>
      <c r="C16" s="8" t="n">
        <v>733629</v>
      </c>
      <c r="D16" s="8" t="n">
        <v>642830</v>
      </c>
    </row>
    <row r="17">
      <c r="A17" s="5" t="inlineStr">
        <is>
          <t>Interest expense, net</t>
        </is>
      </c>
      <c r="B17" s="6" t="n">
        <v>-133647</v>
      </c>
      <c r="C17" s="6" t="n">
        <v>-105638</v>
      </c>
      <c r="D17" s="6" t="n">
        <v>-95546</v>
      </c>
    </row>
    <row r="18">
      <c r="A18" s="5" t="inlineStr">
        <is>
          <t>Other income, net</t>
        </is>
      </c>
      <c r="B18" s="6" t="n">
        <v>11392</v>
      </c>
      <c r="C18" s="6" t="n">
        <v>14034</v>
      </c>
      <c r="D18" s="6" t="n">
        <v>6340</v>
      </c>
    </row>
    <row r="19">
      <c r="A19" s="5" t="inlineStr">
        <is>
          <t>Income before income taxes</t>
        </is>
      </c>
      <c r="B19" s="6" t="n">
        <v>802595</v>
      </c>
      <c r="C19" s="6" t="n">
        <v>642025</v>
      </c>
      <c r="D19" s="6" t="n">
        <v>553624</v>
      </c>
    </row>
    <row r="20">
      <c r="A20" s="5" t="inlineStr">
        <is>
          <t>Provision for income taxes</t>
        </is>
      </c>
      <c r="B20" s="6" t="n">
        <v>150649</v>
      </c>
      <c r="C20" s="6" t="n">
        <v>129214</v>
      </c>
      <c r="D20" s="6" t="n">
        <v>124249</v>
      </c>
    </row>
    <row r="21">
      <c r="A21" s="7" t="inlineStr">
        <is>
          <t>Net income</t>
        </is>
      </c>
      <c r="B21" s="8" t="n">
        <v>651946</v>
      </c>
      <c r="C21" s="8" t="n">
        <v>512811</v>
      </c>
      <c r="D21" s="8" t="n">
        <v>429375</v>
      </c>
    </row>
    <row r="22">
      <c r="A22" s="5" t="inlineStr">
        <is>
          <t>EPS basic</t>
        </is>
      </c>
      <c r="B22" s="9" t="n">
        <v>26.9</v>
      </c>
      <c r="C22" s="9" t="n">
        <v>20.78</v>
      </c>
      <c r="D22" s="9" t="n">
        <v>17.18</v>
      </c>
    </row>
    <row r="23">
      <c r="A23" s="5" t="inlineStr">
        <is>
          <t>EPS diluted</t>
        </is>
      </c>
      <c r="B23" s="9" t="n">
        <v>26.54</v>
      </c>
      <c r="C23" s="9" t="n">
        <v>20.45</v>
      </c>
      <c r="D23" s="9" t="n">
        <v>16.93</v>
      </c>
    </row>
    <row r="24">
      <c r="A24" s="5" t="inlineStr">
        <is>
          <t>Shares basic (000s)</t>
        </is>
      </c>
      <c r="B24" s="6" t="n">
        <v>24239</v>
      </c>
      <c r="C24" s="6" t="n">
        <v>24676</v>
      </c>
      <c r="D24" s="6" t="n">
        <v>24986</v>
      </c>
    </row>
    <row r="25">
      <c r="A25" s="5" t="inlineStr">
        <is>
          <t>Shares diluted (000s)</t>
        </is>
      </c>
      <c r="B25" s="6" t="n">
        <v>24561</v>
      </c>
      <c r="C25" s="6" t="n">
        <v>25079</v>
      </c>
      <c r="D25" s="6" t="n">
        <v>25367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Consolidated Balance Sheets — FICO ($ thousands)</t>
        </is>
      </c>
    </row>
    <row r="2">
      <c r="A2" t="inlineStr">
        <is>
          <t>FY columns from FY2025 10-K; 2026Q3 from 10-Q ended 2026-06-30 (latest public BS for net debt bridge).</t>
        </is>
      </c>
    </row>
    <row r="3"/>
    <row r="4">
      <c r="A4" s="3" t="inlineStr">
        <is>
          <t>Line item</t>
        </is>
      </c>
      <c r="B4" s="3" t="inlineStr">
        <is>
          <t>2026Q3</t>
        </is>
      </c>
      <c r="C4" s="3" t="inlineStr">
        <is>
          <t>2025</t>
        </is>
      </c>
      <c r="D4" s="3" t="inlineStr">
        <is>
          <t>2024</t>
        </is>
      </c>
    </row>
    <row r="5">
      <c r="A5" s="5" t="inlineStr">
        <is>
          <t>Cash and cash equivalents</t>
        </is>
      </c>
      <c r="B5" s="6" t="n">
        <v>248444</v>
      </c>
      <c r="C5" s="6" t="n">
        <v>134136</v>
      </c>
      <c r="D5" s="6" t="n">
        <v>150667</v>
      </c>
    </row>
    <row r="6">
      <c r="A6" s="5" t="inlineStr">
        <is>
          <t>Accounts receivable, net</t>
        </is>
      </c>
      <c r="B6" s="6" t="n">
        <v>592530</v>
      </c>
      <c r="C6" s="6" t="n">
        <v>529148</v>
      </c>
      <c r="D6" s="6" t="n">
        <v>426642</v>
      </c>
    </row>
    <row r="7">
      <c r="A7" s="5" t="inlineStr">
        <is>
          <t>Prepaid expenses and other current assets</t>
        </is>
      </c>
      <c r="B7" s="6" t="n">
        <v>40589</v>
      </c>
      <c r="C7" s="6" t="n">
        <v>41881</v>
      </c>
      <c r="D7" s="6" t="n">
        <v>40104</v>
      </c>
    </row>
    <row r="8">
      <c r="A8" s="7" t="inlineStr">
        <is>
          <t>Total current assets</t>
        </is>
      </c>
      <c r="B8" s="8" t="n">
        <v>881563</v>
      </c>
      <c r="C8" s="8" t="n">
        <v>705165</v>
      </c>
      <c r="D8" s="8" t="n">
        <v>617413</v>
      </c>
    </row>
    <row r="9">
      <c r="A9" s="5" t="inlineStr">
        <is>
          <t>Marketable securities</t>
        </is>
      </c>
      <c r="B9" s="6" t="n">
        <v>56093</v>
      </c>
      <c r="C9" s="6" t="n">
        <v>54625</v>
      </c>
      <c r="D9" s="6" t="n">
        <v>45289</v>
      </c>
    </row>
    <row r="10">
      <c r="A10" s="5" t="inlineStr">
        <is>
          <t>Property and equipment, net</t>
        </is>
      </c>
      <c r="B10" s="6" t="n"/>
      <c r="C10" s="6" t="n">
        <v>67713</v>
      </c>
      <c r="D10" s="6" t="n">
        <v>38465</v>
      </c>
    </row>
    <row r="11">
      <c r="A11" s="5" t="inlineStr">
        <is>
          <t>Operating lease right-of-use assets</t>
        </is>
      </c>
      <c r="B11" s="6" t="n"/>
      <c r="C11" s="6" t="n">
        <v>26213</v>
      </c>
      <c r="D11" s="6" t="n">
        <v>29580</v>
      </c>
    </row>
    <row r="12">
      <c r="A12" s="5" t="inlineStr">
        <is>
          <t>Goodwill</t>
        </is>
      </c>
      <c r="B12" s="6" t="n"/>
      <c r="C12" s="6" t="n">
        <v>783340</v>
      </c>
      <c r="D12" s="6" t="n">
        <v>782752</v>
      </c>
    </row>
    <row r="13">
      <c r="A13" s="5" t="inlineStr">
        <is>
          <t>Deferred income taxes</t>
        </is>
      </c>
      <c r="B13" s="6" t="n"/>
      <c r="C13" s="6" t="n">
        <v>118553</v>
      </c>
      <c r="D13" s="6" t="n">
        <v>86513</v>
      </c>
    </row>
    <row r="14">
      <c r="A14" s="5" t="inlineStr">
        <is>
          <t>Other assets</t>
        </is>
      </c>
      <c r="B14" s="6" t="n"/>
      <c r="C14" s="6" t="n">
        <v>112524</v>
      </c>
      <c r="D14" s="6" t="n">
        <v>117872</v>
      </c>
    </row>
    <row r="15">
      <c r="A15" s="7" t="inlineStr">
        <is>
          <t>Total assets</t>
        </is>
      </c>
      <c r="B15" s="8" t="n">
        <v>2037373</v>
      </c>
      <c r="C15" s="8" t="n">
        <v>1868133</v>
      </c>
      <c r="D15" s="8" t="n">
        <v>1717884</v>
      </c>
    </row>
    <row r="16">
      <c r="A16" s="5" t="inlineStr">
        <is>
          <t>Accounts payable</t>
        </is>
      </c>
      <c r="B16" s="6" t="n">
        <v>26878</v>
      </c>
      <c r="C16" s="6" t="n">
        <v>32315</v>
      </c>
      <c r="D16" s="6" t="n">
        <v>22473</v>
      </c>
    </row>
    <row r="17">
      <c r="A17" s="5" t="inlineStr">
        <is>
          <t>Accrued compensation and employee benefits</t>
        </is>
      </c>
      <c r="B17" s="6" t="n"/>
      <c r="C17" s="6" t="n">
        <v>115369</v>
      </c>
      <c r="D17" s="6" t="n">
        <v>106103</v>
      </c>
    </row>
    <row r="18">
      <c r="A18" s="5" t="inlineStr">
        <is>
          <t>Other accrued liabilities</t>
        </is>
      </c>
      <c r="B18" s="6" t="n"/>
      <c r="C18" s="6" t="n">
        <v>114618</v>
      </c>
      <c r="D18" s="6" t="n">
        <v>79812</v>
      </c>
    </row>
    <row r="19">
      <c r="A19" s="5" t="inlineStr">
        <is>
          <t>Deferred revenue</t>
        </is>
      </c>
      <c r="B19" s="6" t="n">
        <v>205424</v>
      </c>
      <c r="C19" s="6" t="n">
        <v>187372</v>
      </c>
      <c r="D19" s="6" t="n">
        <v>156897</v>
      </c>
    </row>
    <row r="20">
      <c r="A20" s="5" t="inlineStr">
        <is>
          <t>Current maturities on debt</t>
        </is>
      </c>
      <c r="B20" s="6" t="n">
        <v>300000</v>
      </c>
      <c r="C20" s="6" t="n">
        <v>399541</v>
      </c>
      <c r="D20" s="6" t="n">
        <v>15000</v>
      </c>
    </row>
    <row r="21">
      <c r="A21" s="7" t="inlineStr">
        <is>
          <t>Total current liabilities</t>
        </is>
      </c>
      <c r="B21" s="8" t="n">
        <v>745191</v>
      </c>
      <c r="C21" s="8" t="n">
        <v>849215</v>
      </c>
      <c r="D21" s="8" t="n">
        <v>380285</v>
      </c>
    </row>
    <row r="22">
      <c r="A22" s="5" t="inlineStr">
        <is>
          <t>Long-term debt</t>
        </is>
      </c>
      <c r="B22" s="6" t="n">
        <v>5282389</v>
      </c>
      <c r="C22" s="6" t="n">
        <v>2656150</v>
      </c>
      <c r="D22" s="6" t="n">
        <v>2194021</v>
      </c>
    </row>
    <row r="23">
      <c r="A23" s="5" t="inlineStr">
        <is>
          <t>Operating lease liabilities (noncurrent)</t>
        </is>
      </c>
      <c r="B23" s="6" t="n">
        <v>15621</v>
      </c>
      <c r="C23" s="6" t="n">
        <v>19187</v>
      </c>
      <c r="D23" s="6" t="n">
        <v>21963</v>
      </c>
    </row>
    <row r="24">
      <c r="A24" s="5" t="inlineStr">
        <is>
          <t>Other liabilities</t>
        </is>
      </c>
      <c r="B24" s="6" t="n">
        <v>91307</v>
      </c>
      <c r="C24" s="6" t="n">
        <v>89365</v>
      </c>
      <c r="D24" s="6" t="n">
        <v>84294</v>
      </c>
    </row>
    <row r="25">
      <c r="A25" s="7" t="inlineStr">
        <is>
          <t>Total liabilities</t>
        </is>
      </c>
      <c r="B25" s="8" t="n">
        <v>6134508</v>
      </c>
      <c r="C25" s="8" t="n">
        <v>3613917</v>
      </c>
      <c r="D25" s="8" t="n">
        <v>2680563</v>
      </c>
    </row>
    <row r="26">
      <c r="A26" s="5" t="inlineStr">
        <is>
          <t>Common stock (par)</t>
        </is>
      </c>
      <c r="B26" s="6" t="n"/>
      <c r="C26" s="6" t="n">
        <v>238</v>
      </c>
      <c r="D26" s="6" t="n">
        <v>244</v>
      </c>
    </row>
    <row r="27">
      <c r="A27" s="5" t="inlineStr">
        <is>
          <t>Additional paid-in-capital</t>
        </is>
      </c>
      <c r="B27" s="6" t="n"/>
      <c r="C27" s="6" t="n">
        <v>1331120</v>
      </c>
      <c r="D27" s="6" t="n">
        <v>1366572</v>
      </c>
    </row>
    <row r="28">
      <c r="A28" s="5" t="inlineStr">
        <is>
          <t>Treasury stock</t>
        </is>
      </c>
      <c r="B28" s="6" t="n"/>
      <c r="C28" s="6" t="n">
        <v>-7537908</v>
      </c>
      <c r="D28" s="6" t="n">
        <v>-6138736</v>
      </c>
    </row>
    <row r="29">
      <c r="A29" s="5" t="inlineStr">
        <is>
          <t>Retained earnings</t>
        </is>
      </c>
      <c r="B29" s="6" t="n"/>
      <c r="C29" s="6" t="n">
        <v>4552816</v>
      </c>
      <c r="D29" s="6" t="n">
        <v>3900870</v>
      </c>
    </row>
    <row r="30">
      <c r="A30" s="5" t="inlineStr">
        <is>
          <t>AOCI</t>
        </is>
      </c>
      <c r="B30" s="6" t="n"/>
      <c r="C30" s="6" t="n">
        <v>-92050</v>
      </c>
      <c r="D30" s="6" t="n">
        <v>-91629</v>
      </c>
    </row>
    <row r="31">
      <c r="A31" s="7" t="inlineStr">
        <is>
          <t>Total stockholders deficit</t>
        </is>
      </c>
      <c r="B31" s="8" t="n"/>
      <c r="C31" s="8" t="n">
        <v>-1745784</v>
      </c>
      <c r="D31" s="8" t="n">
        <v>-962679</v>
      </c>
    </row>
    <row r="32">
      <c r="A32" s="5" t="inlineStr">
        <is>
          <t>Shares outstanding (000s)</t>
        </is>
      </c>
      <c r="B32" s="6" t="n"/>
      <c r="C32" s="6" t="n">
        <v>23764</v>
      </c>
      <c r="D32" s="6" t="n">
        <v>24392</v>
      </c>
    </row>
    <row r="33">
      <c r="A33" s="7" t="inlineStr">
        <is>
          <t>Total debt (current + LT)</t>
        </is>
      </c>
      <c r="B33" s="8" t="n">
        <v>5582389</v>
      </c>
      <c r="C33" s="8" t="n">
        <v>3055691</v>
      </c>
      <c r="D33" s="8" t="n">
        <v>2209021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Consolidated Statements of Cash Flows — FICO ($ thousands)</t>
        </is>
      </c>
    </row>
    <row r="2">
      <c r="A2" t="inlineStr">
        <is>
          <t>Source: FY2025 Form 10-K. Capex for DCF = Purchases of PP&amp;E + Capitalized internal-use software.</t>
        </is>
      </c>
    </row>
    <row r="3"/>
    <row r="4">
      <c r="A4" s="3" t="inlineStr">
        <is>
          <t>Line item</t>
        </is>
      </c>
      <c r="B4" s="3" t="inlineStr">
        <is>
          <t>2025</t>
        </is>
      </c>
      <c r="C4" s="3" t="inlineStr">
        <is>
          <t>2024</t>
        </is>
      </c>
      <c r="D4" s="3" t="inlineStr">
        <is>
          <t>2023</t>
        </is>
      </c>
    </row>
    <row r="5">
      <c r="A5" s="7" t="inlineStr">
        <is>
          <t>Net income</t>
        </is>
      </c>
      <c r="B5" s="8" t="n">
        <v>651946</v>
      </c>
      <c r="C5" s="8" t="n">
        <v>512811</v>
      </c>
      <c r="D5" s="8" t="n">
        <v>429375</v>
      </c>
    </row>
    <row r="6">
      <c r="A6" s="5" t="inlineStr">
        <is>
          <t>Depreciation and amortization</t>
        </is>
      </c>
      <c r="B6" s="6" t="n">
        <v>14952</v>
      </c>
      <c r="C6" s="6" t="n">
        <v>13827</v>
      </c>
      <c r="D6" s="6" t="n">
        <v>14638</v>
      </c>
    </row>
    <row r="7">
      <c r="A7" s="5" t="inlineStr">
        <is>
          <t>Share-based compensation</t>
        </is>
      </c>
      <c r="B7" s="6" t="n">
        <v>156667</v>
      </c>
      <c r="C7" s="6" t="n">
        <v>149439</v>
      </c>
      <c r="D7" s="6" t="n">
        <v>123847</v>
      </c>
    </row>
    <row r="8">
      <c r="A8" s="5" t="inlineStr">
        <is>
          <t>Deferred income taxes</t>
        </is>
      </c>
      <c r="B8" s="6" t="n">
        <v>-32486</v>
      </c>
      <c r="C8" s="6" t="n">
        <v>-27330</v>
      </c>
      <c r="D8" s="6" t="n">
        <v>-47378</v>
      </c>
    </row>
    <row r="9">
      <c r="A9" s="5" t="inlineStr">
        <is>
          <t>Net gain on marketable securities</t>
        </is>
      </c>
      <c r="B9" s="6" t="n">
        <v>-5024</v>
      </c>
      <c r="C9" s="6" t="n">
        <v>-9834</v>
      </c>
      <c r="D9" s="6" t="n">
        <v>-2908</v>
      </c>
    </row>
    <row r="10">
      <c r="A10" s="5" t="inlineStr">
        <is>
          <t>Non-cash operating lease costs</t>
        </is>
      </c>
      <c r="B10" s="6" t="n">
        <v>9604</v>
      </c>
      <c r="C10" s="6" t="n">
        <v>12423</v>
      </c>
      <c r="D10" s="6" t="n">
        <v>14708</v>
      </c>
    </row>
    <row r="11">
      <c r="A11" s="5" t="inlineStr">
        <is>
          <t>Provision of doubtful accounts</t>
        </is>
      </c>
      <c r="B11" s="6" t="n">
        <v>1485</v>
      </c>
      <c r="C11" s="6" t="n">
        <v>1675</v>
      </c>
      <c r="D11" s="6" t="n">
        <v>1475</v>
      </c>
    </row>
    <row r="12">
      <c r="A12" s="5" t="inlineStr">
        <is>
          <t>Gain on product line asset sale</t>
        </is>
      </c>
      <c r="B12" s="6" t="n">
        <v>0</v>
      </c>
      <c r="C12" s="6" t="n">
        <v>0</v>
      </c>
      <c r="D12" s="6" t="n">
        <v>-1941</v>
      </c>
    </row>
    <row r="13">
      <c r="A13" s="5" t="inlineStr">
        <is>
          <t>Net loss on sales/abandonment of PP&amp;E</t>
        </is>
      </c>
      <c r="B13" s="6" t="n">
        <v>210</v>
      </c>
      <c r="C13" s="6" t="n">
        <v>438</v>
      </c>
      <c r="D13" s="6" t="n">
        <v>547</v>
      </c>
    </row>
    <row r="14">
      <c r="A14" s="5" t="inlineStr">
        <is>
          <t>Change in accounts receivable</t>
        </is>
      </c>
      <c r="B14" s="6" t="n">
        <v>-100377</v>
      </c>
      <c r="C14" s="6" t="n">
        <v>-34144</v>
      </c>
      <c r="D14" s="6" t="n">
        <v>-70117</v>
      </c>
    </row>
    <row r="15">
      <c r="A15" s="5" t="inlineStr">
        <is>
          <t>Change in prepaid expenses and other assets</t>
        </is>
      </c>
      <c r="B15" s="6" t="n">
        <v>610</v>
      </c>
      <c r="C15" s="6" t="n">
        <v>-14034</v>
      </c>
      <c r="D15" s="6" t="n">
        <v>-11904</v>
      </c>
    </row>
    <row r="16">
      <c r="A16" s="5" t="inlineStr">
        <is>
          <t>Change in accounts payable</t>
        </is>
      </c>
      <c r="B16" s="6" t="n">
        <v>9849</v>
      </c>
      <c r="C16" s="6" t="n">
        <v>3316</v>
      </c>
      <c r="D16" s="6" t="n">
        <v>2236</v>
      </c>
    </row>
    <row r="17">
      <c r="A17" s="5" t="inlineStr">
        <is>
          <t>Change in accrued compensation</t>
        </is>
      </c>
      <c r="B17" s="6" t="n">
        <v>10065</v>
      </c>
      <c r="C17" s="6" t="n">
        <v>3195</v>
      </c>
      <c r="D17" s="6" t="n">
        <v>4631</v>
      </c>
    </row>
    <row r="18">
      <c r="A18" s="5" t="inlineStr">
        <is>
          <t>Change in other liabilities</t>
        </is>
      </c>
      <c r="B18" s="6" t="n">
        <v>31566</v>
      </c>
      <c r="C18" s="6" t="n">
        <v>7216</v>
      </c>
      <c r="D18" s="6" t="n">
        <v>-7057</v>
      </c>
    </row>
    <row r="19">
      <c r="A19" s="5" t="inlineStr">
        <is>
          <t>Change in deferred revenue</t>
        </is>
      </c>
      <c r="B19" s="6" t="n">
        <v>29740</v>
      </c>
      <c r="C19" s="6" t="n">
        <v>13966</v>
      </c>
      <c r="D19" s="6" t="n">
        <v>18763</v>
      </c>
    </row>
    <row r="20">
      <c r="A20" s="7" t="inlineStr">
        <is>
          <t>Net cash from operating activities</t>
        </is>
      </c>
      <c r="B20" s="8" t="n">
        <v>778807</v>
      </c>
      <c r="C20" s="8" t="n">
        <v>632964</v>
      </c>
      <c r="D20" s="8" t="n">
        <v>468915</v>
      </c>
    </row>
    <row r="21">
      <c r="A21" s="5" t="inlineStr">
        <is>
          <t>Purchases of property and equipment</t>
        </is>
      </c>
      <c r="B21" s="6" t="n">
        <v>-8922</v>
      </c>
      <c r="C21" s="6" t="n">
        <v>-8884</v>
      </c>
      <c r="D21" s="6" t="n">
        <v>-4237</v>
      </c>
    </row>
    <row r="22">
      <c r="A22" s="5" t="inlineStr">
        <is>
          <t>Capitalized internal-use software costs</t>
        </is>
      </c>
      <c r="B22" s="6" t="n">
        <v>-30485</v>
      </c>
      <c r="C22" s="6" t="n">
        <v>-16667</v>
      </c>
      <c r="D22" s="6" t="n">
        <v>0</v>
      </c>
    </row>
    <row r="23">
      <c r="A23" s="5" t="inlineStr">
        <is>
          <t>Proceeds from sales of marketable securities</t>
        </is>
      </c>
      <c r="B23" s="6" t="n">
        <v>2184</v>
      </c>
      <c r="C23" s="6" t="n">
        <v>15930</v>
      </c>
      <c r="D23" s="6" t="n">
        <v>5032</v>
      </c>
    </row>
    <row r="24">
      <c r="A24" s="5" t="inlineStr">
        <is>
          <t>Purchases of marketable securities</t>
        </is>
      </c>
      <c r="B24" s="6" t="n">
        <v>-6496</v>
      </c>
      <c r="C24" s="6" t="n">
        <v>-18372</v>
      </c>
      <c r="D24" s="6" t="n">
        <v>-10623</v>
      </c>
    </row>
    <row r="25">
      <c r="A25" s="5" t="inlineStr">
        <is>
          <t>Cash transferred from product line asset sale</t>
        </is>
      </c>
      <c r="B25" s="6" t="n">
        <v>0</v>
      </c>
      <c r="C25" s="6" t="n">
        <v>0</v>
      </c>
      <c r="D25" s="6" t="n">
        <v>-6126</v>
      </c>
    </row>
    <row r="26">
      <c r="A26" s="7" t="inlineStr">
        <is>
          <t>Net cash used in investing activities</t>
        </is>
      </c>
      <c r="B26" s="8" t="n">
        <v>-43719</v>
      </c>
      <c r="C26" s="8" t="n">
        <v>-27993</v>
      </c>
      <c r="D26" s="8" t="n">
        <v>-15954</v>
      </c>
    </row>
    <row r="27">
      <c r="A27" s="5" t="inlineStr">
        <is>
          <t>Proceeds from revolving line / term loans</t>
        </is>
      </c>
      <c r="B27" s="6" t="n">
        <v>725000</v>
      </c>
      <c r="C27" s="6" t="n">
        <v>947000</v>
      </c>
      <c r="D27" s="6" t="n">
        <v>407000</v>
      </c>
    </row>
    <row r="28">
      <c r="A28" s="5" t="inlineStr">
        <is>
          <t>Payments on revolving line / term loans</t>
        </is>
      </c>
      <c r="B28" s="6" t="n">
        <v>-1368750</v>
      </c>
      <c r="C28" s="6" t="n">
        <v>-602000</v>
      </c>
      <c r="D28" s="6" t="n">
        <v>-402000</v>
      </c>
    </row>
    <row r="29">
      <c r="A29" s="5" t="inlineStr">
        <is>
          <t>Proceeds from issuance of senior notes</t>
        </is>
      </c>
      <c r="B29" s="6" t="n">
        <v>1500000</v>
      </c>
      <c r="C29" s="6" t="n">
        <v>0</v>
      </c>
      <c r="D29" s="6" t="n">
        <v>0</v>
      </c>
    </row>
    <row r="30">
      <c r="A30" s="5" t="inlineStr">
        <is>
          <t>Payments on debt issuance costs</t>
        </is>
      </c>
      <c r="B30" s="6" t="n">
        <v>-17163</v>
      </c>
      <c r="C30" s="6" t="n">
        <v>-706</v>
      </c>
      <c r="D30" s="6" t="n">
        <v>0</v>
      </c>
    </row>
    <row r="31">
      <c r="A31" s="5" t="inlineStr">
        <is>
          <t>Payments on finance leases</t>
        </is>
      </c>
      <c r="B31" s="6" t="n">
        <v>-3144</v>
      </c>
      <c r="C31" s="6" t="n">
        <v>-1333</v>
      </c>
      <c r="D31" s="6" t="n">
        <v>0</v>
      </c>
    </row>
    <row r="32">
      <c r="A32" s="5" t="inlineStr">
        <is>
          <t>Proceeds from issuance of treasury stock (ESP)</t>
        </is>
      </c>
      <c r="B32" s="6" t="n">
        <v>32823</v>
      </c>
      <c r="C32" s="6" t="n">
        <v>25006</v>
      </c>
      <c r="D32" s="6" t="n">
        <v>22198</v>
      </c>
    </row>
    <row r="33">
      <c r="A33" s="5" t="inlineStr">
        <is>
          <t>Taxes paid related to net share settlement</t>
        </is>
      </c>
      <c r="B33" s="6" t="n">
        <v>-204593</v>
      </c>
      <c r="C33" s="6" t="n">
        <v>-139188</v>
      </c>
      <c r="D33" s="6" t="n">
        <v>-76673</v>
      </c>
    </row>
    <row r="34">
      <c r="A34" s="5" t="inlineStr">
        <is>
          <t>Repurchases of common stock</t>
        </is>
      </c>
      <c r="B34" s="6" t="n">
        <v>-1414502</v>
      </c>
      <c r="C34" s="6" t="n">
        <v>-821702</v>
      </c>
      <c r="D34" s="6" t="n">
        <v>-405526</v>
      </c>
    </row>
    <row r="35">
      <c r="A35" s="7" t="inlineStr">
        <is>
          <t>Net cash used in financing activities</t>
        </is>
      </c>
      <c r="B35" s="8" t="n">
        <v>-750329</v>
      </c>
      <c r="C35" s="8" t="n">
        <v>-592923</v>
      </c>
      <c r="D35" s="8" t="n">
        <v>-455001</v>
      </c>
    </row>
    <row r="36">
      <c r="A36" s="5" t="inlineStr">
        <is>
          <t>Effect of exchange rate changes on cash</t>
        </is>
      </c>
      <c r="B36" s="6" t="n">
        <v>-1290</v>
      </c>
      <c r="C36" s="6" t="n">
        <v>1841</v>
      </c>
      <c r="D36" s="6" t="n">
        <v>5616</v>
      </c>
    </row>
    <row r="37">
      <c r="A37" s="5" t="inlineStr">
        <is>
          <t>Increase (decrease) in cash</t>
        </is>
      </c>
      <c r="B37" s="6" t="n">
        <v>-16531</v>
      </c>
      <c r="C37" s="6" t="n">
        <v>13889</v>
      </c>
      <c r="D37" s="6" t="n">
        <v>3576</v>
      </c>
    </row>
    <row r="38">
      <c r="A38" s="5" t="inlineStr">
        <is>
          <t>Cash beginning of year</t>
        </is>
      </c>
      <c r="B38" s="6" t="n">
        <v>150667</v>
      </c>
      <c r="C38" s="6" t="n">
        <v>136778</v>
      </c>
      <c r="D38" s="6" t="n">
        <v>133202</v>
      </c>
    </row>
    <row r="39">
      <c r="A39" s="5" t="inlineStr">
        <is>
          <t>Cash end of year</t>
        </is>
      </c>
      <c r="B39" s="6" t="n">
        <v>134136</v>
      </c>
      <c r="C39" s="6" t="n">
        <v>150667</v>
      </c>
      <c r="D39" s="6" t="n">
        <v>136778</v>
      </c>
    </row>
    <row r="40">
      <c r="A40" s="5" t="inlineStr">
        <is>
          <t>Cash paid for income taxes</t>
        </is>
      </c>
      <c r="B40" s="6" t="n">
        <v>162089</v>
      </c>
      <c r="C40" s="6" t="n">
        <v>133716</v>
      </c>
      <c r="D40" s="6" t="n">
        <v>152775</v>
      </c>
    </row>
    <row r="41">
      <c r="A41" s="5" t="inlineStr">
        <is>
          <t>Cash paid for interest</t>
        </is>
      </c>
      <c r="B41" s="6" t="n">
        <v>103564</v>
      </c>
      <c r="C41" s="6" t="n">
        <v>106388</v>
      </c>
      <c r="D41" s="6" t="n">
        <v>96877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8" customWidth="1" min="1" max="1"/>
    <col width="48" customWidth="1" min="2" max="2"/>
    <col width="5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Forecast &amp; valuation assumptions (edit yellow/blue cells)</t>
        </is>
      </c>
    </row>
    <row r="2">
      <c r="A2" t="inlineStr">
        <is>
          <t>All $ figures on this tab and DCF are in $ millions unless noted.</t>
        </is>
      </c>
    </row>
    <row r="3"/>
    <row r="4">
      <c r="A4" s="10" t="inlineStr">
        <is>
          <t>A. Market &amp; capital structure</t>
        </is>
      </c>
    </row>
    <row r="5"/>
    <row r="6">
      <c r="A6" t="inlineStr">
        <is>
          <t>Share price ($)</t>
        </is>
      </c>
      <c r="B6" s="9" t="n">
        <v>1046.23</v>
      </c>
    </row>
    <row r="7">
      <c r="A7" t="inlineStr">
        <is>
          <t>Diluted shares outstanding (millions)</t>
        </is>
      </c>
      <c r="B7" s="9" t="n">
        <v>21.597635</v>
      </c>
    </row>
    <row r="8">
      <c r="A8" t="inlineStr">
        <is>
          <t>Cash &amp; equivalents ($m)</t>
        </is>
      </c>
      <c r="B8" s="9" t="n">
        <v>248.444</v>
      </c>
    </row>
    <row r="9">
      <c r="A9" t="inlineStr">
        <is>
          <t>Marketable securities ($m)</t>
        </is>
      </c>
      <c r="B9" s="9" t="n">
        <v>56.093</v>
      </c>
    </row>
    <row r="10">
      <c r="A10" t="inlineStr">
        <is>
          <t>Total debt ($m)</t>
        </is>
      </c>
      <c r="B10" s="9" t="n">
        <v>5582.389</v>
      </c>
    </row>
    <row r="11">
      <c r="A11" t="inlineStr">
        <is>
          <t>Minority interest ($m)</t>
        </is>
      </c>
      <c r="B11" s="9" t="n">
        <v>0</v>
      </c>
    </row>
    <row r="12">
      <c r="A12" t="inlineStr">
        <is>
          <t>Preferred equity ($m)</t>
        </is>
      </c>
      <c r="B12" s="9" t="n">
        <v>0</v>
      </c>
    </row>
    <row r="13"/>
    <row r="14">
      <c r="A14" s="10" t="inlineStr">
        <is>
          <t>B. WACC components</t>
        </is>
      </c>
    </row>
    <row r="15"/>
    <row r="16">
      <c r="A16" t="inlineStr">
        <is>
          <t>Risk-free rate</t>
        </is>
      </c>
      <c r="B16" s="11" t="n">
        <v>0.043</v>
      </c>
    </row>
    <row r="17">
      <c r="A17" t="inlineStr">
        <is>
          <t>Equity risk premium</t>
        </is>
      </c>
      <c r="B17" s="11" t="n">
        <v>0.05</v>
      </c>
    </row>
    <row r="18">
      <c r="A18" t="inlineStr">
        <is>
          <t>Beta</t>
        </is>
      </c>
      <c r="B18" s="11" t="n">
        <v>1.321</v>
      </c>
    </row>
    <row r="19">
      <c r="A19" t="inlineStr">
        <is>
          <t>Size / specific risk premium</t>
        </is>
      </c>
      <c r="B19" s="11" t="n">
        <v>0</v>
      </c>
    </row>
    <row r="20">
      <c r="A20" t="inlineStr">
        <is>
          <t>Pre-tax cost of debt</t>
        </is>
      </c>
      <c r="B20" s="11" t="n">
        <v>0.055</v>
      </c>
    </row>
    <row r="21">
      <c r="A21" t="inlineStr">
        <is>
          <t>Marginal tax rate</t>
        </is>
      </c>
      <c r="B21" s="11" t="n">
        <v>0.188</v>
      </c>
    </row>
    <row r="22">
      <c r="A22" t="inlineStr">
        <is>
          <t>Target equity weight</t>
        </is>
      </c>
      <c r="B22" s="11" t="n">
        <v>0.8</v>
      </c>
    </row>
    <row r="23">
      <c r="A23" t="inlineStr">
        <is>
          <t>Target debt weight</t>
        </is>
      </c>
      <c r="B23" s="11" t="n">
        <v>0.2</v>
      </c>
    </row>
    <row r="24"/>
    <row r="25">
      <c r="A25" t="inlineStr">
        <is>
          <t>Cost of equity (CAPM)</t>
        </is>
      </c>
      <c r="B25" s="12">
        <f>B16+B18*B17+B19</f>
        <v/>
      </c>
    </row>
    <row r="26">
      <c r="A26" t="inlineStr">
        <is>
          <t>After-tax cost of debt</t>
        </is>
      </c>
      <c r="B26" s="12">
        <f>B20*(1-B21)</f>
        <v/>
      </c>
    </row>
    <row r="27">
      <c r="A27" t="inlineStr">
        <is>
          <t>WACC</t>
        </is>
      </c>
      <c r="B27" s="13">
        <f>B22*B25+B23*B26</f>
        <v/>
      </c>
    </row>
    <row r="28"/>
    <row r="29">
      <c r="A29" s="10" t="inlineStr">
        <is>
          <t>C. Operating forecast drivers</t>
        </is>
      </c>
    </row>
    <row r="30">
      <c r="A30" t="inlineStr">
        <is>
          <t>Base year revenue FY2025 ($m)</t>
        </is>
      </c>
      <c r="B30" s="9" t="n">
        <v>1990.869</v>
      </c>
    </row>
    <row r="31">
      <c r="A31" t="inlineStr">
        <is>
          <t>Base year EBIT FY2025 ($m)</t>
        </is>
      </c>
      <c r="B31" s="9" t="n">
        <v>924.85</v>
      </c>
    </row>
    <row r="32">
      <c r="A32" t="inlineStr">
        <is>
          <t>Base year D&amp;A FY2025 ($m)</t>
        </is>
      </c>
      <c r="B32" s="9" t="n">
        <v>14.952</v>
      </c>
    </row>
    <row r="33">
      <c r="A33" t="inlineStr">
        <is>
          <t>Base year SBC FY2025 ($m) — optional add-back toggle below</t>
        </is>
      </c>
      <c r="B33" s="9" t="n">
        <v>156.667</v>
      </c>
    </row>
    <row r="34"/>
    <row r="35">
      <c r="A35" s="3" t="inlineStr">
        <is>
          <t>Driver</t>
        </is>
      </c>
      <c r="B35" s="3" t="inlineStr">
        <is>
          <t>FY2026</t>
        </is>
      </c>
      <c r="C35" s="3" t="inlineStr">
        <is>
          <t>FY2027</t>
        </is>
      </c>
      <c r="D35" s="3" t="inlineStr">
        <is>
          <t>FY2028</t>
        </is>
      </c>
      <c r="E35" s="3" t="inlineStr">
        <is>
          <t>FY2029</t>
        </is>
      </c>
      <c r="F35" s="3" t="inlineStr">
        <is>
          <t>FY2030</t>
        </is>
      </c>
    </row>
    <row r="36">
      <c r="A36" t="inlineStr">
        <is>
          <t>Revenue growth</t>
        </is>
      </c>
      <c r="B36" s="11" t="n">
        <v>0.14</v>
      </c>
      <c r="C36" s="11" t="n">
        <v>0.12</v>
      </c>
      <c r="D36" s="11" t="n">
        <v>0.1</v>
      </c>
      <c r="E36" s="11" t="n">
        <v>0.09</v>
      </c>
      <c r="F36" s="11" t="n">
        <v>0.08</v>
      </c>
    </row>
    <row r="37">
      <c r="A37" t="inlineStr">
        <is>
          <t>EBIT margin</t>
        </is>
      </c>
      <c r="B37" s="11" t="n">
        <v>0.455</v>
      </c>
      <c r="C37" s="11" t="n">
        <v>0.45</v>
      </c>
      <c r="D37" s="11" t="n">
        <v>0.445</v>
      </c>
      <c r="E37" s="11" t="n">
        <v>0.44</v>
      </c>
      <c r="F37" s="11" t="n">
        <v>0.44</v>
      </c>
    </row>
    <row r="38">
      <c r="A38" t="inlineStr">
        <is>
          <t>Tax rate on EBIT</t>
        </is>
      </c>
      <c r="B38" s="11" t="n">
        <v>0.188</v>
      </c>
      <c r="C38" s="11" t="n">
        <v>0.188</v>
      </c>
      <c r="D38" s="11" t="n">
        <v>0.188</v>
      </c>
      <c r="E38" s="11" t="n">
        <v>0.188</v>
      </c>
      <c r="F38" s="11" t="n">
        <v>0.188</v>
      </c>
    </row>
    <row r="39">
      <c r="A39" t="inlineStr">
        <is>
          <t>D&amp;A % of revenue</t>
        </is>
      </c>
      <c r="B39" s="11" t="n">
        <v>0.008</v>
      </c>
      <c r="C39" s="11" t="n">
        <v>0.008</v>
      </c>
      <c r="D39" s="11" t="n">
        <v>0.008</v>
      </c>
      <c r="E39" s="11" t="n">
        <v>0.008</v>
      </c>
      <c r="F39" s="11" t="n">
        <v>0.008</v>
      </c>
    </row>
    <row r="40">
      <c r="A40" t="inlineStr">
        <is>
          <t>Capex + capitalized software % of revenue</t>
        </is>
      </c>
      <c r="B40" s="11" t="n">
        <v>0.02</v>
      </c>
      <c r="C40" s="11" t="n">
        <v>0.02</v>
      </c>
      <c r="D40" s="11" t="n">
        <v>0.02</v>
      </c>
      <c r="E40" s="11" t="n">
        <v>0.02</v>
      </c>
      <c r="F40" s="11" t="n">
        <v>0.02</v>
      </c>
    </row>
    <row r="41">
      <c r="A41" t="inlineStr">
        <is>
          <t>ΔNWC % of ΔRevenue (use of cash if +)</t>
        </is>
      </c>
      <c r="B41" s="11" t="n">
        <v>0.05</v>
      </c>
      <c r="C41" s="11" t="n">
        <v>0.05</v>
      </c>
      <c r="D41" s="11" t="n">
        <v>0.05</v>
      </c>
      <c r="E41" s="11" t="n">
        <v>0.05</v>
      </c>
      <c r="F41" s="11" t="n">
        <v>0.05</v>
      </c>
    </row>
    <row r="42">
      <c r="A42" t="inlineStr">
        <is>
          <t>Add back SBC in FCFF? (1=yes, 0=no)</t>
        </is>
      </c>
      <c r="B42" s="14" t="n">
        <v>0</v>
      </c>
      <c r="C42" t="inlineStr">
        <is>
          <t>Conservative default = 0 (treat SBC as real economic cost)</t>
        </is>
      </c>
    </row>
    <row r="43"/>
    <row r="44">
      <c r="A44" s="10" t="inlineStr">
        <is>
          <t>D. Terminal value</t>
        </is>
      </c>
    </row>
    <row r="45">
      <c r="A45" t="inlineStr">
        <is>
          <t>Perpetuity growth rate g</t>
        </is>
      </c>
      <c r="B45" s="11" t="n">
        <v>0.03</v>
      </c>
    </row>
    <row r="46">
      <c r="A46" t="inlineStr">
        <is>
          <t>Exit EV/EBIT multiple</t>
        </is>
      </c>
      <c r="B46" s="15" t="n">
        <v>22</v>
      </c>
    </row>
    <row r="47">
      <c r="A47" t="inlineStr">
        <is>
          <t>TV method weight on perpetuity (1=100% g, 0=100% exit multiple)</t>
        </is>
      </c>
      <c r="B47" s="11" t="n">
        <v>0.5</v>
      </c>
    </row>
    <row r="48">
      <c r="A48" t="inlineStr">
        <is>
          <t>Mid-year discounting? (1=yes)</t>
        </is>
      </c>
      <c r="B48" s="6" t="n">
        <v>1</v>
      </c>
    </row>
    <row r="49"/>
    <row r="50">
      <c r="A50" s="10" t="inlineStr">
        <is>
          <t>E. Historical reference (auto from 03_IS, $m)</t>
        </is>
      </c>
    </row>
    <row r="51">
      <c r="A51" t="inlineStr">
        <is>
          <t>FY25 revenue ($m)</t>
        </is>
      </c>
      <c r="B51" s="16">
        <f>'03_IS_Historical'!B5/1000</f>
        <v/>
      </c>
    </row>
    <row r="52">
      <c r="A52" t="inlineStr">
        <is>
          <t>FY25 EBIT ($m)</t>
        </is>
      </c>
      <c r="B52" s="16">
        <f>'03_IS_Historical'!B13/1000</f>
        <v/>
      </c>
    </row>
    <row r="53">
      <c r="A53" t="inlineStr">
        <is>
          <t>FY25 net income ($m)</t>
        </is>
      </c>
      <c r="B53" s="16">
        <f>'03_IS_Historical'!B18/1000</f>
        <v/>
      </c>
    </row>
    <row r="54">
      <c r="A54" t="inlineStr">
        <is>
          <t>FY25 EBIT margin</t>
        </is>
      </c>
      <c r="B54" s="17">
        <f>B52/B51</f>
        <v/>
      </c>
    </row>
    <row r="55">
      <c r="A55" t="inlineStr">
        <is>
          <t>FY25 effective tax rate</t>
        </is>
      </c>
      <c r="B55" s="17">
        <f>'03_IS_Historical'!B17/'03_IS_Historical'!B16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2" customWidth="1" min="1" max="1"/>
    <col width="44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FCFF DCF valuation — FICO</t>
        </is>
      </c>
    </row>
    <row r="2">
      <c r="A2" t="inlineStr">
        <is>
          <t>$ millions. Explicit forecast FY2026–FY2030. Edit drivers on 06_Assumptions.</t>
        </is>
      </c>
    </row>
    <row r="3"/>
    <row r="4">
      <c r="A4" s="3" t="inlineStr">
        <is>
          <t>($ millions)</t>
        </is>
      </c>
      <c r="B4" s="3" t="inlineStr">
        <is>
          <t>FY2025A</t>
        </is>
      </c>
      <c r="C4" s="3" t="inlineStr">
        <is>
          <t>FY2026E</t>
        </is>
      </c>
      <c r="D4" s="3" t="inlineStr">
        <is>
          <t>FY2027E</t>
        </is>
      </c>
      <c r="E4" s="3" t="inlineStr">
        <is>
          <t>FY2028E</t>
        </is>
      </c>
      <c r="F4" s="3" t="inlineStr">
        <is>
          <t>FY2029E</t>
        </is>
      </c>
      <c r="G4" s="3" t="inlineStr">
        <is>
          <t>FY2030E</t>
        </is>
      </c>
    </row>
    <row r="5">
      <c r="A5" t="inlineStr">
        <is>
          <t>Revenue</t>
        </is>
      </c>
      <c r="B5" s="16">
        <f>'06_Assumptions'!B30</f>
        <v/>
      </c>
      <c r="C5" s="16">
        <f>B5*(1+C6)</f>
        <v/>
      </c>
      <c r="D5" s="16">
        <f>C5*(1+D6)</f>
        <v/>
      </c>
      <c r="E5" s="16">
        <f>D5*(1+E6)</f>
        <v/>
      </c>
      <c r="F5" s="16">
        <f>E5*(1+F6)</f>
        <v/>
      </c>
      <c r="G5" s="16">
        <f>F5*(1+G6)</f>
        <v/>
      </c>
    </row>
    <row r="6">
      <c r="A6" t="inlineStr">
        <is>
          <t>Revenue growth</t>
        </is>
      </c>
      <c r="B6" t="inlineStr">
        <is>
          <t>—</t>
        </is>
      </c>
      <c r="C6" s="17">
        <f>'06_Assumptions'!B36</f>
        <v/>
      </c>
      <c r="D6" s="17">
        <f>'06_Assumptions'!C36</f>
        <v/>
      </c>
      <c r="E6" s="17">
        <f>'06_Assumptions'!D36</f>
        <v/>
      </c>
      <c r="F6" s="17">
        <f>'06_Assumptions'!E36</f>
        <v/>
      </c>
      <c r="G6" s="17">
        <f>'06_Assumptions'!F36</f>
        <v/>
      </c>
    </row>
    <row r="7">
      <c r="A7" t="inlineStr">
        <is>
          <t>EBIT</t>
        </is>
      </c>
      <c r="B7" s="16">
        <f>'06_Assumptions'!B31</f>
        <v/>
      </c>
      <c r="C7" s="16">
        <f>C5*C8</f>
        <v/>
      </c>
      <c r="D7" s="16">
        <f>D5*D8</f>
        <v/>
      </c>
      <c r="E7" s="16">
        <f>E5*E8</f>
        <v/>
      </c>
      <c r="F7" s="16">
        <f>F5*F8</f>
        <v/>
      </c>
      <c r="G7" s="16">
        <f>G5*G8</f>
        <v/>
      </c>
    </row>
    <row r="8">
      <c r="A8" t="inlineStr">
        <is>
          <t>EBIT margin</t>
        </is>
      </c>
      <c r="B8" s="17">
        <f>B7/B5</f>
        <v/>
      </c>
      <c r="C8" s="17">
        <f>'06_Assumptions'!B37</f>
        <v/>
      </c>
      <c r="D8" s="17">
        <f>'06_Assumptions'!C37</f>
        <v/>
      </c>
      <c r="E8" s="17">
        <f>'06_Assumptions'!D37</f>
        <v/>
      </c>
      <c r="F8" s="17">
        <f>'06_Assumptions'!E37</f>
        <v/>
      </c>
      <c r="G8" s="17">
        <f>'06_Assumptions'!F37</f>
        <v/>
      </c>
    </row>
    <row r="9">
      <c r="A9" t="inlineStr">
        <is>
          <t>Cash tax on EBIT</t>
        </is>
      </c>
      <c r="B9" s="16">
        <f>B7*'06_Assumptions'!B21</f>
        <v/>
      </c>
      <c r="C9" s="16">
        <f>C7*'06_Assumptions'!B38</f>
        <v/>
      </c>
      <c r="D9" s="16">
        <f>D7*'06_Assumptions'!C38</f>
        <v/>
      </c>
      <c r="E9" s="16">
        <f>E7*'06_Assumptions'!D38</f>
        <v/>
      </c>
      <c r="F9" s="16">
        <f>F7*'06_Assumptions'!E38</f>
        <v/>
      </c>
      <c r="G9" s="16">
        <f>G7*'06_Assumptions'!F38</f>
        <v/>
      </c>
    </row>
    <row r="10">
      <c r="A10" t="inlineStr">
        <is>
          <t>NOPAT</t>
        </is>
      </c>
      <c r="B10" s="16">
        <f>B7-B9</f>
        <v/>
      </c>
      <c r="C10" s="16">
        <f>C7-C9</f>
        <v/>
      </c>
      <c r="D10" s="16">
        <f>D7-D9</f>
        <v/>
      </c>
      <c r="E10" s="16">
        <f>E7-E9</f>
        <v/>
      </c>
      <c r="F10" s="16">
        <f>F7-F9</f>
        <v/>
      </c>
      <c r="G10" s="16">
        <f>G7-G9</f>
        <v/>
      </c>
    </row>
    <row r="11">
      <c r="A11" t="inlineStr">
        <is>
          <t>(+) D&amp;A</t>
        </is>
      </c>
      <c r="B11" s="16">
        <f>'06_Assumptions'!B32</f>
        <v/>
      </c>
      <c r="C11" s="16">
        <f>C5*'06_Assumptions'!B39</f>
        <v/>
      </c>
      <c r="D11" s="16">
        <f>D5*'06_Assumptions'!C39</f>
        <v/>
      </c>
      <c r="E11" s="16">
        <f>E5*'06_Assumptions'!D39</f>
        <v/>
      </c>
      <c r="F11" s="16">
        <f>F5*'06_Assumptions'!E39</f>
        <v/>
      </c>
      <c r="G11" s="16">
        <f>G5*'06_Assumptions'!F39</f>
        <v/>
      </c>
    </row>
    <row r="12">
      <c r="A12" t="inlineStr">
        <is>
          <t>(+) SBC add-back (optional)</t>
        </is>
      </c>
      <c r="B12" s="16">
        <f>'06_Assumptions'!B33*'06_Assumptions'!B42</f>
        <v/>
      </c>
      <c r="C12" s="16">
        <f>'06_Assumptions'!B33*'06_Assumptions'!B42*(C5/'06_Assumptions'!B30)</f>
        <v/>
      </c>
      <c r="D12" s="16">
        <f>'06_Assumptions'!B33*'06_Assumptions'!B42*(D5/'06_Assumptions'!B30)</f>
        <v/>
      </c>
      <c r="E12" s="16">
        <f>'06_Assumptions'!B33*'06_Assumptions'!B42*(E5/'06_Assumptions'!B30)</f>
        <v/>
      </c>
      <c r="F12" s="16">
        <f>'06_Assumptions'!B33*'06_Assumptions'!B42*(F5/'06_Assumptions'!B30)</f>
        <v/>
      </c>
      <c r="G12" s="16">
        <f>'06_Assumptions'!B33*'06_Assumptions'!B42*(G5/'06_Assumptions'!B30)</f>
        <v/>
      </c>
    </row>
    <row r="13">
      <c r="A13" t="inlineStr">
        <is>
          <t>Gross cash flow</t>
        </is>
      </c>
      <c r="B13" s="16">
        <f>B10+B11+B12</f>
        <v/>
      </c>
      <c r="C13" s="16">
        <f>C10+C11+C12</f>
        <v/>
      </c>
      <c r="D13" s="16">
        <f>D10+D11+D12</f>
        <v/>
      </c>
      <c r="E13" s="16">
        <f>E10+E11+E12</f>
        <v/>
      </c>
      <c r="F13" s="16">
        <f>F10+F11+F12</f>
        <v/>
      </c>
      <c r="G13" s="16">
        <f>G10+G11+G12</f>
        <v/>
      </c>
    </row>
    <row r="14">
      <c r="A14" t="inlineStr">
        <is>
          <t>(−) Capex + capitalized software</t>
        </is>
      </c>
      <c r="B14" s="18" t="n">
        <v>39.407</v>
      </c>
      <c r="C14" s="16">
        <f>C5*'06_Assumptions'!B40</f>
        <v/>
      </c>
      <c r="D14" s="16">
        <f>D5*'06_Assumptions'!C40</f>
        <v/>
      </c>
      <c r="E14" s="16">
        <f>E5*'06_Assumptions'!D40</f>
        <v/>
      </c>
      <c r="F14" s="16">
        <f>F5*'06_Assumptions'!E40</f>
        <v/>
      </c>
      <c r="G14" s="16">
        <f>G5*'06_Assumptions'!F40</f>
        <v/>
      </c>
    </row>
    <row r="15">
      <c r="A15" t="inlineStr">
        <is>
          <t>(−) Δ Net working capital</t>
        </is>
      </c>
      <c r="B15" s="16" t="n">
        <v>0</v>
      </c>
      <c r="C15" s="16">
        <f>MAX(0,C5-B5)*'06_Assumptions'!B41</f>
        <v/>
      </c>
      <c r="D15" s="16">
        <f>MAX(0,D5-C5)*'06_Assumptions'!C41</f>
        <v/>
      </c>
      <c r="E15" s="16">
        <f>MAX(0,E5-D5)*'06_Assumptions'!D41</f>
        <v/>
      </c>
      <c r="F15" s="16">
        <f>MAX(0,F5-E5)*'06_Assumptions'!E41</f>
        <v/>
      </c>
      <c r="G15" s="16">
        <f>MAX(0,G5-F5)*'06_Assumptions'!F41</f>
        <v/>
      </c>
    </row>
    <row r="16">
      <c r="A16" t="inlineStr">
        <is>
          <t>Unlevered FCFF</t>
        </is>
      </c>
      <c r="B16" s="16">
        <f>B13-B14-B15</f>
        <v/>
      </c>
      <c r="C16" s="19">
        <f>C13-C14-C15</f>
        <v/>
      </c>
      <c r="D16" s="19">
        <f>D13-D14-D15</f>
        <v/>
      </c>
      <c r="E16" s="19">
        <f>E13-E14-E15</f>
        <v/>
      </c>
      <c r="F16" s="19">
        <f>F13-F14-F15</f>
        <v/>
      </c>
      <c r="G16" s="19">
        <f>G13-G14-G15</f>
        <v/>
      </c>
    </row>
    <row r="17">
      <c r="A17" t="inlineStr">
        <is>
          <t>Discount period (years)</t>
        </is>
      </c>
      <c r="B17" t="inlineStr">
        <is>
          <t>—</t>
        </is>
      </c>
      <c r="C17" s="16">
        <f>1-'06_Assumptions'!B48*0.5</f>
        <v/>
      </c>
      <c r="D17" s="16">
        <f>C17+1</f>
        <v/>
      </c>
      <c r="E17" s="16">
        <f>D17+1</f>
        <v/>
      </c>
      <c r="F17" s="16">
        <f>E17+1</f>
        <v/>
      </c>
      <c r="G17" s="16">
        <f>F17+1</f>
        <v/>
      </c>
    </row>
    <row r="18">
      <c r="A18" t="inlineStr">
        <is>
          <t>Discount factor</t>
        </is>
      </c>
      <c r="B18" t="inlineStr">
        <is>
          <t>—</t>
        </is>
      </c>
      <c r="C18" s="16">
        <f>1/(1+'06_Assumptions'!B27)^C17</f>
        <v/>
      </c>
      <c r="D18" s="16">
        <f>1/(1+'06_Assumptions'!B27)^D17</f>
        <v/>
      </c>
      <c r="E18" s="16">
        <f>1/(1+'06_Assumptions'!B27)^E17</f>
        <v/>
      </c>
      <c r="F18" s="16">
        <f>1/(1+'06_Assumptions'!B27)^F17</f>
        <v/>
      </c>
      <c r="G18" s="16">
        <f>1/(1+'06_Assumptions'!B27)^G17</f>
        <v/>
      </c>
    </row>
    <row r="19">
      <c r="A19" t="inlineStr">
        <is>
          <t>PV of FCFF</t>
        </is>
      </c>
      <c r="B19" t="inlineStr">
        <is>
          <t>—</t>
        </is>
      </c>
      <c r="C19" s="19">
        <f>C16*C18</f>
        <v/>
      </c>
      <c r="D19" s="19">
        <f>D16*D18</f>
        <v/>
      </c>
      <c r="E19" s="19">
        <f>E16*E18</f>
        <v/>
      </c>
      <c r="F19" s="19">
        <f>F16*F18</f>
        <v/>
      </c>
      <c r="G19" s="19">
        <f>G16*G18</f>
        <v/>
      </c>
    </row>
    <row r="20"/>
    <row r="21">
      <c r="A21" s="2" t="inlineStr">
        <is>
          <t>Terminal value</t>
        </is>
      </c>
    </row>
    <row r="22">
      <c r="A22" t="inlineStr">
        <is>
          <t>TV — Gordon growth (perpetuity)</t>
        </is>
      </c>
      <c r="G22" s="16">
        <f>G16*(1+'06_Assumptions'!B45)/('06_Assumptions'!B27-'06_Assumptions'!B45)</f>
        <v/>
      </c>
    </row>
    <row r="23">
      <c r="A23" t="inlineStr">
        <is>
          <t>TV — Exit multiple on EBIT</t>
        </is>
      </c>
      <c r="G23" s="16">
        <f>G7*'06_Assumptions'!B46</f>
        <v/>
      </c>
    </row>
    <row r="24">
      <c r="A24" t="inlineStr">
        <is>
          <t>Blended TV</t>
        </is>
      </c>
      <c r="G24" s="19">
        <f>G22*'06_Assumptions'!B47+G23*(1-'06_Assumptions'!B47)</f>
        <v/>
      </c>
    </row>
    <row r="25">
      <c r="A25" t="inlineStr">
        <is>
          <t>PV of terminal value</t>
        </is>
      </c>
      <c r="G25" s="19">
        <f>G24*G18</f>
        <v/>
      </c>
    </row>
    <row r="26"/>
    <row r="27">
      <c r="A27" s="2" t="inlineStr">
        <is>
          <t>Enterprise value bridge</t>
        </is>
      </c>
    </row>
    <row r="28">
      <c r="A28" t="inlineStr">
        <is>
          <t>PV of explicit FCFF</t>
        </is>
      </c>
      <c r="B28" s="16">
        <f>SUM(C19:G19)</f>
        <v/>
      </c>
    </row>
    <row r="29">
      <c r="A29" t="inlineStr">
        <is>
          <t>PV of terminal value</t>
        </is>
      </c>
      <c r="B29" s="16">
        <f>G25</f>
        <v/>
      </c>
    </row>
    <row r="30">
      <c r="A30" t="inlineStr">
        <is>
          <t>Enterprise value</t>
        </is>
      </c>
      <c r="B30" s="20">
        <f>B28+B29</f>
        <v/>
      </c>
    </row>
    <row r="31">
      <c r="A31" t="inlineStr">
        <is>
          <t>(−) Total debt</t>
        </is>
      </c>
      <c r="B31" s="16">
        <f>'06_Assumptions'!B10</f>
        <v/>
      </c>
    </row>
    <row r="32">
      <c r="A32" t="inlineStr">
        <is>
          <t>(+) Cash</t>
        </is>
      </c>
      <c r="B32" s="16">
        <f>'06_Assumptions'!B8</f>
        <v/>
      </c>
    </row>
    <row r="33">
      <c r="A33" t="inlineStr">
        <is>
          <t>(+) Marketable securities</t>
        </is>
      </c>
      <c r="B33" s="16">
        <f>'06_Assumptions'!B9</f>
        <v/>
      </c>
    </row>
    <row r="34">
      <c r="A34" t="inlineStr">
        <is>
          <t>(−) Minorities</t>
        </is>
      </c>
      <c r="B34" s="16">
        <f>'06_Assumptions'!B11</f>
        <v/>
      </c>
    </row>
    <row r="35">
      <c r="A35" t="inlineStr">
        <is>
          <t>(−) Preferred</t>
        </is>
      </c>
      <c r="B35" s="16">
        <f>'06_Assumptions'!B12</f>
        <v/>
      </c>
    </row>
    <row r="36">
      <c r="A36" t="inlineStr">
        <is>
          <t>Equity value</t>
        </is>
      </c>
      <c r="B36" s="20">
        <f>B30-B31+B32+B33-B34-B35</f>
        <v/>
      </c>
    </row>
    <row r="37">
      <c r="A37" t="inlineStr">
        <is>
          <t>Diluted shares (m)</t>
        </is>
      </c>
      <c r="B37" s="16">
        <f>'06_Assumptions'!B7</f>
        <v/>
      </c>
    </row>
    <row r="38">
      <c r="A38" t="inlineStr">
        <is>
          <t>Intrinsic value / share</t>
        </is>
      </c>
      <c r="B38" s="21">
        <f>B36/B37</f>
        <v/>
      </c>
    </row>
    <row r="39">
      <c r="A39" t="inlineStr">
        <is>
          <t>Current price</t>
        </is>
      </c>
      <c r="B39" s="16">
        <f>'06_Assumptions'!B6</f>
        <v/>
      </c>
    </row>
    <row r="40">
      <c r="A40" t="inlineStr">
        <is>
          <t>Upside / (downside)</t>
        </is>
      </c>
      <c r="B40" s="17">
        <f>B38/B39-1</f>
        <v/>
      </c>
    </row>
    <row r="41"/>
    <row r="42">
      <c r="A42" s="2" t="inlineStr">
        <is>
          <t>Implied metrics</t>
        </is>
      </c>
    </row>
    <row r="43">
      <c r="A43" t="inlineStr">
        <is>
          <t>TV as % of EV</t>
        </is>
      </c>
      <c r="B43" s="17">
        <f>B29/B30</f>
        <v/>
      </c>
    </row>
    <row r="44">
      <c r="A44" t="inlineStr">
        <is>
          <t>Implied FY25A EV/EBIT</t>
        </is>
      </c>
      <c r="B44" s="22">
        <f>B30/'06_Assumptions'!B31</f>
        <v/>
      </c>
    </row>
    <row r="45">
      <c r="A45" t="inlineStr">
        <is>
          <t>Implied FY25A EV/Revenue</t>
        </is>
      </c>
      <c r="B45" s="16">
        <f>B30/'06_Assumptions'!B30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</cols>
  <sheetData>
    <row r="1">
      <c r="A1" s="1" t="inlineStr">
        <is>
          <t>WACC build</t>
        </is>
      </c>
    </row>
    <row r="2"/>
    <row r="3">
      <c r="A3" t="inlineStr">
        <is>
          <t>Linked from 06_Assumptions</t>
        </is>
      </c>
    </row>
    <row r="4"/>
    <row r="5">
      <c r="A5" s="3" t="inlineStr">
        <is>
          <t>Component</t>
        </is>
      </c>
      <c r="B5" s="3" t="inlineStr">
        <is>
          <t>Value</t>
        </is>
      </c>
    </row>
    <row r="6">
      <c r="A6" t="inlineStr">
        <is>
          <t>Risk-free rate</t>
        </is>
      </c>
      <c r="B6" s="17">
        <f>'06_Assumptions'!B16</f>
        <v/>
      </c>
    </row>
    <row r="7">
      <c r="A7" t="inlineStr">
        <is>
          <t>ERP</t>
        </is>
      </c>
      <c r="B7" s="17">
        <f>'06_Assumptions'!B17</f>
        <v/>
      </c>
    </row>
    <row r="8">
      <c r="A8" t="inlineStr">
        <is>
          <t>Beta</t>
        </is>
      </c>
      <c r="B8" s="16">
        <f>'06_Assumptions'!B18</f>
        <v/>
      </c>
    </row>
    <row r="9">
      <c r="A9" t="inlineStr">
        <is>
          <t>Cost of equity</t>
        </is>
      </c>
      <c r="B9" s="17">
        <f>'06_Assumptions'!B25</f>
        <v/>
      </c>
    </row>
    <row r="10">
      <c r="A10" t="inlineStr">
        <is>
          <t>Pre-tax cost of debt</t>
        </is>
      </c>
      <c r="B10" s="17">
        <f>'06_Assumptions'!B20</f>
        <v/>
      </c>
    </row>
    <row r="11">
      <c r="A11" t="inlineStr">
        <is>
          <t>Tax rate</t>
        </is>
      </c>
      <c r="B11" s="17">
        <f>'06_Assumptions'!B21</f>
        <v/>
      </c>
    </row>
    <row r="12">
      <c r="A12" t="inlineStr">
        <is>
          <t>After-tax cost of debt</t>
        </is>
      </c>
      <c r="B12" s="17">
        <f>'06_Assumptions'!B26</f>
        <v/>
      </c>
    </row>
    <row r="13">
      <c r="A13" t="inlineStr">
        <is>
          <t>Equity weight</t>
        </is>
      </c>
      <c r="B13" s="17">
        <f>'06_Assumptions'!B22</f>
        <v/>
      </c>
    </row>
    <row r="14">
      <c r="A14" t="inlineStr">
        <is>
          <t>Debt weight</t>
        </is>
      </c>
      <c r="B14" s="17">
        <f>'06_Assumptions'!B23</f>
        <v/>
      </c>
    </row>
    <row r="15">
      <c r="A15" t="inlineStr">
        <is>
          <t>WACC</t>
        </is>
      </c>
      <c r="B15" s="13">
        <f>'06_Assumptions'!B27</f>
        <v/>
      </c>
    </row>
    <row r="16"/>
    <row r="17"/>
    <row r="18">
      <c r="A18" t="inlineStr">
        <is>
          <t>Notes</t>
        </is>
      </c>
    </row>
    <row r="19">
      <c r="A19" t="inlineStr">
        <is>
          <t>Beta sourced from Yahoo Finance at model build (~1.32). Cost of debt ~blended coupon / interest (~5.5% placeholder — replace with YTM if available).</t>
        </is>
      </c>
    </row>
    <row r="20">
      <c r="A20" t="inlineStr">
        <is>
          <t>Target weights are judgmental (FICO runs with structural net leverage due to buybacks). Current market gearing is higher after 2026 debt raise — adjust B22/B23 accordingly.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Sensitivity: intrinsic value / share vs WACC and terminal growth</t>
        </is>
      </c>
    </row>
    <row r="2">
      <c r="A2" t="inlineStr">
        <is>
          <t>Grid uses Gordon TV only for isolation. Base case blended value remains on 07_DCF.</t>
        </is>
      </c>
    </row>
    <row r="3"/>
    <row r="4">
      <c r="A4" t="inlineStr">
        <is>
          <t>Value/share</t>
        </is>
      </c>
      <c r="B4" s="23" t="n">
        <v>0.025</v>
      </c>
      <c r="C4" s="23" t="n">
        <v>0.03</v>
      </c>
      <c r="D4" s="23" t="n">
        <v>0.035</v>
      </c>
      <c r="E4" s="23" t="n">
        <v>0.04</v>
      </c>
    </row>
    <row r="5">
      <c r="A5" s="23" t="n">
        <v>0.08</v>
      </c>
      <c r="B5" s="24" t="inlineStr">
        <is>
          <t>((('07_DCF'!C16)/(1+$A5)^'07_DCF'!C17)+ (('07_DCF'!D16)/(1+$A5)^'07_DCF'!D17)+ (('07_DCF'!E16)/(1+$A5)^'07_DCF'!E17)+ (('07_DCF'!F16)/(1+$A5)^'07_DCF'!F17)+ (('07_DCF'!G16)/(1+$A5)^'07_DCF'!G17)+ ((('07_DCF'!G16)*(1+B$4)/($A5-B$4))/(1+$A5)^'07_DCF'!G17)-'06_Assumptions'!B10+'06_Assumptions'!B8+'06_Assumptions'!B9)/'06_Assumptions'!B7</t>
        </is>
      </c>
      <c r="C5" s="24" t="inlineStr">
        <is>
          <t>((('07_DCF'!C16)/(1+$A5)^'07_DCF'!C17)+ (('07_DCF'!D16)/(1+$A5)^'07_DCF'!D17)+ (('07_DCF'!E16)/(1+$A5)^'07_DCF'!E17)+ (('07_DCF'!F16)/(1+$A5)^'07_DCF'!F17)+ (('07_DCF'!G16)/(1+$A5)^'07_DCF'!G17)+ ((('07_DCF'!G16)*(1+C$4)/($A5-C$4))/(1+$A5)^'07_DCF'!G17)-'06_Assumptions'!B10+'06_Assumptions'!B8+'06_Assumptions'!B9)/'06_Assumptions'!B7</t>
        </is>
      </c>
      <c r="D5" s="24" t="inlineStr">
        <is>
          <t>((('07_DCF'!C16)/(1+$A5)^'07_DCF'!C17)+ (('07_DCF'!D16)/(1+$A5)^'07_DCF'!D17)+ (('07_DCF'!E16)/(1+$A5)^'07_DCF'!E17)+ (('07_DCF'!F16)/(1+$A5)^'07_DCF'!F17)+ (('07_DCF'!G16)/(1+$A5)^'07_DCF'!G17)+ ((('07_DCF'!G16)*(1+D$4)/($A5-D$4))/(1+$A5)^'07_DCF'!G17)-'06_Assumptions'!B10+'06_Assumptions'!B8+'06_Assumptions'!B9)/'06_Assumptions'!B7</t>
        </is>
      </c>
      <c r="E5" s="24" t="inlineStr">
        <is>
          <t>((('07_DCF'!C16)/(1+$A5)^'07_DCF'!C17)+ (('07_DCF'!D16)/(1+$A5)^'07_DCF'!D17)+ (('07_DCF'!E16)/(1+$A5)^'07_DCF'!E17)+ (('07_DCF'!F16)/(1+$A5)^'07_DCF'!F17)+ (('07_DCF'!G16)/(1+$A5)^'07_DCF'!G17)+ ((('07_DCF'!G16)*(1+E$4)/($A5-E$4))/(1+$A5)^'07_DCF'!G17)-'06_Assumptions'!B10+'06_Assumptions'!B8+'06_Assumptions'!B9)/'06_Assumptions'!B7</t>
        </is>
      </c>
    </row>
    <row r="6">
      <c r="A6" s="23" t="n">
        <v>0.09</v>
      </c>
      <c r="B6" s="24" t="inlineStr">
        <is>
          <t>((('07_DCF'!C16)/(1+$A6)^'07_DCF'!C17)+ (('07_DCF'!D16)/(1+$A6)^'07_DCF'!D17)+ (('07_DCF'!E16)/(1+$A6)^'07_DCF'!E17)+ (('07_DCF'!F16)/(1+$A6)^'07_DCF'!F17)+ (('07_DCF'!G16)/(1+$A6)^'07_DCF'!G17)+ ((('07_DCF'!G16)*(1+B$4)/($A6-B$4))/(1+$A6)^'07_DCF'!G17)-'06_Assumptions'!B10+'06_Assumptions'!B8+'06_Assumptions'!B9)/'06_Assumptions'!B7</t>
        </is>
      </c>
      <c r="C6" s="24" t="inlineStr">
        <is>
          <t>((('07_DCF'!C16)/(1+$A6)^'07_DCF'!C17)+ (('07_DCF'!D16)/(1+$A6)^'07_DCF'!D17)+ (('07_DCF'!E16)/(1+$A6)^'07_DCF'!E17)+ (('07_DCF'!F16)/(1+$A6)^'07_DCF'!F17)+ (('07_DCF'!G16)/(1+$A6)^'07_DCF'!G17)+ ((('07_DCF'!G16)*(1+C$4)/($A6-C$4))/(1+$A6)^'07_DCF'!G17)-'06_Assumptions'!B10+'06_Assumptions'!B8+'06_Assumptions'!B9)/'06_Assumptions'!B7</t>
        </is>
      </c>
      <c r="D6" s="24" t="inlineStr">
        <is>
          <t>((('07_DCF'!C16)/(1+$A6)^'07_DCF'!C17)+ (('07_DCF'!D16)/(1+$A6)^'07_DCF'!D17)+ (('07_DCF'!E16)/(1+$A6)^'07_DCF'!E17)+ (('07_DCF'!F16)/(1+$A6)^'07_DCF'!F17)+ (('07_DCF'!G16)/(1+$A6)^'07_DCF'!G17)+ ((('07_DCF'!G16)*(1+D$4)/($A6-D$4))/(1+$A6)^'07_DCF'!G17)-'06_Assumptions'!B10+'06_Assumptions'!B8+'06_Assumptions'!B9)/'06_Assumptions'!B7</t>
        </is>
      </c>
      <c r="E6" s="24" t="inlineStr">
        <is>
          <t>((('07_DCF'!C16)/(1+$A6)^'07_DCF'!C17)+ (('07_DCF'!D16)/(1+$A6)^'07_DCF'!D17)+ (('07_DCF'!E16)/(1+$A6)^'07_DCF'!E17)+ (('07_DCF'!F16)/(1+$A6)^'07_DCF'!F17)+ (('07_DCF'!G16)/(1+$A6)^'07_DCF'!G17)+ ((('07_DCF'!G16)*(1+E$4)/($A6-E$4))/(1+$A6)^'07_DCF'!G17)-'06_Assumptions'!B10+'06_Assumptions'!B8+'06_Assumptions'!B9)/'06_Assumptions'!B7</t>
        </is>
      </c>
    </row>
    <row r="7">
      <c r="A7" s="23" t="n">
        <v>0.1</v>
      </c>
      <c r="B7" s="24" t="inlineStr">
        <is>
          <t>((('07_DCF'!C16)/(1+$A7)^'07_DCF'!C17)+ (('07_DCF'!D16)/(1+$A7)^'07_DCF'!D17)+ (('07_DCF'!E16)/(1+$A7)^'07_DCF'!E17)+ (('07_DCF'!F16)/(1+$A7)^'07_DCF'!F17)+ (('07_DCF'!G16)/(1+$A7)^'07_DCF'!G17)+ ((('07_DCF'!G16)*(1+B$4)/($A7-B$4))/(1+$A7)^'07_DCF'!G17)-'06_Assumptions'!B10+'06_Assumptions'!B8+'06_Assumptions'!B9)/'06_Assumptions'!B7</t>
        </is>
      </c>
      <c r="C7" s="24" t="inlineStr">
        <is>
          <t>((('07_DCF'!C16)/(1+$A7)^'07_DCF'!C17)+ (('07_DCF'!D16)/(1+$A7)^'07_DCF'!D17)+ (('07_DCF'!E16)/(1+$A7)^'07_DCF'!E17)+ (('07_DCF'!F16)/(1+$A7)^'07_DCF'!F17)+ (('07_DCF'!G16)/(1+$A7)^'07_DCF'!G17)+ ((('07_DCF'!G16)*(1+C$4)/($A7-C$4))/(1+$A7)^'07_DCF'!G17)-'06_Assumptions'!B10+'06_Assumptions'!B8+'06_Assumptions'!B9)/'06_Assumptions'!B7</t>
        </is>
      </c>
      <c r="D7" s="24" t="inlineStr">
        <is>
          <t>((('07_DCF'!C16)/(1+$A7)^'07_DCF'!C17)+ (('07_DCF'!D16)/(1+$A7)^'07_DCF'!D17)+ (('07_DCF'!E16)/(1+$A7)^'07_DCF'!E17)+ (('07_DCF'!F16)/(1+$A7)^'07_DCF'!F17)+ (('07_DCF'!G16)/(1+$A7)^'07_DCF'!G17)+ ((('07_DCF'!G16)*(1+D$4)/($A7-D$4))/(1+$A7)^'07_DCF'!G17)-'06_Assumptions'!B10+'06_Assumptions'!B8+'06_Assumptions'!B9)/'06_Assumptions'!B7</t>
        </is>
      </c>
      <c r="E7" s="24" t="inlineStr">
        <is>
          <t>((('07_DCF'!C16)/(1+$A7)^'07_DCF'!C17)+ (('07_DCF'!D16)/(1+$A7)^'07_DCF'!D17)+ (('07_DCF'!E16)/(1+$A7)^'07_DCF'!E17)+ (('07_DCF'!F16)/(1+$A7)^'07_DCF'!F17)+ (('07_DCF'!G16)/(1+$A7)^'07_DCF'!G17)+ ((('07_DCF'!G16)*(1+E$4)/($A7-E$4))/(1+$A7)^'07_DCF'!G17)-'06_Assumptions'!B10+'06_Assumptions'!B8+'06_Assumptions'!B9)/'06_Assumptions'!B7</t>
        </is>
      </c>
    </row>
    <row r="8">
      <c r="A8" s="23" t="n">
        <v>0.11</v>
      </c>
      <c r="B8" s="24" t="inlineStr">
        <is>
          <t>((('07_DCF'!C16)/(1+$A8)^'07_DCF'!C17)+ (('07_DCF'!D16)/(1+$A8)^'07_DCF'!D17)+ (('07_DCF'!E16)/(1+$A8)^'07_DCF'!E17)+ (('07_DCF'!F16)/(1+$A8)^'07_DCF'!F17)+ (('07_DCF'!G16)/(1+$A8)^'07_DCF'!G17)+ ((('07_DCF'!G16)*(1+B$4)/($A8-B$4))/(1+$A8)^'07_DCF'!G17)-'06_Assumptions'!B10+'06_Assumptions'!B8+'06_Assumptions'!B9)/'06_Assumptions'!B7</t>
        </is>
      </c>
      <c r="C8" s="24" t="inlineStr">
        <is>
          <t>((('07_DCF'!C16)/(1+$A8)^'07_DCF'!C17)+ (('07_DCF'!D16)/(1+$A8)^'07_DCF'!D17)+ (('07_DCF'!E16)/(1+$A8)^'07_DCF'!E17)+ (('07_DCF'!F16)/(1+$A8)^'07_DCF'!F17)+ (('07_DCF'!G16)/(1+$A8)^'07_DCF'!G17)+ ((('07_DCF'!G16)*(1+C$4)/($A8-C$4))/(1+$A8)^'07_DCF'!G17)-'06_Assumptions'!B10+'06_Assumptions'!B8+'06_Assumptions'!B9)/'06_Assumptions'!B7</t>
        </is>
      </c>
      <c r="D8" s="24" t="inlineStr">
        <is>
          <t>((('07_DCF'!C16)/(1+$A8)^'07_DCF'!C17)+ (('07_DCF'!D16)/(1+$A8)^'07_DCF'!D17)+ (('07_DCF'!E16)/(1+$A8)^'07_DCF'!E17)+ (('07_DCF'!F16)/(1+$A8)^'07_DCF'!F17)+ (('07_DCF'!G16)/(1+$A8)^'07_DCF'!G17)+ ((('07_DCF'!G16)*(1+D$4)/($A8-D$4))/(1+$A8)^'07_DCF'!G17)-'06_Assumptions'!B10+'06_Assumptions'!B8+'06_Assumptions'!B9)/'06_Assumptions'!B7</t>
        </is>
      </c>
      <c r="E8" s="24" t="inlineStr">
        <is>
          <t>((('07_DCF'!C16)/(1+$A8)^'07_DCF'!C17)+ (('07_DCF'!D16)/(1+$A8)^'07_DCF'!D17)+ (('07_DCF'!E16)/(1+$A8)^'07_DCF'!E17)+ (('07_DCF'!F16)/(1+$A8)^'07_DCF'!F17)+ (('07_DCF'!G16)/(1+$A8)^'07_DCF'!G17)+ ((('07_DCF'!G16)*(1+E$4)/($A8-E$4))/(1+$A8)^'07_DCF'!G17)-'06_Assumptions'!B10+'06_Assumptions'!B8+'06_Assumptions'!B9)/'06_Assumptions'!B7</t>
        </is>
      </c>
    </row>
    <row r="9">
      <c r="A9" s="23" t="n">
        <v>0.12</v>
      </c>
      <c r="B9" s="24" t="inlineStr">
        <is>
          <t>((('07_DCF'!C16)/(1+$A9)^'07_DCF'!C17)+ (('07_DCF'!D16)/(1+$A9)^'07_DCF'!D17)+ (('07_DCF'!E16)/(1+$A9)^'07_DCF'!E17)+ (('07_DCF'!F16)/(1+$A9)^'07_DCF'!F17)+ (('07_DCF'!G16)/(1+$A9)^'07_DCF'!G17)+ ((('07_DCF'!G16)*(1+B$4)/($A9-B$4))/(1+$A9)^'07_DCF'!G17)-'06_Assumptions'!B10+'06_Assumptions'!B8+'06_Assumptions'!B9)/'06_Assumptions'!B7</t>
        </is>
      </c>
      <c r="C9" s="24" t="inlineStr">
        <is>
          <t>((('07_DCF'!C16)/(1+$A9)^'07_DCF'!C17)+ (('07_DCF'!D16)/(1+$A9)^'07_DCF'!D17)+ (('07_DCF'!E16)/(1+$A9)^'07_DCF'!E17)+ (('07_DCF'!F16)/(1+$A9)^'07_DCF'!F17)+ (('07_DCF'!G16)/(1+$A9)^'07_DCF'!G17)+ ((('07_DCF'!G16)*(1+C$4)/($A9-C$4))/(1+$A9)^'07_DCF'!G17)-'06_Assumptions'!B10+'06_Assumptions'!B8+'06_Assumptions'!B9)/'06_Assumptions'!B7</t>
        </is>
      </c>
      <c r="D9" s="24" t="inlineStr">
        <is>
          <t>((('07_DCF'!C16)/(1+$A9)^'07_DCF'!C17)+ (('07_DCF'!D16)/(1+$A9)^'07_DCF'!D17)+ (('07_DCF'!E16)/(1+$A9)^'07_DCF'!E17)+ (('07_DCF'!F16)/(1+$A9)^'07_DCF'!F17)+ (('07_DCF'!G16)/(1+$A9)^'07_DCF'!G17)+ ((('07_DCF'!G16)*(1+D$4)/($A9-D$4))/(1+$A9)^'07_DCF'!G17)-'06_Assumptions'!B10+'06_Assumptions'!B8+'06_Assumptions'!B9)/'06_Assumptions'!B7</t>
        </is>
      </c>
      <c r="E9" s="24" t="inlineStr">
        <is>
          <t>((('07_DCF'!C16)/(1+$A9)^'07_DCF'!C17)+ (('07_DCF'!D16)/(1+$A9)^'07_DCF'!D17)+ (('07_DCF'!E16)/(1+$A9)^'07_DCF'!E17)+ (('07_DCF'!F16)/(1+$A9)^'07_DCF'!F17)+ (('07_DCF'!G16)/(1+$A9)^'07_DCF'!G17)+ ((('07_DCF'!G16)*(1+E$4)/($A9-E$4))/(1+$A9)^'07_DCF'!G17)-'06_Assumptions'!B10+'06_Assumptions'!B8+'06_Assumptions'!B9)/'06_Assumptions'!B7</t>
        </is>
      </c>
    </row>
    <row r="10"/>
    <row r="11">
      <c r="A11" s="2" t="inlineStr">
        <is>
          <t>Exit multiple sensitivity (EV/EBIT) — value/share using exit-multiple TV only</t>
        </is>
      </c>
    </row>
    <row r="12"/>
    <row r="13">
      <c r="A13" t="inlineStr">
        <is>
          <t>Value/share</t>
        </is>
      </c>
      <c r="B13" s="25" t="n">
        <v>18</v>
      </c>
      <c r="C13" s="25" t="n">
        <v>20</v>
      </c>
      <c r="D13" s="25" t="n">
        <v>22</v>
      </c>
      <c r="E13" s="25" t="n">
        <v>24</v>
      </c>
      <c r="F13" s="25" t="n">
        <v>26</v>
      </c>
    </row>
    <row r="14">
      <c r="A14" s="23" t="n">
        <v>0.08</v>
      </c>
      <c r="B14" s="24" t="inlineStr">
        <is>
          <t>((('07_DCF'!C16)/(1+$A14)^'07_DCF'!C17)+ (('07_DCF'!D16)/(1+$A14)^'07_DCF'!D17)+ (('07_DCF'!E16)/(1+$A14)^'07_DCF'!E17)+ (('07_DCF'!F16)/(1+$A14)^'07_DCF'!F17)+ (('07_DCF'!G16)/(1+$A14)^'07_DCF'!G17)+ ((('07_DCF'!G7*B$13))/(1+$A14)^'07_DCF'!G17)-'06_Assumptions'!B10+'06_Assumptions'!B8+'06_Assumptions'!B9)/'06_Assumptions'!B7</t>
        </is>
      </c>
      <c r="C14" s="24" t="inlineStr">
        <is>
          <t>((('07_DCF'!C16)/(1+$A14)^'07_DCF'!C17)+ (('07_DCF'!D16)/(1+$A14)^'07_DCF'!D17)+ (('07_DCF'!E16)/(1+$A14)^'07_DCF'!E17)+ (('07_DCF'!F16)/(1+$A14)^'07_DCF'!F17)+ (('07_DCF'!G16)/(1+$A14)^'07_DCF'!G17)+ ((('07_DCF'!G7*C$13))/(1+$A14)^'07_DCF'!G17)-'06_Assumptions'!B10+'06_Assumptions'!B8+'06_Assumptions'!B9)/'06_Assumptions'!B7</t>
        </is>
      </c>
      <c r="D14" s="24" t="inlineStr">
        <is>
          <t>((('07_DCF'!C16)/(1+$A14)^'07_DCF'!C17)+ (('07_DCF'!D16)/(1+$A14)^'07_DCF'!D17)+ (('07_DCF'!E16)/(1+$A14)^'07_DCF'!E17)+ (('07_DCF'!F16)/(1+$A14)^'07_DCF'!F17)+ (('07_DCF'!G16)/(1+$A14)^'07_DCF'!G17)+ ((('07_DCF'!G7*D$13))/(1+$A14)^'07_DCF'!G17)-'06_Assumptions'!B10+'06_Assumptions'!B8+'06_Assumptions'!B9)/'06_Assumptions'!B7</t>
        </is>
      </c>
      <c r="E14" s="24" t="inlineStr">
        <is>
          <t>((('07_DCF'!C16)/(1+$A14)^'07_DCF'!C17)+ (('07_DCF'!D16)/(1+$A14)^'07_DCF'!D17)+ (('07_DCF'!E16)/(1+$A14)^'07_DCF'!E17)+ (('07_DCF'!F16)/(1+$A14)^'07_DCF'!F17)+ (('07_DCF'!G16)/(1+$A14)^'07_DCF'!G17)+ ((('07_DCF'!G7*E$13))/(1+$A14)^'07_DCF'!G17)-'06_Assumptions'!B10+'06_Assumptions'!B8+'06_Assumptions'!B9)/'06_Assumptions'!B7</t>
        </is>
      </c>
      <c r="F14" s="24" t="inlineStr">
        <is>
          <t>((('07_DCF'!C16)/(1+$A14)^'07_DCF'!C17)+ (('07_DCF'!D16)/(1+$A14)^'07_DCF'!D17)+ (('07_DCF'!E16)/(1+$A14)^'07_DCF'!E17)+ (('07_DCF'!F16)/(1+$A14)^'07_DCF'!F17)+ (('07_DCF'!G16)/(1+$A14)^'07_DCF'!G17)+ ((('07_DCF'!G7*F$13))/(1+$A14)^'07_DCF'!G17)-'06_Assumptions'!B10+'06_Assumptions'!B8+'06_Assumptions'!B9)/'06_Assumptions'!B7</t>
        </is>
      </c>
    </row>
    <row r="15">
      <c r="A15" s="23" t="n">
        <v>0.09</v>
      </c>
      <c r="B15" s="24" t="inlineStr">
        <is>
          <t>((('07_DCF'!C16)/(1+$A15)^'07_DCF'!C17)+ (('07_DCF'!D16)/(1+$A15)^'07_DCF'!D17)+ (('07_DCF'!E16)/(1+$A15)^'07_DCF'!E17)+ (('07_DCF'!F16)/(1+$A15)^'07_DCF'!F17)+ (('07_DCF'!G16)/(1+$A15)^'07_DCF'!G17)+ ((('07_DCF'!G7*B$13))/(1+$A15)^'07_DCF'!G17)-'06_Assumptions'!B10+'06_Assumptions'!B8+'06_Assumptions'!B9)/'06_Assumptions'!B7</t>
        </is>
      </c>
      <c r="C15" s="24" t="inlineStr">
        <is>
          <t>((('07_DCF'!C16)/(1+$A15)^'07_DCF'!C17)+ (('07_DCF'!D16)/(1+$A15)^'07_DCF'!D17)+ (('07_DCF'!E16)/(1+$A15)^'07_DCF'!E17)+ (('07_DCF'!F16)/(1+$A15)^'07_DCF'!F17)+ (('07_DCF'!G16)/(1+$A15)^'07_DCF'!G17)+ ((('07_DCF'!G7*C$13))/(1+$A15)^'07_DCF'!G17)-'06_Assumptions'!B10+'06_Assumptions'!B8+'06_Assumptions'!B9)/'06_Assumptions'!B7</t>
        </is>
      </c>
      <c r="D15" s="24" t="inlineStr">
        <is>
          <t>((('07_DCF'!C16)/(1+$A15)^'07_DCF'!C17)+ (('07_DCF'!D16)/(1+$A15)^'07_DCF'!D17)+ (('07_DCF'!E16)/(1+$A15)^'07_DCF'!E17)+ (('07_DCF'!F16)/(1+$A15)^'07_DCF'!F17)+ (('07_DCF'!G16)/(1+$A15)^'07_DCF'!G17)+ ((('07_DCF'!G7*D$13))/(1+$A15)^'07_DCF'!G17)-'06_Assumptions'!B10+'06_Assumptions'!B8+'06_Assumptions'!B9)/'06_Assumptions'!B7</t>
        </is>
      </c>
      <c r="E15" s="24" t="inlineStr">
        <is>
          <t>((('07_DCF'!C16)/(1+$A15)^'07_DCF'!C17)+ (('07_DCF'!D16)/(1+$A15)^'07_DCF'!D17)+ (('07_DCF'!E16)/(1+$A15)^'07_DCF'!E17)+ (('07_DCF'!F16)/(1+$A15)^'07_DCF'!F17)+ (('07_DCF'!G16)/(1+$A15)^'07_DCF'!G17)+ ((('07_DCF'!G7*E$13))/(1+$A15)^'07_DCF'!G17)-'06_Assumptions'!B10+'06_Assumptions'!B8+'06_Assumptions'!B9)/'06_Assumptions'!B7</t>
        </is>
      </c>
      <c r="F15" s="24" t="inlineStr">
        <is>
          <t>((('07_DCF'!C16)/(1+$A15)^'07_DCF'!C17)+ (('07_DCF'!D16)/(1+$A15)^'07_DCF'!D17)+ (('07_DCF'!E16)/(1+$A15)^'07_DCF'!E17)+ (('07_DCF'!F16)/(1+$A15)^'07_DCF'!F17)+ (('07_DCF'!G16)/(1+$A15)^'07_DCF'!G17)+ ((('07_DCF'!G7*F$13))/(1+$A15)^'07_DCF'!G17)-'06_Assumptions'!B10+'06_Assumptions'!B8+'06_Assumptions'!B9)/'06_Assumptions'!B7</t>
        </is>
      </c>
    </row>
    <row r="16">
      <c r="A16" s="23" t="n">
        <v>0.1</v>
      </c>
      <c r="B16" s="24" t="inlineStr">
        <is>
          <t>((('07_DCF'!C16)/(1+$A16)^'07_DCF'!C17)+ (('07_DCF'!D16)/(1+$A16)^'07_DCF'!D17)+ (('07_DCF'!E16)/(1+$A16)^'07_DCF'!E17)+ (('07_DCF'!F16)/(1+$A16)^'07_DCF'!F17)+ (('07_DCF'!G16)/(1+$A16)^'07_DCF'!G17)+ ((('07_DCF'!G7*B$13))/(1+$A16)^'07_DCF'!G17)-'06_Assumptions'!B10+'06_Assumptions'!B8+'06_Assumptions'!B9)/'06_Assumptions'!B7</t>
        </is>
      </c>
      <c r="C16" s="24" t="inlineStr">
        <is>
          <t>((('07_DCF'!C16)/(1+$A16)^'07_DCF'!C17)+ (('07_DCF'!D16)/(1+$A16)^'07_DCF'!D17)+ (('07_DCF'!E16)/(1+$A16)^'07_DCF'!E17)+ (('07_DCF'!F16)/(1+$A16)^'07_DCF'!F17)+ (('07_DCF'!G16)/(1+$A16)^'07_DCF'!G17)+ ((('07_DCF'!G7*C$13))/(1+$A16)^'07_DCF'!G17)-'06_Assumptions'!B10+'06_Assumptions'!B8+'06_Assumptions'!B9)/'06_Assumptions'!B7</t>
        </is>
      </c>
      <c r="D16" s="24" t="inlineStr">
        <is>
          <t>((('07_DCF'!C16)/(1+$A16)^'07_DCF'!C17)+ (('07_DCF'!D16)/(1+$A16)^'07_DCF'!D17)+ (('07_DCF'!E16)/(1+$A16)^'07_DCF'!E17)+ (('07_DCF'!F16)/(1+$A16)^'07_DCF'!F17)+ (('07_DCF'!G16)/(1+$A16)^'07_DCF'!G17)+ ((('07_DCF'!G7*D$13))/(1+$A16)^'07_DCF'!G17)-'06_Assumptions'!B10+'06_Assumptions'!B8+'06_Assumptions'!B9)/'06_Assumptions'!B7</t>
        </is>
      </c>
      <c r="E16" s="24" t="inlineStr">
        <is>
          <t>((('07_DCF'!C16)/(1+$A16)^'07_DCF'!C17)+ (('07_DCF'!D16)/(1+$A16)^'07_DCF'!D17)+ (('07_DCF'!E16)/(1+$A16)^'07_DCF'!E17)+ (('07_DCF'!F16)/(1+$A16)^'07_DCF'!F17)+ (('07_DCF'!G16)/(1+$A16)^'07_DCF'!G17)+ ((('07_DCF'!G7*E$13))/(1+$A16)^'07_DCF'!G17)-'06_Assumptions'!B10+'06_Assumptions'!B8+'06_Assumptions'!B9)/'06_Assumptions'!B7</t>
        </is>
      </c>
      <c r="F16" s="24" t="inlineStr">
        <is>
          <t>((('07_DCF'!C16)/(1+$A16)^'07_DCF'!C17)+ (('07_DCF'!D16)/(1+$A16)^'07_DCF'!D17)+ (('07_DCF'!E16)/(1+$A16)^'07_DCF'!E17)+ (('07_DCF'!F16)/(1+$A16)^'07_DCF'!F17)+ (('07_DCF'!G16)/(1+$A16)^'07_DCF'!G17)+ ((('07_DCF'!G7*F$13))/(1+$A16)^'07_DCF'!G17)-'06_Assumptions'!B10+'06_Assumptions'!B8+'06_Assumptions'!B9)/'06_Assumptions'!B7</t>
        </is>
      </c>
    </row>
    <row r="17">
      <c r="A17" s="23" t="n">
        <v>0.11</v>
      </c>
      <c r="B17" s="24" t="inlineStr">
        <is>
          <t>((('07_DCF'!C16)/(1+$A17)^'07_DCF'!C17)+ (('07_DCF'!D16)/(1+$A17)^'07_DCF'!D17)+ (('07_DCF'!E16)/(1+$A17)^'07_DCF'!E17)+ (('07_DCF'!F16)/(1+$A17)^'07_DCF'!F17)+ (('07_DCF'!G16)/(1+$A17)^'07_DCF'!G17)+ ((('07_DCF'!G7*B$13))/(1+$A17)^'07_DCF'!G17)-'06_Assumptions'!B10+'06_Assumptions'!B8+'06_Assumptions'!B9)/'06_Assumptions'!B7</t>
        </is>
      </c>
      <c r="C17" s="24" t="inlineStr">
        <is>
          <t>((('07_DCF'!C16)/(1+$A17)^'07_DCF'!C17)+ (('07_DCF'!D16)/(1+$A17)^'07_DCF'!D17)+ (('07_DCF'!E16)/(1+$A17)^'07_DCF'!E17)+ (('07_DCF'!F16)/(1+$A17)^'07_DCF'!F17)+ (('07_DCF'!G16)/(1+$A17)^'07_DCF'!G17)+ ((('07_DCF'!G7*C$13))/(1+$A17)^'07_DCF'!G17)-'06_Assumptions'!B10+'06_Assumptions'!B8+'06_Assumptions'!B9)/'06_Assumptions'!B7</t>
        </is>
      </c>
      <c r="D17" s="24" t="inlineStr">
        <is>
          <t>((('07_DCF'!C16)/(1+$A17)^'07_DCF'!C17)+ (('07_DCF'!D16)/(1+$A17)^'07_DCF'!D17)+ (('07_DCF'!E16)/(1+$A17)^'07_DCF'!E17)+ (('07_DCF'!F16)/(1+$A17)^'07_DCF'!F17)+ (('07_DCF'!G16)/(1+$A17)^'07_DCF'!G17)+ ((('07_DCF'!G7*D$13))/(1+$A17)^'07_DCF'!G17)-'06_Assumptions'!B10+'06_Assumptions'!B8+'06_Assumptions'!B9)/'06_Assumptions'!B7</t>
        </is>
      </c>
      <c r="E17" s="24" t="inlineStr">
        <is>
          <t>((('07_DCF'!C16)/(1+$A17)^'07_DCF'!C17)+ (('07_DCF'!D16)/(1+$A17)^'07_DCF'!D17)+ (('07_DCF'!E16)/(1+$A17)^'07_DCF'!E17)+ (('07_DCF'!F16)/(1+$A17)^'07_DCF'!F17)+ (('07_DCF'!G16)/(1+$A17)^'07_DCF'!G17)+ ((('07_DCF'!G7*E$13))/(1+$A17)^'07_DCF'!G17)-'06_Assumptions'!B10+'06_Assumptions'!B8+'06_Assumptions'!B9)/'06_Assumptions'!B7</t>
        </is>
      </c>
      <c r="F17" s="24" t="inlineStr">
        <is>
          <t>((('07_DCF'!C16)/(1+$A17)^'07_DCF'!C17)+ (('07_DCF'!D16)/(1+$A17)^'07_DCF'!D17)+ (('07_DCF'!E16)/(1+$A17)^'07_DCF'!E17)+ (('07_DCF'!F16)/(1+$A17)^'07_DCF'!F17)+ (('07_DCF'!G16)/(1+$A17)^'07_DCF'!G17)+ ((('07_DCF'!G7*F$13))/(1+$A17)^'07_DCF'!G17)-'06_Assumptions'!B10+'06_Assumptions'!B8+'06_Assumptions'!B9)/'06_Assumptions'!B7</t>
        </is>
      </c>
    </row>
    <row r="18">
      <c r="A18" s="23" t="n">
        <v>0.12</v>
      </c>
      <c r="B18" s="24" t="inlineStr">
        <is>
          <t>((('07_DCF'!C16)/(1+$A18)^'07_DCF'!C17)+ (('07_DCF'!D16)/(1+$A18)^'07_DCF'!D17)+ (('07_DCF'!E16)/(1+$A18)^'07_DCF'!E17)+ (('07_DCF'!F16)/(1+$A18)^'07_DCF'!F17)+ (('07_DCF'!G16)/(1+$A18)^'07_DCF'!G17)+ ((('07_DCF'!G7*B$13))/(1+$A18)^'07_DCF'!G17)-'06_Assumptions'!B10+'06_Assumptions'!B8+'06_Assumptions'!B9)/'06_Assumptions'!B7</t>
        </is>
      </c>
      <c r="C18" s="24" t="inlineStr">
        <is>
          <t>((('07_DCF'!C16)/(1+$A18)^'07_DCF'!C17)+ (('07_DCF'!D16)/(1+$A18)^'07_DCF'!D17)+ (('07_DCF'!E16)/(1+$A18)^'07_DCF'!E17)+ (('07_DCF'!F16)/(1+$A18)^'07_DCF'!F17)+ (('07_DCF'!G16)/(1+$A18)^'07_DCF'!G17)+ ((('07_DCF'!G7*C$13))/(1+$A18)^'07_DCF'!G17)-'06_Assumptions'!B10+'06_Assumptions'!B8+'06_Assumptions'!B9)/'06_Assumptions'!B7</t>
        </is>
      </c>
      <c r="D18" s="24" t="inlineStr">
        <is>
          <t>((('07_DCF'!C16)/(1+$A18)^'07_DCF'!C17)+ (('07_DCF'!D16)/(1+$A18)^'07_DCF'!D17)+ (('07_DCF'!E16)/(1+$A18)^'07_DCF'!E17)+ (('07_DCF'!F16)/(1+$A18)^'07_DCF'!F17)+ (('07_DCF'!G16)/(1+$A18)^'07_DCF'!G17)+ ((('07_DCF'!G7*D$13))/(1+$A18)^'07_DCF'!G17)-'06_Assumptions'!B10+'06_Assumptions'!B8+'06_Assumptions'!B9)/'06_Assumptions'!B7</t>
        </is>
      </c>
      <c r="E18" s="24" t="inlineStr">
        <is>
          <t>((('07_DCF'!C16)/(1+$A18)^'07_DCF'!C17)+ (('07_DCF'!D16)/(1+$A18)^'07_DCF'!D17)+ (('07_DCF'!E16)/(1+$A18)^'07_DCF'!E17)+ (('07_DCF'!F16)/(1+$A18)^'07_DCF'!F17)+ (('07_DCF'!G16)/(1+$A18)^'07_DCF'!G17)+ ((('07_DCF'!G7*E$13))/(1+$A18)^'07_DCF'!G17)-'06_Assumptions'!B10+'06_Assumptions'!B8+'06_Assumptions'!B9)/'06_Assumptions'!B7</t>
        </is>
      </c>
      <c r="F18" s="24" t="inlineStr">
        <is>
          <t>((('07_DCF'!C16)/(1+$A18)^'07_DCF'!C17)+ (('07_DCF'!D16)/(1+$A18)^'07_DCF'!D17)+ (('07_DCF'!E16)/(1+$A18)^'07_DCF'!E17)+ (('07_DCF'!F16)/(1+$A18)^'07_DCF'!F17)+ (('07_DCF'!G16)/(1+$A18)^'07_DCF'!G17)+ ((('07_DCF'!G7*F$13))/(1+$A18)^'07_DCF'!G17)-'06_Assumptions'!B10+'06_Assumptions'!B8+'06_Assumptions'!B9)/'06_Assumptions'!B7</t>
        </is>
      </c>
    </row>
    <row r="19"/>
    <row r="20"/>
    <row r="21">
      <c r="A21" t="inlineStr">
        <is>
          <t>Row headers = WACC; column headers = g or exit multiple.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70" customWidth="1" min="1" max="1"/>
    <col width="50" customWidth="1" min="2" max="2"/>
  </cols>
  <sheetData>
    <row r="1">
      <c r="A1" s="1" t="inlineStr">
        <is>
          <t>Valuation output summary — FICO</t>
        </is>
      </c>
    </row>
    <row r="2"/>
    <row r="3">
      <c r="A3" t="inlineStr">
        <is>
          <t>Intrinsic value / share</t>
        </is>
      </c>
      <c r="B3" s="26">
        <f>'07_DCF'!B38</f>
        <v/>
      </c>
    </row>
    <row r="4">
      <c r="A4" t="inlineStr">
        <is>
          <t>Current price</t>
        </is>
      </c>
      <c r="B4" s="27">
        <f>'06_Assumptions'!B6</f>
        <v/>
      </c>
    </row>
    <row r="5">
      <c r="A5" t="inlineStr">
        <is>
          <t>Upside/(downside)</t>
        </is>
      </c>
      <c r="B5" s="17">
        <f>'07_DCF'!B40</f>
        <v/>
      </c>
    </row>
    <row r="6"/>
    <row r="7">
      <c r="A7" t="inlineStr">
        <is>
          <t>Enterprise value ($m)</t>
        </is>
      </c>
      <c r="B7" s="16">
        <f>'07_DCF'!B30</f>
        <v/>
      </c>
    </row>
    <row r="8">
      <c r="A8" t="inlineStr">
        <is>
          <t>Equity value ($m)</t>
        </is>
      </c>
      <c r="B8" s="16">
        <f>'07_DCF'!B36</f>
        <v/>
      </c>
    </row>
    <row r="9">
      <c r="A9" t="inlineStr">
        <is>
          <t>Net debt ($m)</t>
        </is>
      </c>
      <c r="B9" s="16">
        <f>'06_Assumptions'!B10-'06_Assumptions'!B8-'06_Assumptions'!B9</f>
        <v/>
      </c>
    </row>
    <row r="10">
      <c r="A10" t="inlineStr">
        <is>
          <t>WACC</t>
        </is>
      </c>
      <c r="B10" s="17">
        <f>'06_Assumptions'!B27</f>
        <v/>
      </c>
    </row>
    <row r="11">
      <c r="A11" t="inlineStr">
        <is>
          <t>Terminal growth</t>
        </is>
      </c>
      <c r="B11" s="17">
        <f>'06_Assumptions'!B45</f>
        <v/>
      </c>
    </row>
    <row r="12">
      <c r="A12" t="inlineStr">
        <is>
          <t>Exit EV/EBIT</t>
        </is>
      </c>
      <c r="B12" s="22">
        <f>'06_Assumptions'!B46</f>
        <v/>
      </c>
    </row>
    <row r="13"/>
    <row r="14">
      <c r="A14" s="2" t="inlineStr">
        <is>
          <t>Key FY2025 fundamentals ($m)</t>
        </is>
      </c>
    </row>
    <row r="15">
      <c r="A15" s="3" t="inlineStr">
        <is>
          <t>Metric</t>
        </is>
      </c>
      <c r="B15" s="3" t="inlineStr">
        <is>
          <t>Value</t>
        </is>
      </c>
    </row>
    <row r="16">
      <c r="A16" t="inlineStr">
        <is>
          <t>Revenue</t>
        </is>
      </c>
      <c r="B16" s="16" t="n">
        <v>1990.869</v>
      </c>
    </row>
    <row r="17">
      <c r="A17" t="inlineStr">
        <is>
          <t>Operating income (EBIT)</t>
        </is>
      </c>
      <c r="B17" s="16" t="n">
        <v>924.85</v>
      </c>
    </row>
    <row r="18">
      <c r="A18" t="inlineStr">
        <is>
          <t>Net income</t>
        </is>
      </c>
      <c r="B18" s="16" t="n">
        <v>651.946</v>
      </c>
    </row>
    <row r="19">
      <c r="A19" t="inlineStr">
        <is>
          <t>Operating cash flow</t>
        </is>
      </c>
      <c r="B19" s="16" t="n">
        <v>778.807</v>
      </c>
    </row>
    <row r="20">
      <c r="A20" t="inlineStr">
        <is>
          <t>Capex + capitalized software</t>
        </is>
      </c>
      <c r="B20" s="16" t="n">
        <v>39.407</v>
      </c>
    </row>
    <row r="21">
      <c r="A21" t="inlineStr">
        <is>
          <t>Approx FCFF proxy (OCF − capex − cap. software)</t>
        </is>
      </c>
      <c r="B21" s="16" t="n">
        <v>739.4</v>
      </c>
    </row>
    <row r="22">
      <c r="A22" t="inlineStr">
        <is>
          <t>EBIT margin</t>
        </is>
      </c>
      <c r="B22" s="17" t="n">
        <v>0.4645</v>
      </c>
    </row>
    <row r="23">
      <c r="A23" t="inlineStr">
        <is>
          <t>Effective tax rate</t>
        </is>
      </c>
      <c r="B23" s="17" t="n">
        <v>0.1877</v>
      </c>
    </row>
    <row r="24"/>
    <row r="25"/>
    <row r="26">
      <c r="A26" s="2" t="inlineStr">
        <is>
          <t>Latest BS bridge (10-Q 2026-06-30, $m)</t>
        </is>
      </c>
    </row>
    <row r="27">
      <c r="A27" t="inlineStr">
        <is>
          <t>Cash</t>
        </is>
      </c>
      <c r="B27" s="16" t="n">
        <v>248.444</v>
      </c>
    </row>
    <row r="28">
      <c r="A28" t="inlineStr">
        <is>
          <t>Marketable securities</t>
        </is>
      </c>
      <c r="B28" s="16" t="n">
        <v>56.093</v>
      </c>
    </row>
    <row r="29">
      <c r="A29" t="inlineStr">
        <is>
          <t>Total debt</t>
        </is>
      </c>
      <c r="B29" s="16" t="n">
        <v>5582.389</v>
      </c>
    </row>
    <row r="30">
      <c r="A30" t="inlineStr">
        <is>
          <t>Net debt</t>
        </is>
      </c>
      <c r="B30" s="16" t="n">
        <v>5277.852</v>
      </c>
    </row>
    <row r="31">
      <c r="A31" t="inlineStr">
        <is>
          <t>Shares diluted outstanding (Yahoo, m)</t>
        </is>
      </c>
      <c r="B31" s="16" t="n">
        <v>21.597635</v>
      </c>
    </row>
    <row r="32">
      <c r="A32" t="inlineStr">
        <is>
          <t>Market cap ($m)</t>
        </is>
      </c>
      <c r="B32" s="16" t="n">
        <v>22596.09</v>
      </c>
    </row>
    <row r="33">
      <c r="A33" t="inlineStr">
        <is>
          <t>EV market ($m)</t>
        </is>
      </c>
      <c r="B33" s="16" t="n">
        <v>29603.06</v>
      </c>
    </row>
    <row r="34"/>
    <row r="35"/>
    <row r="36">
      <c r="A36" s="2" t="inlineStr">
        <is>
          <t>What to change first if the output looks off</t>
        </is>
      </c>
    </row>
    <row r="37">
      <c r="A37" t="inlineStr">
        <is>
          <t>1) Growth path (06_Assumptions row 36) — Scores growth has been the engine; fading too slowly inflates value.</t>
        </is>
      </c>
    </row>
    <row r="38">
      <c r="A38" t="inlineStr">
        <is>
          <t>2) EBIT margins (row 37) — FY25 margin ~46.5% is elevated vs history; mean-reversion matters.</t>
        </is>
      </c>
    </row>
    <row r="39">
      <c r="A39" t="inlineStr">
        <is>
          <t>3) WACC / leverage weights — buyback-funded leverage makes current gearing atypical.</t>
        </is>
      </c>
    </row>
    <row r="40">
      <c r="A40" t="inlineStr">
        <is>
          <t>4) Terminal multiple / g — with high ROIC software economics, TV dominates; keep g &lt; WACC.</t>
        </is>
      </c>
    </row>
    <row r="41">
      <c r="A41" t="inlineStr">
        <is>
          <t>5) SBC treatment (B42) — turning on SBC add-back materially increases FCFF.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2" customWidth="1" min="3" max="3"/>
    <col width="22" customWidth="1" min="4" max="4"/>
    <col width="12" customWidth="1" min="5" max="5"/>
    <col width="19" customWidth="1" min="6" max="6"/>
  </cols>
  <sheetData>
    <row r="1">
      <c r="A1" s="1" t="inlineStr">
        <is>
          <t>Blank input checklist — paste or override every line item</t>
        </is>
      </c>
    </row>
    <row r="2">
      <c r="A2" t="inlineStr">
        <is>
          <t>Use this sheet if you want to hard-enter your own case from scratch. Units: $ thousands for statements; decimals for rates.</t>
        </is>
      </c>
    </row>
    <row r="3"/>
    <row r="4">
      <c r="A4" s="3" t="inlineStr">
        <is>
          <t>Section</t>
        </is>
      </c>
      <c r="B4" s="3" t="inlineStr">
        <is>
          <t>Line item</t>
        </is>
      </c>
      <c r="C4" s="3" t="inlineStr">
        <is>
          <t>Your input</t>
        </is>
      </c>
      <c r="D4" s="3" t="inlineStr">
        <is>
          <t>Model currently uses</t>
        </is>
      </c>
      <c r="E4" s="3" t="inlineStr">
        <is>
          <t>Unit</t>
        </is>
      </c>
      <c r="F4" s="3" t="inlineStr">
        <is>
          <t>Source suggestion</t>
        </is>
      </c>
    </row>
    <row r="5">
      <c r="A5" s="5" t="inlineStr">
        <is>
          <t>Income Statement</t>
        </is>
      </c>
      <c r="B5" s="5" t="inlineStr">
        <is>
          <t>On-premises and SaaS software</t>
        </is>
      </c>
      <c r="C5" s="14" t="n"/>
      <c r="D5" s="28" t="n">
        <v>740145</v>
      </c>
      <c r="E5" s="5" t="inlineStr">
        <is>
          <t>$000</t>
        </is>
      </c>
      <c r="F5" s="5" t="inlineStr">
        <is>
          <t>10-K IS</t>
        </is>
      </c>
    </row>
    <row r="6">
      <c r="A6" s="5" t="inlineStr">
        <is>
          <t>Income Statement</t>
        </is>
      </c>
      <c r="B6" s="5" t="inlineStr">
        <is>
          <t>Professional services</t>
        </is>
      </c>
      <c r="C6" s="14" t="n"/>
      <c r="D6" s="28" t="n">
        <v>82149</v>
      </c>
      <c r="E6" s="5" t="inlineStr">
        <is>
          <t>$000</t>
        </is>
      </c>
      <c r="F6" s="5" t="inlineStr">
        <is>
          <t>10-K IS</t>
        </is>
      </c>
    </row>
    <row r="7">
      <c r="A7" s="5" t="inlineStr">
        <is>
          <t>Income Statement</t>
        </is>
      </c>
      <c r="B7" s="5" t="inlineStr">
        <is>
          <t>Scores</t>
        </is>
      </c>
      <c r="C7" s="14" t="n"/>
      <c r="D7" s="28" t="n">
        <v>1168575</v>
      </c>
      <c r="E7" s="5" t="inlineStr">
        <is>
          <t>$000</t>
        </is>
      </c>
      <c r="F7" s="5" t="inlineStr">
        <is>
          <t>10-K IS</t>
        </is>
      </c>
    </row>
    <row r="8">
      <c r="A8" s="5" t="inlineStr">
        <is>
          <t>Income Statement</t>
        </is>
      </c>
      <c r="B8" s="5" t="inlineStr">
        <is>
          <t>Total revenues</t>
        </is>
      </c>
      <c r="C8" s="14" t="n"/>
      <c r="D8" s="28" t="n">
        <v>1990869</v>
      </c>
      <c r="E8" s="5" t="inlineStr">
        <is>
          <t>$000</t>
        </is>
      </c>
      <c r="F8" s="5" t="inlineStr">
        <is>
          <t>10-K IS</t>
        </is>
      </c>
    </row>
    <row r="9">
      <c r="A9" s="5" t="inlineStr">
        <is>
          <t>Income Statement</t>
        </is>
      </c>
      <c r="B9" s="5" t="inlineStr">
        <is>
          <t>Cost of revenues</t>
        </is>
      </c>
      <c r="C9" s="14" t="n"/>
      <c r="D9" s="28" t="n">
        <v>353722</v>
      </c>
      <c r="E9" s="5" t="inlineStr">
        <is>
          <t>$000</t>
        </is>
      </c>
      <c r="F9" s="5" t="inlineStr">
        <is>
          <t>10-K IS</t>
        </is>
      </c>
    </row>
    <row r="10">
      <c r="A10" s="5" t="inlineStr">
        <is>
          <t>Income Statement</t>
        </is>
      </c>
      <c r="B10" s="5" t="inlineStr">
        <is>
          <t>Research and development</t>
        </is>
      </c>
      <c r="C10" s="14" t="n"/>
      <c r="D10" s="28" t="n">
        <v>188347</v>
      </c>
      <c r="E10" s="5" t="inlineStr">
        <is>
          <t>$000</t>
        </is>
      </c>
      <c r="F10" s="5" t="inlineStr">
        <is>
          <t>10-K IS</t>
        </is>
      </c>
    </row>
    <row r="11">
      <c r="A11" s="5" t="inlineStr">
        <is>
          <t>Income Statement</t>
        </is>
      </c>
      <c r="B11" s="5" t="inlineStr">
        <is>
          <t>Selling, general and administrative</t>
        </is>
      </c>
      <c r="C11" s="14" t="n"/>
      <c r="D11" s="28" t="n">
        <v>513028</v>
      </c>
      <c r="E11" s="5" t="inlineStr">
        <is>
          <t>$000</t>
        </is>
      </c>
      <c r="F11" s="5" t="inlineStr">
        <is>
          <t>10-K IS</t>
        </is>
      </c>
    </row>
    <row r="12">
      <c r="A12" s="5" t="inlineStr">
        <is>
          <t>Income Statement</t>
        </is>
      </c>
      <c r="B12" s="5" t="inlineStr">
        <is>
          <t>Amortization of intangible assets</t>
        </is>
      </c>
      <c r="C12" s="14" t="n"/>
      <c r="D12" s="28" t="n">
        <v>0</v>
      </c>
      <c r="E12" s="5" t="inlineStr">
        <is>
          <t>$000</t>
        </is>
      </c>
      <c r="F12" s="5" t="inlineStr">
        <is>
          <t>10-K IS</t>
        </is>
      </c>
    </row>
    <row r="13">
      <c r="A13" s="5" t="inlineStr">
        <is>
          <t>Income Statement</t>
        </is>
      </c>
      <c r="B13" s="5" t="inlineStr">
        <is>
          <t>Restructuring charges</t>
        </is>
      </c>
      <c r="C13" s="14" t="n"/>
      <c r="D13" s="28" t="n">
        <v>10922</v>
      </c>
      <c r="E13" s="5" t="inlineStr">
        <is>
          <t>$000</t>
        </is>
      </c>
      <c r="F13" s="5" t="inlineStr">
        <is>
          <t>10-K IS</t>
        </is>
      </c>
    </row>
    <row r="14">
      <c r="A14" s="5" t="inlineStr">
        <is>
          <t>Income Statement</t>
        </is>
      </c>
      <c r="B14" s="5" t="inlineStr">
        <is>
          <t>Gain on product line asset sale</t>
        </is>
      </c>
      <c r="C14" s="14" t="n"/>
      <c r="D14" s="28" t="n">
        <v>0</v>
      </c>
      <c r="E14" s="5" t="inlineStr">
        <is>
          <t>$000</t>
        </is>
      </c>
      <c r="F14" s="5" t="inlineStr">
        <is>
          <t>10-K IS</t>
        </is>
      </c>
    </row>
    <row r="15">
      <c r="A15" s="5" t="inlineStr">
        <is>
          <t>Income Statement</t>
        </is>
      </c>
      <c r="B15" s="5" t="inlineStr">
        <is>
          <t>Total operating expenses</t>
        </is>
      </c>
      <c r="C15" s="14" t="n"/>
      <c r="D15" s="28" t="n">
        <v>1066019</v>
      </c>
      <c r="E15" s="5" t="inlineStr">
        <is>
          <t>$000</t>
        </is>
      </c>
      <c r="F15" s="5" t="inlineStr">
        <is>
          <t>10-K IS</t>
        </is>
      </c>
    </row>
    <row r="16">
      <c r="A16" s="5" t="inlineStr">
        <is>
          <t>Income Statement</t>
        </is>
      </c>
      <c r="B16" s="5" t="inlineStr">
        <is>
          <t>Operating income</t>
        </is>
      </c>
      <c r="C16" s="14" t="n"/>
      <c r="D16" s="28" t="n">
        <v>924850</v>
      </c>
      <c r="E16" s="5" t="inlineStr">
        <is>
          <t>$000</t>
        </is>
      </c>
      <c r="F16" s="5" t="inlineStr">
        <is>
          <t>10-K IS</t>
        </is>
      </c>
    </row>
    <row r="17">
      <c r="A17" s="5" t="inlineStr">
        <is>
          <t>Income Statement</t>
        </is>
      </c>
      <c r="B17" s="5" t="inlineStr">
        <is>
          <t>Interest expense, net</t>
        </is>
      </c>
      <c r="C17" s="14" t="n"/>
      <c r="D17" s="28" t="n">
        <v>-133647</v>
      </c>
      <c r="E17" s="5" t="inlineStr">
        <is>
          <t>$000</t>
        </is>
      </c>
      <c r="F17" s="5" t="inlineStr">
        <is>
          <t>10-K IS</t>
        </is>
      </c>
    </row>
    <row r="18">
      <c r="A18" s="5" t="inlineStr">
        <is>
          <t>Income Statement</t>
        </is>
      </c>
      <c r="B18" s="5" t="inlineStr">
        <is>
          <t>Other income, net</t>
        </is>
      </c>
      <c r="C18" s="14" t="n"/>
      <c r="D18" s="28" t="n">
        <v>11392</v>
      </c>
      <c r="E18" s="5" t="inlineStr">
        <is>
          <t>$000</t>
        </is>
      </c>
      <c r="F18" s="5" t="inlineStr">
        <is>
          <t>10-K IS</t>
        </is>
      </c>
    </row>
    <row r="19">
      <c r="A19" s="5" t="inlineStr">
        <is>
          <t>Income Statement</t>
        </is>
      </c>
      <c r="B19" s="5" t="inlineStr">
        <is>
          <t>Income before income taxes</t>
        </is>
      </c>
      <c r="C19" s="14" t="n"/>
      <c r="D19" s="28" t="n">
        <v>802595</v>
      </c>
      <c r="E19" s="5" t="inlineStr">
        <is>
          <t>$000</t>
        </is>
      </c>
      <c r="F19" s="5" t="inlineStr">
        <is>
          <t>10-K IS</t>
        </is>
      </c>
    </row>
    <row r="20">
      <c r="A20" s="5" t="inlineStr">
        <is>
          <t>Income Statement</t>
        </is>
      </c>
      <c r="B20" s="5" t="inlineStr">
        <is>
          <t>Provision for income taxes</t>
        </is>
      </c>
      <c r="C20" s="14" t="n"/>
      <c r="D20" s="28" t="n">
        <v>150649</v>
      </c>
      <c r="E20" s="5" t="inlineStr">
        <is>
          <t>$000</t>
        </is>
      </c>
      <c r="F20" s="5" t="inlineStr">
        <is>
          <t>10-K IS</t>
        </is>
      </c>
    </row>
    <row r="21">
      <c r="A21" s="5" t="inlineStr">
        <is>
          <t>Income Statement</t>
        </is>
      </c>
      <c r="B21" s="5" t="inlineStr">
        <is>
          <t>Net income</t>
        </is>
      </c>
      <c r="C21" s="14" t="n"/>
      <c r="D21" s="28" t="n">
        <v>651946</v>
      </c>
      <c r="E21" s="5" t="inlineStr">
        <is>
          <t>$000</t>
        </is>
      </c>
      <c r="F21" s="5" t="inlineStr">
        <is>
          <t>10-K IS</t>
        </is>
      </c>
    </row>
    <row r="22">
      <c r="A22" s="5" t="inlineStr">
        <is>
          <t>Income Statement</t>
        </is>
      </c>
      <c r="B22" s="5" t="inlineStr">
        <is>
          <t>EPS basic</t>
        </is>
      </c>
      <c r="C22" s="14" t="n"/>
      <c r="D22" s="28" t="n">
        <v>26.9</v>
      </c>
      <c r="E22" s="5" t="inlineStr">
        <is>
          <t>$000</t>
        </is>
      </c>
      <c r="F22" s="5" t="inlineStr">
        <is>
          <t>10-K IS</t>
        </is>
      </c>
    </row>
    <row r="23">
      <c r="A23" s="5" t="inlineStr">
        <is>
          <t>Income Statement</t>
        </is>
      </c>
      <c r="B23" s="5" t="inlineStr">
        <is>
          <t>EPS diluted</t>
        </is>
      </c>
      <c r="C23" s="14" t="n"/>
      <c r="D23" s="28" t="n">
        <v>26.54</v>
      </c>
      <c r="E23" s="5" t="inlineStr">
        <is>
          <t>$000</t>
        </is>
      </c>
      <c r="F23" s="5" t="inlineStr">
        <is>
          <t>10-K IS</t>
        </is>
      </c>
    </row>
    <row r="24">
      <c r="A24" s="5" t="inlineStr">
        <is>
          <t>Income Statement</t>
        </is>
      </c>
      <c r="B24" s="5" t="inlineStr">
        <is>
          <t>Shares basic (000s)</t>
        </is>
      </c>
      <c r="C24" s="14" t="n"/>
      <c r="D24" s="28" t="n">
        <v>24239</v>
      </c>
      <c r="E24" s="5" t="inlineStr">
        <is>
          <t>$000</t>
        </is>
      </c>
      <c r="F24" s="5" t="inlineStr">
        <is>
          <t>10-K IS</t>
        </is>
      </c>
    </row>
    <row r="25">
      <c r="A25" s="5" t="inlineStr">
        <is>
          <t>Income Statement</t>
        </is>
      </c>
      <c r="B25" s="5" t="inlineStr">
        <is>
          <t>Shares diluted (000s)</t>
        </is>
      </c>
      <c r="C25" s="14" t="n"/>
      <c r="D25" s="28" t="n">
        <v>24561</v>
      </c>
      <c r="E25" s="5" t="inlineStr">
        <is>
          <t>$000</t>
        </is>
      </c>
      <c r="F25" s="5" t="inlineStr">
        <is>
          <t>10-K IS</t>
        </is>
      </c>
    </row>
    <row r="26">
      <c r="A26" s="5" t="inlineStr">
        <is>
          <t>Balance Sheet</t>
        </is>
      </c>
      <c r="B26" s="5" t="inlineStr">
        <is>
          <t>Cash and cash equivalents</t>
        </is>
      </c>
      <c r="C26" s="14" t="n"/>
      <c r="D26" s="28" t="n">
        <v>134136</v>
      </c>
      <c r="E26" s="5" t="inlineStr">
        <is>
          <t>$000</t>
        </is>
      </c>
      <c r="F26" s="5" t="inlineStr">
        <is>
          <t>10-K / 10-Q BS</t>
        </is>
      </c>
    </row>
    <row r="27">
      <c r="A27" s="5" t="inlineStr">
        <is>
          <t>Balance Sheet</t>
        </is>
      </c>
      <c r="B27" s="5" t="inlineStr">
        <is>
          <t>Accounts receivable, net</t>
        </is>
      </c>
      <c r="C27" s="14" t="n"/>
      <c r="D27" s="28" t="n">
        <v>529148</v>
      </c>
      <c r="E27" s="5" t="inlineStr">
        <is>
          <t>$000</t>
        </is>
      </c>
      <c r="F27" s="5" t="inlineStr">
        <is>
          <t>10-K / 10-Q BS</t>
        </is>
      </c>
    </row>
    <row r="28">
      <c r="A28" s="5" t="inlineStr">
        <is>
          <t>Balance Sheet</t>
        </is>
      </c>
      <c r="B28" s="5" t="inlineStr">
        <is>
          <t>Prepaid expenses and other current assets</t>
        </is>
      </c>
      <c r="C28" s="14" t="n"/>
      <c r="D28" s="28" t="n">
        <v>41881</v>
      </c>
      <c r="E28" s="5" t="inlineStr">
        <is>
          <t>$000</t>
        </is>
      </c>
      <c r="F28" s="5" t="inlineStr">
        <is>
          <t>10-K / 10-Q BS</t>
        </is>
      </c>
    </row>
    <row r="29">
      <c r="A29" s="5" t="inlineStr">
        <is>
          <t>Balance Sheet</t>
        </is>
      </c>
      <c r="B29" s="5" t="inlineStr">
        <is>
          <t>Total current assets</t>
        </is>
      </c>
      <c r="C29" s="14" t="n"/>
      <c r="D29" s="28" t="n">
        <v>705165</v>
      </c>
      <c r="E29" s="5" t="inlineStr">
        <is>
          <t>$000</t>
        </is>
      </c>
      <c r="F29" s="5" t="inlineStr">
        <is>
          <t>10-K / 10-Q BS</t>
        </is>
      </c>
    </row>
    <row r="30">
      <c r="A30" s="5" t="inlineStr">
        <is>
          <t>Balance Sheet</t>
        </is>
      </c>
      <c r="B30" s="5" t="inlineStr">
        <is>
          <t>Marketable securities</t>
        </is>
      </c>
      <c r="C30" s="14" t="n"/>
      <c r="D30" s="28" t="n">
        <v>54625</v>
      </c>
      <c r="E30" s="5" t="inlineStr">
        <is>
          <t>$000</t>
        </is>
      </c>
      <c r="F30" s="5" t="inlineStr">
        <is>
          <t>10-K / 10-Q BS</t>
        </is>
      </c>
    </row>
    <row r="31">
      <c r="A31" s="5" t="inlineStr">
        <is>
          <t>Balance Sheet</t>
        </is>
      </c>
      <c r="B31" s="5" t="inlineStr">
        <is>
          <t>Property and equipment, net</t>
        </is>
      </c>
      <c r="C31" s="14" t="n"/>
      <c r="D31" s="28" t="n">
        <v>67713</v>
      </c>
      <c r="E31" s="5" t="inlineStr">
        <is>
          <t>$000</t>
        </is>
      </c>
      <c r="F31" s="5" t="inlineStr">
        <is>
          <t>10-K / 10-Q BS</t>
        </is>
      </c>
    </row>
    <row r="32">
      <c r="A32" s="5" t="inlineStr">
        <is>
          <t>Balance Sheet</t>
        </is>
      </c>
      <c r="B32" s="5" t="inlineStr">
        <is>
          <t>Operating lease right-of-use assets</t>
        </is>
      </c>
      <c r="C32" s="14" t="n"/>
      <c r="D32" s="28" t="n">
        <v>26213</v>
      </c>
      <c r="E32" s="5" t="inlineStr">
        <is>
          <t>$000</t>
        </is>
      </c>
      <c r="F32" s="5" t="inlineStr">
        <is>
          <t>10-K / 10-Q BS</t>
        </is>
      </c>
    </row>
    <row r="33">
      <c r="A33" s="5" t="inlineStr">
        <is>
          <t>Balance Sheet</t>
        </is>
      </c>
      <c r="B33" s="5" t="inlineStr">
        <is>
          <t>Goodwill</t>
        </is>
      </c>
      <c r="C33" s="14" t="n"/>
      <c r="D33" s="28" t="n">
        <v>783340</v>
      </c>
      <c r="E33" s="5" t="inlineStr">
        <is>
          <t>$000</t>
        </is>
      </c>
      <c r="F33" s="5" t="inlineStr">
        <is>
          <t>10-K / 10-Q BS</t>
        </is>
      </c>
    </row>
    <row r="34">
      <c r="A34" s="5" t="inlineStr">
        <is>
          <t>Balance Sheet</t>
        </is>
      </c>
      <c r="B34" s="5" t="inlineStr">
        <is>
          <t>Deferred income taxes</t>
        </is>
      </c>
      <c r="C34" s="14" t="n"/>
      <c r="D34" s="28" t="n">
        <v>118553</v>
      </c>
      <c r="E34" s="5" t="inlineStr">
        <is>
          <t>$000</t>
        </is>
      </c>
      <c r="F34" s="5" t="inlineStr">
        <is>
          <t>10-K / 10-Q BS</t>
        </is>
      </c>
    </row>
    <row r="35">
      <c r="A35" s="5" t="inlineStr">
        <is>
          <t>Balance Sheet</t>
        </is>
      </c>
      <c r="B35" s="5" t="inlineStr">
        <is>
          <t>Other assets</t>
        </is>
      </c>
      <c r="C35" s="14" t="n"/>
      <c r="D35" s="28" t="n">
        <v>112524</v>
      </c>
      <c r="E35" s="5" t="inlineStr">
        <is>
          <t>$000</t>
        </is>
      </c>
      <c r="F35" s="5" t="inlineStr">
        <is>
          <t>10-K / 10-Q BS</t>
        </is>
      </c>
    </row>
    <row r="36">
      <c r="A36" s="5" t="inlineStr">
        <is>
          <t>Balance Sheet</t>
        </is>
      </c>
      <c r="B36" s="5" t="inlineStr">
        <is>
          <t>Total assets</t>
        </is>
      </c>
      <c r="C36" s="14" t="n"/>
      <c r="D36" s="28" t="n">
        <v>1868133</v>
      </c>
      <c r="E36" s="5" t="inlineStr">
        <is>
          <t>$000</t>
        </is>
      </c>
      <c r="F36" s="5" t="inlineStr">
        <is>
          <t>10-K / 10-Q BS</t>
        </is>
      </c>
    </row>
    <row r="37">
      <c r="A37" s="5" t="inlineStr">
        <is>
          <t>Balance Sheet</t>
        </is>
      </c>
      <c r="B37" s="5" t="inlineStr">
        <is>
          <t>Accounts payable</t>
        </is>
      </c>
      <c r="C37" s="14" t="n"/>
      <c r="D37" s="28" t="n">
        <v>32315</v>
      </c>
      <c r="E37" s="5" t="inlineStr">
        <is>
          <t>$000</t>
        </is>
      </c>
      <c r="F37" s="5" t="inlineStr">
        <is>
          <t>10-K / 10-Q BS</t>
        </is>
      </c>
    </row>
    <row r="38">
      <c r="A38" s="5" t="inlineStr">
        <is>
          <t>Balance Sheet</t>
        </is>
      </c>
      <c r="B38" s="5" t="inlineStr">
        <is>
          <t>Accrued compensation and employee benefits</t>
        </is>
      </c>
      <c r="C38" s="14" t="n"/>
      <c r="D38" s="28" t="n">
        <v>115369</v>
      </c>
      <c r="E38" s="5" t="inlineStr">
        <is>
          <t>$000</t>
        </is>
      </c>
      <c r="F38" s="5" t="inlineStr">
        <is>
          <t>10-K / 10-Q BS</t>
        </is>
      </c>
    </row>
    <row r="39">
      <c r="A39" s="5" t="inlineStr">
        <is>
          <t>Balance Sheet</t>
        </is>
      </c>
      <c r="B39" s="5" t="inlineStr">
        <is>
          <t>Other accrued liabilities</t>
        </is>
      </c>
      <c r="C39" s="14" t="n"/>
      <c r="D39" s="28" t="n">
        <v>114618</v>
      </c>
      <c r="E39" s="5" t="inlineStr">
        <is>
          <t>$000</t>
        </is>
      </c>
      <c r="F39" s="5" t="inlineStr">
        <is>
          <t>10-K / 10-Q BS</t>
        </is>
      </c>
    </row>
    <row r="40">
      <c r="A40" s="5" t="inlineStr">
        <is>
          <t>Balance Sheet</t>
        </is>
      </c>
      <c r="B40" s="5" t="inlineStr">
        <is>
          <t>Deferred revenue</t>
        </is>
      </c>
      <c r="C40" s="14" t="n"/>
      <c r="D40" s="28" t="n">
        <v>187372</v>
      </c>
      <c r="E40" s="5" t="inlineStr">
        <is>
          <t>$000</t>
        </is>
      </c>
      <c r="F40" s="5" t="inlineStr">
        <is>
          <t>10-K / 10-Q BS</t>
        </is>
      </c>
    </row>
    <row r="41">
      <c r="A41" s="5" t="inlineStr">
        <is>
          <t>Balance Sheet</t>
        </is>
      </c>
      <c r="B41" s="5" t="inlineStr">
        <is>
          <t>Current maturities on debt</t>
        </is>
      </c>
      <c r="C41" s="14" t="n"/>
      <c r="D41" s="28" t="n">
        <v>399541</v>
      </c>
      <c r="E41" s="5" t="inlineStr">
        <is>
          <t>$000</t>
        </is>
      </c>
      <c r="F41" s="5" t="inlineStr">
        <is>
          <t>10-K / 10-Q BS</t>
        </is>
      </c>
    </row>
    <row r="42">
      <c r="A42" s="5" t="inlineStr">
        <is>
          <t>Balance Sheet</t>
        </is>
      </c>
      <c r="B42" s="5" t="inlineStr">
        <is>
          <t>Total current liabilities</t>
        </is>
      </c>
      <c r="C42" s="14" t="n"/>
      <c r="D42" s="28" t="n">
        <v>849215</v>
      </c>
      <c r="E42" s="5" t="inlineStr">
        <is>
          <t>$000</t>
        </is>
      </c>
      <c r="F42" s="5" t="inlineStr">
        <is>
          <t>10-K / 10-Q BS</t>
        </is>
      </c>
    </row>
    <row r="43">
      <c r="A43" s="5" t="inlineStr">
        <is>
          <t>Balance Sheet</t>
        </is>
      </c>
      <c r="B43" s="5" t="inlineStr">
        <is>
          <t>Long-term debt</t>
        </is>
      </c>
      <c r="C43" s="14" t="n"/>
      <c r="D43" s="28" t="n">
        <v>2656150</v>
      </c>
      <c r="E43" s="5" t="inlineStr">
        <is>
          <t>$000</t>
        </is>
      </c>
      <c r="F43" s="5" t="inlineStr">
        <is>
          <t>10-K / 10-Q BS</t>
        </is>
      </c>
    </row>
    <row r="44">
      <c r="A44" s="5" t="inlineStr">
        <is>
          <t>Balance Sheet</t>
        </is>
      </c>
      <c r="B44" s="5" t="inlineStr">
        <is>
          <t>Operating lease liabilities (noncurrent)</t>
        </is>
      </c>
      <c r="C44" s="14" t="n"/>
      <c r="D44" s="28" t="n">
        <v>19187</v>
      </c>
      <c r="E44" s="5" t="inlineStr">
        <is>
          <t>$000</t>
        </is>
      </c>
      <c r="F44" s="5" t="inlineStr">
        <is>
          <t>10-K / 10-Q BS</t>
        </is>
      </c>
    </row>
    <row r="45">
      <c r="A45" s="5" t="inlineStr">
        <is>
          <t>Balance Sheet</t>
        </is>
      </c>
      <c r="B45" s="5" t="inlineStr">
        <is>
          <t>Other liabilities</t>
        </is>
      </c>
      <c r="C45" s="14" t="n"/>
      <c r="D45" s="28" t="n">
        <v>89365</v>
      </c>
      <c r="E45" s="5" t="inlineStr">
        <is>
          <t>$000</t>
        </is>
      </c>
      <c r="F45" s="5" t="inlineStr">
        <is>
          <t>10-K / 10-Q BS</t>
        </is>
      </c>
    </row>
    <row r="46">
      <c r="A46" s="5" t="inlineStr">
        <is>
          <t>Balance Sheet</t>
        </is>
      </c>
      <c r="B46" s="5" t="inlineStr">
        <is>
          <t>Total liabilities</t>
        </is>
      </c>
      <c r="C46" s="14" t="n"/>
      <c r="D46" s="28" t="n">
        <v>3613917</v>
      </c>
      <c r="E46" s="5" t="inlineStr">
        <is>
          <t>$000</t>
        </is>
      </c>
      <c r="F46" s="5" t="inlineStr">
        <is>
          <t>10-K / 10-Q BS</t>
        </is>
      </c>
    </row>
    <row r="47">
      <c r="A47" s="5" t="inlineStr">
        <is>
          <t>Balance Sheet</t>
        </is>
      </c>
      <c r="B47" s="5" t="inlineStr">
        <is>
          <t>Common stock (par)</t>
        </is>
      </c>
      <c r="C47" s="14" t="n"/>
      <c r="D47" s="28" t="n">
        <v>238</v>
      </c>
      <c r="E47" s="5" t="inlineStr">
        <is>
          <t>$000</t>
        </is>
      </c>
      <c r="F47" s="5" t="inlineStr">
        <is>
          <t>10-K / 10-Q BS</t>
        </is>
      </c>
    </row>
    <row r="48">
      <c r="A48" s="5" t="inlineStr">
        <is>
          <t>Balance Sheet</t>
        </is>
      </c>
      <c r="B48" s="5" t="inlineStr">
        <is>
          <t>Additional paid-in-capital</t>
        </is>
      </c>
      <c r="C48" s="14" t="n"/>
      <c r="D48" s="28" t="n">
        <v>1331120</v>
      </c>
      <c r="E48" s="5" t="inlineStr">
        <is>
          <t>$000</t>
        </is>
      </c>
      <c r="F48" s="5" t="inlineStr">
        <is>
          <t>10-K / 10-Q BS</t>
        </is>
      </c>
    </row>
    <row r="49">
      <c r="A49" s="5" t="inlineStr">
        <is>
          <t>Balance Sheet</t>
        </is>
      </c>
      <c r="B49" s="5" t="inlineStr">
        <is>
          <t>Treasury stock</t>
        </is>
      </c>
      <c r="C49" s="14" t="n"/>
      <c r="D49" s="28" t="n">
        <v>-7537908</v>
      </c>
      <c r="E49" s="5" t="inlineStr">
        <is>
          <t>$000</t>
        </is>
      </c>
      <c r="F49" s="5" t="inlineStr">
        <is>
          <t>10-K / 10-Q BS</t>
        </is>
      </c>
    </row>
    <row r="50">
      <c r="A50" s="5" t="inlineStr">
        <is>
          <t>Balance Sheet</t>
        </is>
      </c>
      <c r="B50" s="5" t="inlineStr">
        <is>
          <t>Retained earnings</t>
        </is>
      </c>
      <c r="C50" s="14" t="n"/>
      <c r="D50" s="28" t="n">
        <v>4552816</v>
      </c>
      <c r="E50" s="5" t="inlineStr">
        <is>
          <t>$000</t>
        </is>
      </c>
      <c r="F50" s="5" t="inlineStr">
        <is>
          <t>10-K / 10-Q BS</t>
        </is>
      </c>
    </row>
    <row r="51">
      <c r="A51" s="5" t="inlineStr">
        <is>
          <t>Balance Sheet</t>
        </is>
      </c>
      <c r="B51" s="5" t="inlineStr">
        <is>
          <t>AOCI</t>
        </is>
      </c>
      <c r="C51" s="14" t="n"/>
      <c r="D51" s="28" t="n">
        <v>-92050</v>
      </c>
      <c r="E51" s="5" t="inlineStr">
        <is>
          <t>$000</t>
        </is>
      </c>
      <c r="F51" s="5" t="inlineStr">
        <is>
          <t>10-K / 10-Q BS</t>
        </is>
      </c>
    </row>
    <row r="52">
      <c r="A52" s="5" t="inlineStr">
        <is>
          <t>Balance Sheet</t>
        </is>
      </c>
      <c r="B52" s="5" t="inlineStr">
        <is>
          <t>Total stockholders deficit</t>
        </is>
      </c>
      <c r="C52" s="14" t="n"/>
      <c r="D52" s="28" t="n">
        <v>-1745784</v>
      </c>
      <c r="E52" s="5" t="inlineStr">
        <is>
          <t>$000</t>
        </is>
      </c>
      <c r="F52" s="5" t="inlineStr">
        <is>
          <t>10-K / 10-Q BS</t>
        </is>
      </c>
    </row>
    <row r="53">
      <c r="A53" s="5" t="inlineStr">
        <is>
          <t>Balance Sheet</t>
        </is>
      </c>
      <c r="B53" s="5" t="inlineStr">
        <is>
          <t>Shares outstanding (000s)</t>
        </is>
      </c>
      <c r="C53" s="14" t="n"/>
      <c r="D53" s="28" t="n">
        <v>23764</v>
      </c>
      <c r="E53" s="5" t="inlineStr">
        <is>
          <t>$000</t>
        </is>
      </c>
      <c r="F53" s="5" t="inlineStr">
        <is>
          <t>10-K / 10-Q BS</t>
        </is>
      </c>
    </row>
    <row r="54">
      <c r="A54" s="5" t="inlineStr">
        <is>
          <t>Balance Sheet</t>
        </is>
      </c>
      <c r="B54" s="5" t="inlineStr">
        <is>
          <t>Total debt (current + LT)</t>
        </is>
      </c>
      <c r="C54" s="14" t="n"/>
      <c r="D54" s="28" t="n">
        <v>3055691</v>
      </c>
      <c r="E54" s="5" t="inlineStr">
        <is>
          <t>$000</t>
        </is>
      </c>
      <c r="F54" s="5" t="inlineStr">
        <is>
          <t>10-K / 10-Q BS</t>
        </is>
      </c>
    </row>
    <row r="55">
      <c r="A55" s="5" t="inlineStr">
        <is>
          <t>Cash Flow</t>
        </is>
      </c>
      <c r="B55" s="5" t="inlineStr">
        <is>
          <t>Net income</t>
        </is>
      </c>
      <c r="C55" s="14" t="n"/>
      <c r="D55" s="28" t="n">
        <v>651946</v>
      </c>
      <c r="E55" s="5" t="inlineStr">
        <is>
          <t>$000</t>
        </is>
      </c>
      <c r="F55" s="5" t="inlineStr">
        <is>
          <t>10-K CF</t>
        </is>
      </c>
    </row>
    <row r="56">
      <c r="A56" s="5" t="inlineStr">
        <is>
          <t>Cash Flow</t>
        </is>
      </c>
      <c r="B56" s="5" t="inlineStr">
        <is>
          <t>Depreciation and amortization</t>
        </is>
      </c>
      <c r="C56" s="14" t="n"/>
      <c r="D56" s="28" t="n">
        <v>14952</v>
      </c>
      <c r="E56" s="5" t="inlineStr">
        <is>
          <t>$000</t>
        </is>
      </c>
      <c r="F56" s="5" t="inlineStr">
        <is>
          <t>10-K CF</t>
        </is>
      </c>
    </row>
    <row r="57">
      <c r="A57" s="5" t="inlineStr">
        <is>
          <t>Cash Flow</t>
        </is>
      </c>
      <c r="B57" s="5" t="inlineStr">
        <is>
          <t>Share-based compensation</t>
        </is>
      </c>
      <c r="C57" s="14" t="n"/>
      <c r="D57" s="28" t="n">
        <v>156667</v>
      </c>
      <c r="E57" s="5" t="inlineStr">
        <is>
          <t>$000</t>
        </is>
      </c>
      <c r="F57" s="5" t="inlineStr">
        <is>
          <t>10-K CF</t>
        </is>
      </c>
    </row>
    <row r="58">
      <c r="A58" s="5" t="inlineStr">
        <is>
          <t>Cash Flow</t>
        </is>
      </c>
      <c r="B58" s="5" t="inlineStr">
        <is>
          <t>Deferred income taxes</t>
        </is>
      </c>
      <c r="C58" s="14" t="n"/>
      <c r="D58" s="28" t="n">
        <v>-32486</v>
      </c>
      <c r="E58" s="5" t="inlineStr">
        <is>
          <t>$000</t>
        </is>
      </c>
      <c r="F58" s="5" t="inlineStr">
        <is>
          <t>10-K CF</t>
        </is>
      </c>
    </row>
    <row r="59">
      <c r="A59" s="5" t="inlineStr">
        <is>
          <t>Cash Flow</t>
        </is>
      </c>
      <c r="B59" s="5" t="inlineStr">
        <is>
          <t>Net gain on marketable securities</t>
        </is>
      </c>
      <c r="C59" s="14" t="n"/>
      <c r="D59" s="28" t="n">
        <v>-5024</v>
      </c>
      <c r="E59" s="5" t="inlineStr">
        <is>
          <t>$000</t>
        </is>
      </c>
      <c r="F59" s="5" t="inlineStr">
        <is>
          <t>10-K CF</t>
        </is>
      </c>
    </row>
    <row r="60">
      <c r="A60" s="5" t="inlineStr">
        <is>
          <t>Cash Flow</t>
        </is>
      </c>
      <c r="B60" s="5" t="inlineStr">
        <is>
          <t>Non-cash operating lease costs</t>
        </is>
      </c>
      <c r="C60" s="14" t="n"/>
      <c r="D60" s="28" t="n">
        <v>9604</v>
      </c>
      <c r="E60" s="5" t="inlineStr">
        <is>
          <t>$000</t>
        </is>
      </c>
      <c r="F60" s="5" t="inlineStr">
        <is>
          <t>10-K CF</t>
        </is>
      </c>
    </row>
    <row r="61">
      <c r="A61" s="5" t="inlineStr">
        <is>
          <t>Cash Flow</t>
        </is>
      </c>
      <c r="B61" s="5" t="inlineStr">
        <is>
          <t>Provision of doubtful accounts</t>
        </is>
      </c>
      <c r="C61" s="14" t="n"/>
      <c r="D61" s="28" t="n">
        <v>1485</v>
      </c>
      <c r="E61" s="5" t="inlineStr">
        <is>
          <t>$000</t>
        </is>
      </c>
      <c r="F61" s="5" t="inlineStr">
        <is>
          <t>10-K CF</t>
        </is>
      </c>
    </row>
    <row r="62">
      <c r="A62" s="5" t="inlineStr">
        <is>
          <t>Cash Flow</t>
        </is>
      </c>
      <c r="B62" s="5" t="inlineStr">
        <is>
          <t>Gain on product line asset sale</t>
        </is>
      </c>
      <c r="C62" s="14" t="n"/>
      <c r="D62" s="28" t="n">
        <v>0</v>
      </c>
      <c r="E62" s="5" t="inlineStr">
        <is>
          <t>$000</t>
        </is>
      </c>
      <c r="F62" s="5" t="inlineStr">
        <is>
          <t>10-K CF</t>
        </is>
      </c>
    </row>
    <row r="63">
      <c r="A63" s="5" t="inlineStr">
        <is>
          <t>Cash Flow</t>
        </is>
      </c>
      <c r="B63" s="5" t="inlineStr">
        <is>
          <t>Net loss on sales/abandonment of PP&amp;E</t>
        </is>
      </c>
      <c r="C63" s="14" t="n"/>
      <c r="D63" s="28" t="n">
        <v>210</v>
      </c>
      <c r="E63" s="5" t="inlineStr">
        <is>
          <t>$000</t>
        </is>
      </c>
      <c r="F63" s="5" t="inlineStr">
        <is>
          <t>10-K CF</t>
        </is>
      </c>
    </row>
    <row r="64">
      <c r="A64" s="5" t="inlineStr">
        <is>
          <t>Cash Flow</t>
        </is>
      </c>
      <c r="B64" s="5" t="inlineStr">
        <is>
          <t>Change in accounts receivable</t>
        </is>
      </c>
      <c r="C64" s="14" t="n"/>
      <c r="D64" s="28" t="n">
        <v>-100377</v>
      </c>
      <c r="E64" s="5" t="inlineStr">
        <is>
          <t>$000</t>
        </is>
      </c>
      <c r="F64" s="5" t="inlineStr">
        <is>
          <t>10-K CF</t>
        </is>
      </c>
    </row>
    <row r="65">
      <c r="A65" s="5" t="inlineStr">
        <is>
          <t>Cash Flow</t>
        </is>
      </c>
      <c r="B65" s="5" t="inlineStr">
        <is>
          <t>Change in prepaid expenses and other assets</t>
        </is>
      </c>
      <c r="C65" s="14" t="n"/>
      <c r="D65" s="28" t="n">
        <v>610</v>
      </c>
      <c r="E65" s="5" t="inlineStr">
        <is>
          <t>$000</t>
        </is>
      </c>
      <c r="F65" s="5" t="inlineStr">
        <is>
          <t>10-K CF</t>
        </is>
      </c>
    </row>
    <row r="66">
      <c r="A66" s="5" t="inlineStr">
        <is>
          <t>Cash Flow</t>
        </is>
      </c>
      <c r="B66" s="5" t="inlineStr">
        <is>
          <t>Change in accounts payable</t>
        </is>
      </c>
      <c r="C66" s="14" t="n"/>
      <c r="D66" s="28" t="n">
        <v>9849</v>
      </c>
      <c r="E66" s="5" t="inlineStr">
        <is>
          <t>$000</t>
        </is>
      </c>
      <c r="F66" s="5" t="inlineStr">
        <is>
          <t>10-K CF</t>
        </is>
      </c>
    </row>
    <row r="67">
      <c r="A67" s="5" t="inlineStr">
        <is>
          <t>Cash Flow</t>
        </is>
      </c>
      <c r="B67" s="5" t="inlineStr">
        <is>
          <t>Change in accrued compensation</t>
        </is>
      </c>
      <c r="C67" s="14" t="n"/>
      <c r="D67" s="28" t="n">
        <v>10065</v>
      </c>
      <c r="E67" s="5" t="inlineStr">
        <is>
          <t>$000</t>
        </is>
      </c>
      <c r="F67" s="5" t="inlineStr">
        <is>
          <t>10-K CF</t>
        </is>
      </c>
    </row>
    <row r="68">
      <c r="A68" s="5" t="inlineStr">
        <is>
          <t>Cash Flow</t>
        </is>
      </c>
      <c r="B68" s="5" t="inlineStr">
        <is>
          <t>Change in other liabilities</t>
        </is>
      </c>
      <c r="C68" s="14" t="n"/>
      <c r="D68" s="28" t="n">
        <v>31566</v>
      </c>
      <c r="E68" s="5" t="inlineStr">
        <is>
          <t>$000</t>
        </is>
      </c>
      <c r="F68" s="5" t="inlineStr">
        <is>
          <t>10-K CF</t>
        </is>
      </c>
    </row>
    <row r="69">
      <c r="A69" s="5" t="inlineStr">
        <is>
          <t>Cash Flow</t>
        </is>
      </c>
      <c r="B69" s="5" t="inlineStr">
        <is>
          <t>Change in deferred revenue</t>
        </is>
      </c>
      <c r="C69" s="14" t="n"/>
      <c r="D69" s="28" t="n">
        <v>29740</v>
      </c>
      <c r="E69" s="5" t="inlineStr">
        <is>
          <t>$000</t>
        </is>
      </c>
      <c r="F69" s="5" t="inlineStr">
        <is>
          <t>10-K CF</t>
        </is>
      </c>
    </row>
    <row r="70">
      <c r="A70" s="5" t="inlineStr">
        <is>
          <t>Cash Flow</t>
        </is>
      </c>
      <c r="B70" s="5" t="inlineStr">
        <is>
          <t>Net cash from operating activities</t>
        </is>
      </c>
      <c r="C70" s="14" t="n"/>
      <c r="D70" s="28" t="n">
        <v>778807</v>
      </c>
      <c r="E70" s="5" t="inlineStr">
        <is>
          <t>$000</t>
        </is>
      </c>
      <c r="F70" s="5" t="inlineStr">
        <is>
          <t>10-K CF</t>
        </is>
      </c>
    </row>
    <row r="71">
      <c r="A71" s="5" t="inlineStr">
        <is>
          <t>Cash Flow</t>
        </is>
      </c>
      <c r="B71" s="5" t="inlineStr">
        <is>
          <t>Purchases of property and equipment</t>
        </is>
      </c>
      <c r="C71" s="14" t="n"/>
      <c r="D71" s="28" t="n">
        <v>-8922</v>
      </c>
      <c r="E71" s="5" t="inlineStr">
        <is>
          <t>$000</t>
        </is>
      </c>
      <c r="F71" s="5" t="inlineStr">
        <is>
          <t>10-K CF</t>
        </is>
      </c>
    </row>
    <row r="72">
      <c r="A72" s="5" t="inlineStr">
        <is>
          <t>Cash Flow</t>
        </is>
      </c>
      <c r="B72" s="5" t="inlineStr">
        <is>
          <t>Capitalized internal-use software costs</t>
        </is>
      </c>
      <c r="C72" s="14" t="n"/>
      <c r="D72" s="28" t="n">
        <v>-30485</v>
      </c>
      <c r="E72" s="5" t="inlineStr">
        <is>
          <t>$000</t>
        </is>
      </c>
      <c r="F72" s="5" t="inlineStr">
        <is>
          <t>10-K CF</t>
        </is>
      </c>
    </row>
    <row r="73">
      <c r="A73" s="5" t="inlineStr">
        <is>
          <t>Cash Flow</t>
        </is>
      </c>
      <c r="B73" s="5" t="inlineStr">
        <is>
          <t>Proceeds from sales of marketable securities</t>
        </is>
      </c>
      <c r="C73" s="14" t="n"/>
      <c r="D73" s="28" t="n">
        <v>2184</v>
      </c>
      <c r="E73" s="5" t="inlineStr">
        <is>
          <t>$000</t>
        </is>
      </c>
      <c r="F73" s="5" t="inlineStr">
        <is>
          <t>10-K CF</t>
        </is>
      </c>
    </row>
    <row r="74">
      <c r="A74" s="5" t="inlineStr">
        <is>
          <t>Cash Flow</t>
        </is>
      </c>
      <c r="B74" s="5" t="inlineStr">
        <is>
          <t>Purchases of marketable securities</t>
        </is>
      </c>
      <c r="C74" s="14" t="n"/>
      <c r="D74" s="28" t="n">
        <v>-6496</v>
      </c>
      <c r="E74" s="5" t="inlineStr">
        <is>
          <t>$000</t>
        </is>
      </c>
      <c r="F74" s="5" t="inlineStr">
        <is>
          <t>10-K CF</t>
        </is>
      </c>
    </row>
    <row r="75">
      <c r="A75" s="5" t="inlineStr">
        <is>
          <t>Cash Flow</t>
        </is>
      </c>
      <c r="B75" s="5" t="inlineStr">
        <is>
          <t>Cash transferred from product line asset sale</t>
        </is>
      </c>
      <c r="C75" s="14" t="n"/>
      <c r="D75" s="28" t="n">
        <v>0</v>
      </c>
      <c r="E75" s="5" t="inlineStr">
        <is>
          <t>$000</t>
        </is>
      </c>
      <c r="F75" s="5" t="inlineStr">
        <is>
          <t>10-K CF</t>
        </is>
      </c>
    </row>
    <row r="76">
      <c r="A76" s="5" t="inlineStr">
        <is>
          <t>Cash Flow</t>
        </is>
      </c>
      <c r="B76" s="5" t="inlineStr">
        <is>
          <t>Net cash used in investing activities</t>
        </is>
      </c>
      <c r="C76" s="14" t="n"/>
      <c r="D76" s="28" t="n">
        <v>-43719</v>
      </c>
      <c r="E76" s="5" t="inlineStr">
        <is>
          <t>$000</t>
        </is>
      </c>
      <c r="F76" s="5" t="inlineStr">
        <is>
          <t>10-K CF</t>
        </is>
      </c>
    </row>
    <row r="77">
      <c r="A77" s="5" t="inlineStr">
        <is>
          <t>Cash Flow</t>
        </is>
      </c>
      <c r="B77" s="5" t="inlineStr">
        <is>
          <t>Proceeds from revolving line / term loans</t>
        </is>
      </c>
      <c r="C77" s="14" t="n"/>
      <c r="D77" s="28" t="n">
        <v>725000</v>
      </c>
      <c r="E77" s="5" t="inlineStr">
        <is>
          <t>$000</t>
        </is>
      </c>
      <c r="F77" s="5" t="inlineStr">
        <is>
          <t>10-K CF</t>
        </is>
      </c>
    </row>
    <row r="78">
      <c r="A78" s="5" t="inlineStr">
        <is>
          <t>Cash Flow</t>
        </is>
      </c>
      <c r="B78" s="5" t="inlineStr">
        <is>
          <t>Payments on revolving line / term loans</t>
        </is>
      </c>
      <c r="C78" s="14" t="n"/>
      <c r="D78" s="28" t="n">
        <v>-1368750</v>
      </c>
      <c r="E78" s="5" t="inlineStr">
        <is>
          <t>$000</t>
        </is>
      </c>
      <c r="F78" s="5" t="inlineStr">
        <is>
          <t>10-K CF</t>
        </is>
      </c>
    </row>
    <row r="79">
      <c r="A79" s="5" t="inlineStr">
        <is>
          <t>Cash Flow</t>
        </is>
      </c>
      <c r="B79" s="5" t="inlineStr">
        <is>
          <t>Proceeds from issuance of senior notes</t>
        </is>
      </c>
      <c r="C79" s="14" t="n"/>
      <c r="D79" s="28" t="n">
        <v>1500000</v>
      </c>
      <c r="E79" s="5" t="inlineStr">
        <is>
          <t>$000</t>
        </is>
      </c>
      <c r="F79" s="5" t="inlineStr">
        <is>
          <t>10-K CF</t>
        </is>
      </c>
    </row>
    <row r="80">
      <c r="A80" s="5" t="inlineStr">
        <is>
          <t>Cash Flow</t>
        </is>
      </c>
      <c r="B80" s="5" t="inlineStr">
        <is>
          <t>Payments on debt issuance costs</t>
        </is>
      </c>
      <c r="C80" s="14" t="n"/>
      <c r="D80" s="28" t="n">
        <v>-17163</v>
      </c>
      <c r="E80" s="5" t="inlineStr">
        <is>
          <t>$000</t>
        </is>
      </c>
      <c r="F80" s="5" t="inlineStr">
        <is>
          <t>10-K CF</t>
        </is>
      </c>
    </row>
    <row r="81">
      <c r="A81" s="5" t="inlineStr">
        <is>
          <t>Cash Flow</t>
        </is>
      </c>
      <c r="B81" s="5" t="inlineStr">
        <is>
          <t>Payments on finance leases</t>
        </is>
      </c>
      <c r="C81" s="14" t="n"/>
      <c r="D81" s="28" t="n">
        <v>-3144</v>
      </c>
      <c r="E81" s="5" t="inlineStr">
        <is>
          <t>$000</t>
        </is>
      </c>
      <c r="F81" s="5" t="inlineStr">
        <is>
          <t>10-K CF</t>
        </is>
      </c>
    </row>
    <row r="82">
      <c r="A82" s="5" t="inlineStr">
        <is>
          <t>Cash Flow</t>
        </is>
      </c>
      <c r="B82" s="5" t="inlineStr">
        <is>
          <t>Proceeds from issuance of treasury stock (ESP)</t>
        </is>
      </c>
      <c r="C82" s="14" t="n"/>
      <c r="D82" s="28" t="n">
        <v>32823</v>
      </c>
      <c r="E82" s="5" t="inlineStr">
        <is>
          <t>$000</t>
        </is>
      </c>
      <c r="F82" s="5" t="inlineStr">
        <is>
          <t>10-K CF</t>
        </is>
      </c>
    </row>
    <row r="83">
      <c r="A83" s="5" t="inlineStr">
        <is>
          <t>Cash Flow</t>
        </is>
      </c>
      <c r="B83" s="5" t="inlineStr">
        <is>
          <t>Taxes paid related to net share settlement</t>
        </is>
      </c>
      <c r="C83" s="14" t="n"/>
      <c r="D83" s="28" t="n">
        <v>-204593</v>
      </c>
      <c r="E83" s="5" t="inlineStr">
        <is>
          <t>$000</t>
        </is>
      </c>
      <c r="F83" s="5" t="inlineStr">
        <is>
          <t>10-K CF</t>
        </is>
      </c>
    </row>
    <row r="84">
      <c r="A84" s="5" t="inlineStr">
        <is>
          <t>Cash Flow</t>
        </is>
      </c>
      <c r="B84" s="5" t="inlineStr">
        <is>
          <t>Repurchases of common stock</t>
        </is>
      </c>
      <c r="C84" s="14" t="n"/>
      <c r="D84" s="28" t="n">
        <v>-1414502</v>
      </c>
      <c r="E84" s="5" t="inlineStr">
        <is>
          <t>$000</t>
        </is>
      </c>
      <c r="F84" s="5" t="inlineStr">
        <is>
          <t>10-K CF</t>
        </is>
      </c>
    </row>
    <row r="85">
      <c r="A85" s="5" t="inlineStr">
        <is>
          <t>Cash Flow</t>
        </is>
      </c>
      <c r="B85" s="5" t="inlineStr">
        <is>
          <t>Net cash used in financing activities</t>
        </is>
      </c>
      <c r="C85" s="14" t="n"/>
      <c r="D85" s="28" t="n">
        <v>-750329</v>
      </c>
      <c r="E85" s="5" t="inlineStr">
        <is>
          <t>$000</t>
        </is>
      </c>
      <c r="F85" s="5" t="inlineStr">
        <is>
          <t>10-K CF</t>
        </is>
      </c>
    </row>
    <row r="86">
      <c r="A86" s="5" t="inlineStr">
        <is>
          <t>Cash Flow</t>
        </is>
      </c>
      <c r="B86" s="5" t="inlineStr">
        <is>
          <t>Effect of exchange rate changes on cash</t>
        </is>
      </c>
      <c r="C86" s="14" t="n"/>
      <c r="D86" s="28" t="n">
        <v>-1290</v>
      </c>
      <c r="E86" s="5" t="inlineStr">
        <is>
          <t>$000</t>
        </is>
      </c>
      <c r="F86" s="5" t="inlineStr">
        <is>
          <t>10-K CF</t>
        </is>
      </c>
    </row>
    <row r="87">
      <c r="A87" s="5" t="inlineStr">
        <is>
          <t>Cash Flow</t>
        </is>
      </c>
      <c r="B87" s="5" t="inlineStr">
        <is>
          <t>Increase (decrease) in cash</t>
        </is>
      </c>
      <c r="C87" s="14" t="n"/>
      <c r="D87" s="28" t="n">
        <v>-16531</v>
      </c>
      <c r="E87" s="5" t="inlineStr">
        <is>
          <t>$000</t>
        </is>
      </c>
      <c r="F87" s="5" t="inlineStr">
        <is>
          <t>10-K CF</t>
        </is>
      </c>
    </row>
    <row r="88">
      <c r="A88" s="5" t="inlineStr">
        <is>
          <t>Cash Flow</t>
        </is>
      </c>
      <c r="B88" s="5" t="inlineStr">
        <is>
          <t>Cash beginning of year</t>
        </is>
      </c>
      <c r="C88" s="14" t="n"/>
      <c r="D88" s="28" t="n">
        <v>150667</v>
      </c>
      <c r="E88" s="5" t="inlineStr">
        <is>
          <t>$000</t>
        </is>
      </c>
      <c r="F88" s="5" t="inlineStr">
        <is>
          <t>10-K CF</t>
        </is>
      </c>
    </row>
    <row r="89">
      <c r="A89" s="5" t="inlineStr">
        <is>
          <t>Cash Flow</t>
        </is>
      </c>
      <c r="B89" s="5" t="inlineStr">
        <is>
          <t>Cash end of year</t>
        </is>
      </c>
      <c r="C89" s="14" t="n"/>
      <c r="D89" s="28" t="n">
        <v>134136</v>
      </c>
      <c r="E89" s="5" t="inlineStr">
        <is>
          <t>$000</t>
        </is>
      </c>
      <c r="F89" s="5" t="inlineStr">
        <is>
          <t>10-K CF</t>
        </is>
      </c>
    </row>
    <row r="90">
      <c r="A90" s="5" t="inlineStr">
        <is>
          <t>Cash Flow</t>
        </is>
      </c>
      <c r="B90" s="5" t="inlineStr">
        <is>
          <t>Cash paid for income taxes</t>
        </is>
      </c>
      <c r="C90" s="14" t="n"/>
      <c r="D90" s="28" t="n">
        <v>162089</v>
      </c>
      <c r="E90" s="5" t="inlineStr">
        <is>
          <t>$000</t>
        </is>
      </c>
      <c r="F90" s="5" t="inlineStr">
        <is>
          <t>10-K CF</t>
        </is>
      </c>
    </row>
    <row r="91">
      <c r="A91" s="5" t="inlineStr">
        <is>
          <t>Cash Flow</t>
        </is>
      </c>
      <c r="B91" s="5" t="inlineStr">
        <is>
          <t>Cash paid for interest</t>
        </is>
      </c>
      <c r="C91" s="14" t="n"/>
      <c r="D91" s="28" t="n">
        <v>103564</v>
      </c>
      <c r="E91" s="5" t="inlineStr">
        <is>
          <t>$000</t>
        </is>
      </c>
      <c r="F91" s="5" t="inlineStr">
        <is>
          <t>10-K CF</t>
        </is>
      </c>
    </row>
    <row r="92">
      <c r="A92" s="5" t="inlineStr">
        <is>
          <t>Valuation inputs</t>
        </is>
      </c>
      <c r="B92" s="5" t="inlineStr">
        <is>
          <t>Share price</t>
        </is>
      </c>
      <c r="C92" s="14" t="n"/>
      <c r="D92" s="28" t="n">
        <v>1046.23</v>
      </c>
      <c r="E92" s="5" t="inlineStr">
        <is>
          <t>$</t>
        </is>
      </c>
      <c r="F92" s="5" t="inlineStr">
        <is>
          <t>Market</t>
        </is>
      </c>
    </row>
    <row r="93">
      <c r="A93" s="5" t="inlineStr">
        <is>
          <t>Valuation inputs</t>
        </is>
      </c>
      <c r="B93" s="5" t="inlineStr">
        <is>
          <t>Diluted shares (m)</t>
        </is>
      </c>
      <c r="C93" s="14" t="n"/>
      <c r="D93" s="28" t="n">
        <v>21.598</v>
      </c>
      <c r="E93" s="5" t="inlineStr">
        <is>
          <t>millions</t>
        </is>
      </c>
      <c r="F93" s="5" t="inlineStr">
        <is>
          <t>10-Q / Yahoo</t>
        </is>
      </c>
    </row>
    <row r="94">
      <c r="A94" s="5" t="inlineStr">
        <is>
          <t>Valuation inputs</t>
        </is>
      </c>
      <c r="B94" s="5" t="inlineStr">
        <is>
          <t>Risk-free rate</t>
        </is>
      </c>
      <c r="C94" s="14" t="n"/>
      <c r="D94" s="29" t="n">
        <v>0.043</v>
      </c>
      <c r="E94" s="5" t="inlineStr">
        <is>
          <t>decimal</t>
        </is>
      </c>
      <c r="F94" s="5" t="inlineStr">
        <is>
          <t>Treasury</t>
        </is>
      </c>
    </row>
    <row r="95">
      <c r="A95" s="5" t="inlineStr">
        <is>
          <t>Valuation inputs</t>
        </is>
      </c>
      <c r="B95" s="5" t="inlineStr">
        <is>
          <t>ERP</t>
        </is>
      </c>
      <c r="C95" s="14" t="n"/>
      <c r="D95" s="29" t="n">
        <v>0.05</v>
      </c>
      <c r="E95" s="5" t="inlineStr">
        <is>
          <t>decimal</t>
        </is>
      </c>
      <c r="F95" s="5" t="inlineStr">
        <is>
          <t>Damodaran</t>
        </is>
      </c>
    </row>
    <row r="96">
      <c r="A96" s="5" t="inlineStr">
        <is>
          <t>Valuation inputs</t>
        </is>
      </c>
      <c r="B96" s="5" t="inlineStr">
        <is>
          <t>Beta</t>
        </is>
      </c>
      <c r="C96" s="14" t="n"/>
      <c r="D96" s="28" t="n">
        <v>1.321</v>
      </c>
      <c r="E96" s="5" t="inlineStr">
        <is>
          <t>number</t>
        </is>
      </c>
      <c r="F96" s="5" t="inlineStr">
        <is>
          <t>Yahoo</t>
        </is>
      </c>
    </row>
    <row r="97">
      <c r="A97" s="5" t="inlineStr">
        <is>
          <t>Valuation inputs</t>
        </is>
      </c>
      <c r="B97" s="5" t="inlineStr">
        <is>
          <t>Pre-tax cost of debt</t>
        </is>
      </c>
      <c r="C97" s="14" t="n"/>
      <c r="D97" s="29" t="n">
        <v>0.055</v>
      </c>
      <c r="E97" s="5" t="inlineStr">
        <is>
          <t>decimal</t>
        </is>
      </c>
      <c r="F97" s="5" t="inlineStr">
        <is>
          <t>Debt YTM</t>
        </is>
      </c>
    </row>
    <row r="98">
      <c r="A98" s="5" t="inlineStr">
        <is>
          <t>Valuation inputs</t>
        </is>
      </c>
      <c r="B98" s="5" t="inlineStr">
        <is>
          <t>Tax rate</t>
        </is>
      </c>
      <c r="C98" s="14" t="n"/>
      <c r="D98" s="29" t="n">
        <v>0.188</v>
      </c>
      <c r="E98" s="5" t="inlineStr">
        <is>
          <t>decimal</t>
        </is>
      </c>
      <c r="F98" s="5" t="inlineStr">
        <is>
          <t>FY25 ETR</t>
        </is>
      </c>
    </row>
    <row r="99">
      <c r="A99" s="5" t="inlineStr">
        <is>
          <t>Valuation inputs</t>
        </is>
      </c>
      <c r="B99" s="5" t="inlineStr">
        <is>
          <t>Terminal growth g</t>
        </is>
      </c>
      <c r="C99" s="14" t="n"/>
      <c r="D99" s="29" t="n">
        <v>0.03</v>
      </c>
      <c r="E99" s="5" t="inlineStr">
        <is>
          <t>decimal</t>
        </is>
      </c>
      <c r="F99" s="5" t="inlineStr">
        <is>
          <t>Judgment</t>
        </is>
      </c>
    </row>
    <row r="100">
      <c r="A100" s="5" t="inlineStr">
        <is>
          <t>Valuation inputs</t>
        </is>
      </c>
      <c r="B100" s="5" t="inlineStr">
        <is>
          <t>Exit EV/EBIT</t>
        </is>
      </c>
      <c r="C100" s="14" t="n"/>
      <c r="D100" s="28" t="n">
        <v>22</v>
      </c>
      <c r="E100" s="5" t="inlineStr">
        <is>
          <t>x</t>
        </is>
      </c>
      <c r="F100" s="5" t="inlineStr">
        <is>
          <t>Comps</t>
        </is>
      </c>
    </row>
    <row r="101">
      <c r="A101" s="5" t="inlineStr">
        <is>
          <t>Forecast</t>
        </is>
      </c>
      <c r="B101" s="5" t="inlineStr">
        <is>
          <t>FY26 revenue growth</t>
        </is>
      </c>
      <c r="C101" s="14" t="n"/>
      <c r="D101" s="29" t="n">
        <v>0.14</v>
      </c>
      <c r="E101" s="5" t="inlineStr">
        <is>
          <t>decimal</t>
        </is>
      </c>
      <c r="F101" s="5" t="inlineStr">
        <is>
          <t>Judgment</t>
        </is>
      </c>
    </row>
    <row r="102">
      <c r="A102" s="5" t="inlineStr">
        <is>
          <t>Forecast</t>
        </is>
      </c>
      <c r="B102" s="5" t="inlineStr">
        <is>
          <t>FY26 EBIT margin</t>
        </is>
      </c>
      <c r="C102" s="14" t="n"/>
      <c r="D102" s="29" t="n">
        <v>0.455</v>
      </c>
      <c r="E102" s="5" t="inlineStr">
        <is>
          <t>decimal</t>
        </is>
      </c>
      <c r="F102" s="5" t="inlineStr">
        <is>
          <t>Judgment</t>
        </is>
      </c>
    </row>
    <row r="103">
      <c r="A103" s="5" t="inlineStr">
        <is>
          <t>Forecast</t>
        </is>
      </c>
      <c r="B103" s="5" t="inlineStr">
        <is>
          <t>Capex % sales</t>
        </is>
      </c>
      <c r="C103" s="14" t="n"/>
      <c r="D103" s="29" t="n">
        <v>0.02</v>
      </c>
      <c r="E103" s="5" t="inlineStr">
        <is>
          <t>decimal</t>
        </is>
      </c>
      <c r="F103" s="5" t="inlineStr">
        <is>
          <t>FY25 run-rate</t>
        </is>
      </c>
    </row>
    <row r="104">
      <c r="A104" s="5" t="inlineStr">
        <is>
          <t>Forecast</t>
        </is>
      </c>
      <c r="B104" s="5" t="inlineStr">
        <is>
          <t>ΔNWC % ΔSales</t>
        </is>
      </c>
      <c r="C104" s="14" t="n"/>
      <c r="D104" s="29" t="n">
        <v>0.05</v>
      </c>
      <c r="E104" s="5" t="inlineStr">
        <is>
          <t>decimal</t>
        </is>
      </c>
      <c r="F104" s="5" t="inlineStr">
        <is>
          <t>Judgment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SEC companyfacts extract (keyed by period-end year, USD/shares)</t>
        </is>
      </c>
    </row>
    <row r="2">
      <c r="A2" t="inlineStr">
        <is>
          <t>Raw XBRL pull from data.sec.gov — cross-check against audited statements on 03/04/05.</t>
        </is>
      </c>
    </row>
    <row r="3"/>
    <row r="4">
      <c r="A4" s="3" t="inlineStr">
        <is>
          <t>Concept</t>
        </is>
      </c>
      <c r="B4" s="3" t="n">
        <v>2021</v>
      </c>
      <c r="C4" s="3" t="n">
        <v>2022</v>
      </c>
      <c r="D4" s="3" t="n">
        <v>2023</v>
      </c>
      <c r="E4" s="3" t="n">
        <v>2024</v>
      </c>
      <c r="F4" s="3" t="n">
        <v>2025</v>
      </c>
      <c r="G4" s="3" t="inlineStr">
        <is>
          <t>Unit</t>
        </is>
      </c>
    </row>
    <row r="5">
      <c r="A5" t="inlineStr">
        <is>
          <t>RevenueFromContractWithCustomerExcludingAssessedTax</t>
        </is>
      </c>
      <c r="B5" s="30" t="n">
        <v>1316536000</v>
      </c>
      <c r="C5" s="30" t="n">
        <v>1377270000</v>
      </c>
      <c r="D5" s="30" t="n">
        <v>1513557000</v>
      </c>
      <c r="E5" s="30" t="n">
        <v>1717526000</v>
      </c>
      <c r="F5" s="30" t="n">
        <v>1990869000</v>
      </c>
      <c r="G5" t="inlineStr">
        <is>
          <t>USD</t>
        </is>
      </c>
    </row>
    <row r="6">
      <c r="A6" t="inlineStr">
        <is>
          <t>CostOfRevenue</t>
        </is>
      </c>
      <c r="B6" s="30" t="n">
        <v>332462000</v>
      </c>
      <c r="C6" s="30" t="n">
        <v>302174000</v>
      </c>
      <c r="D6" s="30" t="n">
        <v>311053000</v>
      </c>
      <c r="E6" s="30" t="n">
        <v>348206000</v>
      </c>
      <c r="F6" s="30" t="n">
        <v>353722000</v>
      </c>
      <c r="G6" t="inlineStr">
        <is>
          <t>USD</t>
        </is>
      </c>
    </row>
    <row r="7">
      <c r="A7" t="inlineStr">
        <is>
          <t>ResearchAndDevelopmentExpense</t>
        </is>
      </c>
      <c r="B7" s="30" t="n">
        <v>171231000</v>
      </c>
      <c r="C7" s="30" t="n">
        <v>146758000</v>
      </c>
      <c r="D7" s="30" t="n">
        <v>159950000</v>
      </c>
      <c r="E7" s="30" t="n">
        <v>171940000</v>
      </c>
      <c r="F7" s="30" t="n">
        <v>188347000</v>
      </c>
      <c r="G7" t="inlineStr">
        <is>
          <t>USD</t>
        </is>
      </c>
    </row>
    <row r="8">
      <c r="A8" t="inlineStr">
        <is>
          <t>SellingGeneralAndAdministrativeExpense</t>
        </is>
      </c>
      <c r="B8" s="30" t="n">
        <v>396281000</v>
      </c>
      <c r="C8" s="30" t="n">
        <v>383863000</v>
      </c>
      <c r="D8" s="30" t="n">
        <v>400565000</v>
      </c>
      <c r="E8" s="30" t="n">
        <v>462834000</v>
      </c>
      <c r="F8" s="30" t="n">
        <v>513028000</v>
      </c>
      <c r="G8" t="inlineStr">
        <is>
          <t>USD</t>
        </is>
      </c>
    </row>
    <row r="9">
      <c r="A9" t="inlineStr">
        <is>
          <t>AmortizationOfIntangibleAssets</t>
        </is>
      </c>
      <c r="B9" s="30" t="n">
        <v>3255000</v>
      </c>
      <c r="C9" s="30" t="n">
        <v>2061000</v>
      </c>
      <c r="D9" s="30" t="n">
        <v>1100000</v>
      </c>
      <c r="E9" s="30" t="n">
        <v>917000</v>
      </c>
      <c r="F9" s="16" t="n">
        <v>0</v>
      </c>
      <c r="G9" t="inlineStr">
        <is>
          <t>USD</t>
        </is>
      </c>
    </row>
    <row r="10">
      <c r="A10" t="inlineStr">
        <is>
          <t>RestructuringCharges</t>
        </is>
      </c>
      <c r="B10" s="30" t="n">
        <v>7956000</v>
      </c>
      <c r="C10" s="16" t="n">
        <v>0</v>
      </c>
      <c r="D10" s="16" t="n">
        <v>0</v>
      </c>
      <c r="E10" s="16" t="n">
        <v>0</v>
      </c>
      <c r="F10" s="30" t="n">
        <v>10922000</v>
      </c>
      <c r="G10" t="inlineStr">
        <is>
          <t>USD</t>
        </is>
      </c>
    </row>
    <row r="11">
      <c r="A11" t="inlineStr">
        <is>
          <t>OperatingIncomeLoss</t>
        </is>
      </c>
      <c r="B11" s="30" t="n">
        <v>505489000</v>
      </c>
      <c r="C11" s="30" t="n">
        <v>542414000</v>
      </c>
      <c r="D11" s="30" t="n">
        <v>642830000</v>
      </c>
      <c r="E11" s="30" t="n">
        <v>733629000</v>
      </c>
      <c r="F11" s="30" t="n">
        <v>924850000</v>
      </c>
      <c r="G11" t="inlineStr">
        <is>
          <t>USD</t>
        </is>
      </c>
    </row>
    <row r="12">
      <c r="A12" t="inlineStr">
        <is>
          <t>InterestExpense</t>
        </is>
      </c>
      <c r="B12" s="30" t="n">
        <v>40092000</v>
      </c>
      <c r="C12" s="30" t="n">
        <v>68967000</v>
      </c>
      <c r="D12" s="30" t="n">
        <v>95546000</v>
      </c>
      <c r="E12" s="30" t="n">
        <v>105638000</v>
      </c>
      <c r="G12" t="inlineStr">
        <is>
          <t>USD</t>
        </is>
      </c>
    </row>
    <row r="13">
      <c r="A13" t="inlineStr">
        <is>
          <t>OtherNonoperatingIncomeExpense</t>
        </is>
      </c>
      <c r="B13" s="30" t="n">
        <v>7745000</v>
      </c>
      <c r="C13" s="30" t="n">
        <v>-2138000</v>
      </c>
      <c r="D13" s="30" t="n">
        <v>6340000</v>
      </c>
      <c r="E13" s="30" t="n">
        <v>14034000</v>
      </c>
      <c r="F13" s="30" t="n">
        <v>11392000</v>
      </c>
      <c r="G13" t="inlineStr">
        <is>
          <t>USD</t>
        </is>
      </c>
    </row>
    <row r="14">
      <c r="A14" t="inlineStr">
        <is>
          <t>IncomeLossFromContinuingOperationsBeforeIncomeTaxesExtraordinaryItemsNoncontrollingInterest</t>
        </is>
      </c>
      <c r="B14" s="30" t="n">
        <v>473142000</v>
      </c>
      <c r="C14" s="30" t="n">
        <v>471309000</v>
      </c>
      <c r="D14" s="30" t="n">
        <v>553624000</v>
      </c>
      <c r="E14" s="30" t="n">
        <v>642025000</v>
      </c>
      <c r="F14" s="30" t="n">
        <v>802595000</v>
      </c>
      <c r="G14" t="inlineStr">
        <is>
          <t>USD</t>
        </is>
      </c>
    </row>
    <row r="15">
      <c r="A15" t="inlineStr">
        <is>
          <t>IncomeTaxExpenseBenefit</t>
        </is>
      </c>
      <c r="B15" s="30" t="n">
        <v>81058000</v>
      </c>
      <c r="C15" s="30" t="n">
        <v>97768000</v>
      </c>
      <c r="D15" s="30" t="n">
        <v>124249000</v>
      </c>
      <c r="E15" s="30" t="n">
        <v>129214000</v>
      </c>
      <c r="F15" s="30" t="n">
        <v>150649000</v>
      </c>
      <c r="G15" t="inlineStr">
        <is>
          <t>USD</t>
        </is>
      </c>
    </row>
    <row r="16">
      <c r="A16" t="inlineStr">
        <is>
          <t>NetIncomeLoss</t>
        </is>
      </c>
      <c r="B16" s="30" t="n">
        <v>392084000</v>
      </c>
      <c r="C16" s="30" t="n">
        <v>373541000</v>
      </c>
      <c r="D16" s="30" t="n">
        <v>429375000</v>
      </c>
      <c r="E16" s="30" t="n">
        <v>512811000</v>
      </c>
      <c r="F16" s="30" t="n">
        <v>651946000</v>
      </c>
      <c r="G16" t="inlineStr">
        <is>
          <t>USD</t>
        </is>
      </c>
    </row>
    <row r="17">
      <c r="A17" t="inlineStr">
        <is>
          <t>EarningsPerShareBasic</t>
        </is>
      </c>
      <c r="B17" s="16" t="n">
        <v>13.65</v>
      </c>
      <c r="C17" s="16" t="n">
        <v>14.34</v>
      </c>
      <c r="D17" s="16" t="n">
        <v>17.18</v>
      </c>
      <c r="E17" s="16" t="n">
        <v>20.78</v>
      </c>
      <c r="F17" s="16" t="n">
        <v>26.9</v>
      </c>
      <c r="G17" t="inlineStr">
        <is>
          <t>USD/shares</t>
        </is>
      </c>
    </row>
    <row r="18">
      <c r="A18" t="inlineStr">
        <is>
          <t>EarningsPerShareDiluted</t>
        </is>
      </c>
      <c r="B18" s="16" t="n">
        <v>13.4</v>
      </c>
      <c r="C18" s="16" t="n">
        <v>14.18</v>
      </c>
      <c r="D18" s="16" t="n">
        <v>16.93</v>
      </c>
      <c r="E18" s="16" t="n">
        <v>20.45</v>
      </c>
      <c r="F18" s="16" t="n">
        <v>26.54</v>
      </c>
      <c r="G18" t="inlineStr">
        <is>
          <t>USD/shares</t>
        </is>
      </c>
    </row>
    <row r="19">
      <c r="A19" t="inlineStr">
        <is>
          <t>WeightedAverageNumberOfSharesOutstandingBasic</t>
        </is>
      </c>
      <c r="B19" s="30" t="n">
        <v>28734000</v>
      </c>
      <c r="C19" s="30" t="n">
        <v>26042000</v>
      </c>
      <c r="D19" s="30" t="n">
        <v>24986000</v>
      </c>
      <c r="E19" s="30" t="n">
        <v>24676000</v>
      </c>
      <c r="F19" s="30" t="n">
        <v>24239000</v>
      </c>
      <c r="G19" t="inlineStr">
        <is>
          <t>shares</t>
        </is>
      </c>
    </row>
    <row r="20">
      <c r="A20" t="inlineStr">
        <is>
          <t>WeightedAverageNumberOfDilutedSharesOutstanding</t>
        </is>
      </c>
      <c r="B20" s="30" t="n">
        <v>29260000</v>
      </c>
      <c r="C20" s="30" t="n">
        <v>26347000</v>
      </c>
      <c r="D20" s="30" t="n">
        <v>25367000</v>
      </c>
      <c r="E20" s="30" t="n">
        <v>25079000</v>
      </c>
      <c r="F20" s="30" t="n">
        <v>24561000</v>
      </c>
      <c r="G20" t="inlineStr">
        <is>
          <t>shares</t>
        </is>
      </c>
    </row>
    <row r="21">
      <c r="A21" t="inlineStr">
        <is>
          <t>CashAndCashEquivalentsAtCarryingValue</t>
        </is>
      </c>
      <c r="B21" s="30" t="n">
        <v>195354000</v>
      </c>
      <c r="C21" s="30" t="n">
        <v>133202000</v>
      </c>
      <c r="D21" s="30" t="n">
        <v>136778000</v>
      </c>
      <c r="E21" s="30" t="n">
        <v>150667000</v>
      </c>
      <c r="F21" s="30" t="n">
        <v>134136000</v>
      </c>
      <c r="G21" t="inlineStr">
        <is>
          <t>USD</t>
        </is>
      </c>
    </row>
    <row r="22">
      <c r="A22" t="inlineStr">
        <is>
          <t>AccountsReceivableNetCurrent</t>
        </is>
      </c>
      <c r="B22" s="30" t="n">
        <v>312107000</v>
      </c>
      <c r="C22" s="30" t="n">
        <v>322410000</v>
      </c>
      <c r="D22" s="30" t="n">
        <v>387947000</v>
      </c>
      <c r="E22" s="30" t="n">
        <v>426642000</v>
      </c>
      <c r="F22" s="30" t="n">
        <v>529148000</v>
      </c>
      <c r="G22" t="inlineStr">
        <is>
          <t>USD</t>
        </is>
      </c>
    </row>
    <row r="23">
      <c r="A23" t="inlineStr">
        <is>
          <t>AssetsCurrent</t>
        </is>
      </c>
      <c r="B23" s="30" t="n">
        <v>550974000</v>
      </c>
      <c r="C23" s="30" t="n">
        <v>484715000</v>
      </c>
      <c r="D23" s="30" t="n">
        <v>556448000</v>
      </c>
      <c r="E23" s="30" t="n">
        <v>617413000</v>
      </c>
      <c r="F23" s="30" t="n">
        <v>705165000</v>
      </c>
      <c r="G23" t="inlineStr">
        <is>
          <t>USD</t>
        </is>
      </c>
    </row>
    <row r="24">
      <c r="A24" t="inlineStr">
        <is>
          <t>PropertyPlantAndEquipmentNet</t>
        </is>
      </c>
      <c r="B24" s="30" t="n">
        <v>27913000</v>
      </c>
      <c r="C24" s="30" t="n">
        <v>17580000</v>
      </c>
      <c r="D24" s="30" t="n">
        <v>10966000</v>
      </c>
      <c r="E24" s="30" t="n">
        <v>38465000</v>
      </c>
      <c r="F24" s="30" t="n">
        <v>67713000</v>
      </c>
      <c r="G24" t="inlineStr">
        <is>
          <t>USD</t>
        </is>
      </c>
    </row>
    <row r="25">
      <c r="A25" t="inlineStr">
        <is>
          <t>Goodwill</t>
        </is>
      </c>
      <c r="B25" s="30" t="n">
        <v>788185000</v>
      </c>
      <c r="C25" s="30" t="n">
        <v>761067000</v>
      </c>
      <c r="D25" s="30" t="n">
        <v>773327000</v>
      </c>
      <c r="E25" s="30" t="n">
        <v>782752000</v>
      </c>
      <c r="F25" s="30" t="n">
        <v>783340000</v>
      </c>
      <c r="G25" t="inlineStr">
        <is>
          <t>USD</t>
        </is>
      </c>
    </row>
    <row r="26">
      <c r="A26" t="inlineStr">
        <is>
          <t>DeferredIncomeTaxAssetsNet</t>
        </is>
      </c>
      <c r="B26" s="30" t="n">
        <v>20549000</v>
      </c>
      <c r="C26" s="30" t="n">
        <v>11803000</v>
      </c>
      <c r="D26" s="30" t="n">
        <v>59136000</v>
      </c>
      <c r="E26" s="30" t="n">
        <v>86513000</v>
      </c>
      <c r="F26" s="30" t="n">
        <v>118553000</v>
      </c>
      <c r="G26" t="inlineStr">
        <is>
          <t>USD</t>
        </is>
      </c>
    </row>
    <row r="27">
      <c r="A27" t="inlineStr">
        <is>
          <t>OtherAssetsNoncurrent</t>
        </is>
      </c>
      <c r="B27" s="30" t="n">
        <v>95585000</v>
      </c>
      <c r="C27" s="30" t="n">
        <v>102514000</v>
      </c>
      <c r="D27" s="30" t="n">
        <v>115770000</v>
      </c>
      <c r="E27" s="30" t="n">
        <v>117872000</v>
      </c>
      <c r="F27" s="30" t="n">
        <v>112524000</v>
      </c>
      <c r="G27" t="inlineStr">
        <is>
          <t>USD</t>
        </is>
      </c>
    </row>
    <row r="28">
      <c r="A28" t="inlineStr">
        <is>
          <t>Assets</t>
        </is>
      </c>
      <c r="B28" s="30" t="n">
        <v>1567776000</v>
      </c>
      <c r="C28" s="30" t="n">
        <v>1442034000</v>
      </c>
      <c r="D28" s="30" t="n">
        <v>1575281000</v>
      </c>
      <c r="E28" s="30" t="n">
        <v>1717884000</v>
      </c>
      <c r="F28" s="30" t="n">
        <v>1868133000</v>
      </c>
      <c r="G28" t="inlineStr">
        <is>
          <t>USD</t>
        </is>
      </c>
    </row>
    <row r="29">
      <c r="A29" t="inlineStr">
        <is>
          <t>AccountsPayableCurrent</t>
        </is>
      </c>
      <c r="B29" s="30" t="n">
        <v>20749000</v>
      </c>
      <c r="C29" s="30" t="n">
        <v>17273000</v>
      </c>
      <c r="D29" s="30" t="n">
        <v>19009000</v>
      </c>
      <c r="E29" s="30" t="n">
        <v>22473000</v>
      </c>
      <c r="F29" s="30" t="n">
        <v>32315000</v>
      </c>
      <c r="G29" t="inlineStr">
        <is>
          <t>USD</t>
        </is>
      </c>
    </row>
    <row r="30">
      <c r="A30" t="inlineStr">
        <is>
          <t>AccruedLiabilitiesCurrent</t>
        </is>
      </c>
      <c r="B30" s="30" t="n">
        <v>79535000</v>
      </c>
      <c r="C30" s="30" t="n">
        <v>66248000</v>
      </c>
      <c r="D30" s="30" t="n">
        <v>59478000</v>
      </c>
      <c r="E30" s="30" t="n">
        <v>79812000</v>
      </c>
      <c r="F30" s="30" t="n">
        <v>114618000</v>
      </c>
      <c r="G30" t="inlineStr">
        <is>
          <t>USD</t>
        </is>
      </c>
    </row>
    <row r="31">
      <c r="A31" t="inlineStr">
        <is>
          <t>ContractWithCustomerLiabilityCurrent</t>
        </is>
      </c>
      <c r="B31" s="30" t="n">
        <v>105400000</v>
      </c>
      <c r="C31" s="30" t="n">
        <v>120000000</v>
      </c>
      <c r="D31" s="30" t="n">
        <v>136700000</v>
      </c>
      <c r="E31" s="30" t="n">
        <v>156900000</v>
      </c>
      <c r="F31" s="30" t="n">
        <v>187400000</v>
      </c>
      <c r="G31" t="inlineStr">
        <is>
          <t>USD</t>
        </is>
      </c>
    </row>
    <row r="32">
      <c r="A32" t="inlineStr">
        <is>
          <t>LongTermDebtCurrent</t>
        </is>
      </c>
      <c r="E32" s="30" t="n">
        <v>15000000</v>
      </c>
      <c r="F32" s="30" t="n">
        <v>399541000</v>
      </c>
      <c r="G32" t="inlineStr">
        <is>
          <t>USD</t>
        </is>
      </c>
    </row>
    <row r="33">
      <c r="A33" t="inlineStr">
        <is>
          <t>LiabilitiesCurrent</t>
        </is>
      </c>
      <c r="B33" s="30" t="n">
        <v>559207000</v>
      </c>
      <c r="C33" s="30" t="n">
        <v>331459000</v>
      </c>
      <c r="D33" s="30" t="n">
        <v>367688000</v>
      </c>
      <c r="E33" s="30" t="n">
        <v>380285000</v>
      </c>
      <c r="F33" s="30" t="n">
        <v>849215000</v>
      </c>
      <c r="G33" t="inlineStr">
        <is>
          <t>USD</t>
        </is>
      </c>
    </row>
    <row r="34">
      <c r="A34" t="inlineStr">
        <is>
          <t>LongTermDebtNoncurrent</t>
        </is>
      </c>
      <c r="B34" s="30" t="n">
        <v>1009018000</v>
      </c>
      <c r="C34" s="30" t="n">
        <v>1823669000</v>
      </c>
      <c r="D34" s="30" t="n">
        <v>1811658000</v>
      </c>
      <c r="E34" s="30" t="n">
        <v>2194021000</v>
      </c>
      <c r="F34" s="30" t="n">
        <v>2656150000</v>
      </c>
      <c r="G34" t="inlineStr">
        <is>
          <t>USD</t>
        </is>
      </c>
    </row>
    <row r="35">
      <c r="A35" t="inlineStr">
        <is>
          <t>OperatingLeaseLiabilityNoncurrent</t>
        </is>
      </c>
      <c r="B35" s="30" t="n">
        <v>53670000</v>
      </c>
      <c r="C35" s="30" t="n">
        <v>39192000</v>
      </c>
      <c r="D35" s="30" t="n">
        <v>23903000</v>
      </c>
      <c r="E35" s="30" t="n">
        <v>21963000</v>
      </c>
      <c r="F35" s="30" t="n">
        <v>19187000</v>
      </c>
      <c r="G35" t="inlineStr">
        <is>
          <t>USD</t>
        </is>
      </c>
    </row>
    <row r="36">
      <c r="A36" t="inlineStr">
        <is>
          <t>OtherLiabilitiesNoncurrent</t>
        </is>
      </c>
      <c r="B36" s="30" t="n">
        <v>56823000</v>
      </c>
      <c r="C36" s="30" t="n">
        <v>49661000</v>
      </c>
      <c r="D36" s="30" t="n">
        <v>60022000</v>
      </c>
      <c r="E36" s="30" t="n">
        <v>84294000</v>
      </c>
      <c r="F36" s="30" t="n">
        <v>89365000</v>
      </c>
      <c r="G36" t="inlineStr">
        <is>
          <t>USD</t>
        </is>
      </c>
    </row>
    <row r="37">
      <c r="A37" t="inlineStr">
        <is>
          <t>Liabilities</t>
        </is>
      </c>
      <c r="B37" s="30" t="n">
        <v>1678718000</v>
      </c>
      <c r="C37" s="30" t="n">
        <v>2243981000</v>
      </c>
      <c r="D37" s="30" t="n">
        <v>2263271000</v>
      </c>
      <c r="E37" s="30" t="n">
        <v>2680563000</v>
      </c>
      <c r="F37" s="30" t="n">
        <v>3613917000</v>
      </c>
      <c r="G37" t="inlineStr">
        <is>
          <t>USD</t>
        </is>
      </c>
    </row>
    <row r="38">
      <c r="A38" t="inlineStr">
        <is>
          <t>RetainedEarningsAccumulatedDeficit</t>
        </is>
      </c>
      <c r="B38" s="30" t="n">
        <v>2585143000</v>
      </c>
      <c r="C38" s="30" t="n">
        <v>2958684000</v>
      </c>
      <c r="D38" s="30" t="n">
        <v>3388059000</v>
      </c>
      <c r="E38" s="30" t="n">
        <v>3900870000</v>
      </c>
      <c r="F38" s="30" t="n">
        <v>4552816000</v>
      </c>
      <c r="G38" t="inlineStr">
        <is>
          <t>USD</t>
        </is>
      </c>
    </row>
    <row r="39">
      <c r="A39" t="inlineStr">
        <is>
          <t>TreasuryStockValue</t>
        </is>
      </c>
      <c r="B39" s="30" t="n">
        <v>3857855000</v>
      </c>
      <c r="C39" s="30" t="n">
        <v>4935769000</v>
      </c>
      <c r="D39" s="30" t="n">
        <v>5324865000</v>
      </c>
      <c r="E39" s="30" t="n">
        <v>6138736000</v>
      </c>
      <c r="F39" s="30" t="n">
        <v>7537908000</v>
      </c>
      <c r="G39" t="inlineStr">
        <is>
          <t>USD</t>
        </is>
      </c>
    </row>
    <row r="40">
      <c r="A40" t="inlineStr">
        <is>
          <t>AccumulatedOtherComprehensiveIncomeLossNetOfTax</t>
        </is>
      </c>
      <c r="B40" s="30" t="n">
        <v>-75854000</v>
      </c>
      <c r="C40" s="30" t="n">
        <v>-124702000</v>
      </c>
      <c r="D40" s="30" t="n">
        <v>-102145000</v>
      </c>
      <c r="E40" s="30" t="n">
        <v>-91629000</v>
      </c>
      <c r="F40" s="30" t="n">
        <v>-92050000</v>
      </c>
      <c r="G40" t="inlineStr">
        <is>
          <t>USD</t>
        </is>
      </c>
    </row>
    <row r="41">
      <c r="A41" t="inlineStr">
        <is>
          <t>StockholdersEquity</t>
        </is>
      </c>
      <c r="B41" s="30" t="n">
        <v>-110942000</v>
      </c>
      <c r="C41" s="30" t="n">
        <v>-801947000</v>
      </c>
      <c r="D41" s="30" t="n">
        <v>-687990000</v>
      </c>
      <c r="E41" s="30" t="n">
        <v>-962679000</v>
      </c>
      <c r="F41" s="30" t="n">
        <v>-1745784000</v>
      </c>
      <c r="G41" t="inlineStr">
        <is>
          <t>USD</t>
        </is>
      </c>
    </row>
    <row r="42">
      <c r="A42" t="inlineStr">
        <is>
          <t>CommonStockSharesOutstanding</t>
        </is>
      </c>
      <c r="B42" s="30" t="n">
        <v>27568000</v>
      </c>
      <c r="C42" s="30" t="n">
        <v>25154000</v>
      </c>
      <c r="D42" s="30" t="n">
        <v>24770000</v>
      </c>
      <c r="E42" s="30" t="n">
        <v>24392000</v>
      </c>
      <c r="F42" s="30" t="n">
        <v>23764000</v>
      </c>
      <c r="G42" t="inlineStr">
        <is>
          <t>shares</t>
        </is>
      </c>
    </row>
    <row r="43">
      <c r="A43" t="inlineStr">
        <is>
          <t>NetCashProvidedByUsedInOperatingActivities</t>
        </is>
      </c>
      <c r="B43" s="30" t="n">
        <v>423817000</v>
      </c>
      <c r="C43" s="30" t="n">
        <v>509450000</v>
      </c>
      <c r="D43" s="30" t="n">
        <v>468915000</v>
      </c>
      <c r="E43" s="30" t="n">
        <v>632964000</v>
      </c>
      <c r="F43" s="30" t="n">
        <v>778807000</v>
      </c>
      <c r="G43" t="inlineStr">
        <is>
          <t>USD</t>
        </is>
      </c>
    </row>
    <row r="44">
      <c r="A44" t="inlineStr">
        <is>
          <t>NetCashProvidedByUsedInInvestingActivities</t>
        </is>
      </c>
      <c r="B44" s="30" t="n">
        <v>137850000</v>
      </c>
      <c r="C44" s="30" t="n">
        <v>-5671000</v>
      </c>
      <c r="D44" s="30" t="n">
        <v>-15954000</v>
      </c>
      <c r="E44" s="30" t="n">
        <v>-27993000</v>
      </c>
      <c r="F44" s="30" t="n">
        <v>-43719000</v>
      </c>
      <c r="G44" t="inlineStr">
        <is>
          <t>USD</t>
        </is>
      </c>
    </row>
    <row r="45">
      <c r="A45" t="inlineStr">
        <is>
          <t>NetCashProvidedByUsedInFinancingActivities</t>
        </is>
      </c>
      <c r="B45" s="30" t="n">
        <v>-523571000</v>
      </c>
      <c r="C45" s="30" t="n">
        <v>-547165000</v>
      </c>
      <c r="D45" s="30" t="n">
        <v>-455001000</v>
      </c>
      <c r="E45" s="30" t="n">
        <v>-592923000</v>
      </c>
      <c r="F45" s="30" t="n">
        <v>-750329000</v>
      </c>
      <c r="G45" t="inlineStr">
        <is>
          <t>USD</t>
        </is>
      </c>
    </row>
    <row r="46">
      <c r="A46" t="inlineStr">
        <is>
          <t>DepreciationDepletionAndAmortization</t>
        </is>
      </c>
      <c r="B46" s="30" t="n">
        <v>25592000</v>
      </c>
      <c r="C46" s="30" t="n">
        <v>20465000</v>
      </c>
      <c r="D46" s="30" t="n">
        <v>14638000</v>
      </c>
      <c r="E46" s="30" t="n">
        <v>13827000</v>
      </c>
      <c r="F46" s="30" t="n">
        <v>14952000</v>
      </c>
      <c r="G46" t="inlineStr">
        <is>
          <t>USD</t>
        </is>
      </c>
    </row>
    <row r="47">
      <c r="A47" t="inlineStr">
        <is>
          <t>ShareBasedCompensation</t>
        </is>
      </c>
      <c r="B47" s="30" t="n">
        <v>112457000</v>
      </c>
      <c r="C47" s="30" t="n">
        <v>115355000</v>
      </c>
      <c r="D47" s="30" t="n">
        <v>123847000</v>
      </c>
      <c r="E47" s="30" t="n">
        <v>149439000</v>
      </c>
      <c r="F47" s="30" t="n">
        <v>156667000</v>
      </c>
      <c r="G47" t="inlineStr">
        <is>
          <t>USD</t>
        </is>
      </c>
    </row>
    <row r="48">
      <c r="A48" t="inlineStr">
        <is>
          <t>DeferredIncomeTaxExpenseBenefit</t>
        </is>
      </c>
      <c r="B48" s="30" t="n">
        <v>-5955000</v>
      </c>
      <c r="C48" s="30" t="n">
        <v>7816000</v>
      </c>
      <c r="D48" s="30" t="n">
        <v>-47378000</v>
      </c>
      <c r="E48" s="30" t="n">
        <v>-27330000</v>
      </c>
      <c r="F48" s="30" t="n">
        <v>-32486000</v>
      </c>
      <c r="G48" t="inlineStr">
        <is>
          <t>USD</t>
        </is>
      </c>
    </row>
    <row r="49">
      <c r="A49" t="inlineStr">
        <is>
          <t>IncreaseDecreaseInAccountsReceivable</t>
        </is>
      </c>
      <c r="B49" s="30" t="n">
        <v>-24496000</v>
      </c>
      <c r="C49" s="30" t="n">
        <v>31557000</v>
      </c>
      <c r="D49" s="30" t="n">
        <v>70117000</v>
      </c>
      <c r="E49" s="30" t="n">
        <v>34144000</v>
      </c>
      <c r="F49" s="30" t="n">
        <v>100377000</v>
      </c>
      <c r="G49" t="inlineStr">
        <is>
          <t>USD</t>
        </is>
      </c>
    </row>
    <row r="50">
      <c r="A50" t="inlineStr">
        <is>
          <t>IncreaseDecreaseInAccountsPayable</t>
        </is>
      </c>
      <c r="B50" s="30" t="n">
        <v>-2354000</v>
      </c>
      <c r="C50" s="30" t="n">
        <v>-2802000</v>
      </c>
      <c r="D50" s="30" t="n">
        <v>2236000</v>
      </c>
      <c r="E50" s="30" t="n">
        <v>3316000</v>
      </c>
      <c r="F50" s="30" t="n">
        <v>9849000</v>
      </c>
      <c r="G50" t="inlineStr">
        <is>
          <t>USD</t>
        </is>
      </c>
    </row>
    <row r="51">
      <c r="A51" t="inlineStr">
        <is>
          <t>IncreaseDecreaseInDeferredRevenue</t>
        </is>
      </c>
      <c r="B51" s="30" t="n">
        <v>4486000</v>
      </c>
      <c r="C51" s="30" t="n">
        <v>23547000</v>
      </c>
      <c r="D51" s="30" t="n">
        <v>18763000</v>
      </c>
      <c r="E51" s="30" t="n">
        <v>13966000</v>
      </c>
      <c r="F51" s="30" t="n">
        <v>29740000</v>
      </c>
      <c r="G51" t="inlineStr">
        <is>
          <t>USD</t>
        </is>
      </c>
    </row>
    <row r="52">
      <c r="A52" t="inlineStr">
        <is>
          <t>PaymentsToAcquirePropertyPlantAndEquipment</t>
        </is>
      </c>
      <c r="B52" s="30" t="n">
        <v>7569000</v>
      </c>
      <c r="C52" s="30" t="n">
        <v>6029000</v>
      </c>
      <c r="D52" s="30" t="n">
        <v>4237000</v>
      </c>
      <c r="E52" s="30" t="n">
        <v>8884000</v>
      </c>
      <c r="F52" s="30" t="n">
        <v>8922000</v>
      </c>
      <c r="G52" t="inlineStr">
        <is>
          <t>USD</t>
        </is>
      </c>
    </row>
    <row r="53">
      <c r="A53" t="inlineStr">
        <is>
          <t>PaymentsForRepurchaseOfCommonStock</t>
        </is>
      </c>
      <c r="B53" s="30" t="n">
        <v>874179000</v>
      </c>
      <c r="C53" s="30" t="n">
        <v>1104180000</v>
      </c>
      <c r="D53" s="30" t="n">
        <v>405526000</v>
      </c>
      <c r="E53" s="30" t="n">
        <v>821702000</v>
      </c>
      <c r="F53" s="30" t="n">
        <v>1414502000</v>
      </c>
      <c r="G53" t="inlineStr">
        <is>
          <t>USD</t>
        </is>
      </c>
    </row>
    <row r="54">
      <c r="A54" t="inlineStr">
        <is>
          <t>ProceedsFromStockOptionsExercised</t>
        </is>
      </c>
      <c r="B54" s="30" t="n">
        <v>4400000</v>
      </c>
      <c r="C54" s="30" t="n">
        <v>3200000</v>
      </c>
      <c r="D54" s="30" t="n">
        <v>8100000</v>
      </c>
      <c r="E54" s="30" t="n">
        <v>8300000</v>
      </c>
      <c r="F54" s="30" t="n">
        <v>14700000</v>
      </c>
      <c r="G54" t="inlineStr">
        <is>
          <t>USD</t>
        </is>
      </c>
    </row>
    <row r="55">
      <c r="A55" t="inlineStr">
        <is>
          <t>OperatingLeaseRightOfUseAsset</t>
        </is>
      </c>
      <c r="B55" s="30" t="n">
        <v>47275000</v>
      </c>
      <c r="C55" s="30" t="n">
        <v>36688000</v>
      </c>
      <c r="D55" s="30" t="n">
        <v>25703000</v>
      </c>
      <c r="E55" s="30" t="n">
        <v>29580000</v>
      </c>
      <c r="F55" s="30" t="n">
        <v>26213000</v>
      </c>
      <c r="G55" t="inlineStr">
        <is>
          <t>USD</t>
        </is>
      </c>
    </row>
    <row r="56">
      <c r="A56" t="inlineStr">
        <is>
          <t>OperatingLeaseLiabilityCurrent</t>
        </is>
      </c>
      <c r="B56" s="30" t="n">
        <v>22074000</v>
      </c>
      <c r="C56" s="30" t="n">
        <v>19369000</v>
      </c>
      <c r="D56" s="30" t="n">
        <v>16336000</v>
      </c>
      <c r="E56" s="30" t="n">
        <v>11555000</v>
      </c>
      <c r="F56" s="30" t="n">
        <v>9615000</v>
      </c>
      <c r="G5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2026-08-03T20:10:56Z</dcterms:created>
  <dcterms:modified xsi:type="dcterms:W3CDTF">2026-08-03T20:10:56Z</dcterms:modified>
</cp:coreProperties>
</file>